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24226"/>
  <mc:AlternateContent xmlns:mc="http://schemas.openxmlformats.org/markup-compatibility/2006">
    <mc:Choice Requires="x15">
      <x15ac:absPath xmlns:x15ac="http://schemas.microsoft.com/office/spreadsheetml/2010/11/ac" url="C:\Users\abhin\OneDrive\Desktop\Excel Project\"/>
    </mc:Choice>
  </mc:AlternateContent>
  <xr:revisionPtr revIDLastSave="0" documentId="13_ncr:1_{0E45D607-6D08-4E88-8B28-692D2ECA7D12}" xr6:coauthVersionLast="47" xr6:coauthVersionMax="47" xr10:uidLastSave="{00000000-0000-0000-0000-000000000000}"/>
  <bookViews>
    <workbookView xWindow="-108" yWindow="-108" windowWidth="23256" windowHeight="12456" activeTab="7" xr2:uid="{00000000-000D-0000-FFFF-FFFF00000000}"/>
  </bookViews>
  <sheets>
    <sheet name="Sheet10" sheetId="10" r:id="rId1"/>
    <sheet name="chart" sheetId="15" r:id="rId2"/>
    <sheet name="Sheet1" sheetId="1" r:id="rId3"/>
    <sheet name="state_summary" sheetId="11" r:id="rId4"/>
    <sheet name="Sheet3" sheetId="3" r:id="rId5"/>
    <sheet name="Sheet6" sheetId="6" r:id="rId6"/>
    <sheet name="Sheet12" sheetId="12" r:id="rId7"/>
    <sheet name="Dashboard" sheetId="13" r:id="rId8"/>
  </sheets>
  <definedNames>
    <definedName name="_xlchart.v5.0" hidden="1">state_summary!$A$1</definedName>
    <definedName name="_xlchart.v5.1" hidden="1">state_summary!$A$2:$A$3172</definedName>
    <definedName name="_xlchart.v5.10" hidden="1">state_summary!$B$1</definedName>
    <definedName name="_xlchart.v5.11" hidden="1">state_summary!$B$2:$B$3172</definedName>
    <definedName name="_xlchart.v5.2" hidden="1">state_summary!$B$1</definedName>
    <definedName name="_xlchart.v5.3" hidden="1">state_summary!$B$2:$B$3172</definedName>
    <definedName name="_xlchart.v5.4" hidden="1">state_summary!$A$1</definedName>
    <definedName name="_xlchart.v5.5" hidden="1">state_summary!$A$2:$A$3172</definedName>
    <definedName name="_xlchart.v5.6" hidden="1">state_summary!$B$1</definedName>
    <definedName name="_xlchart.v5.7" hidden="1">state_summary!$B$2:$B$3172</definedName>
    <definedName name="_xlchart.v5.8" hidden="1">state_summary!$A$1</definedName>
    <definedName name="_xlchart.v5.9" hidden="1">state_summary!$A$2:$A$3172</definedName>
    <definedName name="Slicer_city">#N/A</definedName>
    <definedName name="Slicer_city2">#N/A</definedName>
    <definedName name="Slicer_pollutant_id">#N/A</definedName>
    <definedName name="Slicer_pollutant_id1">#N/A</definedName>
    <definedName name="Slicer_st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 l="1"/>
  <c r="Y9" i="13"/>
  <c r="M6" i="1"/>
  <c r="B3172" i="11"/>
  <c r="B3171" i="11"/>
  <c r="B3170" i="11"/>
  <c r="B3169" i="11"/>
  <c r="B3168" i="11"/>
  <c r="B3167" i="11"/>
  <c r="B3166" i="11"/>
  <c r="B3165" i="11"/>
  <c r="B3164" i="11"/>
  <c r="B3163" i="11"/>
  <c r="B3162" i="11"/>
  <c r="B3161" i="11"/>
  <c r="B3160" i="11"/>
  <c r="B3159" i="11"/>
  <c r="B3158" i="11"/>
  <c r="B3157" i="11"/>
  <c r="B3156" i="11"/>
  <c r="B3155" i="11"/>
  <c r="B3154" i="11"/>
  <c r="B3153" i="11"/>
  <c r="B3152" i="11"/>
  <c r="B3151" i="11"/>
  <c r="B3150" i="11"/>
  <c r="B3149" i="11"/>
  <c r="B3148" i="11"/>
  <c r="B3147" i="11"/>
  <c r="B3146" i="11"/>
  <c r="B3145" i="11"/>
  <c r="B3144" i="11"/>
  <c r="B3143" i="11"/>
  <c r="B3142" i="11"/>
  <c r="B3141" i="11"/>
  <c r="B3140" i="11"/>
  <c r="B3139" i="11"/>
  <c r="B3138" i="11"/>
  <c r="B3137" i="11"/>
  <c r="B3136" i="11"/>
  <c r="B3135" i="11"/>
  <c r="B3134" i="11"/>
  <c r="B3133" i="11"/>
  <c r="B3132" i="11"/>
  <c r="B3131" i="11"/>
  <c r="B3130" i="11"/>
  <c r="B3129" i="11"/>
  <c r="B3128" i="11"/>
  <c r="B3127" i="11"/>
  <c r="B3126" i="11"/>
  <c r="B3125" i="11"/>
  <c r="B3124" i="11"/>
  <c r="B3123" i="11"/>
  <c r="B3122" i="11"/>
  <c r="B3121" i="11"/>
  <c r="B3120" i="11"/>
  <c r="B3119" i="11"/>
  <c r="B3118" i="11"/>
  <c r="B3117" i="11"/>
  <c r="B3116" i="11"/>
  <c r="B3115" i="11"/>
  <c r="B3114" i="11"/>
  <c r="B3113" i="11"/>
  <c r="B3112" i="11"/>
  <c r="B3111" i="11"/>
  <c r="B3110" i="11"/>
  <c r="B3109" i="11"/>
  <c r="B3108" i="11"/>
  <c r="B3107" i="11"/>
  <c r="B3106" i="11"/>
  <c r="B3105" i="11"/>
  <c r="B3104" i="11"/>
  <c r="B3103" i="11"/>
  <c r="B3102" i="11"/>
  <c r="B3101" i="11"/>
  <c r="B3100" i="11"/>
  <c r="B3099" i="11"/>
  <c r="B3098" i="11"/>
  <c r="B3097" i="11"/>
  <c r="B3096" i="11"/>
  <c r="B3095" i="11"/>
  <c r="B3094" i="11"/>
  <c r="B3093" i="11"/>
  <c r="B3092" i="11"/>
  <c r="B3091" i="11"/>
  <c r="B3090" i="11"/>
  <c r="B3089" i="11"/>
  <c r="B3088" i="11"/>
  <c r="B3087" i="11"/>
  <c r="B3086" i="11"/>
  <c r="B3085" i="11"/>
  <c r="B3084" i="11"/>
  <c r="B3083" i="11"/>
  <c r="B3082" i="11"/>
  <c r="B3081" i="11"/>
  <c r="B3080" i="11"/>
  <c r="B3079" i="11"/>
  <c r="B3078" i="11"/>
  <c r="B3077" i="11"/>
  <c r="B3076" i="11"/>
  <c r="B3075" i="11"/>
  <c r="B3074" i="11"/>
  <c r="B3073" i="11"/>
  <c r="B3072" i="11"/>
  <c r="B3071" i="11"/>
  <c r="B3070" i="11"/>
  <c r="B3069" i="11"/>
  <c r="B3068" i="11"/>
  <c r="B3067" i="11"/>
  <c r="B3066" i="11"/>
  <c r="B3065" i="11"/>
  <c r="B3064" i="11"/>
  <c r="B3063" i="11"/>
  <c r="B3062" i="11"/>
  <c r="B3061" i="11"/>
  <c r="B3060" i="11"/>
  <c r="B3059" i="11"/>
  <c r="B3058" i="11"/>
  <c r="B3057" i="11"/>
  <c r="B3056" i="11"/>
  <c r="B3055" i="11"/>
  <c r="B3054" i="11"/>
  <c r="B3053" i="11"/>
  <c r="B3052" i="11"/>
  <c r="B3051" i="11"/>
  <c r="B3050" i="11"/>
  <c r="B3049" i="11"/>
  <c r="B3048" i="11"/>
  <c r="B3047" i="11"/>
  <c r="B3046" i="11"/>
  <c r="B3045" i="11"/>
  <c r="B3044" i="11"/>
  <c r="B3043" i="11"/>
  <c r="B3042" i="11"/>
  <c r="B3041" i="11"/>
  <c r="B3040" i="11"/>
  <c r="B3039" i="11"/>
  <c r="B3038" i="11"/>
  <c r="B3037" i="11"/>
  <c r="B3036" i="11"/>
  <c r="B3035" i="11"/>
  <c r="B3034" i="11"/>
  <c r="B3033" i="11"/>
  <c r="B3032" i="11"/>
  <c r="B3031" i="11"/>
  <c r="B3030" i="11"/>
  <c r="B3029" i="11"/>
  <c r="B3028" i="11"/>
  <c r="B3027" i="11"/>
  <c r="B3026" i="11"/>
  <c r="B3025" i="11"/>
  <c r="B3024" i="11"/>
  <c r="B3023" i="11"/>
  <c r="B3022" i="11"/>
  <c r="B3021" i="11"/>
  <c r="B3020" i="11"/>
  <c r="B3019" i="11"/>
  <c r="B3018" i="11"/>
  <c r="B3017" i="11"/>
  <c r="B3016" i="11"/>
  <c r="B3015" i="11"/>
  <c r="B3014" i="11"/>
  <c r="B3013" i="11"/>
  <c r="B3012" i="11"/>
  <c r="B3011" i="11"/>
  <c r="B3010" i="11"/>
  <c r="B3009" i="11"/>
  <c r="B3008" i="11"/>
  <c r="B3007" i="11"/>
  <c r="B3006" i="11"/>
  <c r="B3005" i="11"/>
  <c r="B3004" i="11"/>
  <c r="B3003" i="11"/>
  <c r="B3002" i="11"/>
  <c r="B3001" i="11"/>
  <c r="B3000" i="11"/>
  <c r="B2999" i="11"/>
  <c r="B2998" i="11"/>
  <c r="B2997" i="11"/>
  <c r="B2996" i="11"/>
  <c r="B2995" i="11"/>
  <c r="B2994" i="11"/>
  <c r="B2993" i="11"/>
  <c r="B2992" i="11"/>
  <c r="B2991" i="11"/>
  <c r="B2990" i="11"/>
  <c r="B2989" i="11"/>
  <c r="B2988" i="11"/>
  <c r="B2987" i="11"/>
  <c r="B2986" i="11"/>
  <c r="B2985" i="11"/>
  <c r="B2984" i="11"/>
  <c r="B2983" i="11"/>
  <c r="B2982" i="11"/>
  <c r="B2981" i="11"/>
  <c r="B2980" i="11"/>
  <c r="B2979" i="11"/>
  <c r="B2978" i="11"/>
  <c r="B2977" i="11"/>
  <c r="B2976" i="11"/>
  <c r="B2975" i="11"/>
  <c r="B2974" i="11"/>
  <c r="B2973" i="11"/>
  <c r="B2972" i="11"/>
  <c r="B2971" i="11"/>
  <c r="B2970" i="11"/>
  <c r="B2969" i="11"/>
  <c r="B2968" i="11"/>
  <c r="B2967" i="11"/>
  <c r="B2966" i="11"/>
  <c r="B2965" i="11"/>
  <c r="B2964" i="11"/>
  <c r="B2963" i="11"/>
  <c r="B2962" i="11"/>
  <c r="B2961" i="11"/>
  <c r="B2960" i="11"/>
  <c r="B2959" i="11"/>
  <c r="B2958" i="11"/>
  <c r="B2957" i="11"/>
  <c r="B2956" i="11"/>
  <c r="B2955" i="11"/>
  <c r="B2954" i="11"/>
  <c r="B2953" i="11"/>
  <c r="B2952" i="11"/>
  <c r="B2951" i="11"/>
  <c r="B2950" i="11"/>
  <c r="B2949" i="11"/>
  <c r="B2948" i="11"/>
  <c r="B2947" i="11"/>
  <c r="B2946" i="11"/>
  <c r="B2945" i="11"/>
  <c r="B2944" i="11"/>
  <c r="B2943" i="11"/>
  <c r="B2942" i="11"/>
  <c r="B2941" i="11"/>
  <c r="B2940" i="11"/>
  <c r="B2939" i="11"/>
  <c r="B2938" i="11"/>
  <c r="B2937" i="11"/>
  <c r="B2936" i="11"/>
  <c r="B2935" i="11"/>
  <c r="B2934" i="11"/>
  <c r="B2933" i="11"/>
  <c r="B2932" i="11"/>
  <c r="B2931" i="11"/>
  <c r="B2930" i="11"/>
  <c r="B2929" i="11"/>
  <c r="B2928" i="11"/>
  <c r="B2927" i="11"/>
  <c r="B2926" i="11"/>
  <c r="B2925" i="11"/>
  <c r="B2924" i="11"/>
  <c r="B2923" i="11"/>
  <c r="B2922" i="11"/>
  <c r="B2921" i="11"/>
  <c r="B2920" i="11"/>
  <c r="B2919" i="11"/>
  <c r="B2918" i="11"/>
  <c r="B2917" i="11"/>
  <c r="B2916" i="11"/>
  <c r="B2915" i="11"/>
  <c r="B2914" i="11"/>
  <c r="B2913" i="11"/>
  <c r="B2912" i="11"/>
  <c r="B2911" i="11"/>
  <c r="B2910" i="11"/>
  <c r="B2909" i="11"/>
  <c r="B2908" i="11"/>
  <c r="B2907" i="11"/>
  <c r="B2906" i="11"/>
  <c r="B2905" i="11"/>
  <c r="B2904" i="11"/>
  <c r="B2903" i="11"/>
  <c r="B2902" i="11"/>
  <c r="B2901" i="11"/>
  <c r="B2900" i="11"/>
  <c r="B2899" i="11"/>
  <c r="B2898" i="11"/>
  <c r="B2897" i="11"/>
  <c r="B2896" i="11"/>
  <c r="B2895" i="11"/>
  <c r="B2894" i="11"/>
  <c r="B2893" i="11"/>
  <c r="B2892" i="11"/>
  <c r="B2891" i="11"/>
  <c r="B2890" i="11"/>
  <c r="B2889" i="11"/>
  <c r="B2888" i="11"/>
  <c r="B2887" i="11"/>
  <c r="B2886" i="11"/>
  <c r="B2885" i="11"/>
  <c r="B2884" i="11"/>
  <c r="B2883" i="11"/>
  <c r="B2882" i="11"/>
  <c r="B2881" i="11"/>
  <c r="B2880" i="11"/>
  <c r="B2879" i="11"/>
  <c r="B2878" i="11"/>
  <c r="B2877" i="11"/>
  <c r="B2876" i="11"/>
  <c r="B2875" i="11"/>
  <c r="B2874" i="11"/>
  <c r="B2873" i="11"/>
  <c r="B2872" i="11"/>
  <c r="B2871" i="11"/>
  <c r="B2870" i="11"/>
  <c r="B2869" i="11"/>
  <c r="B2868" i="11"/>
  <c r="B2867" i="11"/>
  <c r="B2866" i="11"/>
  <c r="B2865" i="11"/>
  <c r="B2864" i="11"/>
  <c r="B2863" i="11"/>
  <c r="B2862" i="11"/>
  <c r="B2861" i="11"/>
  <c r="B2860" i="11"/>
  <c r="B2859" i="11"/>
  <c r="B2858" i="11"/>
  <c r="B2857" i="11"/>
  <c r="B2856" i="11"/>
  <c r="B2855" i="11"/>
  <c r="B2854" i="11"/>
  <c r="B2853" i="11"/>
  <c r="B2852" i="11"/>
  <c r="B2851" i="11"/>
  <c r="B2850" i="11"/>
  <c r="B2849" i="11"/>
  <c r="B2848" i="11"/>
  <c r="B2847" i="11"/>
  <c r="B2846" i="11"/>
  <c r="B2845" i="11"/>
  <c r="B2844" i="11"/>
  <c r="B2843" i="11"/>
  <c r="B2842" i="11"/>
  <c r="B2841" i="11"/>
  <c r="B2840" i="11"/>
  <c r="B2839" i="11"/>
  <c r="B2838" i="11"/>
  <c r="B2837" i="11"/>
  <c r="B2836" i="11"/>
  <c r="B2835" i="11"/>
  <c r="B2834" i="11"/>
  <c r="B2833" i="11"/>
  <c r="B2832" i="11"/>
  <c r="B2831" i="11"/>
  <c r="B2830" i="11"/>
  <c r="B2829" i="11"/>
  <c r="B2828" i="11"/>
  <c r="B2827" i="11"/>
  <c r="B2826" i="11"/>
  <c r="B2825" i="11"/>
  <c r="B2824" i="11"/>
  <c r="B2823" i="11"/>
  <c r="B2822" i="11"/>
  <c r="B2821" i="11"/>
  <c r="B2820" i="11"/>
  <c r="B2819" i="11"/>
  <c r="B2818" i="11"/>
  <c r="B2817" i="11"/>
  <c r="B2816" i="11"/>
  <c r="B2815" i="11"/>
  <c r="B2814" i="11"/>
  <c r="B2813" i="11"/>
  <c r="B2812" i="11"/>
  <c r="B2811" i="11"/>
  <c r="B2810" i="11"/>
  <c r="B2809" i="11"/>
  <c r="B2808" i="11"/>
  <c r="B2807" i="11"/>
  <c r="B2806" i="11"/>
  <c r="B2805" i="11"/>
  <c r="B2804" i="11"/>
  <c r="B2803" i="11"/>
  <c r="B2802" i="11"/>
  <c r="B2801" i="11"/>
  <c r="B2800" i="11"/>
  <c r="B2799" i="11"/>
  <c r="B2798" i="11"/>
  <c r="B2797" i="11"/>
  <c r="B2796" i="11"/>
  <c r="B2795" i="11"/>
  <c r="B2794" i="11"/>
  <c r="B2793" i="11"/>
  <c r="B2792" i="11"/>
  <c r="B2791" i="11"/>
  <c r="B2790" i="11"/>
  <c r="B2789" i="11"/>
  <c r="B2788" i="11"/>
  <c r="B2787" i="11"/>
  <c r="B2786" i="11"/>
  <c r="B2785" i="11"/>
  <c r="B2784" i="11"/>
  <c r="B2783" i="11"/>
  <c r="B2782" i="11"/>
  <c r="B2781" i="11"/>
  <c r="B2780" i="11"/>
  <c r="B2779" i="11"/>
  <c r="B2778" i="11"/>
  <c r="B2777" i="11"/>
  <c r="B2776" i="11"/>
  <c r="B2775" i="11"/>
  <c r="B2774" i="11"/>
  <c r="B2773" i="11"/>
  <c r="B2772" i="11"/>
  <c r="B2771" i="11"/>
  <c r="B2770" i="11"/>
  <c r="B2769" i="11"/>
  <c r="B2768" i="11"/>
  <c r="B2767" i="11"/>
  <c r="B2766" i="11"/>
  <c r="B2765" i="11"/>
  <c r="B2764" i="11"/>
  <c r="B2763" i="11"/>
  <c r="B2762" i="11"/>
  <c r="B2761" i="11"/>
  <c r="B2760" i="11"/>
  <c r="B2759" i="11"/>
  <c r="B2758" i="11"/>
  <c r="B2757" i="11"/>
  <c r="B2756" i="11"/>
  <c r="B2755" i="11"/>
  <c r="B2754" i="11"/>
  <c r="B2753" i="11"/>
  <c r="B2752" i="11"/>
  <c r="B2751" i="11"/>
  <c r="B2750" i="11"/>
  <c r="B2749" i="11"/>
  <c r="B2748" i="11"/>
  <c r="B2747" i="11"/>
  <c r="B2746" i="11"/>
  <c r="B2745" i="11"/>
  <c r="B2744" i="11"/>
  <c r="B2743" i="11"/>
  <c r="B2742" i="11"/>
  <c r="B2741" i="11"/>
  <c r="B2740" i="11"/>
  <c r="B2739" i="11"/>
  <c r="B2738" i="11"/>
  <c r="B2737" i="11"/>
  <c r="B2736" i="11"/>
  <c r="B2735" i="11"/>
  <c r="B2734" i="11"/>
  <c r="B2733" i="11"/>
  <c r="B2732" i="11"/>
  <c r="B2731" i="11"/>
  <c r="B2730" i="11"/>
  <c r="B2729" i="11"/>
  <c r="B2728" i="11"/>
  <c r="B2727" i="11"/>
  <c r="B2726" i="11"/>
  <c r="B2725" i="11"/>
  <c r="B2724" i="11"/>
  <c r="B2723" i="11"/>
  <c r="B2722" i="11"/>
  <c r="B2721" i="11"/>
  <c r="B2720" i="11"/>
  <c r="B2719" i="11"/>
  <c r="B2718" i="11"/>
  <c r="B2717" i="11"/>
  <c r="B2716" i="11"/>
  <c r="B2715" i="11"/>
  <c r="B2714" i="11"/>
  <c r="B2713" i="11"/>
  <c r="B2712" i="11"/>
  <c r="B2711" i="11"/>
  <c r="B2710" i="11"/>
  <c r="B2709" i="11"/>
  <c r="B2708" i="11"/>
  <c r="B2707" i="11"/>
  <c r="B2706" i="11"/>
  <c r="B2705" i="11"/>
  <c r="B2704" i="11"/>
  <c r="B2703" i="11"/>
  <c r="B2702" i="11"/>
  <c r="B2701" i="11"/>
  <c r="B2700" i="11"/>
  <c r="B2699" i="11"/>
  <c r="B2698" i="11"/>
  <c r="B2697" i="11"/>
  <c r="B2696" i="11"/>
  <c r="B2695" i="11"/>
  <c r="B2694" i="11"/>
  <c r="B2693" i="11"/>
  <c r="B2692" i="11"/>
  <c r="B2691" i="11"/>
  <c r="B2690" i="11"/>
  <c r="B2689" i="11"/>
  <c r="B2688" i="11"/>
  <c r="B2687" i="11"/>
  <c r="B2686" i="11"/>
  <c r="B2685" i="11"/>
  <c r="B2684" i="11"/>
  <c r="B2683" i="11"/>
  <c r="B2682" i="11"/>
  <c r="B2681" i="11"/>
  <c r="B2680" i="11"/>
  <c r="B2679" i="11"/>
  <c r="B2678" i="11"/>
  <c r="B2677" i="11"/>
  <c r="B2676" i="11"/>
  <c r="B2675" i="11"/>
  <c r="B2674" i="11"/>
  <c r="B2673" i="11"/>
  <c r="B2672" i="11"/>
  <c r="B2671" i="11"/>
  <c r="B2670" i="11"/>
  <c r="B2669" i="11"/>
  <c r="B2668" i="11"/>
  <c r="B2667" i="11"/>
  <c r="B2666" i="11"/>
  <c r="B2665" i="11"/>
  <c r="B2664" i="11"/>
  <c r="B2663" i="11"/>
  <c r="B2662" i="11"/>
  <c r="B2661" i="11"/>
  <c r="B2660" i="11"/>
  <c r="B2659" i="11"/>
  <c r="B2658" i="11"/>
  <c r="B2657" i="11"/>
  <c r="B2656" i="11"/>
  <c r="B2655" i="11"/>
  <c r="B2654" i="11"/>
  <c r="B2653" i="11"/>
  <c r="B2652" i="11"/>
  <c r="B2651" i="11"/>
  <c r="B2650" i="11"/>
  <c r="B2649" i="11"/>
  <c r="B2648" i="11"/>
  <c r="B2647" i="11"/>
  <c r="B2646" i="11"/>
  <c r="B2645" i="11"/>
  <c r="B2644" i="11"/>
  <c r="B2643" i="11"/>
  <c r="B2642" i="11"/>
  <c r="B2641" i="11"/>
  <c r="B2640" i="11"/>
  <c r="B2639" i="11"/>
  <c r="B2638" i="11"/>
  <c r="B2637" i="11"/>
  <c r="B2636" i="11"/>
  <c r="B2635" i="11"/>
  <c r="B2634" i="11"/>
  <c r="B2633" i="11"/>
  <c r="B2632" i="11"/>
  <c r="B2631" i="11"/>
  <c r="B2630" i="11"/>
  <c r="B2629" i="11"/>
  <c r="B2628" i="11"/>
  <c r="B2627" i="11"/>
  <c r="B2626" i="11"/>
  <c r="B2625" i="11"/>
  <c r="B2624" i="11"/>
  <c r="B2623" i="11"/>
  <c r="B2622" i="11"/>
  <c r="B2621" i="11"/>
  <c r="B2620" i="11"/>
  <c r="B2619" i="11"/>
  <c r="B2618" i="11"/>
  <c r="B2617" i="11"/>
  <c r="B2616" i="11"/>
  <c r="B2615" i="11"/>
  <c r="B2614" i="11"/>
  <c r="B2613" i="11"/>
  <c r="B2612" i="11"/>
  <c r="B2611" i="11"/>
  <c r="B2610" i="11"/>
  <c r="B2609" i="11"/>
  <c r="B2608" i="11"/>
  <c r="B2607" i="11"/>
  <c r="B2606" i="11"/>
  <c r="B2605" i="11"/>
  <c r="B2604" i="11"/>
  <c r="B2603" i="11"/>
  <c r="B2602" i="11"/>
  <c r="B2601" i="11"/>
  <c r="B2600" i="11"/>
  <c r="B2599" i="11"/>
  <c r="B2598" i="11"/>
  <c r="B2597" i="11"/>
  <c r="B2596" i="11"/>
  <c r="B2595" i="11"/>
  <c r="B2594" i="11"/>
  <c r="B2593" i="11"/>
  <c r="B2592" i="11"/>
  <c r="B2591" i="11"/>
  <c r="B2590" i="11"/>
  <c r="B2589" i="11"/>
  <c r="B2588" i="11"/>
  <c r="B2587" i="11"/>
  <c r="B2586" i="11"/>
  <c r="B2585" i="11"/>
  <c r="B2584" i="11"/>
  <c r="B2583" i="11"/>
  <c r="B2582" i="11"/>
  <c r="B2581" i="11"/>
  <c r="B2580" i="11"/>
  <c r="B2579" i="11"/>
  <c r="B2578" i="11"/>
  <c r="B2577" i="11"/>
  <c r="B2576" i="11"/>
  <c r="B2575" i="11"/>
  <c r="B2574" i="11"/>
  <c r="B2573" i="11"/>
  <c r="B2572" i="11"/>
  <c r="B2571" i="11"/>
  <c r="B2570" i="11"/>
  <c r="B2569" i="11"/>
  <c r="B2568" i="11"/>
  <c r="B2567" i="11"/>
  <c r="B2566" i="11"/>
  <c r="B2565" i="11"/>
  <c r="B2564" i="11"/>
  <c r="B2563" i="11"/>
  <c r="B2562" i="11"/>
  <c r="B2561" i="11"/>
  <c r="B2560" i="11"/>
  <c r="B2559" i="11"/>
  <c r="B2558" i="11"/>
  <c r="B2557" i="11"/>
  <c r="B2556" i="11"/>
  <c r="B2555" i="11"/>
  <c r="B2554" i="11"/>
  <c r="B2553" i="11"/>
  <c r="B2552" i="11"/>
  <c r="B2551" i="11"/>
  <c r="B2550" i="11"/>
  <c r="B2549" i="11"/>
  <c r="B2548" i="11"/>
  <c r="B2547" i="11"/>
  <c r="B2546" i="11"/>
  <c r="B2545" i="11"/>
  <c r="B2544" i="11"/>
  <c r="B2543" i="11"/>
  <c r="B2542" i="11"/>
  <c r="B2541" i="11"/>
  <c r="B2540" i="11"/>
  <c r="B2539" i="11"/>
  <c r="B2538" i="11"/>
  <c r="B2537" i="11"/>
  <c r="B2536" i="11"/>
  <c r="B2535" i="11"/>
  <c r="B2534" i="11"/>
  <c r="B2533" i="11"/>
  <c r="B2532" i="11"/>
  <c r="B2531" i="11"/>
  <c r="B2530" i="11"/>
  <c r="B2529" i="11"/>
  <c r="B2528" i="11"/>
  <c r="B2527" i="11"/>
  <c r="B2526" i="11"/>
  <c r="B2525" i="11"/>
  <c r="B2524" i="11"/>
  <c r="B2523" i="11"/>
  <c r="B2522" i="11"/>
  <c r="B2521" i="11"/>
  <c r="B2520" i="11"/>
  <c r="B2519" i="11"/>
  <c r="B2518" i="11"/>
  <c r="B2517" i="11"/>
  <c r="B2516" i="11"/>
  <c r="B2515" i="11"/>
  <c r="B2514" i="11"/>
  <c r="B2513" i="11"/>
  <c r="B2512" i="11"/>
  <c r="B2511" i="11"/>
  <c r="B2510" i="11"/>
  <c r="B2509" i="11"/>
  <c r="B2508" i="11"/>
  <c r="B2507" i="11"/>
  <c r="B2506" i="11"/>
  <c r="B2505" i="11"/>
  <c r="B2504" i="11"/>
  <c r="B2503" i="11"/>
  <c r="B2502" i="11"/>
  <c r="B2501" i="11"/>
  <c r="B2500" i="11"/>
  <c r="B2499" i="11"/>
  <c r="B2498" i="11"/>
  <c r="B2497" i="11"/>
  <c r="B2496" i="11"/>
  <c r="B2495" i="11"/>
  <c r="B2494" i="11"/>
  <c r="B2493" i="11"/>
  <c r="B2492" i="11"/>
  <c r="B2491" i="11"/>
  <c r="B2490" i="11"/>
  <c r="B2489" i="11"/>
  <c r="B2488" i="11"/>
  <c r="B2487" i="11"/>
  <c r="B2486" i="11"/>
  <c r="B2485" i="11"/>
  <c r="B2484" i="11"/>
  <c r="B2483" i="11"/>
  <c r="B2482" i="11"/>
  <c r="B2481" i="11"/>
  <c r="B2480" i="11"/>
  <c r="B2479" i="11"/>
  <c r="B2478" i="11"/>
  <c r="B2477" i="11"/>
  <c r="B2476" i="11"/>
  <c r="B2475" i="11"/>
  <c r="B2474" i="11"/>
  <c r="B2473" i="11"/>
  <c r="B2472" i="11"/>
  <c r="B2471" i="11"/>
  <c r="B2470" i="11"/>
  <c r="B2469" i="11"/>
  <c r="B2468" i="11"/>
  <c r="B2467" i="11"/>
  <c r="B2466" i="11"/>
  <c r="B2465" i="11"/>
  <c r="B2464" i="11"/>
  <c r="B2463" i="11"/>
  <c r="B2462" i="11"/>
  <c r="B2461" i="11"/>
  <c r="B2460" i="11"/>
  <c r="B2459" i="11"/>
  <c r="B2458" i="11"/>
  <c r="B2457" i="11"/>
  <c r="B2456" i="11"/>
  <c r="B2455" i="11"/>
  <c r="B2454" i="11"/>
  <c r="B2453" i="11"/>
  <c r="B2452" i="11"/>
  <c r="B2451" i="11"/>
  <c r="B2450" i="11"/>
  <c r="B2449" i="11"/>
  <c r="B2448" i="11"/>
  <c r="B2447" i="11"/>
  <c r="B2446" i="11"/>
  <c r="B2445" i="11"/>
  <c r="B2444" i="11"/>
  <c r="B2443" i="11"/>
  <c r="B2442" i="11"/>
  <c r="B2441" i="11"/>
  <c r="B2440" i="11"/>
  <c r="B2439" i="11"/>
  <c r="B2438" i="11"/>
  <c r="B2437" i="11"/>
  <c r="B2436" i="11"/>
  <c r="B2435" i="11"/>
  <c r="B2434" i="11"/>
  <c r="B2433" i="11"/>
  <c r="B2432" i="11"/>
  <c r="B2431" i="11"/>
  <c r="B2430" i="11"/>
  <c r="B2429" i="11"/>
  <c r="B2428" i="11"/>
  <c r="B2427" i="11"/>
  <c r="B2426" i="11"/>
  <c r="B2425" i="11"/>
  <c r="B2424" i="11"/>
  <c r="B2423" i="11"/>
  <c r="B2422" i="11"/>
  <c r="B2421" i="11"/>
  <c r="B2420" i="11"/>
  <c r="B2419" i="11"/>
  <c r="B2418" i="11"/>
  <c r="B2417" i="11"/>
  <c r="B2416" i="11"/>
  <c r="B2415" i="11"/>
  <c r="B2414" i="11"/>
  <c r="B2413" i="11"/>
  <c r="B2412" i="11"/>
  <c r="B2411" i="11"/>
  <c r="B2410" i="11"/>
  <c r="B2409" i="11"/>
  <c r="B2408" i="11"/>
  <c r="B2407" i="11"/>
  <c r="B2406" i="11"/>
  <c r="B2405" i="11"/>
  <c r="B2404" i="11"/>
  <c r="B2403" i="11"/>
  <c r="B2402" i="11"/>
  <c r="B2401" i="11"/>
  <c r="B2400" i="11"/>
  <c r="B2399" i="11"/>
  <c r="B2398" i="11"/>
  <c r="B2397" i="11"/>
  <c r="B2396" i="11"/>
  <c r="B2395" i="11"/>
  <c r="B2394" i="11"/>
  <c r="B2393" i="11"/>
  <c r="B2392" i="11"/>
  <c r="B2391" i="11"/>
  <c r="B2390" i="11"/>
  <c r="B2389" i="11"/>
  <c r="B2388" i="11"/>
  <c r="B2387" i="11"/>
  <c r="B2386" i="11"/>
  <c r="B2385" i="11"/>
  <c r="B2384" i="11"/>
  <c r="B2383" i="11"/>
  <c r="B2382" i="11"/>
  <c r="B2381" i="11"/>
  <c r="B2380" i="11"/>
  <c r="B2379" i="11"/>
  <c r="B2378" i="11"/>
  <c r="B2377" i="11"/>
  <c r="B2376" i="11"/>
  <c r="B2375" i="11"/>
  <c r="B2374" i="11"/>
  <c r="B2373" i="11"/>
  <c r="B2372" i="11"/>
  <c r="B2371" i="11"/>
  <c r="B2370" i="11"/>
  <c r="B2369" i="11"/>
  <c r="B2368" i="11"/>
  <c r="B2367" i="11"/>
  <c r="B2366" i="11"/>
  <c r="B2365" i="11"/>
  <c r="B2364" i="11"/>
  <c r="B2363" i="11"/>
  <c r="B2362" i="11"/>
  <c r="B2361" i="11"/>
  <c r="B2360" i="11"/>
  <c r="B2359" i="11"/>
  <c r="B2358" i="11"/>
  <c r="B2357" i="11"/>
  <c r="B2356" i="11"/>
  <c r="B2355" i="11"/>
  <c r="B2354" i="11"/>
  <c r="B2353" i="11"/>
  <c r="B2352" i="11"/>
  <c r="B2351" i="11"/>
  <c r="B2350" i="11"/>
  <c r="B2349" i="11"/>
  <c r="B2348" i="11"/>
  <c r="B2347" i="11"/>
  <c r="B2346" i="11"/>
  <c r="B2345" i="11"/>
  <c r="B2344" i="11"/>
  <c r="B2343" i="11"/>
  <c r="B2342" i="11"/>
  <c r="B2341" i="11"/>
  <c r="B2340" i="11"/>
  <c r="B2339" i="11"/>
  <c r="B2338" i="11"/>
  <c r="B2337" i="11"/>
  <c r="B2336" i="11"/>
  <c r="B2335" i="11"/>
  <c r="B2334" i="11"/>
  <c r="B2333" i="11"/>
  <c r="B2332" i="11"/>
  <c r="B2331" i="11"/>
  <c r="B2330" i="11"/>
  <c r="B2329" i="11"/>
  <c r="B2328" i="11"/>
  <c r="B2327" i="11"/>
  <c r="B2326" i="11"/>
  <c r="B2325" i="11"/>
  <c r="B2324" i="11"/>
  <c r="B2323" i="11"/>
  <c r="B2322" i="11"/>
  <c r="B2321" i="11"/>
  <c r="B2320" i="11"/>
  <c r="B2319" i="11"/>
  <c r="B2318" i="11"/>
  <c r="B2317" i="11"/>
  <c r="B2316" i="11"/>
  <c r="B2315" i="11"/>
  <c r="B2314" i="11"/>
  <c r="B2313" i="11"/>
  <c r="B2312" i="11"/>
  <c r="B2311" i="11"/>
  <c r="B2310" i="11"/>
  <c r="B2309" i="11"/>
  <c r="B2308" i="11"/>
  <c r="B2307" i="11"/>
  <c r="B2306" i="11"/>
  <c r="B2305" i="11"/>
  <c r="B2304" i="11"/>
  <c r="B2303" i="11"/>
  <c r="B2302" i="11"/>
  <c r="B2301" i="11"/>
  <c r="B2300" i="11"/>
  <c r="B2299" i="11"/>
  <c r="B2298" i="11"/>
  <c r="B2297" i="11"/>
  <c r="B2296" i="11"/>
  <c r="B2295" i="11"/>
  <c r="B2294" i="11"/>
  <c r="B2293" i="11"/>
  <c r="B2292" i="11"/>
  <c r="B2291" i="11"/>
  <c r="B2290" i="11"/>
  <c r="B2289" i="11"/>
  <c r="B2288" i="11"/>
  <c r="B2287" i="11"/>
  <c r="B2286" i="11"/>
  <c r="B2285" i="11"/>
  <c r="B2284" i="11"/>
  <c r="B2283" i="11"/>
  <c r="B2282" i="11"/>
  <c r="B2281" i="11"/>
  <c r="B2280" i="11"/>
  <c r="B2279" i="11"/>
  <c r="B2278" i="11"/>
  <c r="B2277" i="11"/>
  <c r="B2276" i="11"/>
  <c r="B2275" i="11"/>
  <c r="B2274" i="11"/>
  <c r="B2273" i="11"/>
  <c r="B2272" i="11"/>
  <c r="B2271" i="11"/>
  <c r="B2270" i="11"/>
  <c r="B2269" i="11"/>
  <c r="B2268" i="11"/>
  <c r="B2267" i="11"/>
  <c r="B2266" i="11"/>
  <c r="B2265" i="11"/>
  <c r="B2264" i="11"/>
  <c r="B2263" i="11"/>
  <c r="B2262" i="11"/>
  <c r="B2261" i="11"/>
  <c r="B2260" i="11"/>
  <c r="B2259" i="11"/>
  <c r="B2258" i="11"/>
  <c r="B2257" i="11"/>
  <c r="B2256" i="11"/>
  <c r="B2255" i="11"/>
  <c r="B2254" i="11"/>
  <c r="B2253" i="11"/>
  <c r="B2252" i="11"/>
  <c r="B2251" i="11"/>
  <c r="B2250" i="11"/>
  <c r="B2249" i="11"/>
  <c r="B2248" i="11"/>
  <c r="B2247" i="11"/>
  <c r="B2246" i="11"/>
  <c r="B2245" i="11"/>
  <c r="B2244" i="11"/>
  <c r="B2243" i="11"/>
  <c r="B2242" i="11"/>
  <c r="B2241" i="11"/>
  <c r="B2240" i="11"/>
  <c r="B2239" i="11"/>
  <c r="B2238" i="11"/>
  <c r="B2237" i="11"/>
  <c r="B2236" i="11"/>
  <c r="B2235" i="11"/>
  <c r="B2234" i="11"/>
  <c r="B2233" i="11"/>
  <c r="B2232" i="11"/>
  <c r="B2231" i="11"/>
  <c r="B2230" i="11"/>
  <c r="B2229" i="11"/>
  <c r="B2228" i="11"/>
  <c r="B2227" i="11"/>
  <c r="B2226" i="11"/>
  <c r="B2225" i="11"/>
  <c r="B2224" i="11"/>
  <c r="B2223" i="11"/>
  <c r="B2222" i="11"/>
  <c r="B2221" i="11"/>
  <c r="B2220" i="11"/>
  <c r="B2219" i="11"/>
  <c r="B2218" i="11"/>
  <c r="B2217" i="11"/>
  <c r="B2216" i="11"/>
  <c r="B2215" i="11"/>
  <c r="B2214" i="11"/>
  <c r="B2213" i="11"/>
  <c r="B2212" i="11"/>
  <c r="B2211" i="11"/>
  <c r="B2210" i="11"/>
  <c r="B2209" i="11"/>
  <c r="B2208" i="11"/>
  <c r="B2207" i="11"/>
  <c r="B2206" i="11"/>
  <c r="B2205" i="11"/>
  <c r="B2204" i="11"/>
  <c r="B2203" i="11"/>
  <c r="B2202" i="11"/>
  <c r="B2201" i="11"/>
  <c r="B2200" i="11"/>
  <c r="B2199" i="11"/>
  <c r="B2198" i="11"/>
  <c r="B2197" i="11"/>
  <c r="B2196" i="11"/>
  <c r="B2195" i="11"/>
  <c r="B2194" i="11"/>
  <c r="B2193" i="11"/>
  <c r="B2192" i="11"/>
  <c r="B2191" i="11"/>
  <c r="B2190" i="11"/>
  <c r="B2189" i="11"/>
  <c r="B2188" i="11"/>
  <c r="B2187" i="11"/>
  <c r="B2186" i="11"/>
  <c r="B2185" i="11"/>
  <c r="B2184" i="11"/>
  <c r="B2183" i="11"/>
  <c r="B2182" i="11"/>
  <c r="B2181" i="11"/>
  <c r="B2180" i="11"/>
  <c r="B2179" i="11"/>
  <c r="B2178" i="11"/>
  <c r="B2177" i="11"/>
  <c r="B2176" i="11"/>
  <c r="B2175" i="11"/>
  <c r="B2174" i="11"/>
  <c r="B2173" i="11"/>
  <c r="B2172" i="11"/>
  <c r="B2171" i="11"/>
  <c r="B2170" i="11"/>
  <c r="B2169" i="11"/>
  <c r="B2168" i="11"/>
  <c r="B2167" i="11"/>
  <c r="B2166" i="11"/>
  <c r="B2165" i="11"/>
  <c r="B2164" i="11"/>
  <c r="B2163" i="11"/>
  <c r="B2162" i="11"/>
  <c r="B2161" i="11"/>
  <c r="B2160" i="11"/>
  <c r="B2159" i="11"/>
  <c r="B2158" i="11"/>
  <c r="B2157" i="11"/>
  <c r="B2156" i="11"/>
  <c r="B2155" i="11"/>
  <c r="B2154" i="11"/>
  <c r="B2153" i="11"/>
  <c r="B2152" i="11"/>
  <c r="B2151" i="11"/>
  <c r="B2150" i="11"/>
  <c r="B2149" i="11"/>
  <c r="B2148" i="11"/>
  <c r="B2147" i="11"/>
  <c r="B2146" i="11"/>
  <c r="B2145" i="11"/>
  <c r="B2144" i="11"/>
  <c r="B2143" i="11"/>
  <c r="B2142" i="11"/>
  <c r="B2141" i="11"/>
  <c r="B2140" i="11"/>
  <c r="B2139" i="11"/>
  <c r="B2138" i="11"/>
  <c r="B2137" i="11"/>
  <c r="B2136" i="11"/>
  <c r="B2135" i="11"/>
  <c r="B2134" i="11"/>
  <c r="B2133" i="11"/>
  <c r="B2132" i="11"/>
  <c r="B2131" i="11"/>
  <c r="B2130" i="11"/>
  <c r="B2129" i="11"/>
  <c r="B2128" i="11"/>
  <c r="B2127" i="11"/>
  <c r="B2126" i="11"/>
  <c r="B2125" i="11"/>
  <c r="B2124" i="11"/>
  <c r="B2123" i="11"/>
  <c r="B2122" i="11"/>
  <c r="B2121" i="11"/>
  <c r="B2120" i="11"/>
  <c r="B2119" i="11"/>
  <c r="B2118" i="11"/>
  <c r="B2117" i="11"/>
  <c r="B2116" i="11"/>
  <c r="B2115" i="11"/>
  <c r="B2114" i="11"/>
  <c r="B2113" i="11"/>
  <c r="B2112" i="11"/>
  <c r="B2111" i="11"/>
  <c r="B2110" i="11"/>
  <c r="B2109" i="11"/>
  <c r="B2108" i="11"/>
  <c r="B2107" i="11"/>
  <c r="B2106" i="11"/>
  <c r="B2105" i="11"/>
  <c r="B2104" i="11"/>
  <c r="B2103" i="11"/>
  <c r="B2102" i="11"/>
  <c r="B2101" i="11"/>
  <c r="B2100" i="11"/>
  <c r="B2099" i="11"/>
  <c r="B2098" i="11"/>
  <c r="B2097" i="11"/>
  <c r="B2096" i="11"/>
  <c r="B2095" i="11"/>
  <c r="B2094" i="11"/>
  <c r="B2093" i="11"/>
  <c r="B2092" i="11"/>
  <c r="B2091" i="11"/>
  <c r="B2090" i="11"/>
  <c r="B2089" i="11"/>
  <c r="B2088" i="11"/>
  <c r="B2087" i="11"/>
  <c r="B2086" i="11"/>
  <c r="B2085" i="11"/>
  <c r="B2084" i="11"/>
  <c r="B2083" i="11"/>
  <c r="B2082" i="11"/>
  <c r="B2081" i="11"/>
  <c r="B2080" i="11"/>
  <c r="B2079" i="11"/>
  <c r="B2078" i="11"/>
  <c r="B2077" i="11"/>
  <c r="B2076" i="11"/>
  <c r="B2075" i="11"/>
  <c r="B2074" i="11"/>
  <c r="B2073" i="11"/>
  <c r="B2072" i="11"/>
  <c r="B2071" i="11"/>
  <c r="B2070" i="11"/>
  <c r="B2069" i="11"/>
  <c r="B2068" i="11"/>
  <c r="B2067" i="11"/>
  <c r="B2066" i="11"/>
  <c r="B2065" i="11"/>
  <c r="B2064" i="11"/>
  <c r="B2063" i="11"/>
  <c r="B2062" i="11"/>
  <c r="B2061" i="11"/>
  <c r="B2060" i="11"/>
  <c r="B2059" i="11"/>
  <c r="B2058" i="11"/>
  <c r="B2057" i="11"/>
  <c r="B2056" i="11"/>
  <c r="B2055" i="11"/>
  <c r="B2054" i="11"/>
  <c r="B2053" i="11"/>
  <c r="B2052" i="11"/>
  <c r="B2051" i="11"/>
  <c r="B2050" i="11"/>
  <c r="B2049" i="11"/>
  <c r="B2048" i="11"/>
  <c r="B2047" i="11"/>
  <c r="B2046" i="11"/>
  <c r="B2045" i="11"/>
  <c r="B2044" i="11"/>
  <c r="B2043" i="11"/>
  <c r="B2042" i="11"/>
  <c r="B2041" i="11"/>
  <c r="B2040" i="11"/>
  <c r="B2039" i="11"/>
  <c r="B2038" i="11"/>
  <c r="B2037" i="11"/>
  <c r="B2036" i="11"/>
  <c r="B2035" i="11"/>
  <c r="B2034" i="11"/>
  <c r="B2033" i="11"/>
  <c r="B2032" i="11"/>
  <c r="B2031" i="11"/>
  <c r="B2030" i="11"/>
  <c r="B2029" i="11"/>
  <c r="B2028" i="11"/>
  <c r="B2027" i="11"/>
  <c r="B2026" i="11"/>
  <c r="B2025" i="11"/>
  <c r="B2024" i="11"/>
  <c r="B2023" i="11"/>
  <c r="B2022" i="11"/>
  <c r="B2021" i="11"/>
  <c r="B2020" i="11"/>
  <c r="B2019" i="11"/>
  <c r="B2018" i="11"/>
  <c r="B2017" i="11"/>
  <c r="B2016" i="11"/>
  <c r="B2015" i="11"/>
  <c r="B2014" i="11"/>
  <c r="B2013" i="11"/>
  <c r="B2012" i="11"/>
  <c r="B2011" i="11"/>
  <c r="B2010" i="11"/>
  <c r="B2009" i="11"/>
  <c r="B2008" i="11"/>
  <c r="B2007" i="11"/>
  <c r="B2006" i="11"/>
  <c r="B2005" i="11"/>
  <c r="B2004" i="11"/>
  <c r="B2003" i="11"/>
  <c r="B2002" i="11"/>
  <c r="B2001" i="11"/>
  <c r="B2000" i="11"/>
  <c r="B1999" i="11"/>
  <c r="B1998" i="11"/>
  <c r="B1997" i="11"/>
  <c r="B1996" i="11"/>
  <c r="B1995" i="11"/>
  <c r="B1994" i="11"/>
  <c r="B1993" i="11"/>
  <c r="B1992" i="11"/>
  <c r="B1991" i="11"/>
  <c r="B1990" i="11"/>
  <c r="B1989" i="11"/>
  <c r="B1988" i="11"/>
  <c r="B1987" i="11"/>
  <c r="B1986" i="11"/>
  <c r="B1985" i="11"/>
  <c r="B1984" i="11"/>
  <c r="B1983" i="11"/>
  <c r="B1982" i="11"/>
  <c r="B1981" i="11"/>
  <c r="B1980" i="11"/>
  <c r="B1979" i="11"/>
  <c r="B1978" i="11"/>
  <c r="B1977" i="11"/>
  <c r="B1976" i="11"/>
  <c r="B1975" i="11"/>
  <c r="B1974" i="11"/>
  <c r="B1973" i="11"/>
  <c r="B1972" i="11"/>
  <c r="B1971" i="11"/>
  <c r="B1970" i="11"/>
  <c r="B1969" i="11"/>
  <c r="B1968" i="11"/>
  <c r="B1967" i="11"/>
  <c r="B1966" i="11"/>
  <c r="B1965" i="11"/>
  <c r="B1964" i="11"/>
  <c r="B1963" i="11"/>
  <c r="B1962" i="11"/>
  <c r="B1961" i="11"/>
  <c r="B1960" i="11"/>
  <c r="B1959" i="11"/>
  <c r="B1958" i="11"/>
  <c r="B1957" i="11"/>
  <c r="B1956" i="11"/>
  <c r="B1955" i="11"/>
  <c r="B1954" i="11"/>
  <c r="B1953" i="11"/>
  <c r="B1952" i="11"/>
  <c r="B1951" i="11"/>
  <c r="B1950" i="11"/>
  <c r="B1949" i="11"/>
  <c r="B1948" i="11"/>
  <c r="B1947" i="11"/>
  <c r="B1946" i="11"/>
  <c r="B1945" i="11"/>
  <c r="B1944" i="11"/>
  <c r="B1943" i="11"/>
  <c r="B1942" i="11"/>
  <c r="B1941" i="11"/>
  <c r="B1940" i="11"/>
  <c r="B1939" i="11"/>
  <c r="B1938" i="11"/>
  <c r="B1937" i="11"/>
  <c r="B1936" i="11"/>
  <c r="B1935" i="11"/>
  <c r="B1934" i="11"/>
  <c r="B1933" i="11"/>
  <c r="B1932" i="11"/>
  <c r="B1931" i="11"/>
  <c r="B1930" i="11"/>
  <c r="B1929" i="11"/>
  <c r="B1928" i="11"/>
  <c r="B1927" i="11"/>
  <c r="B1926" i="11"/>
  <c r="B1925" i="11"/>
  <c r="B1924" i="11"/>
  <c r="B1923" i="11"/>
  <c r="B1922" i="11"/>
  <c r="B1921" i="11"/>
  <c r="B1920" i="11"/>
  <c r="B1919" i="11"/>
  <c r="B1918" i="11"/>
  <c r="B1917" i="11"/>
  <c r="B1916" i="11"/>
  <c r="B1915" i="11"/>
  <c r="B1914" i="11"/>
  <c r="B1913" i="11"/>
  <c r="B1912" i="11"/>
  <c r="B1911" i="11"/>
  <c r="B1910" i="11"/>
  <c r="B1909" i="11"/>
  <c r="B1908" i="11"/>
  <c r="B1907" i="11"/>
  <c r="B1906" i="11"/>
  <c r="B1905" i="11"/>
  <c r="B1904" i="11"/>
  <c r="B1903" i="11"/>
  <c r="B1902" i="11"/>
  <c r="B1901" i="11"/>
  <c r="B1900" i="11"/>
  <c r="B1899" i="11"/>
  <c r="B1898" i="11"/>
  <c r="B1897" i="11"/>
  <c r="B1896" i="11"/>
  <c r="B1895" i="11"/>
  <c r="B1894" i="11"/>
  <c r="B1893" i="11"/>
  <c r="B1892" i="11"/>
  <c r="B1891" i="11"/>
  <c r="B1890" i="11"/>
  <c r="B1889" i="11"/>
  <c r="B1888" i="11"/>
  <c r="B1887" i="11"/>
  <c r="B1886" i="11"/>
  <c r="B1885" i="11"/>
  <c r="B1884" i="11"/>
  <c r="B1883" i="11"/>
  <c r="B1882" i="11"/>
  <c r="B1881" i="11"/>
  <c r="B1880" i="11"/>
  <c r="B1879" i="11"/>
  <c r="B1878" i="11"/>
  <c r="B1877" i="11"/>
  <c r="B1876" i="11"/>
  <c r="B1875" i="11"/>
  <c r="B1874" i="11"/>
  <c r="B1873" i="11"/>
  <c r="B1872" i="11"/>
  <c r="B1871" i="11"/>
  <c r="B1870" i="11"/>
  <c r="B1869" i="11"/>
  <c r="B1868" i="11"/>
  <c r="B1867" i="11"/>
  <c r="B1866" i="11"/>
  <c r="B1865" i="11"/>
  <c r="B1864" i="11"/>
  <c r="B1863" i="11"/>
  <c r="B1862" i="11"/>
  <c r="B1861" i="11"/>
  <c r="B1860" i="11"/>
  <c r="B1859" i="11"/>
  <c r="B1858" i="11"/>
  <c r="B1857" i="11"/>
  <c r="B1856" i="11"/>
  <c r="B1855" i="11"/>
  <c r="B1854" i="11"/>
  <c r="B1853" i="11"/>
  <c r="B1852" i="11"/>
  <c r="B1851" i="11"/>
  <c r="B1850" i="11"/>
  <c r="B1849" i="11"/>
  <c r="B1848" i="11"/>
  <c r="B1847" i="11"/>
  <c r="B1846" i="11"/>
  <c r="B1845" i="11"/>
  <c r="B1844" i="11"/>
  <c r="B1843" i="11"/>
  <c r="B1842" i="11"/>
  <c r="B1841" i="11"/>
  <c r="B1840" i="11"/>
  <c r="B1839" i="11"/>
  <c r="B1838" i="11"/>
  <c r="B1837" i="11"/>
  <c r="B1836" i="11"/>
  <c r="B1835" i="11"/>
  <c r="B1834" i="11"/>
  <c r="B1833" i="11"/>
  <c r="B1832" i="11"/>
  <c r="B1831" i="11"/>
  <c r="B1830" i="11"/>
  <c r="B1829" i="11"/>
  <c r="B1828" i="11"/>
  <c r="B1827" i="11"/>
  <c r="B1826" i="11"/>
  <c r="B1825" i="11"/>
  <c r="B1824" i="11"/>
  <c r="B1823" i="11"/>
  <c r="B1822" i="11"/>
  <c r="B1821" i="11"/>
  <c r="B1820" i="11"/>
  <c r="B1819" i="11"/>
  <c r="B1818" i="11"/>
  <c r="B1817" i="11"/>
  <c r="B1816" i="11"/>
  <c r="B1815" i="11"/>
  <c r="B1814" i="11"/>
  <c r="B1813" i="11"/>
  <c r="B1812" i="11"/>
  <c r="B1811" i="11"/>
  <c r="B1810" i="11"/>
  <c r="B1809" i="11"/>
  <c r="B1808" i="11"/>
  <c r="B1807" i="11"/>
  <c r="B1806" i="11"/>
  <c r="B1805" i="11"/>
  <c r="B1804" i="11"/>
  <c r="B1803" i="11"/>
  <c r="B1802" i="11"/>
  <c r="B1801" i="11"/>
  <c r="B1800" i="11"/>
  <c r="B1799" i="11"/>
  <c r="B1798" i="11"/>
  <c r="B1797" i="11"/>
  <c r="B1796" i="11"/>
  <c r="B1795" i="11"/>
  <c r="B1794" i="11"/>
  <c r="B1793" i="11"/>
  <c r="B1792" i="11"/>
  <c r="B1791" i="11"/>
  <c r="B1790" i="11"/>
  <c r="B1789" i="11"/>
  <c r="B1788" i="11"/>
  <c r="B1787" i="11"/>
  <c r="B1786" i="11"/>
  <c r="B1785" i="11"/>
  <c r="B1784" i="11"/>
  <c r="B1783" i="11"/>
  <c r="B1782" i="11"/>
  <c r="B1781" i="11"/>
  <c r="B1780" i="11"/>
  <c r="B1779" i="11"/>
  <c r="B1778" i="11"/>
  <c r="B1777" i="11"/>
  <c r="B1776" i="11"/>
  <c r="B1775" i="11"/>
  <c r="B1774" i="11"/>
  <c r="B1773" i="11"/>
  <c r="B1772" i="11"/>
  <c r="B1771" i="11"/>
  <c r="B1770" i="11"/>
  <c r="B1769" i="11"/>
  <c r="B1768" i="11"/>
  <c r="B1767" i="11"/>
  <c r="B1766" i="11"/>
  <c r="B1765" i="11"/>
  <c r="B1764" i="11"/>
  <c r="B1763" i="11"/>
  <c r="B1762" i="11"/>
  <c r="B1761" i="11"/>
  <c r="B1760" i="11"/>
  <c r="B1759" i="11"/>
  <c r="B1758" i="11"/>
  <c r="B1757" i="11"/>
  <c r="B1756" i="11"/>
  <c r="B1755" i="11"/>
  <c r="B1754" i="11"/>
  <c r="B1753" i="11"/>
  <c r="B1752" i="11"/>
  <c r="B1751" i="11"/>
  <c r="B1750" i="11"/>
  <c r="B1749" i="11"/>
  <c r="B1748" i="11"/>
  <c r="B1747" i="11"/>
  <c r="B1746" i="11"/>
  <c r="B1745" i="11"/>
  <c r="B1744" i="11"/>
  <c r="B1743" i="11"/>
  <c r="B1742" i="11"/>
  <c r="B1741" i="11"/>
  <c r="B1740" i="11"/>
  <c r="B1739" i="11"/>
  <c r="B1738" i="11"/>
  <c r="B1737" i="11"/>
  <c r="B1736" i="11"/>
  <c r="B1735" i="11"/>
  <c r="B1734" i="11"/>
  <c r="B1733" i="11"/>
  <c r="B1732" i="11"/>
  <c r="B1731" i="11"/>
  <c r="B1730" i="11"/>
  <c r="B1729" i="11"/>
  <c r="B1728" i="11"/>
  <c r="B1727" i="11"/>
  <c r="B1726" i="11"/>
  <c r="B1725" i="11"/>
  <c r="B1724" i="11"/>
  <c r="B1723" i="11"/>
  <c r="B1722" i="11"/>
  <c r="B1721" i="11"/>
  <c r="B1720" i="11"/>
  <c r="B1719" i="11"/>
  <c r="B1718" i="11"/>
  <c r="B1717" i="11"/>
  <c r="B1716" i="11"/>
  <c r="B1715" i="11"/>
  <c r="B1714" i="11"/>
  <c r="B1713" i="11"/>
  <c r="B1712" i="11"/>
  <c r="B1711" i="11"/>
  <c r="B1710" i="11"/>
  <c r="B1709" i="11"/>
  <c r="B1708" i="11"/>
  <c r="B1707" i="11"/>
  <c r="B1706" i="11"/>
  <c r="B1705" i="11"/>
  <c r="B1704" i="11"/>
  <c r="B1703" i="11"/>
  <c r="B1702" i="11"/>
  <c r="B1701" i="11"/>
  <c r="B1700" i="11"/>
  <c r="B1699" i="11"/>
  <c r="B1698" i="11"/>
  <c r="B1697" i="11"/>
  <c r="B1696" i="11"/>
  <c r="B1695" i="11"/>
  <c r="B1694" i="11"/>
  <c r="B1693" i="11"/>
  <c r="B1692" i="11"/>
  <c r="B1691" i="11"/>
  <c r="B1690" i="11"/>
  <c r="B1689" i="11"/>
  <c r="B1688" i="11"/>
  <c r="B1687" i="11"/>
  <c r="B1686" i="11"/>
  <c r="B1685" i="11"/>
  <c r="B1684" i="11"/>
  <c r="B1683" i="11"/>
  <c r="B1682" i="11"/>
  <c r="B1681" i="11"/>
  <c r="B1680" i="11"/>
  <c r="B1679" i="11"/>
  <c r="B1678" i="11"/>
  <c r="B1677" i="11"/>
  <c r="B1676" i="11"/>
  <c r="B1675" i="11"/>
  <c r="B1674" i="11"/>
  <c r="B1673" i="11"/>
  <c r="B1672" i="11"/>
  <c r="B1671" i="11"/>
  <c r="B1670" i="11"/>
  <c r="B1669" i="11"/>
  <c r="B1668" i="11"/>
  <c r="B1667" i="11"/>
  <c r="B1666" i="11"/>
  <c r="B1665" i="11"/>
  <c r="B1664" i="11"/>
  <c r="B1663" i="11"/>
  <c r="B1662" i="11"/>
  <c r="B1661" i="11"/>
  <c r="B1660" i="11"/>
  <c r="B1659" i="11"/>
  <c r="B1658" i="11"/>
  <c r="B1657" i="11"/>
  <c r="B1656" i="11"/>
  <c r="B1655" i="11"/>
  <c r="B1654" i="11"/>
  <c r="B1653" i="11"/>
  <c r="B1652" i="11"/>
  <c r="B1651" i="11"/>
  <c r="B1650" i="11"/>
  <c r="B1649" i="11"/>
  <c r="B1648" i="11"/>
  <c r="B1647" i="11"/>
  <c r="B1646" i="11"/>
  <c r="B1645" i="11"/>
  <c r="B1644" i="11"/>
  <c r="B1643" i="11"/>
  <c r="B1642" i="11"/>
  <c r="B1641" i="11"/>
  <c r="B1640" i="11"/>
  <c r="B1639" i="11"/>
  <c r="B1638" i="11"/>
  <c r="B1637" i="11"/>
  <c r="B1636" i="11"/>
  <c r="B1635" i="11"/>
  <c r="B1634" i="11"/>
  <c r="B1633" i="11"/>
  <c r="B1632" i="11"/>
  <c r="B1631" i="11"/>
  <c r="B1630" i="11"/>
  <c r="B1629" i="11"/>
  <c r="B1628" i="11"/>
  <c r="B1627" i="11"/>
  <c r="B1626" i="11"/>
  <c r="B1625" i="11"/>
  <c r="B1624" i="11"/>
  <c r="B1623" i="11"/>
  <c r="B1622" i="11"/>
  <c r="B1621" i="11"/>
  <c r="B1620" i="11"/>
  <c r="B1619" i="11"/>
  <c r="B1618" i="11"/>
  <c r="B1617" i="11"/>
  <c r="B1616" i="11"/>
  <c r="B1615" i="11"/>
  <c r="B1614" i="11"/>
  <c r="B1613" i="11"/>
  <c r="B1612" i="11"/>
  <c r="B1611" i="11"/>
  <c r="B1610" i="11"/>
  <c r="B1609" i="11"/>
  <c r="B1608" i="11"/>
  <c r="B1607" i="11"/>
  <c r="B1606" i="11"/>
  <c r="B1605" i="11"/>
  <c r="B1604" i="11"/>
  <c r="B1603" i="11"/>
  <c r="B1602" i="11"/>
  <c r="B1601" i="11"/>
  <c r="B1600" i="11"/>
  <c r="B1599" i="11"/>
  <c r="B1598" i="11"/>
  <c r="B1597" i="11"/>
  <c r="B1596" i="11"/>
  <c r="B1595" i="11"/>
  <c r="B1594" i="11"/>
  <c r="B1593" i="11"/>
  <c r="B1592" i="11"/>
  <c r="B1591" i="11"/>
  <c r="B1590" i="11"/>
  <c r="B1589" i="11"/>
  <c r="B1588" i="11"/>
  <c r="B1587" i="11"/>
  <c r="B1586" i="11"/>
  <c r="B1585" i="11"/>
  <c r="B1584" i="11"/>
  <c r="B1583" i="11"/>
  <c r="B1582" i="11"/>
  <c r="B1581" i="11"/>
  <c r="B1580" i="11"/>
  <c r="B1579" i="11"/>
  <c r="B1578" i="11"/>
  <c r="B1577" i="11"/>
  <c r="B1576" i="11"/>
  <c r="B1575" i="11"/>
  <c r="B1574" i="11"/>
  <c r="B1573" i="11"/>
  <c r="B1572" i="11"/>
  <c r="B1571" i="11"/>
  <c r="B1570" i="11"/>
  <c r="B1569" i="11"/>
  <c r="B1568" i="11"/>
  <c r="B1567" i="11"/>
  <c r="B1566" i="11"/>
  <c r="B1565" i="11"/>
  <c r="B1564" i="11"/>
  <c r="B1563" i="11"/>
  <c r="B1562" i="11"/>
  <c r="B1561" i="11"/>
  <c r="B1560" i="11"/>
  <c r="B1559" i="11"/>
  <c r="B1558" i="11"/>
  <c r="B1557" i="11"/>
  <c r="B1556" i="11"/>
  <c r="B1555" i="11"/>
  <c r="B1554" i="11"/>
  <c r="B1553" i="11"/>
  <c r="B1552" i="11"/>
  <c r="B1551" i="11"/>
  <c r="B1550" i="11"/>
  <c r="B1549" i="11"/>
  <c r="B1548" i="11"/>
  <c r="B1547" i="11"/>
  <c r="B1546" i="11"/>
  <c r="B1545" i="11"/>
  <c r="B1544" i="11"/>
  <c r="B1543" i="11"/>
  <c r="B1542" i="11"/>
  <c r="B1541" i="11"/>
  <c r="B1540" i="11"/>
  <c r="B1539" i="11"/>
  <c r="B1538" i="11"/>
  <c r="B1537" i="11"/>
  <c r="B1536" i="11"/>
  <c r="B1535" i="11"/>
  <c r="B1534" i="11"/>
  <c r="B1533" i="11"/>
  <c r="B1532" i="11"/>
  <c r="B1531" i="11"/>
  <c r="B1530" i="11"/>
  <c r="B1529" i="11"/>
  <c r="B1528" i="11"/>
  <c r="B1527" i="11"/>
  <c r="B1526" i="11"/>
  <c r="B1525" i="11"/>
  <c r="B1524" i="11"/>
  <c r="B1523" i="11"/>
  <c r="B1522" i="11"/>
  <c r="B1521" i="11"/>
  <c r="B1520" i="11"/>
  <c r="B1519" i="11"/>
  <c r="B1518" i="11"/>
  <c r="B1517" i="11"/>
  <c r="B1516" i="11"/>
  <c r="B1515" i="11"/>
  <c r="B1514" i="11"/>
  <c r="B1513" i="11"/>
  <c r="B1512" i="11"/>
  <c r="B1511" i="11"/>
  <c r="B1510" i="11"/>
  <c r="B1509" i="11"/>
  <c r="B1508" i="11"/>
  <c r="B1507" i="11"/>
  <c r="B1506" i="11"/>
  <c r="B1505" i="11"/>
  <c r="B1504" i="11"/>
  <c r="B1503" i="11"/>
  <c r="B1502" i="11"/>
  <c r="B1501" i="11"/>
  <c r="B1500" i="11"/>
  <c r="B1499" i="11"/>
  <c r="B1498" i="11"/>
  <c r="B1497" i="11"/>
  <c r="B1496" i="11"/>
  <c r="B1495" i="11"/>
  <c r="B1494" i="11"/>
  <c r="B1493" i="11"/>
  <c r="B1492" i="11"/>
  <c r="B1491" i="11"/>
  <c r="B1490" i="11"/>
  <c r="B1489" i="11"/>
  <c r="B1488" i="11"/>
  <c r="B1487" i="11"/>
  <c r="B1486" i="11"/>
  <c r="B1485" i="11"/>
  <c r="B1484" i="11"/>
  <c r="B1483" i="11"/>
  <c r="B1482" i="11"/>
  <c r="B1481" i="11"/>
  <c r="B1480" i="11"/>
  <c r="B1479" i="11"/>
  <c r="B1478" i="11"/>
  <c r="B1477" i="11"/>
  <c r="B1476" i="11"/>
  <c r="B1475" i="11"/>
  <c r="B1474" i="11"/>
  <c r="B1473" i="11"/>
  <c r="B1472" i="11"/>
  <c r="B1471" i="11"/>
  <c r="B1470" i="11"/>
  <c r="B1469" i="11"/>
  <c r="B1468" i="11"/>
  <c r="B1467" i="11"/>
  <c r="B1466" i="11"/>
  <c r="B1465" i="11"/>
  <c r="B1464" i="11"/>
  <c r="B1463" i="11"/>
  <c r="B1462" i="11"/>
  <c r="B1461" i="11"/>
  <c r="B1460" i="11"/>
  <c r="B1459" i="11"/>
  <c r="B1458" i="11"/>
  <c r="B1457" i="11"/>
  <c r="B1456" i="11"/>
  <c r="B1455" i="11"/>
  <c r="B1454" i="11"/>
  <c r="B1453" i="11"/>
  <c r="B1452" i="11"/>
  <c r="B1451" i="11"/>
  <c r="B1450" i="11"/>
  <c r="B1449" i="11"/>
  <c r="B1448" i="11"/>
  <c r="B1447" i="11"/>
  <c r="B1446" i="11"/>
  <c r="B1445" i="11"/>
  <c r="B1444" i="11"/>
  <c r="B1443" i="11"/>
  <c r="B1442" i="11"/>
  <c r="B1441" i="11"/>
  <c r="B1440" i="11"/>
  <c r="B1439" i="11"/>
  <c r="B1438" i="11"/>
  <c r="B1437" i="11"/>
  <c r="B1436" i="11"/>
  <c r="B1435" i="11"/>
  <c r="B1434" i="11"/>
  <c r="B1433" i="11"/>
  <c r="B1432" i="11"/>
  <c r="B1431" i="11"/>
  <c r="B1430" i="11"/>
  <c r="B1429" i="11"/>
  <c r="B1428" i="11"/>
  <c r="B1427" i="11"/>
  <c r="B1426" i="11"/>
  <c r="B1425" i="11"/>
  <c r="B1424" i="11"/>
  <c r="B1423" i="11"/>
  <c r="B1422" i="11"/>
  <c r="B1421" i="11"/>
  <c r="B1420" i="11"/>
  <c r="B1419" i="11"/>
  <c r="B1418" i="11"/>
  <c r="B1417" i="11"/>
  <c r="B1416" i="11"/>
  <c r="B1415" i="11"/>
  <c r="B1414" i="11"/>
  <c r="B1413" i="11"/>
  <c r="B1412" i="11"/>
  <c r="B1411" i="11"/>
  <c r="B1410" i="11"/>
  <c r="B1409" i="11"/>
  <c r="B1408" i="11"/>
  <c r="B1407" i="11"/>
  <c r="B1406" i="11"/>
  <c r="B1405" i="11"/>
  <c r="B1404" i="11"/>
  <c r="B1403" i="11"/>
  <c r="B1402" i="11"/>
  <c r="B1401" i="11"/>
  <c r="B1400" i="11"/>
  <c r="B1399" i="11"/>
  <c r="B1398" i="11"/>
  <c r="B1397" i="11"/>
  <c r="B1396" i="11"/>
  <c r="B1395" i="11"/>
  <c r="B1394" i="11"/>
  <c r="B1393" i="11"/>
  <c r="B1392" i="11"/>
  <c r="B1391" i="11"/>
  <c r="B1390" i="11"/>
  <c r="B1389" i="11"/>
  <c r="B1388" i="11"/>
  <c r="B1387" i="11"/>
  <c r="B1386" i="11"/>
  <c r="B1385" i="11"/>
  <c r="B1384" i="11"/>
  <c r="B1383" i="11"/>
  <c r="B1382" i="11"/>
  <c r="B1381" i="11"/>
  <c r="B1380" i="11"/>
  <c r="B1379" i="11"/>
  <c r="B1378" i="11"/>
  <c r="B1377" i="11"/>
  <c r="B1376" i="11"/>
  <c r="B1375" i="11"/>
  <c r="B1374" i="11"/>
  <c r="B1373" i="11"/>
  <c r="B1372" i="11"/>
  <c r="B1371" i="11"/>
  <c r="B1370" i="11"/>
  <c r="B1369" i="11"/>
  <c r="B1368" i="11"/>
  <c r="B1367" i="11"/>
  <c r="B1366" i="11"/>
  <c r="B1365" i="11"/>
  <c r="B1364" i="11"/>
  <c r="B1363" i="11"/>
  <c r="B1362" i="11"/>
  <c r="B1361" i="11"/>
  <c r="B1360" i="11"/>
  <c r="B1359" i="11"/>
  <c r="B1358" i="11"/>
  <c r="B1357" i="11"/>
  <c r="B1356" i="11"/>
  <c r="B1355" i="11"/>
  <c r="B1354" i="11"/>
  <c r="B1353" i="11"/>
  <c r="B1352" i="11"/>
  <c r="B1351" i="11"/>
  <c r="B1350" i="11"/>
  <c r="B1349" i="11"/>
  <c r="B1348" i="11"/>
  <c r="B1347" i="11"/>
  <c r="B1346" i="11"/>
  <c r="B1345" i="11"/>
  <c r="B1344" i="11"/>
  <c r="B1343" i="11"/>
  <c r="B1342" i="11"/>
  <c r="B1341" i="11"/>
  <c r="B1340" i="11"/>
  <c r="B1339" i="11"/>
  <c r="B1338" i="11"/>
  <c r="B1337" i="11"/>
  <c r="B1336" i="11"/>
  <c r="B1335" i="11"/>
  <c r="B1334" i="11"/>
  <c r="B1333" i="11"/>
  <c r="B1332" i="11"/>
  <c r="B1331" i="11"/>
  <c r="B1330" i="11"/>
  <c r="B1329" i="11"/>
  <c r="B1328" i="11"/>
  <c r="B1327" i="11"/>
  <c r="B1326" i="11"/>
  <c r="B1325" i="11"/>
  <c r="B1324" i="11"/>
  <c r="B1323" i="11"/>
  <c r="B1322" i="11"/>
  <c r="B1321" i="11"/>
  <c r="B1320" i="11"/>
  <c r="B1319" i="11"/>
  <c r="B1318" i="11"/>
  <c r="B1317" i="11"/>
  <c r="B1316" i="11"/>
  <c r="B1315" i="11"/>
  <c r="B1314" i="11"/>
  <c r="B1313" i="11"/>
  <c r="B1312" i="11"/>
  <c r="B1311" i="11"/>
  <c r="B1310" i="11"/>
  <c r="B1309" i="11"/>
  <c r="B1308" i="11"/>
  <c r="B1307" i="11"/>
  <c r="B1306" i="11"/>
  <c r="B1305" i="11"/>
  <c r="B1304" i="11"/>
  <c r="B1303" i="11"/>
  <c r="B1302" i="11"/>
  <c r="B1301" i="11"/>
  <c r="B1300" i="11"/>
  <c r="B1299" i="11"/>
  <c r="B1298" i="11"/>
  <c r="B1297" i="11"/>
  <c r="B1296" i="11"/>
  <c r="B1295" i="11"/>
  <c r="B1294" i="11"/>
  <c r="B1293" i="11"/>
  <c r="B1292" i="11"/>
  <c r="B1291" i="11"/>
  <c r="B1290" i="11"/>
  <c r="B1289" i="11"/>
  <c r="B1288" i="11"/>
  <c r="B1287" i="11"/>
  <c r="B1286" i="11"/>
  <c r="B1285" i="11"/>
  <c r="B1284" i="11"/>
  <c r="B1283" i="11"/>
  <c r="B1282" i="11"/>
  <c r="B1281" i="11"/>
  <c r="B1280" i="11"/>
  <c r="B1279" i="11"/>
  <c r="B1278" i="11"/>
  <c r="B1277" i="11"/>
  <c r="B1276" i="11"/>
  <c r="B1275" i="11"/>
  <c r="B1274" i="11"/>
  <c r="B1273" i="11"/>
  <c r="B1272" i="11"/>
  <c r="B1271" i="11"/>
  <c r="B1270" i="11"/>
  <c r="B1269" i="11"/>
  <c r="B1268" i="11"/>
  <c r="B1267" i="11"/>
  <c r="B1266" i="11"/>
  <c r="B1265" i="11"/>
  <c r="B1264" i="11"/>
  <c r="B1263" i="11"/>
  <c r="B1262" i="11"/>
  <c r="B1261" i="11"/>
  <c r="B1260" i="11"/>
  <c r="B1259" i="11"/>
  <c r="B1258" i="11"/>
  <c r="B1257" i="11"/>
  <c r="B1256" i="11"/>
  <c r="B1255" i="11"/>
  <c r="B1254" i="11"/>
  <c r="B1253" i="11"/>
  <c r="B1252" i="11"/>
  <c r="B1251" i="11"/>
  <c r="B1250" i="11"/>
  <c r="B1249" i="11"/>
  <c r="B1248" i="11"/>
  <c r="B1247" i="11"/>
  <c r="B1246" i="11"/>
  <c r="B1245" i="11"/>
  <c r="B1244" i="11"/>
  <c r="B1243" i="11"/>
  <c r="B1242" i="11"/>
  <c r="B1241" i="11"/>
  <c r="B1240" i="11"/>
  <c r="B1239" i="11"/>
  <c r="B1238" i="11"/>
  <c r="B1237" i="11"/>
  <c r="B1236" i="11"/>
  <c r="B1235" i="11"/>
  <c r="B1234" i="11"/>
  <c r="B1233" i="11"/>
  <c r="B1232" i="11"/>
  <c r="B1231" i="11"/>
  <c r="B1230" i="11"/>
  <c r="B1229" i="11"/>
  <c r="B1228" i="11"/>
  <c r="B1227" i="11"/>
  <c r="B1226" i="11"/>
  <c r="B1225" i="11"/>
  <c r="B1224" i="11"/>
  <c r="B1223" i="11"/>
  <c r="B1222" i="11"/>
  <c r="B1221" i="11"/>
  <c r="B1220" i="11"/>
  <c r="B1219" i="11"/>
  <c r="B1218" i="11"/>
  <c r="B1217" i="11"/>
  <c r="B1216" i="11"/>
  <c r="B1215" i="11"/>
  <c r="B1214" i="11"/>
  <c r="B1213" i="11"/>
  <c r="B1212" i="11"/>
  <c r="B1211" i="11"/>
  <c r="B1210" i="11"/>
  <c r="B1209" i="11"/>
  <c r="B1208" i="11"/>
  <c r="B1207" i="11"/>
  <c r="B1206" i="11"/>
  <c r="B1205" i="11"/>
  <c r="B1204" i="11"/>
  <c r="B1203" i="11"/>
  <c r="B1202" i="11"/>
  <c r="B1201" i="11"/>
  <c r="B1200" i="11"/>
  <c r="B1199" i="11"/>
  <c r="B1198" i="11"/>
  <c r="B1197" i="11"/>
  <c r="B1196" i="11"/>
  <c r="B1195" i="11"/>
  <c r="B1194" i="11"/>
  <c r="B1193" i="11"/>
  <c r="B1192" i="11"/>
  <c r="B1191" i="11"/>
  <c r="B1190" i="11"/>
  <c r="B1189" i="11"/>
  <c r="B1188" i="11"/>
  <c r="B1187" i="11"/>
  <c r="B1186" i="11"/>
  <c r="B1185" i="11"/>
  <c r="B1184" i="11"/>
  <c r="B1183" i="11"/>
  <c r="B1182" i="11"/>
  <c r="B1181" i="11"/>
  <c r="B1180" i="11"/>
  <c r="B1179" i="11"/>
  <c r="B1178" i="11"/>
  <c r="B1177" i="11"/>
  <c r="B1176" i="11"/>
  <c r="B1175" i="11"/>
  <c r="B1174" i="11"/>
  <c r="B1173" i="11"/>
  <c r="B1172" i="11"/>
  <c r="B1171" i="11"/>
  <c r="B1170" i="11"/>
  <c r="B1169" i="11"/>
  <c r="B1168" i="11"/>
  <c r="B1167" i="11"/>
  <c r="B1166" i="11"/>
  <c r="B1165" i="11"/>
  <c r="B1164" i="11"/>
  <c r="B1163" i="11"/>
  <c r="B1162" i="11"/>
  <c r="B1161" i="11"/>
  <c r="B1160" i="11"/>
  <c r="B1159" i="11"/>
  <c r="B1158" i="11"/>
  <c r="B1157" i="11"/>
  <c r="B1156" i="11"/>
  <c r="B1155" i="11"/>
  <c r="B1154" i="11"/>
  <c r="B1153" i="11"/>
  <c r="B1152" i="11"/>
  <c r="B1151" i="11"/>
  <c r="B1150" i="11"/>
  <c r="B1149" i="11"/>
  <c r="B1148" i="11"/>
  <c r="B1147" i="11"/>
  <c r="B1146" i="11"/>
  <c r="B1145" i="11"/>
  <c r="B1144" i="11"/>
  <c r="B1143" i="11"/>
  <c r="B1142" i="11"/>
  <c r="B1141" i="11"/>
  <c r="B1140" i="11"/>
  <c r="B1139" i="11"/>
  <c r="B1138" i="11"/>
  <c r="B1137" i="11"/>
  <c r="B1136" i="11"/>
  <c r="B1135" i="11"/>
  <c r="B1134" i="11"/>
  <c r="B1133" i="11"/>
  <c r="B1132" i="11"/>
  <c r="B1131" i="11"/>
  <c r="B1130" i="11"/>
  <c r="B1129" i="11"/>
  <c r="B1128" i="11"/>
  <c r="B1127" i="11"/>
  <c r="B1126" i="11"/>
  <c r="B1125" i="11"/>
  <c r="B1124" i="11"/>
  <c r="B1123" i="11"/>
  <c r="B1122" i="11"/>
  <c r="B1121" i="11"/>
  <c r="B1120" i="11"/>
  <c r="B1119" i="11"/>
  <c r="B1118" i="11"/>
  <c r="B1117" i="11"/>
  <c r="B1116" i="11"/>
  <c r="B1115" i="11"/>
  <c r="B1114" i="11"/>
  <c r="B1113" i="11"/>
  <c r="B1112" i="11"/>
  <c r="B1111" i="11"/>
  <c r="B1110" i="11"/>
  <c r="B1109" i="11"/>
  <c r="B1108" i="11"/>
  <c r="B1107" i="11"/>
  <c r="B1106" i="11"/>
  <c r="B1105" i="11"/>
  <c r="B1104" i="11"/>
  <c r="B1103" i="11"/>
  <c r="B1102" i="11"/>
  <c r="B1101" i="11"/>
  <c r="B1100" i="11"/>
  <c r="B1099" i="11"/>
  <c r="B1098" i="11"/>
  <c r="B1097" i="11"/>
  <c r="B1096" i="11"/>
  <c r="B1095" i="11"/>
  <c r="B1094" i="11"/>
  <c r="B1093" i="11"/>
  <c r="B1092" i="11"/>
  <c r="B1091" i="11"/>
  <c r="B1090" i="11"/>
  <c r="B1089" i="11"/>
  <c r="B1088" i="11"/>
  <c r="B1087" i="11"/>
  <c r="B1086" i="11"/>
  <c r="B1085" i="11"/>
  <c r="B1084" i="11"/>
  <c r="B1083" i="11"/>
  <c r="B1082" i="11"/>
  <c r="B1081" i="11"/>
  <c r="B1080" i="11"/>
  <c r="B1079" i="11"/>
  <c r="B1078" i="11"/>
  <c r="B1077" i="11"/>
  <c r="B1076" i="11"/>
  <c r="B1075" i="11"/>
  <c r="B1074" i="11"/>
  <c r="B1073" i="11"/>
  <c r="B1072" i="11"/>
  <c r="B1071" i="11"/>
  <c r="B1070" i="11"/>
  <c r="B1069" i="11"/>
  <c r="B1068" i="11"/>
  <c r="B1067" i="11"/>
  <c r="B1066" i="11"/>
  <c r="B1065" i="11"/>
  <c r="B1064" i="11"/>
  <c r="B1063" i="11"/>
  <c r="B1062" i="11"/>
  <c r="B1061" i="11"/>
  <c r="B1060" i="11"/>
  <c r="B1059" i="11"/>
  <c r="B1058" i="11"/>
  <c r="B1057" i="11"/>
  <c r="B1056" i="11"/>
  <c r="B1055" i="11"/>
  <c r="B1054" i="11"/>
  <c r="B1053" i="11"/>
  <c r="B1052" i="11"/>
  <c r="B1051" i="11"/>
  <c r="B1050" i="11"/>
  <c r="B1049" i="11"/>
  <c r="B1048" i="11"/>
  <c r="B1047" i="11"/>
  <c r="B1046" i="11"/>
  <c r="B1045" i="11"/>
  <c r="B1044" i="11"/>
  <c r="B1043" i="11"/>
  <c r="B1042" i="11"/>
  <c r="B1041" i="11"/>
  <c r="B1040" i="11"/>
  <c r="B1039" i="11"/>
  <c r="B1038" i="11"/>
  <c r="B1037" i="11"/>
  <c r="B1036" i="11"/>
  <c r="B1035" i="11"/>
  <c r="B1034" i="11"/>
  <c r="B1033" i="11"/>
  <c r="B1032" i="11"/>
  <c r="B1031" i="11"/>
  <c r="B1030" i="11"/>
  <c r="B1029" i="11"/>
  <c r="B1028" i="11"/>
  <c r="B1027" i="11"/>
  <c r="B1026" i="11"/>
  <c r="B1025" i="11"/>
  <c r="B1024" i="11"/>
  <c r="B1023" i="11"/>
  <c r="B1022" i="11"/>
  <c r="B1021" i="11"/>
  <c r="B1020" i="11"/>
  <c r="B1019" i="11"/>
  <c r="B1018" i="11"/>
  <c r="B1017" i="11"/>
  <c r="B1016" i="11"/>
  <c r="B1015" i="11"/>
  <c r="B1014" i="11"/>
  <c r="B1013" i="11"/>
  <c r="B1012" i="11"/>
  <c r="B1011" i="11"/>
  <c r="B1010" i="11"/>
  <c r="B1009" i="11"/>
  <c r="B1008" i="11"/>
  <c r="B1007" i="11"/>
  <c r="B1006" i="11"/>
  <c r="B1005" i="11"/>
  <c r="B1004" i="11"/>
  <c r="B1003" i="11"/>
  <c r="B1002" i="11"/>
  <c r="B1001" i="11"/>
  <c r="B1000" i="11"/>
  <c r="B999" i="11"/>
  <c r="B998" i="11"/>
  <c r="B997" i="11"/>
  <c r="B996" i="11"/>
  <c r="B995" i="11"/>
  <c r="B994" i="11"/>
  <c r="B993" i="11"/>
  <c r="B992" i="11"/>
  <c r="B991" i="11"/>
  <c r="B990" i="11"/>
  <c r="B989" i="11"/>
  <c r="B988" i="11"/>
  <c r="B987" i="11"/>
  <c r="B986" i="11"/>
  <c r="B985" i="11"/>
  <c r="B984" i="11"/>
  <c r="B983" i="11"/>
  <c r="B982" i="11"/>
  <c r="B981" i="11"/>
  <c r="B980" i="11"/>
  <c r="B979" i="11"/>
  <c r="B978" i="11"/>
  <c r="B977" i="11"/>
  <c r="B976" i="11"/>
  <c r="B975" i="11"/>
  <c r="B974" i="11"/>
  <c r="B973" i="11"/>
  <c r="B972" i="11"/>
  <c r="B971" i="11"/>
  <c r="B970" i="11"/>
  <c r="B969" i="11"/>
  <c r="B968" i="11"/>
  <c r="B967" i="11"/>
  <c r="B966" i="11"/>
  <c r="B965" i="11"/>
  <c r="B964" i="11"/>
  <c r="B963" i="11"/>
  <c r="B962" i="11"/>
  <c r="B961" i="11"/>
  <c r="B960" i="11"/>
  <c r="B959" i="11"/>
  <c r="B958" i="11"/>
  <c r="B957" i="11"/>
  <c r="B956" i="11"/>
  <c r="B955" i="11"/>
  <c r="B954" i="11"/>
  <c r="B953" i="11"/>
  <c r="B952" i="11"/>
  <c r="B951" i="11"/>
  <c r="B950" i="11"/>
  <c r="B949" i="11"/>
  <c r="B948" i="11"/>
  <c r="B947" i="11"/>
  <c r="B946" i="11"/>
  <c r="B945" i="11"/>
  <c r="B944" i="11"/>
  <c r="B943" i="11"/>
  <c r="B942" i="11"/>
  <c r="B941" i="11"/>
  <c r="B940" i="11"/>
  <c r="B939" i="11"/>
  <c r="B938" i="11"/>
  <c r="B937" i="11"/>
  <c r="B936" i="11"/>
  <c r="B935" i="11"/>
  <c r="B934" i="11"/>
  <c r="B933" i="11"/>
  <c r="B932" i="11"/>
  <c r="B931" i="11"/>
  <c r="B930" i="11"/>
  <c r="B929" i="11"/>
  <c r="B928" i="11"/>
  <c r="B927" i="11"/>
  <c r="B926" i="11"/>
  <c r="B925" i="11"/>
  <c r="B924" i="11"/>
  <c r="B923" i="11"/>
  <c r="B922" i="11"/>
  <c r="B921" i="11"/>
  <c r="B920" i="11"/>
  <c r="B919" i="11"/>
  <c r="B918" i="11"/>
  <c r="B917" i="11"/>
  <c r="B916" i="11"/>
  <c r="B915" i="11"/>
  <c r="B914" i="11"/>
  <c r="B913" i="11"/>
  <c r="B912" i="11"/>
  <c r="B911" i="11"/>
  <c r="B910" i="11"/>
  <c r="B909" i="11"/>
  <c r="B908" i="11"/>
  <c r="B907" i="11"/>
  <c r="B906" i="11"/>
  <c r="B905" i="11"/>
  <c r="B904" i="11"/>
  <c r="B903" i="11"/>
  <c r="B902" i="11"/>
  <c r="B901" i="11"/>
  <c r="B900" i="11"/>
  <c r="B899" i="11"/>
  <c r="B898" i="11"/>
  <c r="B897" i="11"/>
  <c r="B896" i="11"/>
  <c r="B895" i="11"/>
  <c r="B894" i="11"/>
  <c r="B893" i="11"/>
  <c r="B892" i="11"/>
  <c r="B891" i="11"/>
  <c r="B890" i="11"/>
  <c r="B889" i="11"/>
  <c r="B888" i="11"/>
  <c r="B887" i="11"/>
  <c r="B886" i="11"/>
  <c r="B885" i="11"/>
  <c r="B884" i="11"/>
  <c r="B883" i="11"/>
  <c r="B882" i="11"/>
  <c r="B881" i="11"/>
  <c r="B880" i="11"/>
  <c r="B879" i="11"/>
  <c r="B878" i="11"/>
  <c r="B877" i="11"/>
  <c r="B876" i="11"/>
  <c r="B875" i="11"/>
  <c r="B874" i="11"/>
  <c r="B873" i="11"/>
  <c r="B872" i="11"/>
  <c r="B871" i="11"/>
  <c r="B870" i="11"/>
  <c r="B869" i="11"/>
  <c r="B868" i="11"/>
  <c r="B867" i="11"/>
  <c r="B866" i="11"/>
  <c r="B865" i="11"/>
  <c r="B864" i="11"/>
  <c r="B863" i="11"/>
  <c r="B862" i="11"/>
  <c r="B861" i="11"/>
  <c r="B860" i="11"/>
  <c r="B859" i="11"/>
  <c r="B858" i="11"/>
  <c r="B857" i="11"/>
  <c r="B856" i="11"/>
  <c r="B855" i="11"/>
  <c r="B854" i="11"/>
  <c r="B853" i="11"/>
  <c r="B852" i="11"/>
  <c r="B851" i="11"/>
  <c r="B850" i="11"/>
  <c r="B849" i="11"/>
  <c r="B848" i="11"/>
  <c r="B847" i="11"/>
  <c r="B846" i="11"/>
  <c r="B845" i="11"/>
  <c r="B844" i="11"/>
  <c r="B843" i="11"/>
  <c r="B842" i="11"/>
  <c r="B841" i="11"/>
  <c r="B840" i="11"/>
  <c r="B839" i="11"/>
  <c r="B838" i="11"/>
  <c r="B837" i="11"/>
  <c r="B836" i="11"/>
  <c r="B835" i="11"/>
  <c r="B834" i="11"/>
  <c r="B833" i="11"/>
  <c r="B832" i="11"/>
  <c r="B831" i="11"/>
  <c r="B830" i="11"/>
  <c r="B829" i="11"/>
  <c r="B828" i="11"/>
  <c r="B827" i="11"/>
  <c r="B826" i="11"/>
  <c r="B825" i="11"/>
  <c r="B824" i="11"/>
  <c r="B823" i="11"/>
  <c r="B822" i="11"/>
  <c r="B821" i="11"/>
  <c r="B820" i="11"/>
  <c r="B819" i="11"/>
  <c r="B818" i="11"/>
  <c r="B817" i="11"/>
  <c r="B816" i="11"/>
  <c r="B815" i="11"/>
  <c r="B814" i="11"/>
  <c r="B813" i="11"/>
  <c r="B812" i="11"/>
  <c r="B811" i="11"/>
  <c r="B810" i="11"/>
  <c r="B809" i="11"/>
  <c r="B808" i="11"/>
  <c r="B807" i="11"/>
  <c r="B806" i="11"/>
  <c r="B805" i="11"/>
  <c r="B804" i="11"/>
  <c r="B803" i="11"/>
  <c r="B802" i="11"/>
  <c r="B801" i="11"/>
  <c r="B800" i="11"/>
  <c r="B799" i="11"/>
  <c r="B798" i="11"/>
  <c r="B797" i="11"/>
  <c r="B796" i="11"/>
  <c r="B795" i="11"/>
  <c r="B794" i="11"/>
  <c r="B793" i="11"/>
  <c r="B792" i="11"/>
  <c r="B791" i="11"/>
  <c r="B790" i="11"/>
  <c r="B789" i="11"/>
  <c r="B788" i="11"/>
  <c r="B787" i="11"/>
  <c r="B786" i="11"/>
  <c r="B785" i="11"/>
  <c r="B784" i="11"/>
  <c r="B783" i="11"/>
  <c r="B782" i="11"/>
  <c r="B781" i="11"/>
  <c r="B780" i="11"/>
  <c r="B779" i="11"/>
  <c r="B778" i="11"/>
  <c r="B777" i="11"/>
  <c r="B776" i="11"/>
  <c r="B775" i="11"/>
  <c r="B774" i="11"/>
  <c r="B773" i="11"/>
  <c r="B772" i="11"/>
  <c r="B771" i="11"/>
  <c r="B770" i="11"/>
  <c r="B769" i="11"/>
  <c r="B768" i="11"/>
  <c r="B767" i="11"/>
  <c r="B766" i="11"/>
  <c r="B765" i="11"/>
  <c r="B764" i="11"/>
  <c r="B763" i="11"/>
  <c r="B762" i="11"/>
  <c r="B761" i="11"/>
  <c r="B760" i="11"/>
  <c r="B759" i="11"/>
  <c r="B758" i="11"/>
  <c r="B757" i="11"/>
  <c r="B756" i="11"/>
  <c r="B755" i="11"/>
  <c r="B754" i="11"/>
  <c r="B753" i="11"/>
  <c r="B752" i="11"/>
  <c r="B751" i="11"/>
  <c r="B750" i="11"/>
  <c r="B749" i="11"/>
  <c r="B748" i="11"/>
  <c r="B747" i="11"/>
  <c r="B746" i="11"/>
  <c r="B745" i="11"/>
  <c r="B744" i="11"/>
  <c r="B743" i="11"/>
  <c r="B742" i="11"/>
  <c r="B741" i="11"/>
  <c r="B740" i="11"/>
  <c r="B739" i="11"/>
  <c r="B738" i="11"/>
  <c r="B737" i="11"/>
  <c r="B736" i="11"/>
  <c r="B735" i="11"/>
  <c r="B734" i="11"/>
  <c r="B733" i="11"/>
  <c r="B732" i="11"/>
  <c r="B731" i="11"/>
  <c r="B730" i="11"/>
  <c r="B729" i="11"/>
  <c r="B728" i="11"/>
  <c r="B727" i="11"/>
  <c r="B726" i="11"/>
  <c r="B725" i="11"/>
  <c r="B724" i="11"/>
  <c r="B723" i="11"/>
  <c r="B722" i="11"/>
  <c r="B721" i="11"/>
  <c r="B720" i="11"/>
  <c r="B719" i="11"/>
  <c r="B718" i="11"/>
  <c r="B717" i="11"/>
  <c r="B716" i="11"/>
  <c r="B715" i="11"/>
  <c r="B714" i="11"/>
  <c r="B713" i="11"/>
  <c r="B712" i="11"/>
  <c r="B711" i="11"/>
  <c r="B710" i="11"/>
  <c r="B709" i="11"/>
  <c r="B708" i="11"/>
  <c r="B707" i="11"/>
  <c r="B706" i="11"/>
  <c r="B705" i="11"/>
  <c r="B704" i="11"/>
  <c r="B703" i="11"/>
  <c r="B702" i="11"/>
  <c r="B701" i="11"/>
  <c r="B700" i="11"/>
  <c r="B699" i="11"/>
  <c r="B698" i="11"/>
  <c r="B697" i="11"/>
  <c r="B696" i="11"/>
  <c r="B695" i="11"/>
  <c r="B694" i="11"/>
  <c r="B693" i="11"/>
  <c r="B692" i="11"/>
  <c r="B691" i="11"/>
  <c r="B690" i="11"/>
  <c r="B689" i="11"/>
  <c r="B688" i="11"/>
  <c r="B687" i="11"/>
  <c r="B686" i="11"/>
  <c r="B685" i="11"/>
  <c r="B684" i="11"/>
  <c r="B683" i="11"/>
  <c r="B682" i="11"/>
  <c r="B681" i="11"/>
  <c r="B680" i="11"/>
  <c r="B679" i="11"/>
  <c r="B678" i="11"/>
  <c r="B677" i="11"/>
  <c r="B676" i="11"/>
  <c r="B675" i="11"/>
  <c r="B674" i="11"/>
  <c r="B673" i="11"/>
  <c r="B672" i="11"/>
  <c r="B671" i="11"/>
  <c r="B670" i="11"/>
  <c r="B669" i="11"/>
  <c r="B668" i="11"/>
  <c r="B667" i="11"/>
  <c r="B666" i="11"/>
  <c r="B665" i="11"/>
  <c r="B664" i="11"/>
  <c r="B663" i="11"/>
  <c r="B662" i="11"/>
  <c r="B661" i="11"/>
  <c r="B660" i="11"/>
  <c r="B659" i="11"/>
  <c r="B658" i="11"/>
  <c r="B657" i="11"/>
  <c r="B656" i="11"/>
  <c r="B655" i="11"/>
  <c r="B654" i="11"/>
  <c r="B653" i="11"/>
  <c r="B652" i="11"/>
  <c r="B651" i="11"/>
  <c r="B650" i="11"/>
  <c r="B649" i="11"/>
  <c r="B648" i="11"/>
  <c r="B647" i="11"/>
  <c r="B646" i="11"/>
  <c r="B645" i="11"/>
  <c r="B644" i="11"/>
  <c r="B643" i="11"/>
  <c r="B642" i="11"/>
  <c r="B641" i="11"/>
  <c r="B640" i="11"/>
  <c r="B639" i="11"/>
  <c r="B638" i="11"/>
  <c r="B637" i="11"/>
  <c r="B636" i="11"/>
  <c r="B635" i="11"/>
  <c r="B634" i="11"/>
  <c r="B633" i="11"/>
  <c r="B632" i="11"/>
  <c r="B631" i="11"/>
  <c r="B630" i="11"/>
  <c r="B629" i="11"/>
  <c r="B628" i="11"/>
  <c r="B627" i="11"/>
  <c r="B626" i="11"/>
  <c r="B625" i="11"/>
  <c r="B624" i="11"/>
  <c r="B623" i="11"/>
  <c r="B622" i="11"/>
  <c r="B621" i="11"/>
  <c r="B620" i="11"/>
  <c r="B619" i="11"/>
  <c r="B618" i="11"/>
  <c r="B617" i="11"/>
  <c r="B616" i="11"/>
  <c r="B615" i="11"/>
  <c r="B614" i="11"/>
  <c r="B613" i="11"/>
  <c r="B612" i="11"/>
  <c r="B611" i="11"/>
  <c r="B610" i="11"/>
  <c r="B609" i="11"/>
  <c r="B608" i="11"/>
  <c r="B607" i="11"/>
  <c r="B606" i="11"/>
  <c r="B605" i="11"/>
  <c r="B604" i="11"/>
  <c r="B603" i="11"/>
  <c r="B602" i="11"/>
  <c r="B601" i="11"/>
  <c r="B600" i="11"/>
  <c r="B599" i="11"/>
  <c r="B598" i="11"/>
  <c r="B597" i="11"/>
  <c r="B596" i="11"/>
  <c r="B595" i="11"/>
  <c r="B594" i="11"/>
  <c r="B593" i="11"/>
  <c r="B592" i="11"/>
  <c r="B591" i="11"/>
  <c r="B590" i="11"/>
  <c r="B589" i="11"/>
  <c r="B588" i="11"/>
  <c r="B587" i="11"/>
  <c r="B586" i="11"/>
  <c r="B585" i="11"/>
  <c r="B584" i="11"/>
  <c r="B583" i="11"/>
  <c r="B582" i="11"/>
  <c r="B581" i="11"/>
  <c r="B580" i="11"/>
  <c r="B579" i="11"/>
  <c r="B578" i="11"/>
  <c r="B577" i="11"/>
  <c r="B576" i="11"/>
  <c r="B575" i="11"/>
  <c r="B574" i="11"/>
  <c r="B573" i="11"/>
  <c r="B572" i="11"/>
  <c r="B571" i="11"/>
  <c r="B570" i="11"/>
  <c r="B569" i="11"/>
  <c r="B568" i="11"/>
  <c r="B567" i="11"/>
  <c r="B566" i="11"/>
  <c r="B565" i="11"/>
  <c r="B564" i="11"/>
  <c r="B563" i="11"/>
  <c r="B562" i="11"/>
  <c r="B561" i="11"/>
  <c r="B560" i="11"/>
  <c r="B559" i="11"/>
  <c r="B558" i="11"/>
  <c r="B557" i="11"/>
  <c r="B556" i="11"/>
  <c r="B555" i="11"/>
  <c r="B554" i="11"/>
  <c r="B553" i="11"/>
  <c r="B552" i="11"/>
  <c r="B551" i="11"/>
  <c r="B550" i="11"/>
  <c r="B549" i="11"/>
  <c r="B548" i="11"/>
  <c r="B547" i="11"/>
  <c r="B546" i="11"/>
  <c r="B545" i="11"/>
  <c r="B544" i="11"/>
  <c r="B543" i="11"/>
  <c r="B542" i="11"/>
  <c r="B541" i="11"/>
  <c r="B540" i="11"/>
  <c r="B539" i="11"/>
  <c r="B538" i="11"/>
  <c r="B537" i="11"/>
  <c r="B536" i="11"/>
  <c r="B535" i="11"/>
  <c r="B534" i="11"/>
  <c r="B533" i="11"/>
  <c r="B532" i="11"/>
  <c r="B531" i="11"/>
  <c r="B530" i="11"/>
  <c r="B529" i="11"/>
  <c r="B528" i="11"/>
  <c r="B527" i="11"/>
  <c r="B526" i="11"/>
  <c r="B525" i="11"/>
  <c r="B524" i="11"/>
  <c r="B523" i="11"/>
  <c r="B522" i="11"/>
  <c r="B521" i="11"/>
  <c r="B520" i="11"/>
  <c r="B519" i="11"/>
  <c r="B518" i="11"/>
  <c r="B517" i="11"/>
  <c r="B516" i="11"/>
  <c r="B515" i="11"/>
  <c r="B514" i="11"/>
  <c r="B513" i="11"/>
  <c r="B512" i="11"/>
  <c r="B511" i="11"/>
  <c r="B510" i="11"/>
  <c r="B509" i="11"/>
  <c r="B508" i="11"/>
  <c r="B507" i="11"/>
  <c r="B506" i="11"/>
  <c r="B505" i="11"/>
  <c r="B504" i="11"/>
  <c r="B503" i="11"/>
  <c r="B502" i="11"/>
  <c r="B501" i="11"/>
  <c r="B500" i="11"/>
  <c r="B499" i="11"/>
  <c r="B498" i="11"/>
  <c r="B497" i="11"/>
  <c r="B496" i="11"/>
  <c r="B495" i="11"/>
  <c r="B494" i="11"/>
  <c r="B493" i="11"/>
  <c r="B492" i="11"/>
  <c r="B491" i="11"/>
  <c r="B490" i="11"/>
  <c r="B489" i="11"/>
  <c r="B488" i="11"/>
  <c r="B487" i="11"/>
  <c r="B486" i="11"/>
  <c r="B485" i="11"/>
  <c r="B484" i="11"/>
  <c r="B483" i="11"/>
  <c r="B482" i="11"/>
  <c r="B481" i="11"/>
  <c r="B480" i="11"/>
  <c r="B479" i="11"/>
  <c r="B478" i="11"/>
  <c r="B477" i="11"/>
  <c r="B476" i="11"/>
  <c r="B475" i="11"/>
  <c r="B474" i="11"/>
  <c r="B473" i="11"/>
  <c r="B472" i="11"/>
  <c r="B471" i="11"/>
  <c r="B470" i="11"/>
  <c r="B469" i="11"/>
  <c r="B468" i="11"/>
  <c r="B467" i="11"/>
  <c r="B466" i="11"/>
  <c r="B465" i="11"/>
  <c r="B464" i="11"/>
  <c r="B463" i="11"/>
  <c r="B462" i="11"/>
  <c r="B461" i="11"/>
  <c r="B460" i="11"/>
  <c r="B459" i="11"/>
  <c r="B458" i="11"/>
  <c r="B457" i="11"/>
  <c r="B456" i="11"/>
  <c r="B455" i="11"/>
  <c r="B454" i="11"/>
  <c r="B453" i="11"/>
  <c r="B452" i="11"/>
  <c r="B451" i="11"/>
  <c r="B450" i="11"/>
  <c r="B449" i="11"/>
  <c r="B448" i="11"/>
  <c r="B447" i="11"/>
  <c r="B446" i="11"/>
  <c r="B445" i="11"/>
  <c r="B444" i="11"/>
  <c r="B443" i="11"/>
  <c r="B442" i="11"/>
  <c r="B441" i="11"/>
  <c r="B440" i="11"/>
  <c r="B439" i="11"/>
  <c r="B438" i="11"/>
  <c r="B437" i="11"/>
  <c r="B436" i="11"/>
  <c r="B435" i="11"/>
  <c r="B434" i="11"/>
  <c r="B433" i="11"/>
  <c r="B432" i="11"/>
  <c r="B431" i="11"/>
  <c r="B430" i="11"/>
  <c r="B429" i="11"/>
  <c r="B428" i="11"/>
  <c r="B427" i="11"/>
  <c r="B426" i="11"/>
  <c r="B425" i="11"/>
  <c r="B424" i="11"/>
  <c r="B423" i="11"/>
  <c r="B422" i="11"/>
  <c r="B421" i="11"/>
  <c r="B420" i="11"/>
  <c r="B419" i="11"/>
  <c r="B418" i="11"/>
  <c r="B417" i="11"/>
  <c r="B416" i="11"/>
  <c r="B415" i="11"/>
  <c r="B414" i="11"/>
  <c r="B413" i="11"/>
  <c r="B412" i="11"/>
  <c r="B411" i="11"/>
  <c r="B410" i="11"/>
  <c r="B409" i="11"/>
  <c r="B408" i="11"/>
  <c r="B407" i="11"/>
  <c r="B406" i="11"/>
  <c r="B405" i="11"/>
  <c r="B404" i="11"/>
  <c r="B403" i="11"/>
  <c r="B402" i="11"/>
  <c r="B401" i="11"/>
  <c r="B400" i="11"/>
  <c r="B399" i="11"/>
  <c r="B398" i="11"/>
  <c r="B397" i="11"/>
  <c r="B396" i="11"/>
  <c r="B395" i="11"/>
  <c r="B394" i="11"/>
  <c r="B393" i="11"/>
  <c r="B392" i="11"/>
  <c r="B391" i="11"/>
  <c r="B390" i="11"/>
  <c r="B389" i="11"/>
  <c r="B388" i="11"/>
  <c r="B387" i="11"/>
  <c r="B386" i="11"/>
  <c r="B385" i="11"/>
  <c r="B384" i="11"/>
  <c r="B383" i="11"/>
  <c r="B382" i="11"/>
  <c r="B381" i="11"/>
  <c r="B380" i="11"/>
  <c r="B379" i="11"/>
  <c r="B378" i="11"/>
  <c r="B377" i="11"/>
  <c r="B376" i="11"/>
  <c r="B375" i="11"/>
  <c r="B374" i="11"/>
  <c r="B373" i="11"/>
  <c r="B372" i="11"/>
  <c r="B371" i="11"/>
  <c r="B370" i="11"/>
  <c r="B369" i="11"/>
  <c r="B368" i="11"/>
  <c r="B367" i="11"/>
  <c r="B366" i="11"/>
  <c r="B365" i="11"/>
  <c r="B364" i="11"/>
  <c r="B363" i="11"/>
  <c r="B362" i="11"/>
  <c r="B361" i="11"/>
  <c r="B360" i="11"/>
  <c r="B359" i="11"/>
  <c r="B358" i="11"/>
  <c r="B357" i="11"/>
  <c r="B356" i="11"/>
  <c r="B355" i="11"/>
  <c r="B354" i="11"/>
  <c r="B353" i="11"/>
  <c r="B352" i="11"/>
  <c r="B351" i="11"/>
  <c r="B350" i="11"/>
  <c r="B349" i="11"/>
  <c r="B348" i="11"/>
  <c r="B347" i="11"/>
  <c r="B346" i="11"/>
  <c r="B345" i="11"/>
  <c r="B344" i="11"/>
  <c r="B343" i="11"/>
  <c r="B342" i="11"/>
  <c r="B341" i="11"/>
  <c r="B340" i="11"/>
  <c r="B339" i="11"/>
  <c r="B338" i="11"/>
  <c r="B337" i="11"/>
  <c r="B336" i="11"/>
  <c r="B335" i="11"/>
  <c r="B334" i="11"/>
  <c r="B333" i="11"/>
  <c r="B332" i="11"/>
  <c r="B331" i="11"/>
  <c r="B330" i="11"/>
  <c r="B329" i="11"/>
  <c r="B328" i="11"/>
  <c r="B327" i="11"/>
  <c r="B326" i="11"/>
  <c r="B325" i="11"/>
  <c r="B324" i="11"/>
  <c r="B323" i="11"/>
  <c r="B322" i="11"/>
  <c r="B321" i="11"/>
  <c r="B320" i="11"/>
  <c r="B319" i="11"/>
  <c r="B318" i="11"/>
  <c r="B317" i="11"/>
  <c r="B316" i="11"/>
  <c r="B315" i="11"/>
  <c r="B314" i="11"/>
  <c r="B313" i="11"/>
  <c r="B312" i="11"/>
  <c r="B311" i="11"/>
  <c r="B310" i="11"/>
  <c r="B309" i="11"/>
  <c r="B308" i="11"/>
  <c r="B307" i="11"/>
  <c r="B306" i="11"/>
  <c r="B305" i="11"/>
  <c r="B304" i="11"/>
  <c r="B303" i="11"/>
  <c r="B302" i="11"/>
  <c r="B301" i="11"/>
  <c r="B300" i="11"/>
  <c r="B299" i="11"/>
  <c r="B298" i="11"/>
  <c r="B297" i="11"/>
  <c r="B296" i="11"/>
  <c r="B295" i="11"/>
  <c r="B294" i="11"/>
  <c r="B293" i="11"/>
  <c r="B292" i="11"/>
  <c r="B291" i="11"/>
  <c r="B290" i="11"/>
  <c r="B289" i="11"/>
  <c r="B288" i="11"/>
  <c r="B287" i="11"/>
  <c r="B286" i="11"/>
  <c r="B285" i="11"/>
  <c r="B284" i="11"/>
  <c r="B283" i="11"/>
  <c r="B282" i="11"/>
  <c r="B281" i="11"/>
  <c r="B280" i="11"/>
  <c r="B279" i="11"/>
  <c r="B278" i="11"/>
  <c r="B277" i="11"/>
  <c r="B276" i="11"/>
  <c r="B275" i="11"/>
  <c r="B274" i="11"/>
  <c r="B273" i="11"/>
  <c r="B272" i="11"/>
  <c r="B271" i="11"/>
  <c r="B270" i="11"/>
  <c r="B269" i="11"/>
  <c r="B268" i="11"/>
  <c r="B267" i="11"/>
  <c r="B266" i="11"/>
  <c r="B265" i="11"/>
  <c r="B264" i="11"/>
  <c r="B263" i="11"/>
  <c r="B262" i="11"/>
  <c r="B261" i="11"/>
  <c r="B260" i="11"/>
  <c r="B259" i="11"/>
  <c r="B258" i="11"/>
  <c r="B257" i="11"/>
  <c r="B256" i="11"/>
  <c r="B255" i="11"/>
  <c r="B254" i="11"/>
  <c r="B253" i="11"/>
  <c r="B252" i="11"/>
  <c r="B251" i="11"/>
  <c r="B250" i="11"/>
  <c r="B249" i="11"/>
  <c r="B248" i="11"/>
  <c r="B247" i="11"/>
  <c r="B246" i="11"/>
  <c r="B245" i="11"/>
  <c r="B244" i="11"/>
  <c r="B243" i="11"/>
  <c r="B242" i="11"/>
  <c r="B241" i="11"/>
  <c r="B240" i="11"/>
  <c r="B239" i="11"/>
  <c r="B238" i="11"/>
  <c r="B237" i="11"/>
  <c r="B236" i="11"/>
  <c r="B235" i="11"/>
  <c r="B234" i="11"/>
  <c r="B233" i="11"/>
  <c r="B232" i="11"/>
  <c r="B231" i="11"/>
  <c r="B230" i="11"/>
  <c r="B229" i="11"/>
  <c r="B228" i="11"/>
  <c r="B227" i="11"/>
  <c r="B226" i="11"/>
  <c r="B225" i="11"/>
  <c r="B224" i="11"/>
  <c r="B223" i="11"/>
  <c r="B222" i="11"/>
  <c r="B221" i="11"/>
  <c r="B220" i="11"/>
  <c r="B219" i="11"/>
  <c r="B218" i="11"/>
  <c r="B217" i="11"/>
  <c r="B216" i="11"/>
  <c r="B215" i="11"/>
  <c r="B214" i="11"/>
  <c r="B213" i="11"/>
  <c r="B212" i="11"/>
  <c r="B211" i="11"/>
  <c r="B210" i="11"/>
  <c r="B209" i="11"/>
  <c r="B208" i="11"/>
  <c r="B207" i="11"/>
  <c r="B206" i="11"/>
  <c r="B205" i="11"/>
  <c r="B204" i="11"/>
  <c r="B203" i="11"/>
  <c r="B202" i="11"/>
  <c r="B201" i="11"/>
  <c r="B200" i="11"/>
  <c r="B199" i="11"/>
  <c r="B198" i="11"/>
  <c r="B197" i="11"/>
  <c r="B196" i="11"/>
  <c r="B195" i="11"/>
  <c r="B194" i="11"/>
  <c r="B193" i="11"/>
  <c r="B192" i="11"/>
  <c r="B191" i="11"/>
  <c r="B190" i="11"/>
  <c r="B189" i="11"/>
  <c r="B188" i="11"/>
  <c r="B187" i="11"/>
  <c r="B186" i="11"/>
  <c r="B185" i="11"/>
  <c r="B184" i="11"/>
  <c r="B183" i="11"/>
  <c r="B182" i="11"/>
  <c r="B181" i="11"/>
  <c r="B180" i="11"/>
  <c r="B179" i="11"/>
  <c r="B178" i="11"/>
  <c r="B177" i="11"/>
  <c r="B176" i="11"/>
  <c r="B175" i="11"/>
  <c r="B174" i="11"/>
  <c r="B173" i="11"/>
  <c r="B172" i="11"/>
  <c r="B171" i="11"/>
  <c r="B170" i="11"/>
  <c r="B169" i="11"/>
  <c r="B168" i="11"/>
  <c r="B167" i="11"/>
  <c r="B166" i="11"/>
  <c r="B165" i="11"/>
  <c r="B164" i="11"/>
  <c r="B163" i="11"/>
  <c r="B162" i="11"/>
  <c r="B161" i="11"/>
  <c r="B160" i="11"/>
  <c r="B159" i="11"/>
  <c r="B158" i="11"/>
  <c r="B157" i="11"/>
  <c r="B156" i="11"/>
  <c r="B155" i="11"/>
  <c r="B154" i="11"/>
  <c r="B153" i="11"/>
  <c r="B152" i="11"/>
  <c r="B151" i="11"/>
  <c r="B150" i="11"/>
  <c r="B149" i="11"/>
  <c r="B148" i="11"/>
  <c r="B147" i="11"/>
  <c r="B146" i="11"/>
  <c r="B145" i="11"/>
  <c r="B144" i="11"/>
  <c r="B143" i="11"/>
  <c r="B142" i="11"/>
  <c r="B141" i="11"/>
  <c r="B140" i="11"/>
  <c r="B139" i="11"/>
  <c r="B138" i="11"/>
  <c r="B137" i="11"/>
  <c r="B136" i="11"/>
  <c r="B135" i="11"/>
  <c r="B134" i="11"/>
  <c r="B133" i="11"/>
  <c r="B132" i="11"/>
  <c r="B131" i="11"/>
  <c r="B130" i="11"/>
  <c r="B129" i="11"/>
  <c r="B128" i="11"/>
  <c r="B127" i="11"/>
  <c r="B126" i="11"/>
  <c r="B125" i="11"/>
  <c r="B124" i="11"/>
  <c r="B123" i="11"/>
  <c r="B122" i="11"/>
  <c r="B121" i="11"/>
  <c r="B120" i="11"/>
  <c r="B119" i="11"/>
  <c r="B118" i="11"/>
  <c r="B117" i="11"/>
  <c r="B116" i="11"/>
  <c r="B115"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alcChain>
</file>

<file path=xl/sharedStrings.xml><?xml version="1.0" encoding="utf-8"?>
<sst xmlns="http://schemas.openxmlformats.org/spreadsheetml/2006/main" count="19100" uniqueCount="787">
  <si>
    <t>country</t>
  </si>
  <si>
    <t>state</t>
  </si>
  <si>
    <t>city</t>
  </si>
  <si>
    <t>station</t>
  </si>
  <si>
    <t>last_update</t>
  </si>
  <si>
    <t>latitude</t>
  </si>
  <si>
    <t>longitude</t>
  </si>
  <si>
    <t>pollutant_id</t>
  </si>
  <si>
    <t>pollutant_min</t>
  </si>
  <si>
    <t>pollutant_max</t>
  </si>
  <si>
    <t>pollutant_avg</t>
  </si>
  <si>
    <t>India</t>
  </si>
  <si>
    <t>Assam</t>
  </si>
  <si>
    <t>Bihar</t>
  </si>
  <si>
    <t>Andhra_Pradesh</t>
  </si>
  <si>
    <t>Andaman and Nicobar</t>
  </si>
  <si>
    <t>Chhattisgarh</t>
  </si>
  <si>
    <t>Chandigarh</t>
  </si>
  <si>
    <t>Delhi</t>
  </si>
  <si>
    <t>Gujarat</t>
  </si>
  <si>
    <t>Himachal Pradesh</t>
  </si>
  <si>
    <t>Jammu_and_Kashmir</t>
  </si>
  <si>
    <t>Karnataka</t>
  </si>
  <si>
    <t>Haryana</t>
  </si>
  <si>
    <t>Kerala</t>
  </si>
  <si>
    <t>Madhya Pradesh</t>
  </si>
  <si>
    <t>Maharashtra</t>
  </si>
  <si>
    <t>Odisha</t>
  </si>
  <si>
    <t>Manipur</t>
  </si>
  <si>
    <t>Mizoram</t>
  </si>
  <si>
    <t>Punjab</t>
  </si>
  <si>
    <t>Rajasthan</t>
  </si>
  <si>
    <t>Puducherry</t>
  </si>
  <si>
    <t>TamilNadu</t>
  </si>
  <si>
    <t>Sikkim</t>
  </si>
  <si>
    <t>Telangana</t>
  </si>
  <si>
    <t>Uttar_Pradesh</t>
  </si>
  <si>
    <t>Uttarakhand</t>
  </si>
  <si>
    <t>West_Bengal</t>
  </si>
  <si>
    <t>Jharkhand</t>
  </si>
  <si>
    <t>Nagaland</t>
  </si>
  <si>
    <t>Meghalaya</t>
  </si>
  <si>
    <t>Tripura</t>
  </si>
  <si>
    <t>Nagaon</t>
  </si>
  <si>
    <t>Nalbari</t>
  </si>
  <si>
    <t>Silchar</t>
  </si>
  <si>
    <t>Sivasagar</t>
  </si>
  <si>
    <t>Araria</t>
  </si>
  <si>
    <t>Arrah</t>
  </si>
  <si>
    <t>Aurangabad</t>
  </si>
  <si>
    <t>Vijayawada</t>
  </si>
  <si>
    <t>Visakhapatnam</t>
  </si>
  <si>
    <t>Byrnihat</t>
  </si>
  <si>
    <t>Tirumala</t>
  </si>
  <si>
    <t>Tirupati</t>
  </si>
  <si>
    <t>Anantapur</t>
  </si>
  <si>
    <t>Chittoor</t>
  </si>
  <si>
    <t>Bettiah</t>
  </si>
  <si>
    <t>Bhagalpur</t>
  </si>
  <si>
    <t>Guwahati</t>
  </si>
  <si>
    <t>Sri Vijaya Puram</t>
  </si>
  <si>
    <t>Patna</t>
  </si>
  <si>
    <t>Purnia</t>
  </si>
  <si>
    <t>Rajgir</t>
  </si>
  <si>
    <t>Saharsa</t>
  </si>
  <si>
    <t>Kishanganj</t>
  </si>
  <si>
    <t>Manguraha</t>
  </si>
  <si>
    <t>Munger</t>
  </si>
  <si>
    <t>Chhapra</t>
  </si>
  <si>
    <t>Gaya</t>
  </si>
  <si>
    <t>Buxar</t>
  </si>
  <si>
    <t>Muzaffarpur</t>
  </si>
  <si>
    <t>Hajipur</t>
  </si>
  <si>
    <t>Katihar</t>
  </si>
  <si>
    <t>Samastipur</t>
  </si>
  <si>
    <t>Bhilai</t>
  </si>
  <si>
    <t>Bilaspur</t>
  </si>
  <si>
    <t>Chhal</t>
  </si>
  <si>
    <t>Korba</t>
  </si>
  <si>
    <t>Sasaram</t>
  </si>
  <si>
    <t>Siwan</t>
  </si>
  <si>
    <t>Raipur</t>
  </si>
  <si>
    <t>Ahmedabad</t>
  </si>
  <si>
    <t>Baddi</t>
  </si>
  <si>
    <t>Srinagar</t>
  </si>
  <si>
    <t>Bagalkot</t>
  </si>
  <si>
    <t>Bengaluru</t>
  </si>
  <si>
    <t>Gurugram</t>
  </si>
  <si>
    <t>Panchgaon</t>
  </si>
  <si>
    <t>Ankleshwar</t>
  </si>
  <si>
    <t>Gandhinagar</t>
  </si>
  <si>
    <t>Surat</t>
  </si>
  <si>
    <t>Gadag</t>
  </si>
  <si>
    <t>Haveri</t>
  </si>
  <si>
    <t>Hubballi</t>
  </si>
  <si>
    <t>Kalaburagi</t>
  </si>
  <si>
    <t>Chikkaballapur</t>
  </si>
  <si>
    <t>Chikkamagaluru</t>
  </si>
  <si>
    <t>Davanagere</t>
  </si>
  <si>
    <t>Dharwad</t>
  </si>
  <si>
    <t>Yadgir</t>
  </si>
  <si>
    <t>Eloor</t>
  </si>
  <si>
    <t>Chamarajanagar</t>
  </si>
  <si>
    <t>Mysuru</t>
  </si>
  <si>
    <t>Tumakuru</t>
  </si>
  <si>
    <t>Madikeri</t>
  </si>
  <si>
    <t>Thiruvananthapuram</t>
  </si>
  <si>
    <t>Thrissur</t>
  </si>
  <si>
    <t>Bhopal</t>
  </si>
  <si>
    <t>Jabalpur</t>
  </si>
  <si>
    <t>Katni</t>
  </si>
  <si>
    <t>Maihar</t>
  </si>
  <si>
    <t>Mandideep</t>
  </si>
  <si>
    <t>Pithampur</t>
  </si>
  <si>
    <t>Indore</t>
  </si>
  <si>
    <t>Damoh</t>
  </si>
  <si>
    <t>Gwalior</t>
  </si>
  <si>
    <t>Sagar</t>
  </si>
  <si>
    <t>Satna</t>
  </si>
  <si>
    <t>Singrauli</t>
  </si>
  <si>
    <t>Kollam</t>
  </si>
  <si>
    <t>Kolhapur</t>
  </si>
  <si>
    <t>Mahad</t>
  </si>
  <si>
    <t>Malegaon</t>
  </si>
  <si>
    <t>Mira-Bhayandar</t>
  </si>
  <si>
    <t>Boisar</t>
  </si>
  <si>
    <t>Chandrapur</t>
  </si>
  <si>
    <t>Dhule</t>
  </si>
  <si>
    <t>Ahmednagar</t>
  </si>
  <si>
    <t>Akola</t>
  </si>
  <si>
    <t>Amravati</t>
  </si>
  <si>
    <t>Jalna</t>
  </si>
  <si>
    <t>Kalyan</t>
  </si>
  <si>
    <t>Belapur</t>
  </si>
  <si>
    <t>Bhiwandi</t>
  </si>
  <si>
    <t>Mumbai</t>
  </si>
  <si>
    <t>Pune</t>
  </si>
  <si>
    <t>Navi Mumbai</t>
  </si>
  <si>
    <t>Nagpur</t>
  </si>
  <si>
    <t>Nanded</t>
  </si>
  <si>
    <t>Nashik</t>
  </si>
  <si>
    <t>Pimpri-Chinchwad</t>
  </si>
  <si>
    <t>Parbhani</t>
  </si>
  <si>
    <t>Cuttack</t>
  </si>
  <si>
    <t>Keonjhar</t>
  </si>
  <si>
    <t>Nayagarh</t>
  </si>
  <si>
    <t>Rairangpur</t>
  </si>
  <si>
    <t>Rourkela</t>
  </si>
  <si>
    <t>Balasore</t>
  </si>
  <si>
    <t>Barbil</t>
  </si>
  <si>
    <t>Baripada</t>
  </si>
  <si>
    <t>Bhubaneswar</t>
  </si>
  <si>
    <t>Bileipada</t>
  </si>
  <si>
    <t>Brajrajnagar</t>
  </si>
  <si>
    <t>Byasanagar</t>
  </si>
  <si>
    <t>Ulhasnagar</t>
  </si>
  <si>
    <t>Imphal</t>
  </si>
  <si>
    <t>Solapur</t>
  </si>
  <si>
    <t>Thane</t>
  </si>
  <si>
    <t>Aizawl</t>
  </si>
  <si>
    <t>Ludhiana</t>
  </si>
  <si>
    <t>Mandi Gobindgarh</t>
  </si>
  <si>
    <t>Patiala</t>
  </si>
  <si>
    <t>Rupnagar</t>
  </si>
  <si>
    <t>Ajmer</t>
  </si>
  <si>
    <t>Alwar</t>
  </si>
  <si>
    <t>Suakati</t>
  </si>
  <si>
    <t>Talcher</t>
  </si>
  <si>
    <t>Amritsar</t>
  </si>
  <si>
    <t>Khanna</t>
  </si>
  <si>
    <t>Bhiwadi</t>
  </si>
  <si>
    <t>Bikaner</t>
  </si>
  <si>
    <t>Bharatpur</t>
  </si>
  <si>
    <t>Bhilwara</t>
  </si>
  <si>
    <t>Banswara</t>
  </si>
  <si>
    <t>Baran</t>
  </si>
  <si>
    <t>Barmer</t>
  </si>
  <si>
    <t>Chittorgarh</t>
  </si>
  <si>
    <t>Bundi</t>
  </si>
  <si>
    <t>Jaipur</t>
  </si>
  <si>
    <t>Jaisalmer</t>
  </si>
  <si>
    <t>Jalore</t>
  </si>
  <si>
    <t>Jhalawar</t>
  </si>
  <si>
    <t>Jhunjhunu</t>
  </si>
  <si>
    <t>Jodhpur</t>
  </si>
  <si>
    <t>Pali</t>
  </si>
  <si>
    <t>Pratapgarh</t>
  </si>
  <si>
    <t>Rajsamand</t>
  </si>
  <si>
    <t>Sawai Madhopur</t>
  </si>
  <si>
    <t>Sikar</t>
  </si>
  <si>
    <t>Dungarpur</t>
  </si>
  <si>
    <t>Hanumangarh</t>
  </si>
  <si>
    <t>Dausa</t>
  </si>
  <si>
    <t>Dholpur</t>
  </si>
  <si>
    <t>Karauli</t>
  </si>
  <si>
    <t>Kota</t>
  </si>
  <si>
    <t>Churu</t>
  </si>
  <si>
    <t>Chennai</t>
  </si>
  <si>
    <t>Coimbatore</t>
  </si>
  <si>
    <t>Karur</t>
  </si>
  <si>
    <t>Nagapattinam</t>
  </si>
  <si>
    <t>Namakkal</t>
  </si>
  <si>
    <t>Gangtok</t>
  </si>
  <si>
    <t>Ariyalur</t>
  </si>
  <si>
    <t>Dindigul</t>
  </si>
  <si>
    <t>Hosur</t>
  </si>
  <si>
    <t>Sri Ganganagar</t>
  </si>
  <si>
    <t>Tonk</t>
  </si>
  <si>
    <t>Cuddalore</t>
  </si>
  <si>
    <t>Tiruchirappalli</t>
  </si>
  <si>
    <t>Tirunelveli</t>
  </si>
  <si>
    <t>Tirupur</t>
  </si>
  <si>
    <t>Virudhunagar</t>
  </si>
  <si>
    <t>Hyderabad</t>
  </si>
  <si>
    <t>Ranipet</t>
  </si>
  <si>
    <t>Thoothukudi</t>
  </si>
  <si>
    <t>Agra</t>
  </si>
  <si>
    <t>Ramanathapuram</t>
  </si>
  <si>
    <t>Bareilly</t>
  </si>
  <si>
    <t>Bulandshahr</t>
  </si>
  <si>
    <t>Firozabad</t>
  </si>
  <si>
    <t>Ghaziabad</t>
  </si>
  <si>
    <t>Gorakhpur</t>
  </si>
  <si>
    <t>Greater Noida</t>
  </si>
  <si>
    <t>Hapur</t>
  </si>
  <si>
    <t>Jhansi</t>
  </si>
  <si>
    <t>Kanpur</t>
  </si>
  <si>
    <t>Baghpat</t>
  </si>
  <si>
    <t>Khurja</t>
  </si>
  <si>
    <t>Lucknow</t>
  </si>
  <si>
    <t>Meerut</t>
  </si>
  <si>
    <t>Moradabad</t>
  </si>
  <si>
    <t>Noida</t>
  </si>
  <si>
    <t>Prayagraj</t>
  </si>
  <si>
    <t>Varanasi</t>
  </si>
  <si>
    <t>Vrindavan</t>
  </si>
  <si>
    <t>Dehradun</t>
  </si>
  <si>
    <t>Kashipur</t>
  </si>
  <si>
    <t>Durgapur</t>
  </si>
  <si>
    <t>Haldia</t>
  </si>
  <si>
    <t>Howrah</t>
  </si>
  <si>
    <t>Asansol</t>
  </si>
  <si>
    <t>Barrackpore</t>
  </si>
  <si>
    <t>Kolkata</t>
  </si>
  <si>
    <t>Siliguri</t>
  </si>
  <si>
    <t>Rajamahendravaram</t>
  </si>
  <si>
    <t>Begusarai</t>
  </si>
  <si>
    <t>Kadapa</t>
  </si>
  <si>
    <t>Amaravati</t>
  </si>
  <si>
    <t>Motihari</t>
  </si>
  <si>
    <t>Kunjemura</t>
  </si>
  <si>
    <t>Milupara</t>
  </si>
  <si>
    <t>Tumidih</t>
  </si>
  <si>
    <t>Vapi</t>
  </si>
  <si>
    <t>Vatva</t>
  </si>
  <si>
    <t>Belgaum</t>
  </si>
  <si>
    <t>Dhanbad</t>
  </si>
  <si>
    <t>Nandesari</t>
  </si>
  <si>
    <t>Koppal</t>
  </si>
  <si>
    <t>Mangalore</t>
  </si>
  <si>
    <t>Shivamogga</t>
  </si>
  <si>
    <t>Ratlam</t>
  </si>
  <si>
    <t>Kannur</t>
  </si>
  <si>
    <t>Dewas</t>
  </si>
  <si>
    <t>Jalgaon</t>
  </si>
  <si>
    <t>Latur</t>
  </si>
  <si>
    <t>Badlapur</t>
  </si>
  <si>
    <t>Virar</t>
  </si>
  <si>
    <t>Tensa</t>
  </si>
  <si>
    <t>Bathinda</t>
  </si>
  <si>
    <t>Jalandhar</t>
  </si>
  <si>
    <t>Kohima</t>
  </si>
  <si>
    <t>Angul</t>
  </si>
  <si>
    <t>Shillong</t>
  </si>
  <si>
    <t>Nagaur</t>
  </si>
  <si>
    <t>Sirohi</t>
  </si>
  <si>
    <t>Udaipur</t>
  </si>
  <si>
    <t>Chengalpattu</t>
  </si>
  <si>
    <t>Gummidipoondi</t>
  </si>
  <si>
    <t>Kanchipuram</t>
  </si>
  <si>
    <t>Salem</t>
  </si>
  <si>
    <t>Thanjavur</t>
  </si>
  <si>
    <t>Madurai</t>
  </si>
  <si>
    <t>Palkalaiperur</t>
  </si>
  <si>
    <t>Pudukottai</t>
  </si>
  <si>
    <t>Vellore</t>
  </si>
  <si>
    <t>Agartala</t>
  </si>
  <si>
    <t>Muzaffarnagar</t>
  </si>
  <si>
    <t>Rishikesh</t>
  </si>
  <si>
    <t>Ujjain</t>
  </si>
  <si>
    <t>Sangli</t>
  </si>
  <si>
    <t>Ooty</t>
  </si>
  <si>
    <t>Christianpatty, Nagaon - PCBA</t>
  </si>
  <si>
    <t>Bata Chowk, Nalbari - PCBA</t>
  </si>
  <si>
    <t>Tarapur, Silchar - PCBA</t>
  </si>
  <si>
    <t>Girls College, Sivasagar - PCBA</t>
  </si>
  <si>
    <t>Kharahiya Basti, Araria - BSPCB</t>
  </si>
  <si>
    <t>New DM Office, Arrah - BSPCB</t>
  </si>
  <si>
    <t>Gurdeo Nagar, Aurangabad - BSPCB</t>
  </si>
  <si>
    <t>Rajiv Nagar, Vijayawada - APPCB</t>
  </si>
  <si>
    <t>GVM Corporation, Visakhapatnam - APPCB</t>
  </si>
  <si>
    <t>Central Academy for SFS, Byrnihat - PCBA</t>
  </si>
  <si>
    <t>Toll Gate, Tirumala - APPCB (Formerly known as Tirumala, Tirupati - APPCB)</t>
  </si>
  <si>
    <t>Vaikuntapuram, Tirupati - APPCB</t>
  </si>
  <si>
    <t>Kanuru, Vijayawada - APPCB</t>
  </si>
  <si>
    <t>Gulzarpet, Anantapur - APPCB</t>
  </si>
  <si>
    <t>Gangineni Cheruvu, Chittoor - APPCB</t>
  </si>
  <si>
    <t>Kamalnath Nagar, Bettiah - BSPCB</t>
  </si>
  <si>
    <t>Mayaganj, Bhagalpur - BSPCB</t>
  </si>
  <si>
    <t>IITG, Guwahati - PCBA</t>
  </si>
  <si>
    <t>LGBI Airport, Guwahati - PCBA</t>
  </si>
  <si>
    <t>Pan Bazaar, Guwahati - PCBA</t>
  </si>
  <si>
    <t>Police Line, Sri Vijaya Puram - ANPCC</t>
  </si>
  <si>
    <t>Samanpura, Patna - BSPCB</t>
  </si>
  <si>
    <t>Mariam Nagar, Purnia - BSPCB</t>
  </si>
  <si>
    <t>Dangi Tola, Rajgir - BSPCB</t>
  </si>
  <si>
    <t>Police Line, Saharsa - BSPCB</t>
  </si>
  <si>
    <t>SDM Office_Khagra, Kishanganj - BSPCB</t>
  </si>
  <si>
    <t>Forest Rest House, Manguraha - BSPCB</t>
  </si>
  <si>
    <t>Town Hall, Munger - BSPCB</t>
  </si>
  <si>
    <t>Darshan Nagar, Chhapra - BSPCB</t>
  </si>
  <si>
    <t>Kareemganj, Gaya - BSPCB</t>
  </si>
  <si>
    <t>Muradpur, Patna - BSPCB</t>
  </si>
  <si>
    <t>Rajbansi Nagar, Patna - BSPCB</t>
  </si>
  <si>
    <t>Charitra Van, Buxar - BSPCB</t>
  </si>
  <si>
    <t>Buddha Colony, Muzaffarpur - BSPCB</t>
  </si>
  <si>
    <t>DRM Office Danapur, Patna - BSPCB</t>
  </si>
  <si>
    <t>Industrial Area, Hajipur - BSPCB</t>
  </si>
  <si>
    <t>Mirchaibari, Katihar - BSPCB</t>
  </si>
  <si>
    <t>Govt. High School Shikarpur, Patna - BSPCB</t>
  </si>
  <si>
    <t>DM Office_Kasipur, Samastipur - BSPCB</t>
  </si>
  <si>
    <t>Hathkhoj, Bhilai - CECB</t>
  </si>
  <si>
    <t>Mangala, Bilaspur - NTPC</t>
  </si>
  <si>
    <t>Nawapara SECL Colony, Chhal - CECB</t>
  </si>
  <si>
    <t>Rampur, Korba - CECB</t>
  </si>
  <si>
    <t>Urja Nagar, Korba - CECB</t>
  </si>
  <si>
    <t>Dada Peer, Sasaram - BSPCB</t>
  </si>
  <si>
    <t>Chitragupta Nagar, Siwan - BSPCB</t>
  </si>
  <si>
    <t>Sector 22, Chandigarh - CPCC</t>
  </si>
  <si>
    <t>Alipur, Delhi - DPCC</t>
  </si>
  <si>
    <t>Ashok Vihar, Delhi - DPCC</t>
  </si>
  <si>
    <t>Bawana, Delhi - DPCC</t>
  </si>
  <si>
    <t>CRRI Mathura Road, Delhi - IMD</t>
  </si>
  <si>
    <t>Chandni Chowk, Delhi - IITM</t>
  </si>
  <si>
    <t>Dr. Karni Singh Shooting Range, Delhi - DPCC</t>
  </si>
  <si>
    <t>Sector-53, Chandigarh - CPCC</t>
  </si>
  <si>
    <t>Civic Center, Bhilai - Bhilai Steel Plant</t>
  </si>
  <si>
    <t>AIIMS, Raipur - CECB</t>
  </si>
  <si>
    <t>Bhatagaon New ISBT, Raipur - CECB</t>
  </si>
  <si>
    <t>Krishak Nagar, Raipur - CECB</t>
  </si>
  <si>
    <t>Siltara Phase-II, Raipur - CECB</t>
  </si>
  <si>
    <t>Patparganj, Delhi - DPCC</t>
  </si>
  <si>
    <t>Punjabi Bagh, Delhi - DPCC</t>
  </si>
  <si>
    <t>Pusa, Delhi - DPCC</t>
  </si>
  <si>
    <t>R K Puram, Delhi - DPCC</t>
  </si>
  <si>
    <t>Rohini, Delhi - DPCC</t>
  </si>
  <si>
    <t>Shadipur, Delhi - CPCB</t>
  </si>
  <si>
    <t>Sirifort, Delhi - CPCB</t>
  </si>
  <si>
    <t>IGI Airport (T3), Delhi - IMD</t>
  </si>
  <si>
    <t>IHBAS, Dilshad Garden, Delhi - CPCB</t>
  </si>
  <si>
    <t>Jahangirpuri, Delhi - DPCC</t>
  </si>
  <si>
    <t>Mundka, Delhi - DPCC</t>
  </si>
  <si>
    <t>NSIT Dwarka, Delhi - CPCB</t>
  </si>
  <si>
    <t>Najafgarh, Delhi - DPCC</t>
  </si>
  <si>
    <t>Narela, Delhi - DPCC</t>
  </si>
  <si>
    <t>Nehru Nagar, Delhi - DPCC</t>
  </si>
  <si>
    <t>North Campus, DU, Delhi - IMD</t>
  </si>
  <si>
    <t>Sri Aurobindo Marg, Delhi - DPCC</t>
  </si>
  <si>
    <t>Lodhi Road, Delhi - IITM</t>
  </si>
  <si>
    <t>Vivek Vihar, Delhi - DPCC</t>
  </si>
  <si>
    <t>Wazirpur, Delhi - DPCC</t>
  </si>
  <si>
    <t>Sonia Vihar, Delhi - DPCC</t>
  </si>
  <si>
    <t>Gyaspur, Ahmedabad - IITM</t>
  </si>
  <si>
    <t>Maninagar, Ahmedabad - GPCB</t>
  </si>
  <si>
    <t>Raikhad, Ahmedabad - IITM</t>
  </si>
  <si>
    <t>HIMUDA Complex Phase-1, Baddi - HPPCB</t>
  </si>
  <si>
    <t>Rajbagh, Srinagar - JKSPCB</t>
  </si>
  <si>
    <t>Vidayagiri, Bagalkot - KSPCB</t>
  </si>
  <si>
    <t>SAC ISRO Bopal, Ahmedabad - IITM</t>
  </si>
  <si>
    <t>SVPI Airport Hansol, Ahmedabad - IITM</t>
  </si>
  <si>
    <t>BTM Layout, Bengaluru - CPCB</t>
  </si>
  <si>
    <t>Bapuji Nagar, Bengaluru - KSPCB</t>
  </si>
  <si>
    <t>City Railway Station, Bengaluru - KSPCB</t>
  </si>
  <si>
    <t>NISE Gwal Pahari, Gurugram - IMD</t>
  </si>
  <si>
    <t>Amity University, Panchgaon - IITM</t>
  </si>
  <si>
    <t>Sardar Vallabhbhai Patel Stadium, Ahmedabad - IITM</t>
  </si>
  <si>
    <t>GIDC, Ankleshwar - GPCB</t>
  </si>
  <si>
    <t>Sector-10, Gandhinagar - GPCB</t>
  </si>
  <si>
    <t>Science Center, Surat - SMC</t>
  </si>
  <si>
    <t>Chandkheda, Ahmedabad - IITM</t>
  </si>
  <si>
    <t>Hombegowda Nagar, Bengaluru - KSPCB</t>
  </si>
  <si>
    <t>Panchal Nagar, Gadag - KSPCB</t>
  </si>
  <si>
    <t>Ashwini Nagar, Haveri - KSPCB</t>
  </si>
  <si>
    <t>Lingaraj Nagar, Hubballi - KSPCB</t>
  </si>
  <si>
    <t>Lal Bahadur Shastri Nagar, Kalaburagi - KSPCB</t>
  </si>
  <si>
    <t>Chikkaballapur Rural, Chikkaballapur - KSPCB</t>
  </si>
  <si>
    <t>Kalyana Nagara, Chikkamagaluru - KSPCB</t>
  </si>
  <si>
    <t>Devaraj Urs Badavane, Davanagere - KSPCB</t>
  </si>
  <si>
    <t>Kalabhavan, Dharwad - KSPCB</t>
  </si>
  <si>
    <t>Collector Office, Yadgir - KSPCB</t>
  </si>
  <si>
    <t>Udyogamandal, Eloor - Kerala PCB</t>
  </si>
  <si>
    <t>Shivapura_Peenya, Bengaluru - KSPCB</t>
  </si>
  <si>
    <t>Silk Board, Bengaluru - KSPCB</t>
  </si>
  <si>
    <t>Urban, Chamarajanagar - KSPCB</t>
  </si>
  <si>
    <t>Peenya, Bengaluru - CPCB</t>
  </si>
  <si>
    <t>RVCE-Mailasandra, Bengaluru - KSPCB</t>
  </si>
  <si>
    <t>Hebbal 1st Stage, Mysuru - KSPCB</t>
  </si>
  <si>
    <t>Thimmalapura, Tumakuru - KSPCB</t>
  </si>
  <si>
    <t>Stuart Hill, Madikeri - KSPCB</t>
  </si>
  <si>
    <t>Plammoodu, Thiruvananthapuram - Kerala PCB</t>
  </si>
  <si>
    <t>Corporation Ground, Thrissur - Kerala PCB</t>
  </si>
  <si>
    <t>Idgah Hills, Bhopal - MPPCB</t>
  </si>
  <si>
    <t>T T Nagar, Bhopal - MPPCB</t>
  </si>
  <si>
    <t>Suhagi, Jabalpur - JMC</t>
  </si>
  <si>
    <t>Gole Bazar, Katni - MPPCB</t>
  </si>
  <si>
    <t>Sahilara, Maihar - KJS Cements</t>
  </si>
  <si>
    <t>Sector-D Industrial Area, Mandideep - MPPCB</t>
  </si>
  <si>
    <t>Sector-2 Industrial Area, Pithampur - MPPCB</t>
  </si>
  <si>
    <t>Regional Park, Indore - IMC</t>
  </si>
  <si>
    <t>Residency Area, Indore - IMC</t>
  </si>
  <si>
    <t>Govindh Bhavan Colony, Jabalpur - JMC</t>
  </si>
  <si>
    <t>Gupteshwar, Jabalpur - JMC</t>
  </si>
  <si>
    <t>Marhatal, Jabalpur - MPPCB</t>
  </si>
  <si>
    <t>Shrivastav Colony, Damoh - MPPCB</t>
  </si>
  <si>
    <t>City Center, Gwalior - MPPCB</t>
  </si>
  <si>
    <t>Deen Dayal Nagar, Gwalior - MPPCB</t>
  </si>
  <si>
    <t>Maharaj Bada, Gwalior - MPPCB</t>
  </si>
  <si>
    <t>Airport Area, Indore - IMC</t>
  </si>
  <si>
    <t>Chhoti Gwaltoli, Indore - MPPCB</t>
  </si>
  <si>
    <t>Civil Lines, Sagar - MPPCB</t>
  </si>
  <si>
    <t>Deen Dayal Nagar, Sagar - MPPCB</t>
  </si>
  <si>
    <t>Bandhavgar Colony, Satna - Birla Cement</t>
  </si>
  <si>
    <t>Suryakiran Bhawan NCL, Singrauli - MPPCB</t>
  </si>
  <si>
    <t>Kariavattom, Thiruvananthapuram - Kerala PCB</t>
  </si>
  <si>
    <t>Polayathode, Kollam - Kerala PCB</t>
  </si>
  <si>
    <t>Sinchan Bhavan, Kolhapur - MPCB</t>
  </si>
  <si>
    <t>Kamble Tarf Birwadi, Mahad - MPCB</t>
  </si>
  <si>
    <t>Mahesh Nagar, Malegaon - MPCB</t>
  </si>
  <si>
    <t>Bhayandar West, Mira-Bhayandar - MPCB</t>
  </si>
  <si>
    <t>Khaira, Boisar - MPCB</t>
  </si>
  <si>
    <t>Chauhan Colony, Chandrapur - MPCB</t>
  </si>
  <si>
    <t>MIDC Khutala, Chandrapur - MPCB</t>
  </si>
  <si>
    <t>Deopur, Dhule - MPCB</t>
  </si>
  <si>
    <t>Tarakpur, Ahmednagar - MPCB</t>
  </si>
  <si>
    <t>Ramdaspeth, Akola - MPCB</t>
  </si>
  <si>
    <t>Shivneri Colony, Amravati - MPCB</t>
  </si>
  <si>
    <t>Shri Shivaji Science College, Amaravati - MPCB</t>
  </si>
  <si>
    <t>Old MIDC, Jalna - MPCB</t>
  </si>
  <si>
    <t>Khadakpada, Kalyan - MPCB</t>
  </si>
  <si>
    <t>Pimpleshwar Mandir, Kalyan - MPCB</t>
  </si>
  <si>
    <t>Shivaji University, Kolhapur - MPCB</t>
  </si>
  <si>
    <t>Rachnakar Colony, Aurangabad - MPCB</t>
  </si>
  <si>
    <t>CBD Belapur, Belapur - MPCB</t>
  </si>
  <si>
    <t>MIDC Chilkalthana, Aurangabad - MPCB</t>
  </si>
  <si>
    <t>Gokul Nagar, Bhiwandi - MPCB</t>
  </si>
  <si>
    <t>Ghatkopar, Mumbai - BMC</t>
  </si>
  <si>
    <t>Kandivali East, Mumbai - MPCB</t>
  </si>
  <si>
    <t>Kandivali West, Mumbai - BMC</t>
  </si>
  <si>
    <t>Kherwadi_Bandra East, Mumbai - MPCB</t>
  </si>
  <si>
    <t>Vasai West, Mumbai - MPCB</t>
  </si>
  <si>
    <t>Vile Parle West, Mumbai - MPCB</t>
  </si>
  <si>
    <t>Bandra Kurla Complex, Mumbai - MPCB</t>
  </si>
  <si>
    <t>Borivali East, Mumbai - IITM</t>
  </si>
  <si>
    <t>Powai, Mumbai - MPCB</t>
  </si>
  <si>
    <t>Shivaji Nagar, Mumbai - BMC</t>
  </si>
  <si>
    <t>Mindspace-Malad West, Mumbai - MPCB</t>
  </si>
  <si>
    <t>Navy Nagar-Colaba, Mumbai - IITM</t>
  </si>
  <si>
    <t>Malad West, Mumbai - IITM</t>
  </si>
  <si>
    <t>Mazgaon, Mumbai - IITM</t>
  </si>
  <si>
    <t>Chakala-Andheri East, Mumbai - IITM</t>
  </si>
  <si>
    <t>Chhatrapati Shivaji Intl. Airport (T2), Mumbai - MPCB</t>
  </si>
  <si>
    <t>Khindipada-Bhandup West, Mumbai - IITM</t>
  </si>
  <si>
    <t>Colaba, Mumbai - MPCB</t>
  </si>
  <si>
    <t>Bhosari, Pune - IITM</t>
  </si>
  <si>
    <t>Bhumkar Nagar, Pune - IITM</t>
  </si>
  <si>
    <t>Hadapsar, Pune - IITM</t>
  </si>
  <si>
    <t>Katraj Dairy, Pune - MPCB</t>
  </si>
  <si>
    <t>Mahape, Navi Mumbai - MPCB</t>
  </si>
  <si>
    <t>Sanpada, Navi Mumbai - MPCB</t>
  </si>
  <si>
    <t>Sector-2E Kalamboli, Navi Mumbai - MPCB</t>
  </si>
  <si>
    <t>Tondare-Taloja, Navi Mumbai - MPCB</t>
  </si>
  <si>
    <t>Ambazari, Nagpur - MPCB</t>
  </si>
  <si>
    <t>Ram Nagar, Nagpur - MPCB</t>
  </si>
  <si>
    <t>Sneh Nagar, Nanded - MPCB</t>
  </si>
  <si>
    <t>Gangapur Road, Nashik - MPCB</t>
  </si>
  <si>
    <t>Thergaon, Pimpri Chinchwad - MPCB</t>
  </si>
  <si>
    <t>Panchawati_Pashan, Pune - IITM</t>
  </si>
  <si>
    <t>Revenue Colony-Shivajinagar, Pune - IITM</t>
  </si>
  <si>
    <t>Gavalinagar, Pimpri Chinchwad - MPCB</t>
  </si>
  <si>
    <t>Park Street Wakad, Pimpri Chinchwad - MPCB</t>
  </si>
  <si>
    <t>Hirawadi, Nashik - MPCB</t>
  </si>
  <si>
    <t>MIDC Ambad, Nashik - MPCB</t>
  </si>
  <si>
    <t>Pandav Nagari, Nashik - MPCB</t>
  </si>
  <si>
    <t>Masoom Colony, Parbhani - MPCB</t>
  </si>
  <si>
    <t>CDA Area, Cuttack - OSPCB</t>
  </si>
  <si>
    <t>Jagamohanpur, Keonjhar - OSPCB</t>
  </si>
  <si>
    <t>Dabuna, Nayagarh - OSPCB</t>
  </si>
  <si>
    <t>Divisional Forest Office, Rairangpur - OSPCB</t>
  </si>
  <si>
    <t>Fertilizer Township, Rourkela - OSPCB</t>
  </si>
  <si>
    <t>Kalidaspur, Balasore - OSPCB</t>
  </si>
  <si>
    <t>Forest Office, Barbil - OSPCB</t>
  </si>
  <si>
    <t>Meher Colony, Baripada - OSPCB</t>
  </si>
  <si>
    <t>Lingraj Mandir, Bhubaneswar - OSPCB</t>
  </si>
  <si>
    <t>Patia, Bhubaneswar - OSPCB</t>
  </si>
  <si>
    <t>Tata Township, Bileipada - OSPCB</t>
  </si>
  <si>
    <t>GM Office, Brajrajnagar - OSPCB</t>
  </si>
  <si>
    <t>Ferro Chrome Colony, Byasanagar - OSPCB</t>
  </si>
  <si>
    <t>Sidhi Vinayak Nagar, Ulhasnagar - MPCB</t>
  </si>
  <si>
    <t>DM College of Science, Imphal - Manipur PCB</t>
  </si>
  <si>
    <t>Solapur, Solapur - MPCB</t>
  </si>
  <si>
    <t>Upvan Fort, Thane - MPCB</t>
  </si>
  <si>
    <t>Savitribai Phule Pune University, Pune - MPCB</t>
  </si>
  <si>
    <t>Dnyaneshwar Nagar, Solapur - MPCB</t>
  </si>
  <si>
    <t>Sikulpuikawn, Aizawl - Mizoram PCB</t>
  </si>
  <si>
    <t>Punjab Agricultural University, Ludhiana - PPCB</t>
  </si>
  <si>
    <t>RIMT University, Mandi Gobindgarh - PPCB</t>
  </si>
  <si>
    <t>Model Town, Patiala - PPCB</t>
  </si>
  <si>
    <t>Ratanpura, Rupnagar - Ambuja Cements</t>
  </si>
  <si>
    <t>Civil Lines,  Ajmer - RSPCB</t>
  </si>
  <si>
    <t>Moti Doongri, Alwar - RSPCB</t>
  </si>
  <si>
    <t>Raghunathpali, Rourkela - OSPCB</t>
  </si>
  <si>
    <t>OMC Colony, Suakati - OSPCB</t>
  </si>
  <si>
    <t>Talcher Coalfields,Talcher - OSPCB</t>
  </si>
  <si>
    <t>Jawahar Nagar, Puducherry - PPCC</t>
  </si>
  <si>
    <t>Golden Temple, Amritsar - PPCB</t>
  </si>
  <si>
    <t>Kalal Majra, Khanna - PPCB</t>
  </si>
  <si>
    <t>Vasundhara Nagar_UIT, Bhiwadi - RSPCB</t>
  </si>
  <si>
    <t>MM Ground, Bikaner - RSPCB</t>
  </si>
  <si>
    <t>Krishna Nagar, Bharatpur - RSPCB</t>
  </si>
  <si>
    <t>Pratap Nagar, Bhilwara - RSPCB</t>
  </si>
  <si>
    <t>Rati Talai, Banswara - RSPCB</t>
  </si>
  <si>
    <t>Bamboliya, Baran - RSPCB</t>
  </si>
  <si>
    <t>Railway Colony, Barmer - RSPCB</t>
  </si>
  <si>
    <t>Shastri Nagar, Chittorgarh - RSPCB</t>
  </si>
  <si>
    <t>New Colony, Bundi - RSPCB</t>
  </si>
  <si>
    <t>Police Commissionerate, Jaipur - RSPCB</t>
  </si>
  <si>
    <t>RIICO Sitapura, Jaipur - RSPCB</t>
  </si>
  <si>
    <t>Sector-2 Murlipura, Jaipur - RSPCB</t>
  </si>
  <si>
    <t>Shastri Nagar, Jaipur - RSPCB</t>
  </si>
  <si>
    <t>Sadar Bazar, Jaisalmer - RSPCB</t>
  </si>
  <si>
    <t>Mudtra Sili, Jalore - RSPCB</t>
  </si>
  <si>
    <t>Rajlaxmi Nagar, Jhalawar - RSPCB</t>
  </si>
  <si>
    <t>Indra Nagar, Jhunjhunu - RSPCB</t>
  </si>
  <si>
    <t>Collectorate, Jodhpur - RSPCB</t>
  </si>
  <si>
    <t>Jhalamand, Jodhpur - RSPCB</t>
  </si>
  <si>
    <t>Mandor, Jodhpur - RSPCB</t>
  </si>
  <si>
    <t>Indira Colony Vistar, Pali - RSPCB</t>
  </si>
  <si>
    <t>Pragati Nagar, Pratapgarh - RSPCB</t>
  </si>
  <si>
    <t>Dhoinda, Rajsamand - RSPCB</t>
  </si>
  <si>
    <t>Sahu Nagar, Sawai Madhopur - RSPCB</t>
  </si>
  <si>
    <t>Radhakishan Pura, Sikar - RSPCB</t>
  </si>
  <si>
    <t>Bhoiwada, Dungarpur - RSPCB</t>
  </si>
  <si>
    <t>Housing Board, Hanumangarh - RSPCB</t>
  </si>
  <si>
    <t>Khatikan Mohalla, Dausa - RSPCB</t>
  </si>
  <si>
    <t>Raja Ganj, Dholpur - RSPCB</t>
  </si>
  <si>
    <t>Satyawati Vihar, Karauli - RSPCB</t>
  </si>
  <si>
    <t>Nayapura, Kota - RSPCB</t>
  </si>
  <si>
    <t>Subash Chowk, Churu - RSPCB</t>
  </si>
  <si>
    <t>Perungudi, Chennai - TNPCB</t>
  </si>
  <si>
    <t>Royapuram, Chennai - TNPCB</t>
  </si>
  <si>
    <t>Velachery Res. Area, Chennai - CPCB</t>
  </si>
  <si>
    <t>PSG College of Arts and Science, Coimbatore - TNPCB</t>
  </si>
  <si>
    <t>SIDCO Kurichi, Coimbatore - TNPCB</t>
  </si>
  <si>
    <t>Kamadenu Nagar, Karur - TNPCB</t>
  </si>
  <si>
    <t>Velippalayam, Nagapattinam - TNPCB</t>
  </si>
  <si>
    <t>Ponnusamy Nagar, Namakkal - TNPCB</t>
  </si>
  <si>
    <t>Zero Point GICI, Gangtok - SSPCB</t>
  </si>
  <si>
    <t>Keelapalur, Ariyalur - TNPCB</t>
  </si>
  <si>
    <t>Mendonsa Colony, Dindigul - TNPCB</t>
  </si>
  <si>
    <t>SIPCOT Phase-1, Hosur - TNPCB</t>
  </si>
  <si>
    <t>Old City, Sri Ganganagar - RSPCB</t>
  </si>
  <si>
    <t>Shastri Nagar, Tonk - RSPCB</t>
  </si>
  <si>
    <t>Alandur Bus Depot, Chennai - CPCB</t>
  </si>
  <si>
    <t>Kodungaiyur, Chennai - TNPCB</t>
  </si>
  <si>
    <t>Manali Village, Chennai - TNPCB</t>
  </si>
  <si>
    <t>Manali, Chennai - CPCB</t>
  </si>
  <si>
    <t>Kudikadu, Cuddalore - TNPCB</t>
  </si>
  <si>
    <t>St Joseph College, Tiruchirappalli - TNPCB</t>
  </si>
  <si>
    <t>Municipal Corporation Office, Tirunelveli - TNPCB</t>
  </si>
  <si>
    <t>Kumaran College, Tirupur - TNPCB</t>
  </si>
  <si>
    <t>Collectorate Office, Virudhunagar - TNPCB</t>
  </si>
  <si>
    <t>Kompally Municipal Office, Hyderabad - TSPCB</t>
  </si>
  <si>
    <t>New Malakpet, Hyderabad - TSPCB</t>
  </si>
  <si>
    <t>Ramachandrapuram, Hyderabad - TSPCB</t>
  </si>
  <si>
    <t>Bollaram Industrial Area, Hyderabad - TSPCB</t>
  </si>
  <si>
    <t>ECIL Kapra, Hyderabad - TSPCB</t>
  </si>
  <si>
    <t>IDA Pashamylaram, Hyderabad - TSPCB</t>
  </si>
  <si>
    <t>VOC Nagar_SIPCOT, Ranipet - TNPCB</t>
  </si>
  <si>
    <t>Meelavittan, Thoothukudi - TNPCB</t>
  </si>
  <si>
    <t>Manoharpur, Agra - UPPCB</t>
  </si>
  <si>
    <t>Rohta, Agra - UPPCB</t>
  </si>
  <si>
    <t>Sanjay Palace, Agra - UPPCB</t>
  </si>
  <si>
    <t>Chalai Bazaar, Ramanathapuram - TNPCB</t>
  </si>
  <si>
    <t>Sanathnagar, Hyderabad - TSPCB</t>
  </si>
  <si>
    <t>Somajiguda, Hyderabad - TSPCB</t>
  </si>
  <si>
    <t>Civil Lines, Bareilly - UPPCB</t>
  </si>
  <si>
    <t>Rajendra Nagar, Bareilly - UPPCB</t>
  </si>
  <si>
    <t>Yamunapuram, Bulandshahr - UPPCB</t>
  </si>
  <si>
    <t>Nagla Bhau, Firozabad - UPPCB</t>
  </si>
  <si>
    <t>Vibhab Nagar, Firozabad - UPPCB</t>
  </si>
  <si>
    <t>Indirapuram, Ghaziabad - UPPCB</t>
  </si>
  <si>
    <t>Loni, Ghaziabad - UPPCB</t>
  </si>
  <si>
    <t>Sanjay Nagar, Ghaziabad - UPPCB</t>
  </si>
  <si>
    <t>Vasundhara, Ghaziabad - UPPCB</t>
  </si>
  <si>
    <t>Madan Mohan Malaviya University of Technology, Gorakhpur - UPPCB</t>
  </si>
  <si>
    <t>Sector-3B Avas Vikas Colony, Agra - UPPCB</t>
  </si>
  <si>
    <t>Shahjahan Garden, Agra - UPPCB</t>
  </si>
  <si>
    <t>Knowledge Park - V, Greater Noida - UPPCB</t>
  </si>
  <si>
    <t>Anand Vihar, Hapur - UPPCB</t>
  </si>
  <si>
    <t>Shivaji Nagar, Jhansi - UPPCB</t>
  </si>
  <si>
    <t>NSI Kalyanpur, Kanpur - UPPCB</t>
  </si>
  <si>
    <t>Nehru Nagar, Kanpur - UPPCB</t>
  </si>
  <si>
    <t>Sardar Patel Inter College, Baghpat - UPPCB</t>
  </si>
  <si>
    <t>Kalindi Kunj, Khurja - UPPCB</t>
  </si>
  <si>
    <t>B R Ambedkar University, Lucknow - UPPCB</t>
  </si>
  <si>
    <t>Kukrail Picnic Spot-1, Lucknow - UPPCB</t>
  </si>
  <si>
    <t>Talkatora District Industries Center, Lucknow - CPCB</t>
  </si>
  <si>
    <t>Ganga Nagar, Meerut - UPPCB</t>
  </si>
  <si>
    <t>Buddhi Vihar, Moradabad - UPPCB</t>
  </si>
  <si>
    <t>Eco Herbal Park, Moradabad - UPPCB</t>
  </si>
  <si>
    <t>Jigar Colony, Moradabad - UPPCB</t>
  </si>
  <si>
    <t>Gomti Nagar, Lucknow - UPPCB</t>
  </si>
  <si>
    <t>Kendriya Vidyalaya, Lucknow - CPCB</t>
  </si>
  <si>
    <t>Pallavpuram Phase 2, Meerut - UPPCB</t>
  </si>
  <si>
    <t>Jai Bhim Nagar, Meerut - UPPCB</t>
  </si>
  <si>
    <t>Sector - 125, Noida - UPPCB</t>
  </si>
  <si>
    <t>Transport Nagar, Moradabad - UPPCB</t>
  </si>
  <si>
    <t>Sector-116, Noida - UPPCB</t>
  </si>
  <si>
    <t>Jhunsi, Prayagraj - UPPCB</t>
  </si>
  <si>
    <t>Maldahiya, Varanasi - UPPCB</t>
  </si>
  <si>
    <t>Omex Eternity, Vrindavan - UPPCB</t>
  </si>
  <si>
    <t>Doon University, Dehradun - UKPCB</t>
  </si>
  <si>
    <t>Govt. Girls Inter College, Kashipur - UKPCB</t>
  </si>
  <si>
    <t>PCBL Residential Complex, Durgapur - WBPCB</t>
  </si>
  <si>
    <t>Priyambada Housing Estate, Haldia - WBPCB</t>
  </si>
  <si>
    <t>Belur Math, Howrah - WBPCB</t>
  </si>
  <si>
    <t>Evelyn Lodge, Asansol - WBPCB</t>
  </si>
  <si>
    <t>SVSPA Campus, Barrackpore - WBPCB</t>
  </si>
  <si>
    <t>Mahishkapur Road_B-Zone, Durgapur - WBPCB</t>
  </si>
  <si>
    <t>Botanical Garden, Howrah - WBPCB</t>
  </si>
  <si>
    <t>Dasnagar, Howrah - WBPCB</t>
  </si>
  <si>
    <t>Bhelupur, Varanasi - UPPCB</t>
  </si>
  <si>
    <t>IESD Banaras Hindu University, Varanasi - UPPCB</t>
  </si>
  <si>
    <t>Asansol Court Area, Asansol - WBPCB</t>
  </si>
  <si>
    <t>Ardhali Bazar, Varanasi - UPPCB</t>
  </si>
  <si>
    <t>Ballygunge, Kolkata - WBPCB</t>
  </si>
  <si>
    <t>Bidhannagar, Kolkata - WBPCB</t>
  </si>
  <si>
    <t>Jadavpur, Kolkata - WBPCB</t>
  </si>
  <si>
    <t>Rabindra Bharati University, Kolkata - WBPCB</t>
  </si>
  <si>
    <t>Rabindra Sarobar, Kolkata - WBPCB</t>
  </si>
  <si>
    <t>Victoria, Kolkata - WBPCB</t>
  </si>
  <si>
    <t>Ward-32 Bapupara, Siliguri - WBPCB</t>
  </si>
  <si>
    <t>Anand Kala Kshetram, Rajamahendravaram - APPCB</t>
  </si>
  <si>
    <t>HB Colony, Vijayawada - APPCB</t>
  </si>
  <si>
    <t>Lohiyanagar, Begusarai - BSPCB</t>
  </si>
  <si>
    <t>Yerramukkapalli, Kadapa - APPCB</t>
  </si>
  <si>
    <t>Rajiv Gandhi Park, Vijayawada - APPCB</t>
  </si>
  <si>
    <t>DM Office_Kachari Chowk, Bhagalpur - BSPCB</t>
  </si>
  <si>
    <t>Secretariat, Amaravati - APPCB</t>
  </si>
  <si>
    <t>MIT-Daudpur Kothi, Muzaffarpur - BSPCB</t>
  </si>
  <si>
    <t>Muzaffarpur Collectorate, Muzaffarpur - BSPCB</t>
  </si>
  <si>
    <t>IGSC Planetarium Complex, Patna - BSPCB</t>
  </si>
  <si>
    <t>SFTI Kusdihra, Gaya - BSPCB</t>
  </si>
  <si>
    <t>Gandak Colony, Motihari - BSPCB</t>
  </si>
  <si>
    <t>Anand Vihar, Delhi - DPCC</t>
  </si>
  <si>
    <t>OP Jindal School, Kunjemura - CECB</t>
  </si>
  <si>
    <t>Govt. Higher Secondary School, Milupara - CECB</t>
  </si>
  <si>
    <t>Sector-25, Chandigarh - CPCC</t>
  </si>
  <si>
    <t>32Bungalows, Bhilai - CECB</t>
  </si>
  <si>
    <t>OP Jindal Industrial Park, Tumidih - CECB</t>
  </si>
  <si>
    <t>Burari Crossing, Delhi - IMD</t>
  </si>
  <si>
    <t>DTU, Delhi - CPCB</t>
  </si>
  <si>
    <t xml:space="preserve">Dwarka-Sector 8, Delhi - DPCC </t>
  </si>
  <si>
    <t>Lodhi Road, Delhi - IMD</t>
  </si>
  <si>
    <t>Major Dhyan Chand National Stadium, Delhi - DPCC</t>
  </si>
  <si>
    <t>Mandir Marg, Delhi - DPCC</t>
  </si>
  <si>
    <t>ITO, Delhi - CPCB</t>
  </si>
  <si>
    <t>Jawaharlal Nehru Stadium, Delhi - DPCC</t>
  </si>
  <si>
    <t>Phase-1 GIDC, Vapi - GPCB</t>
  </si>
  <si>
    <t>Phase-4 GIDC, Vatva - GPCB</t>
  </si>
  <si>
    <t>Ramteerth Nagar, Belgaum - KSPCB</t>
  </si>
  <si>
    <t>Hebbal, Bengaluru - KSPCB</t>
  </si>
  <si>
    <t>Sardar Patel Nagar, Dhanbad - JSPCB</t>
  </si>
  <si>
    <t>IIPHG Lekawada, Gandhinagar - IITM</t>
  </si>
  <si>
    <t>GIDC, Nandesari - Nandesari Ind. Association</t>
  </si>
  <si>
    <t>Rakhial, Ahmedabad - IITM</t>
  </si>
  <si>
    <t>Mahatma Basaveswar Colony, Kalaburgi - KSPCB</t>
  </si>
  <si>
    <t>Diwator Nagar, Koppal - KSPCB</t>
  </si>
  <si>
    <t>Kasturi Nagar, Bengaluru - KSPCB</t>
  </si>
  <si>
    <t>Kadri, Mangalore - KSPCB</t>
  </si>
  <si>
    <t>Jayanagar 5th Block, Bengaluru - KSPCB</t>
  </si>
  <si>
    <t>Vinoba Nagara, Shivamogga - KSPCB</t>
  </si>
  <si>
    <t>Shasthri Nagar, Ratlam - IPCA Lab</t>
  </si>
  <si>
    <t>Paryavaran Parisar, Bhopal - MPPCB</t>
  </si>
  <si>
    <t>Thavakkara, Kannur - Kerala PCB</t>
  </si>
  <si>
    <t>Bhopal Chauraha, Dewas - MPPCB</t>
  </si>
  <si>
    <t>Prabhat Colony, Jalgaon - MPCB</t>
  </si>
  <si>
    <t>More Chowk Waluj, Aurangabad - MPCB</t>
  </si>
  <si>
    <t>Sawe Wadi, Latur - MPCB</t>
  </si>
  <si>
    <t>Byculla, Mumbai - BMC</t>
  </si>
  <si>
    <t>Katrap, Badlapur - MPCB</t>
  </si>
  <si>
    <t>Chembur, Mumbai - MPCB</t>
  </si>
  <si>
    <t>Worli, Mumbai - MPCB</t>
  </si>
  <si>
    <t>Opp GPO Civil Lines, Nagpur - MPCB</t>
  </si>
  <si>
    <t>Kurla, Mumbai - MPCB</t>
  </si>
  <si>
    <t>Ratandeep Housing Society, Solapur - MPCB</t>
  </si>
  <si>
    <t>Kasarvadavali, Thane - MPCB</t>
  </si>
  <si>
    <t>Savta Mali Nagar, Pimpri-Chinchwad - IITM</t>
  </si>
  <si>
    <t>Karve Road, Pune - MPCB</t>
  </si>
  <si>
    <t>Kopripada-Vashi, Navi Mumbai - MPCB</t>
  </si>
  <si>
    <t>Bolinj, Virar - MPCB</t>
  </si>
  <si>
    <t>Barsua Iron Ore Mines, Tensa - OSPCB</t>
  </si>
  <si>
    <t>Hardev Nagar, Bathinda - PPCB</t>
  </si>
  <si>
    <t>Civil Line, Jalandhar - PPCB</t>
  </si>
  <si>
    <t>PWD Juction, Kohima - NPCB</t>
  </si>
  <si>
    <t>Hakimapada, Angul - OSPCB</t>
  </si>
  <si>
    <t>JN Stadium, Shillong - Meghalaya PCB</t>
  </si>
  <si>
    <t>Lumpyngngad, Shillong - Meghalaya PCB</t>
  </si>
  <si>
    <t>Mansarovar Sector-12, Jaipur - RSPCB</t>
  </si>
  <si>
    <t>RIICO Ind. Area III, Bhiwadi - RSPCB</t>
  </si>
  <si>
    <t>Shrinath Puram, Kota - RSPCB</t>
  </si>
  <si>
    <t>Karni Colony, Nagaur - RSPCB</t>
  </si>
  <si>
    <t>Samrat Ashok Udhyan, Jodhpur - RSPCB</t>
  </si>
  <si>
    <t>Dhanmandi, Kota - RSPCB</t>
  </si>
  <si>
    <t>Vedhaynath Colony, Sirohi - RSPCB</t>
  </si>
  <si>
    <t>Ashok Nagar, Udaipur - RSPCB</t>
  </si>
  <si>
    <t>Digari Kalan, Jodhpur - RSPCB</t>
  </si>
  <si>
    <t>Crescent University, Chengalpattu - TNPCB</t>
  </si>
  <si>
    <t>Anthoni Pillai Nagar, Gummidipoondi - TNPCB</t>
  </si>
  <si>
    <t>Kilambi, Kanchipuram - TNPCB</t>
  </si>
  <si>
    <t>Sona College of Technology, Salem - TNPCB</t>
  </si>
  <si>
    <t>Parisutham Nagar, Thanjavur - TNPCB</t>
  </si>
  <si>
    <t>Uchapatti, Madurai - TNPCB</t>
  </si>
  <si>
    <t>Bharathidasan University, Palkalaiperur - TNPCB</t>
  </si>
  <si>
    <t>SIPCOT Nathampannai, Pudukottai - TNPCB</t>
  </si>
  <si>
    <t>Semmandalam, Cuddalore - TNPCB</t>
  </si>
  <si>
    <t>Vasanthapuram, Vellore - TNPCB</t>
  </si>
  <si>
    <t>Central University, Hyderabad - TSPCB</t>
  </si>
  <si>
    <t>ICRISAT Patancheru, Hyderabad - TSPCB</t>
  </si>
  <si>
    <t>Shastripuram, Agra - UPPCB</t>
  </si>
  <si>
    <t>IITH Kandi, Hyderabad - TSPCB</t>
  </si>
  <si>
    <t>Zoo Park, Hyderabad - TSPCB</t>
  </si>
  <si>
    <t>Bardowali, Agartala - Tripura SPCB</t>
  </si>
  <si>
    <t>Lalbagh, Lucknow - CPCB</t>
  </si>
  <si>
    <t>FTI Kidwai Nagar, Kanpur - UPPCB</t>
  </si>
  <si>
    <t>Knowledge Park - III, Greater Noida - UPPCB</t>
  </si>
  <si>
    <t>Motilal Nehru NIT, Prayagraj - UPPCB</t>
  </si>
  <si>
    <t>Nagar Nigam, Prayagraj - UPPCB</t>
  </si>
  <si>
    <t>Employment Office, Moradabad - UPPCB</t>
  </si>
  <si>
    <t>Kashiram Nagar, Moradabad - UPPCB</t>
  </si>
  <si>
    <t>New Mandi, Muzaffarnagar - UPPCB</t>
  </si>
  <si>
    <t>Sector-1, Noida - UPPCB</t>
  </si>
  <si>
    <t>Mahabir Colliery, Asansol - WBPCB</t>
  </si>
  <si>
    <t>Trivenidevi Bhalotia College, Asansol - WBPCB</t>
  </si>
  <si>
    <t>Ghusuri, Howrah - WBPCB</t>
  </si>
  <si>
    <t>Padmapukur, Howrah - WBPCB</t>
  </si>
  <si>
    <t>Shivaji Nagar, Rishikesh - UKPCB</t>
  </si>
  <si>
    <t>Railway Colony, Guwahati - PCBA</t>
  </si>
  <si>
    <t>Collectorate, Gaya - BSPCB</t>
  </si>
  <si>
    <t>Okhla Phase-2, Delhi - DPCC</t>
  </si>
  <si>
    <t>Sanegurava Halli, Bengaluru - KSPCB</t>
  </si>
  <si>
    <t>Mahakaleshwar Temple, Ujjain - MPPCB</t>
  </si>
  <si>
    <t>Borivali East, Mumbai - MPCB</t>
  </si>
  <si>
    <t>Siddharth Nagar-Worli, Mumbai - IITM</t>
  </si>
  <si>
    <t>Vijay Nagar, Sangli - MPCB</t>
  </si>
  <si>
    <t>Adarsh Nagar, Jaipur - RSPCB</t>
  </si>
  <si>
    <t>Bombay Castel, Ooty - TNPCB</t>
  </si>
  <si>
    <t>GIFT City, Gandhinagar - IITM</t>
  </si>
  <si>
    <t>Sion, Mumbai - MPCB</t>
  </si>
  <si>
    <t>Deonar, Mumbai - IITM</t>
  </si>
  <si>
    <t>OZONE</t>
  </si>
  <si>
    <t>PM10</t>
  </si>
  <si>
    <t>NO2</t>
  </si>
  <si>
    <t>NH3</t>
  </si>
  <si>
    <t>SO2</t>
  </si>
  <si>
    <t>PM2.5</t>
  </si>
  <si>
    <t>CO</t>
  </si>
  <si>
    <t>Row Labels</t>
  </si>
  <si>
    <t>Grand Total</t>
  </si>
  <si>
    <t>Average of pollutant_avg</t>
  </si>
  <si>
    <t>(All)</t>
  </si>
  <si>
    <t>(blank)</t>
  </si>
  <si>
    <t>average_pollution</t>
  </si>
  <si>
    <t xml:space="preserve">REAL TIME AIR QUALITY INDEX </t>
  </si>
  <si>
    <t>Average of pollutant_max</t>
  </si>
  <si>
    <t>`</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</si>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</sst>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F800]dddd\,\ mmmm\ dd\,\ yyyy"/>
  </numFmts>
  <fonts count="5" x14ac:knownFonts="1">
    <font>
      <sz val="11"/>
      <color theme="1"/>
      <name val="Calibri"/>
      <family val="2"/>
      <scheme val="minor"/>
    </font>
    <font>
      <b/>
      <sz val="11"/>
      <color theme="1"/>
      <name val="Calibri"/>
      <family val="2"/>
      <scheme val="minor"/>
    </font>
    <font>
      <sz val="14"/>
      <color theme="1"/>
      <name val="Calibri"/>
      <family val="2"/>
      <scheme val="minor"/>
    </font>
    <font>
      <b/>
      <sz val="24"/>
      <color theme="2"/>
      <name val="Abadi"/>
      <family val="2"/>
    </font>
    <font>
      <sz val="11"/>
      <color theme="2"/>
      <name val="Calibri"/>
      <family val="2"/>
      <scheme val="minor"/>
    </font>
  </fonts>
  <fills count="4">
    <fill>
      <patternFill patternType="none"/>
    </fill>
    <fill>
      <patternFill patternType="gray125"/>
    </fill>
    <fill>
      <patternFill patternType="solid">
        <fgColor theme="2"/>
        <bgColor indexed="64"/>
      </patternFill>
    </fill>
    <fill>
      <patternFill patternType="solid">
        <fgColor theme="1"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1" fillId="0" borderId="1" xfId="0" applyNumberFormat="1" applyFont="1" applyBorder="1" applyAlignment="1">
      <alignment horizontal="center" vertical="top"/>
    </xf>
    <xf numFmtId="165" fontId="0" fillId="0" borderId="0" xfId="0" applyNumberFormat="1"/>
    <xf numFmtId="0" fontId="4" fillId="2" borderId="0" xfId="0" applyFont="1" applyFill="1"/>
    <xf numFmtId="0" fontId="4" fillId="3" borderId="0" xfId="0" applyFont="1" applyFill="1"/>
    <xf numFmtId="0" fontId="0" fillId="2" borderId="0" xfId="0" applyFill="1"/>
    <xf numFmtId="0" fontId="2" fillId="2" borderId="0" xfId="0" applyFont="1" applyFill="1"/>
    <xf numFmtId="0" fontId="3" fillId="3"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Index.xlsx]Sheet10!PivotTable7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Pollution by Pollutant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BB8-48A8-A269-AFA8763FB4E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BB8-48A8-A269-AFA8763FB4E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BB8-48A8-A269-AFA8763FB4E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BB8-48A8-A269-AFA8763FB4E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BB8-48A8-A269-AFA8763FB4E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BB8-48A8-A269-AFA8763FB4E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BB8-48A8-A269-AFA8763FB4E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BB8-48A8-A269-AFA8763FB4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Sheet10!$A$4:$A$12</c:f>
              <c:strCache>
                <c:ptCount val="8"/>
                <c:pt idx="0">
                  <c:v>CO</c:v>
                </c:pt>
                <c:pt idx="1">
                  <c:v>NH3</c:v>
                </c:pt>
                <c:pt idx="2">
                  <c:v>NO2</c:v>
                </c:pt>
                <c:pt idx="3">
                  <c:v>OZONE</c:v>
                </c:pt>
                <c:pt idx="4">
                  <c:v>PM10</c:v>
                </c:pt>
                <c:pt idx="5">
                  <c:v>PM2.5</c:v>
                </c:pt>
                <c:pt idx="6">
                  <c:v>SO2</c:v>
                </c:pt>
                <c:pt idx="7">
                  <c:v>(blank)</c:v>
                </c:pt>
              </c:strCache>
            </c:strRef>
          </c:cat>
          <c:val>
            <c:numRef>
              <c:f>Sheet10!$B$4:$B$12</c:f>
              <c:numCache>
                <c:formatCode>General</c:formatCode>
                <c:ptCount val="8"/>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00-556A-422E-BC0D-33CEA3EFC97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Index.xlsx]chart!PivotTable2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55-4CB1-8322-9DA0E663F6BF}"/>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chart!$A$4:$A$36</c:f>
              <c:strCache>
                <c:ptCount val="32"/>
                <c:pt idx="0">
                  <c:v>Andaman and Nicobar</c:v>
                </c:pt>
                <c:pt idx="1">
                  <c:v>Andhra_Pradesh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pt idx="31">
                  <c:v>(blank)</c:v>
                </c:pt>
              </c:strCache>
            </c:strRef>
          </c:cat>
          <c:val>
            <c:numRef>
              <c:f>chart!$B$4:$B$36</c:f>
              <c:numCache>
                <c:formatCode>General</c:formatCode>
                <c:ptCount val="32"/>
                <c:pt idx="0">
                  <c:v>34.714285714285715</c:v>
                </c:pt>
                <c:pt idx="1">
                  <c:v>49.578313253012048</c:v>
                </c:pt>
                <c:pt idx="2">
                  <c:v>74.65384615384616</c:v>
                </c:pt>
                <c:pt idx="3">
                  <c:v>89.015706806282722</c:v>
                </c:pt>
                <c:pt idx="4">
                  <c:v>98.8125</c:v>
                </c:pt>
                <c:pt idx="5">
                  <c:v>79.902439024390247</c:v>
                </c:pt>
                <c:pt idx="6">
                  <c:v>172.40416666666667</c:v>
                </c:pt>
                <c:pt idx="7">
                  <c:v>103.86734693877551</c:v>
                </c:pt>
                <c:pt idx="8">
                  <c:v>100.58333333333333</c:v>
                </c:pt>
                <c:pt idx="9">
                  <c:v>133.42857142857142</c:v>
                </c:pt>
                <c:pt idx="10">
                  <c:v>34.333333333333336</c:v>
                </c:pt>
                <c:pt idx="11">
                  <c:v>161.6</c:v>
                </c:pt>
                <c:pt idx="12">
                  <c:v>40.497326203208559</c:v>
                </c:pt>
                <c:pt idx="13">
                  <c:v>29.818181818181817</c:v>
                </c:pt>
                <c:pt idx="14">
                  <c:v>107.49685534591195</c:v>
                </c:pt>
                <c:pt idx="15">
                  <c:v>81.180582524271841</c:v>
                </c:pt>
                <c:pt idx="17">
                  <c:v>87.222222222222229</c:v>
                </c:pt>
                <c:pt idx="18">
                  <c:v>28.166666666666668</c:v>
                </c:pt>
                <c:pt idx="19">
                  <c:v>83.857142857142861</c:v>
                </c:pt>
                <c:pt idx="20">
                  <c:v>82.383177570093451</c:v>
                </c:pt>
                <c:pt idx="21">
                  <c:v>43.571428571428569</c:v>
                </c:pt>
                <c:pt idx="22">
                  <c:v>83.958333333333329</c:v>
                </c:pt>
                <c:pt idx="23">
                  <c:v>111.49520766773163</c:v>
                </c:pt>
                <c:pt idx="24">
                  <c:v>85.5</c:v>
                </c:pt>
                <c:pt idx="25">
                  <c:v>34.873096446700508</c:v>
                </c:pt>
                <c:pt idx="26">
                  <c:v>51.028169014084504</c:v>
                </c:pt>
                <c:pt idx="27">
                  <c:v>53.857142857142854</c:v>
                </c:pt>
                <c:pt idx="28">
                  <c:v>109.23547400611621</c:v>
                </c:pt>
                <c:pt idx="29">
                  <c:v>82.95</c:v>
                </c:pt>
                <c:pt idx="30">
                  <c:v>67.710144927536234</c:v>
                </c:pt>
              </c:numCache>
            </c:numRef>
          </c:val>
          <c:extLst>
            <c:ext xmlns:c16="http://schemas.microsoft.com/office/drawing/2014/chart" uri="{C3380CC4-5D6E-409C-BE32-E72D297353CC}">
              <c16:uniqueId val="{00000000-3D03-427D-A770-B278B87F953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Polluted Cities/Stations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8"/>
              <c:pt idx="0">
                <c:v>Ahmedabad Rakhial, Ahmedabad - IITM</c:v>
              </c:pt>
              <c:pt idx="1">
                <c:v>Ahmedabad Chandkheda, Ahmedabad - IITM</c:v>
              </c:pt>
              <c:pt idx="2">
                <c:v>Ahmedabad Raikhad, Ahmedabad - IITM</c:v>
              </c:pt>
              <c:pt idx="3">
                <c:v>Ahmedabad Sardar Vallabhbhai Patel Stadium, Ahmedabad - IITM</c:v>
              </c:pt>
              <c:pt idx="4">
                <c:v>Ahmedabad Maninagar, Ahmedabad - GPCB</c:v>
              </c:pt>
              <c:pt idx="5">
                <c:v>Ahmedabad SVPI Airport Hansol, Ahmedabad - IITM</c:v>
              </c:pt>
              <c:pt idx="6">
                <c:v>Ahmedabad SAC ISRO Bopal, Ahmedabad - IITM</c:v>
              </c:pt>
              <c:pt idx="7">
                <c:v>Ahmedabad Gyaspur, Ahmedabad - IITM</c:v>
              </c:pt>
            </c:strLit>
          </c:cat>
          <c:val>
            <c:numLit>
              <c:formatCode>General</c:formatCode>
              <c:ptCount val="8"/>
              <c:pt idx="0">
                <c:v>164</c:v>
              </c:pt>
              <c:pt idx="1">
                <c:v>65</c:v>
              </c:pt>
              <c:pt idx="2">
                <c:v>61</c:v>
              </c:pt>
              <c:pt idx="3">
                <c:v>53</c:v>
              </c:pt>
              <c:pt idx="4">
                <c:v>47</c:v>
              </c:pt>
              <c:pt idx="5">
                <c:v>39</c:v>
              </c:pt>
              <c:pt idx="6">
                <c:v>28</c:v>
              </c:pt>
              <c:pt idx="7">
                <c:v>18</c:v>
              </c:pt>
            </c:numLit>
          </c:val>
          <c:extLst>
            <c:ext xmlns:c16="http://schemas.microsoft.com/office/drawing/2014/chart" uri="{C3380CC4-5D6E-409C-BE32-E72D297353CC}">
              <c16:uniqueId val="{00000000-A59D-4EDD-8086-BAB4D8798196}"/>
            </c:ext>
          </c:extLst>
        </c:ser>
        <c:dLbls>
          <c:showLegendKey val="0"/>
          <c:showVal val="0"/>
          <c:showCatName val="0"/>
          <c:showSerName val="0"/>
          <c:showPercent val="0"/>
          <c:showBubbleSize val="0"/>
        </c:dLbls>
        <c:gapWidth val="219"/>
        <c:overlap val="-27"/>
        <c:axId val="1668122448"/>
        <c:axId val="1668123888"/>
      </c:barChart>
      <c:catAx>
        <c:axId val="166812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23888"/>
        <c:crosses val="autoZero"/>
        <c:auto val="1"/>
        <c:lblAlgn val="ctr"/>
        <c:lblOffset val="100"/>
        <c:noMultiLvlLbl val="0"/>
      </c:catAx>
      <c:valAx>
        <c:axId val="166812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2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Index.xlsx]Sheet6!PivotTable3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Pollution Level by Pollutant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Sheet6!$A$4:$A$11</c:f>
              <c:strCache>
                <c:ptCount val="7"/>
                <c:pt idx="0">
                  <c:v>CO</c:v>
                </c:pt>
                <c:pt idx="1">
                  <c:v>NH3</c:v>
                </c:pt>
                <c:pt idx="2">
                  <c:v>NO2</c:v>
                </c:pt>
                <c:pt idx="3">
                  <c:v>OZONE</c:v>
                </c:pt>
                <c:pt idx="4">
                  <c:v>PM10</c:v>
                </c:pt>
                <c:pt idx="5">
                  <c:v>PM2.5</c:v>
                </c:pt>
                <c:pt idx="6">
                  <c:v>SO2</c:v>
                </c:pt>
              </c:strCache>
            </c:strRef>
          </c:cat>
          <c:val>
            <c:numRef>
              <c:f>Sheet6!$B$4:$B$11</c:f>
              <c:numCache>
                <c:formatCode>General</c:formatCode>
                <c:ptCount val="7"/>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00-CEF2-471A-B839-E3295CCB4D5B}"/>
            </c:ext>
          </c:extLst>
        </c:ser>
        <c:dLbls>
          <c:showLegendKey val="0"/>
          <c:showVal val="0"/>
          <c:showCatName val="0"/>
          <c:showSerName val="0"/>
          <c:showPercent val="0"/>
          <c:showBubbleSize val="0"/>
        </c:dLbls>
        <c:gapWidth val="219"/>
        <c:overlap val="-27"/>
        <c:axId val="1406361791"/>
        <c:axId val="1406356991"/>
      </c:barChart>
      <c:catAx>
        <c:axId val="140636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356991"/>
        <c:crosses val="autoZero"/>
        <c:auto val="1"/>
        <c:lblAlgn val="ctr"/>
        <c:lblOffset val="100"/>
        <c:noMultiLvlLbl val="0"/>
      </c:catAx>
      <c:valAx>
        <c:axId val="140635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36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Top 10 Polluted Cities/Stations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70000"/>
            </a:schemeClr>
          </a:solidFill>
          <a:ln>
            <a:noFill/>
          </a:ln>
          <a:effectLst/>
        </c:spPr>
        <c:marker>
          <c:spPr>
            <a:solidFill>
              <a:schemeClr val="accent1">
                <a:alpha val="70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70000"/>
              </a:schemeClr>
            </a:solidFill>
            <a:ln>
              <a:noFill/>
            </a:ln>
            <a:effectLst/>
          </c:spPr>
          <c:invertIfNegative val="0"/>
          <c:cat>
            <c:strLit>
              <c:ptCount val="3"/>
              <c:pt idx="0">
                <c:v>Baghpat</c:v>
              </c:pt>
              <c:pt idx="1">
                <c:v>Amritsar</c:v>
              </c:pt>
              <c:pt idx="2">
                <c:v>Bagalkot</c:v>
              </c:pt>
            </c:strLit>
          </c:cat>
          <c:val>
            <c:numLit>
              <c:formatCode>General</c:formatCode>
              <c:ptCount val="3"/>
              <c:pt idx="0">
                <c:v>92</c:v>
              </c:pt>
              <c:pt idx="1">
                <c:v>58</c:v>
              </c:pt>
              <c:pt idx="2">
                <c:v>29.5</c:v>
              </c:pt>
            </c:numLit>
          </c:val>
          <c:extLst>
            <c:ext xmlns:c16="http://schemas.microsoft.com/office/drawing/2014/chart" uri="{C3380CC4-5D6E-409C-BE32-E72D297353CC}">
              <c16:uniqueId val="{00000000-C854-4B92-BE30-B97E033F57AE}"/>
            </c:ext>
          </c:extLst>
        </c:ser>
        <c:dLbls>
          <c:showLegendKey val="0"/>
          <c:showVal val="0"/>
          <c:showCatName val="0"/>
          <c:showSerName val="0"/>
          <c:showPercent val="0"/>
          <c:showBubbleSize val="0"/>
        </c:dLbls>
        <c:gapWidth val="80"/>
        <c:overlap val="25"/>
        <c:axId val="1406409791"/>
        <c:axId val="1406410751"/>
      </c:barChart>
      <c:catAx>
        <c:axId val="140640979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6410751"/>
        <c:crosses val="autoZero"/>
        <c:auto val="1"/>
        <c:lblAlgn val="ctr"/>
        <c:lblOffset val="100"/>
        <c:noMultiLvlLbl val="0"/>
      </c:catAx>
      <c:valAx>
        <c:axId val="140641075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640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Index.xlsx]Sheet6!PivotTable3</c:name>
    <c:fmtId val="1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Average Pollution Level by Pollutant</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alpha val="70000"/>
              </a:schemeClr>
            </a:solidFill>
            <a:ln>
              <a:noFill/>
            </a:ln>
            <a:effectLst/>
          </c:spPr>
          <c:invertIfNegative val="0"/>
          <c:cat>
            <c:strRef>
              <c:f>Sheet6!$A$4:$A$11</c:f>
              <c:strCache>
                <c:ptCount val="7"/>
                <c:pt idx="0">
                  <c:v>CO</c:v>
                </c:pt>
                <c:pt idx="1">
                  <c:v>NH3</c:v>
                </c:pt>
                <c:pt idx="2">
                  <c:v>NO2</c:v>
                </c:pt>
                <c:pt idx="3">
                  <c:v>OZONE</c:v>
                </c:pt>
                <c:pt idx="4">
                  <c:v>PM10</c:v>
                </c:pt>
                <c:pt idx="5">
                  <c:v>PM2.5</c:v>
                </c:pt>
                <c:pt idx="6">
                  <c:v>SO2</c:v>
                </c:pt>
              </c:strCache>
            </c:strRef>
          </c:cat>
          <c:val>
            <c:numRef>
              <c:f>Sheet6!$B$4:$B$11</c:f>
              <c:numCache>
                <c:formatCode>General</c:formatCode>
                <c:ptCount val="7"/>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00-50C8-4D43-BB6E-C1CC912992A4}"/>
            </c:ext>
          </c:extLst>
        </c:ser>
        <c:dLbls>
          <c:showLegendKey val="0"/>
          <c:showVal val="0"/>
          <c:showCatName val="0"/>
          <c:showSerName val="0"/>
          <c:showPercent val="0"/>
          <c:showBubbleSize val="0"/>
        </c:dLbls>
        <c:gapWidth val="80"/>
        <c:overlap val="25"/>
        <c:axId val="1406361791"/>
        <c:axId val="1406356991"/>
      </c:barChart>
      <c:catAx>
        <c:axId val="140636179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6356991"/>
        <c:crosses val="autoZero"/>
        <c:auto val="1"/>
        <c:lblAlgn val="ctr"/>
        <c:lblOffset val="100"/>
        <c:noMultiLvlLbl val="0"/>
      </c:catAx>
      <c:valAx>
        <c:axId val="140635699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636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Index.xlsx]Sheet10!PivotTable7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Pollution by Pollutant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AFE-4A05-89EC-6DC49F24703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AFE-4A05-89EC-6DC49F24703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AFE-4A05-89EC-6DC49F24703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AFE-4A05-89EC-6DC49F24703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AFE-4A05-89EC-6DC49F24703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AFE-4A05-89EC-6DC49F24703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AFE-4A05-89EC-6DC49F24703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AFE-4A05-89EC-6DC49F2470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Sheet10!$A$4:$A$12</c:f>
              <c:strCache>
                <c:ptCount val="8"/>
                <c:pt idx="0">
                  <c:v>CO</c:v>
                </c:pt>
                <c:pt idx="1">
                  <c:v>NH3</c:v>
                </c:pt>
                <c:pt idx="2">
                  <c:v>NO2</c:v>
                </c:pt>
                <c:pt idx="3">
                  <c:v>OZONE</c:v>
                </c:pt>
                <c:pt idx="4">
                  <c:v>PM10</c:v>
                </c:pt>
                <c:pt idx="5">
                  <c:v>PM2.5</c:v>
                </c:pt>
                <c:pt idx="6">
                  <c:v>SO2</c:v>
                </c:pt>
                <c:pt idx="7">
                  <c:v>(blank)</c:v>
                </c:pt>
              </c:strCache>
            </c:strRef>
          </c:cat>
          <c:val>
            <c:numRef>
              <c:f>Sheet10!$B$4:$B$12</c:f>
              <c:numCache>
                <c:formatCode>General</c:formatCode>
                <c:ptCount val="8"/>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10-EAFE-4A05-89EC-6DC49F247037}"/>
            </c:ext>
          </c:extLst>
        </c:ser>
        <c:dLbls>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[Real Time Air Quality Index.xlsx]Sheet10!PivotTable7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Pollution by Pollutant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spPr>
          <a:solidFill>
            <a:schemeClr val="accent5"/>
          </a:solidFill>
          <a:ln w="1905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5"/>
          </a:solidFill>
          <a:ln w="19050">
            <a:solidFill>
              <a:schemeClr val="lt1"/>
            </a:solidFill>
          </a:ln>
          <a:effectLst/>
          <a:sp3d contourW="25400">
            <a:contourClr>
              <a:schemeClr val="lt1"/>
            </a:contourClr>
          </a:sp3d>
        </c:spPr>
      </c:pivotFmt>
      <c:pivotFmt>
        <c:idx val="30"/>
        <c:spPr>
          <a:solidFill>
            <a:schemeClr val="accent5"/>
          </a:solidFill>
          <a:ln w="19050">
            <a:solidFill>
              <a:schemeClr val="lt1"/>
            </a:solidFill>
          </a:ln>
          <a:effectLst/>
          <a:sp3d contourW="25400">
            <a:contourClr>
              <a:schemeClr val="lt1"/>
            </a:contourClr>
          </a:sp3d>
        </c:spPr>
      </c:pivotFmt>
      <c:pivotFmt>
        <c:idx val="31"/>
        <c:spPr>
          <a:solidFill>
            <a:schemeClr val="accent5"/>
          </a:solidFill>
          <a:ln w="19050">
            <a:solidFill>
              <a:schemeClr val="lt1"/>
            </a:solidFill>
          </a:ln>
          <a:effectLst/>
          <a:sp3d contourW="25400">
            <a:contourClr>
              <a:schemeClr val="lt1"/>
            </a:contourClr>
          </a:sp3d>
        </c:spPr>
      </c:pivotFmt>
      <c:pivotFmt>
        <c:idx val="32"/>
        <c:spPr>
          <a:solidFill>
            <a:schemeClr val="accent5"/>
          </a:solidFill>
          <a:ln w="19050">
            <a:solidFill>
              <a:schemeClr val="lt1"/>
            </a:solidFill>
          </a:ln>
          <a:effectLst/>
          <a:sp3d contourW="25400">
            <a:contourClr>
              <a:schemeClr val="lt1"/>
            </a:contourClr>
          </a:sp3d>
        </c:spPr>
      </c:pivotFmt>
      <c:pivotFmt>
        <c:idx val="33"/>
        <c:spPr>
          <a:solidFill>
            <a:schemeClr val="accent5"/>
          </a:solidFill>
          <a:ln w="19050">
            <a:solidFill>
              <a:schemeClr val="lt1"/>
            </a:solidFill>
          </a:ln>
          <a:effectLst/>
          <a:sp3d contourW="25400">
            <a:contourClr>
              <a:schemeClr val="lt1"/>
            </a:contourClr>
          </a:sp3d>
        </c:spPr>
      </c:pivotFmt>
      <c:pivotFmt>
        <c:idx val="34"/>
        <c:spPr>
          <a:solidFill>
            <a:schemeClr val="accent5"/>
          </a:solidFill>
          <a:ln w="19050">
            <a:solidFill>
              <a:schemeClr val="lt1"/>
            </a:solidFill>
          </a:ln>
          <a:effectLst/>
          <a:sp3d contourW="25400">
            <a:contourClr>
              <a:schemeClr val="lt1"/>
            </a:contourClr>
          </a:sp3d>
        </c:spPr>
      </c:pivotFmt>
      <c:pivotFmt>
        <c:idx val="35"/>
        <c:spPr>
          <a:solidFill>
            <a:schemeClr val="accent5"/>
          </a:solidFill>
          <a:ln w="19050">
            <a:solidFill>
              <a:schemeClr val="lt1"/>
            </a:solidFill>
          </a:ln>
          <a:effectLst/>
          <a:sp3d contourW="25400">
            <a:contourClr>
              <a:schemeClr val="lt1"/>
            </a:contourClr>
          </a:sp3d>
        </c:spPr>
      </c:pivotFmt>
      <c:pivotFmt>
        <c:idx val="36"/>
        <c:spPr>
          <a:solidFill>
            <a:schemeClr val="accent5"/>
          </a:solidFill>
          <a:ln w="19050">
            <a:solidFill>
              <a:schemeClr val="lt1"/>
            </a:solidFill>
          </a:ln>
          <a:effectLst/>
          <a:sp3d contourW="25400">
            <a:contourClr>
              <a:schemeClr val="lt1"/>
            </a:contourClr>
          </a:sp3d>
        </c:spPr>
      </c:pivotFmt>
      <c:pivotFmt>
        <c:idx val="37"/>
        <c:spPr>
          <a:solidFill>
            <a:schemeClr val="accent5"/>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8"/>
        <c:spPr>
          <a:solidFill>
            <a:schemeClr val="accent5"/>
          </a:solidFill>
          <a:ln w="19050">
            <a:solidFill>
              <a:schemeClr val="lt1"/>
            </a:solidFill>
          </a:ln>
          <a:effectLst/>
          <a:sp3d contourW="25400">
            <a:contourClr>
              <a:schemeClr val="lt1"/>
            </a:contourClr>
          </a:sp3d>
        </c:spPr>
      </c:pivotFmt>
      <c:pivotFmt>
        <c:idx val="39"/>
        <c:spPr>
          <a:solidFill>
            <a:schemeClr val="accent5"/>
          </a:solidFill>
          <a:ln w="19050">
            <a:solidFill>
              <a:schemeClr val="lt1"/>
            </a:solidFill>
          </a:ln>
          <a:effectLst/>
          <a:sp3d contourW="25400">
            <a:contourClr>
              <a:schemeClr val="lt1"/>
            </a:contourClr>
          </a:sp3d>
        </c:spPr>
      </c:pivotFmt>
      <c:pivotFmt>
        <c:idx val="40"/>
        <c:spPr>
          <a:solidFill>
            <a:schemeClr val="accent5"/>
          </a:solidFill>
          <a:ln w="19050">
            <a:solidFill>
              <a:schemeClr val="lt1"/>
            </a:solidFill>
          </a:ln>
          <a:effectLst/>
          <a:sp3d contourW="25400">
            <a:contourClr>
              <a:schemeClr val="lt1"/>
            </a:contourClr>
          </a:sp3d>
        </c:spPr>
      </c:pivotFmt>
      <c:pivotFmt>
        <c:idx val="41"/>
        <c:spPr>
          <a:solidFill>
            <a:schemeClr val="accent5"/>
          </a:solidFill>
          <a:ln w="19050">
            <a:solidFill>
              <a:schemeClr val="lt1"/>
            </a:solidFill>
          </a:ln>
          <a:effectLst/>
          <a:sp3d contourW="25400">
            <a:contourClr>
              <a:schemeClr val="lt1"/>
            </a:contourClr>
          </a:sp3d>
        </c:spPr>
      </c:pivotFmt>
      <c:pivotFmt>
        <c:idx val="42"/>
        <c:spPr>
          <a:solidFill>
            <a:schemeClr val="accent5"/>
          </a:solidFill>
          <a:ln w="19050">
            <a:solidFill>
              <a:schemeClr val="lt1"/>
            </a:solidFill>
          </a:ln>
          <a:effectLst/>
          <a:sp3d contourW="25400">
            <a:contourClr>
              <a:schemeClr val="lt1"/>
            </a:contourClr>
          </a:sp3d>
        </c:spPr>
      </c:pivotFmt>
      <c:pivotFmt>
        <c:idx val="43"/>
        <c:spPr>
          <a:solidFill>
            <a:schemeClr val="accent5"/>
          </a:solidFill>
          <a:ln w="19050">
            <a:solidFill>
              <a:schemeClr val="lt1"/>
            </a:solidFill>
          </a:ln>
          <a:effectLst/>
          <a:sp3d contourW="25400">
            <a:contourClr>
              <a:schemeClr val="lt1"/>
            </a:contourClr>
          </a:sp3d>
        </c:spPr>
      </c:pivotFmt>
      <c:pivotFmt>
        <c:idx val="44"/>
        <c:spPr>
          <a:solidFill>
            <a:schemeClr val="accent5"/>
          </a:solidFill>
          <a:ln w="19050">
            <a:solidFill>
              <a:schemeClr val="lt1"/>
            </a:solidFill>
          </a:ln>
          <a:effectLst/>
          <a:sp3d contourW="25400">
            <a:contourClr>
              <a:schemeClr val="lt1"/>
            </a:contourClr>
          </a:sp3d>
        </c:spPr>
      </c:pivotFmt>
      <c:pivotFmt>
        <c:idx val="45"/>
        <c:spPr>
          <a:solidFill>
            <a:schemeClr val="accent5"/>
          </a:solidFill>
          <a:ln w="19050">
            <a:solidFill>
              <a:schemeClr val="lt1"/>
            </a:solidFill>
          </a:ln>
          <a:effectLst/>
          <a:sp3d contourW="25400">
            <a:contourClr>
              <a:schemeClr val="lt1"/>
            </a:contourClr>
          </a:sp3d>
        </c:spPr>
      </c:pivotFmt>
      <c:pivotFmt>
        <c:idx val="46"/>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7"/>
        <c:spPr>
          <a:solidFill>
            <a:schemeClr val="accent5">
              <a:shade val="45000"/>
            </a:schemeClr>
          </a:solidFill>
          <a:ln w="25400">
            <a:solidFill>
              <a:schemeClr val="lt1"/>
            </a:solidFill>
          </a:ln>
          <a:effectLst/>
          <a:sp3d contourW="25400">
            <a:contourClr>
              <a:schemeClr val="lt1"/>
            </a:contourClr>
          </a:sp3d>
        </c:spPr>
      </c:pivotFmt>
      <c:pivotFmt>
        <c:idx val="48"/>
        <c:spPr>
          <a:solidFill>
            <a:schemeClr val="accent5">
              <a:shade val="61000"/>
            </a:schemeClr>
          </a:solidFill>
          <a:ln w="25400">
            <a:solidFill>
              <a:schemeClr val="lt1"/>
            </a:solidFill>
          </a:ln>
          <a:effectLst/>
          <a:sp3d contourW="25400">
            <a:contourClr>
              <a:schemeClr val="lt1"/>
            </a:contourClr>
          </a:sp3d>
        </c:spPr>
      </c:pivotFmt>
      <c:pivotFmt>
        <c:idx val="49"/>
        <c:spPr>
          <a:solidFill>
            <a:schemeClr val="accent5">
              <a:shade val="76000"/>
            </a:schemeClr>
          </a:solidFill>
          <a:ln w="25400">
            <a:solidFill>
              <a:schemeClr val="lt1"/>
            </a:solidFill>
          </a:ln>
          <a:effectLst/>
          <a:sp3d contourW="25400">
            <a:contourClr>
              <a:schemeClr val="lt1"/>
            </a:contourClr>
          </a:sp3d>
        </c:spPr>
      </c:pivotFmt>
      <c:pivotFmt>
        <c:idx val="50"/>
        <c:spPr>
          <a:solidFill>
            <a:schemeClr val="accent5">
              <a:shade val="92000"/>
            </a:schemeClr>
          </a:solidFill>
          <a:ln w="25400">
            <a:solidFill>
              <a:schemeClr val="lt1"/>
            </a:solidFill>
          </a:ln>
          <a:effectLst/>
          <a:sp3d contourW="25400">
            <a:contourClr>
              <a:schemeClr val="lt1"/>
            </a:contourClr>
          </a:sp3d>
        </c:spPr>
      </c:pivotFmt>
      <c:pivotFmt>
        <c:idx val="51"/>
        <c:spPr>
          <a:solidFill>
            <a:schemeClr val="accent5">
              <a:tint val="93000"/>
            </a:schemeClr>
          </a:solidFill>
          <a:ln w="25400">
            <a:solidFill>
              <a:schemeClr val="lt1"/>
            </a:solidFill>
          </a:ln>
          <a:effectLst/>
          <a:sp3d contourW="25400">
            <a:contourClr>
              <a:schemeClr val="lt1"/>
            </a:contourClr>
          </a:sp3d>
        </c:spPr>
      </c:pivotFmt>
      <c:pivotFmt>
        <c:idx val="52"/>
        <c:spPr>
          <a:solidFill>
            <a:schemeClr val="accent5">
              <a:tint val="77000"/>
            </a:schemeClr>
          </a:solidFill>
          <a:ln w="25400">
            <a:solidFill>
              <a:schemeClr val="lt1"/>
            </a:solidFill>
          </a:ln>
          <a:effectLst/>
          <a:sp3d contourW="25400">
            <a:contourClr>
              <a:schemeClr val="lt1"/>
            </a:contourClr>
          </a:sp3d>
        </c:spPr>
      </c:pivotFmt>
      <c:pivotFmt>
        <c:idx val="53"/>
        <c:spPr>
          <a:solidFill>
            <a:schemeClr val="accent5">
              <a:tint val="62000"/>
            </a:schemeClr>
          </a:solidFill>
          <a:ln w="25400">
            <a:solidFill>
              <a:schemeClr val="lt1"/>
            </a:solidFill>
          </a:ln>
          <a:effectLst/>
          <a:sp3d contourW="25400">
            <a:contourClr>
              <a:schemeClr val="lt1"/>
            </a:contourClr>
          </a:sp3d>
        </c:spPr>
      </c:pivotFmt>
      <c:pivotFmt>
        <c:idx val="54"/>
        <c:spPr>
          <a:solidFill>
            <a:schemeClr val="accent5">
              <a:tint val="46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Sheet10!$B$3</c:f>
              <c:strCache>
                <c:ptCount val="1"/>
                <c:pt idx="0">
                  <c:v>Total</c:v>
                </c:pt>
              </c:strCache>
            </c:strRef>
          </c:tx>
          <c:dPt>
            <c:idx val="0"/>
            <c:bubble3D val="0"/>
            <c:spPr>
              <a:solidFill>
                <a:schemeClr val="accent5">
                  <a:shade val="4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8E5-4981-8D1A-3EDA531A0653}"/>
              </c:ext>
            </c:extLst>
          </c:dPt>
          <c:dPt>
            <c:idx val="1"/>
            <c:bubble3D val="0"/>
            <c:spPr>
              <a:solidFill>
                <a:schemeClr val="accent5">
                  <a:shade val="61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E5-4981-8D1A-3EDA531A0653}"/>
              </c:ext>
            </c:extLst>
          </c:dPt>
          <c:dPt>
            <c:idx val="2"/>
            <c:bubble3D val="0"/>
            <c:spPr>
              <a:solidFill>
                <a:schemeClr val="accent5">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38E5-4981-8D1A-3EDA531A0653}"/>
              </c:ext>
            </c:extLst>
          </c:dPt>
          <c:dPt>
            <c:idx val="3"/>
            <c:bubble3D val="0"/>
            <c:spPr>
              <a:solidFill>
                <a:schemeClr val="accent5">
                  <a:shade val="9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38E5-4981-8D1A-3EDA531A0653}"/>
              </c:ext>
            </c:extLst>
          </c:dPt>
          <c:dPt>
            <c:idx val="4"/>
            <c:bubble3D val="0"/>
            <c:spPr>
              <a:solidFill>
                <a:schemeClr val="accent5">
                  <a:tint val="9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38E5-4981-8D1A-3EDA531A0653}"/>
              </c:ext>
            </c:extLst>
          </c:dPt>
          <c:dPt>
            <c:idx val="5"/>
            <c:bubble3D val="0"/>
            <c:spPr>
              <a:solidFill>
                <a:schemeClr val="accent5">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38E5-4981-8D1A-3EDA531A0653}"/>
              </c:ext>
            </c:extLst>
          </c:dPt>
          <c:dPt>
            <c:idx val="6"/>
            <c:bubble3D val="0"/>
            <c:spPr>
              <a:solidFill>
                <a:schemeClr val="accent5">
                  <a:tint val="6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8E5-4981-8D1A-3EDA531A0653}"/>
              </c:ext>
            </c:extLst>
          </c:dPt>
          <c:dPt>
            <c:idx val="7"/>
            <c:bubble3D val="0"/>
            <c:spPr>
              <a:solidFill>
                <a:schemeClr val="accent5">
                  <a:tint val="4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38E5-4981-8D1A-3EDA531A06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Sheet10!$A$4:$A$12</c:f>
              <c:strCache>
                <c:ptCount val="8"/>
                <c:pt idx="0">
                  <c:v>CO</c:v>
                </c:pt>
                <c:pt idx="1">
                  <c:v>NH3</c:v>
                </c:pt>
                <c:pt idx="2">
                  <c:v>NO2</c:v>
                </c:pt>
                <c:pt idx="3">
                  <c:v>OZONE</c:v>
                </c:pt>
                <c:pt idx="4">
                  <c:v>PM10</c:v>
                </c:pt>
                <c:pt idx="5">
                  <c:v>PM2.5</c:v>
                </c:pt>
                <c:pt idx="6">
                  <c:v>SO2</c:v>
                </c:pt>
                <c:pt idx="7">
                  <c:v>(blank)</c:v>
                </c:pt>
              </c:strCache>
            </c:strRef>
          </c:cat>
          <c:val>
            <c:numRef>
              <c:f>Sheet10!$B$4:$B$12</c:f>
              <c:numCache>
                <c:formatCode>General</c:formatCode>
                <c:ptCount val="8"/>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10-38E5-4981-8D1A-3EDA531A0653}"/>
            </c:ext>
          </c:extLst>
        </c:ser>
        <c:dLbls>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Index.xlsx]Sheet6!PivotTable3</c:name>
    <c:fmtId val="19"/>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Average Pollution Level by Pollutant</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alpha val="70000"/>
              </a:schemeClr>
            </a:solidFill>
            <a:ln>
              <a:noFill/>
            </a:ln>
            <a:effectLst/>
          </c:spPr>
          <c:invertIfNegative val="0"/>
          <c:cat>
            <c:strRef>
              <c:f>Sheet6!$A$4:$A$11</c:f>
              <c:strCache>
                <c:ptCount val="7"/>
                <c:pt idx="0">
                  <c:v>CO</c:v>
                </c:pt>
                <c:pt idx="1">
                  <c:v>NH3</c:v>
                </c:pt>
                <c:pt idx="2">
                  <c:v>NO2</c:v>
                </c:pt>
                <c:pt idx="3">
                  <c:v>OZONE</c:v>
                </c:pt>
                <c:pt idx="4">
                  <c:v>PM10</c:v>
                </c:pt>
                <c:pt idx="5">
                  <c:v>PM2.5</c:v>
                </c:pt>
                <c:pt idx="6">
                  <c:v>SO2</c:v>
                </c:pt>
              </c:strCache>
            </c:strRef>
          </c:cat>
          <c:val>
            <c:numRef>
              <c:f>Sheet6!$B$4:$B$11</c:f>
              <c:numCache>
                <c:formatCode>General</c:formatCode>
                <c:ptCount val="7"/>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00-C699-4785-9300-9621C35C7C9A}"/>
            </c:ext>
          </c:extLst>
        </c:ser>
        <c:dLbls>
          <c:showLegendKey val="0"/>
          <c:showVal val="0"/>
          <c:showCatName val="0"/>
          <c:showSerName val="0"/>
          <c:showPercent val="0"/>
          <c:showBubbleSize val="0"/>
        </c:dLbls>
        <c:gapWidth val="80"/>
        <c:overlap val="25"/>
        <c:axId val="1406361791"/>
        <c:axId val="1406356991"/>
      </c:barChart>
      <c:catAx>
        <c:axId val="140636179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6356991"/>
        <c:crosses val="autoZero"/>
        <c:auto val="1"/>
        <c:lblAlgn val="ctr"/>
        <c:lblOffset val="100"/>
        <c:noMultiLvlLbl val="0"/>
      </c:catAx>
      <c:valAx>
        <c:axId val="140635699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636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Top Polluted Cities/Stations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70000"/>
              </a:schemeClr>
            </a:solidFill>
            <a:ln>
              <a:noFill/>
            </a:ln>
            <a:effectLst/>
          </c:spPr>
          <c:invertIfNegative val="0"/>
          <c:cat>
            <c:strLit>
              <c:ptCount val="3"/>
              <c:pt idx="0">
                <c:v>Baghpat</c:v>
              </c:pt>
              <c:pt idx="1">
                <c:v>Amritsar</c:v>
              </c:pt>
              <c:pt idx="2">
                <c:v>Bagalkot</c:v>
              </c:pt>
            </c:strLit>
          </c:cat>
          <c:val>
            <c:numLit>
              <c:formatCode>General</c:formatCode>
              <c:ptCount val="3"/>
              <c:pt idx="0">
                <c:v>92</c:v>
              </c:pt>
              <c:pt idx="1">
                <c:v>58</c:v>
              </c:pt>
              <c:pt idx="2">
                <c:v>29.5</c:v>
              </c:pt>
            </c:numLit>
          </c:val>
          <c:extLst>
            <c:ext xmlns:c16="http://schemas.microsoft.com/office/drawing/2014/chart" uri="{C3380CC4-5D6E-409C-BE32-E72D297353CC}">
              <c16:uniqueId val="{00000000-6DB2-4D9D-AF17-A1C11A9FC4E6}"/>
            </c:ext>
          </c:extLst>
        </c:ser>
        <c:dLbls>
          <c:showLegendKey val="0"/>
          <c:showVal val="0"/>
          <c:showCatName val="0"/>
          <c:showSerName val="0"/>
          <c:showPercent val="0"/>
          <c:showBubbleSize val="0"/>
        </c:dLbls>
        <c:gapWidth val="80"/>
        <c:overlap val="25"/>
        <c:axId val="1406409791"/>
        <c:axId val="1406410751"/>
      </c:barChart>
      <c:catAx>
        <c:axId val="140640979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820" b="0" i="0" u="none" strike="noStrike" kern="1200" cap="none" spc="20" normalizeH="0" baseline="0">
                <a:solidFill>
                  <a:schemeClr val="tx1">
                    <a:lumMod val="65000"/>
                    <a:lumOff val="35000"/>
                  </a:schemeClr>
                </a:solidFill>
                <a:latin typeface="+mn-lt"/>
                <a:ea typeface="+mn-ea"/>
                <a:cs typeface="+mn-cs"/>
              </a:defRPr>
            </a:pPr>
            <a:endParaRPr lang="en-US"/>
          </a:p>
        </c:txPr>
        <c:crossAx val="1406410751"/>
        <c:crosses val="autoZero"/>
        <c:auto val="1"/>
        <c:lblAlgn val="ctr"/>
        <c:lblOffset val="100"/>
        <c:noMultiLvlLbl val="0"/>
      </c:catAx>
      <c:valAx>
        <c:axId val="140641075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640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Index.xlsx]chart!PivotTable2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dLbl>
          <c:idx val="0"/>
          <c:layout>
            <c:manualLayout>
              <c:x val="-0.267656605278357"/>
              <c:y val="-5.7967558223555364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302725440199624"/>
                  <c:h val="0.11159513617940071"/>
                </c:manualLayout>
              </c15:layout>
            </c:ext>
          </c:extLst>
        </c:dLbl>
      </c:pivotFmt>
    </c:pivotFmts>
    <c:plotArea>
      <c:layout/>
      <c:pieChart>
        <c:varyColors val="1"/>
        <c:ser>
          <c:idx val="0"/>
          <c:order val="0"/>
          <c:tx>
            <c:strRef>
              <c:f>chart!$B$3</c:f>
              <c:strCache>
                <c:ptCount val="1"/>
                <c:pt idx="0">
                  <c:v>Total</c:v>
                </c:pt>
              </c:strCache>
            </c:strRef>
          </c:tx>
          <c:dPt>
            <c:idx val="0"/>
            <c:bubble3D val="0"/>
            <c:explosion val="131"/>
            <c:spPr>
              <a:solidFill>
                <a:schemeClr val="accent1"/>
              </a:solidFill>
              <a:ln w="19050">
                <a:solidFill>
                  <a:schemeClr val="lt1"/>
                </a:solidFill>
              </a:ln>
              <a:effectLst/>
            </c:spPr>
            <c:extLst>
              <c:ext xmlns:c16="http://schemas.microsoft.com/office/drawing/2014/chart" uri="{C3380CC4-5D6E-409C-BE32-E72D297353CC}">
                <c16:uniqueId val="{00000001-CAB4-47FC-BE17-8122FC2D9847}"/>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Lbls>
            <c:dLbl>
              <c:idx val="1"/>
              <c:layout>
                <c:manualLayout>
                  <c:x val="-0.267656605278357"/>
                  <c:y val="-5.7967558223555364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302725440199624"/>
                      <c:h val="0.1115951361794007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chart!$A$4:$A$36</c:f>
              <c:strCache>
                <c:ptCount val="32"/>
                <c:pt idx="0">
                  <c:v>Andaman and Nicobar</c:v>
                </c:pt>
                <c:pt idx="1">
                  <c:v>Andhra_Pradesh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pt idx="31">
                  <c:v>(blank)</c:v>
                </c:pt>
              </c:strCache>
            </c:strRef>
          </c:cat>
          <c:val>
            <c:numRef>
              <c:f>chart!$B$4:$B$36</c:f>
              <c:numCache>
                <c:formatCode>General</c:formatCode>
                <c:ptCount val="32"/>
                <c:pt idx="0">
                  <c:v>34.714285714285715</c:v>
                </c:pt>
                <c:pt idx="1">
                  <c:v>49.578313253012048</c:v>
                </c:pt>
                <c:pt idx="2">
                  <c:v>74.65384615384616</c:v>
                </c:pt>
                <c:pt idx="3">
                  <c:v>89.015706806282722</c:v>
                </c:pt>
                <c:pt idx="4">
                  <c:v>98.8125</c:v>
                </c:pt>
                <c:pt idx="5">
                  <c:v>79.902439024390247</c:v>
                </c:pt>
                <c:pt idx="6">
                  <c:v>172.40416666666667</c:v>
                </c:pt>
                <c:pt idx="7">
                  <c:v>103.86734693877551</c:v>
                </c:pt>
                <c:pt idx="8">
                  <c:v>100.58333333333333</c:v>
                </c:pt>
                <c:pt idx="9">
                  <c:v>133.42857142857142</c:v>
                </c:pt>
                <c:pt idx="10">
                  <c:v>34.333333333333336</c:v>
                </c:pt>
                <c:pt idx="11">
                  <c:v>161.6</c:v>
                </c:pt>
                <c:pt idx="12">
                  <c:v>40.497326203208559</c:v>
                </c:pt>
                <c:pt idx="13">
                  <c:v>29.818181818181817</c:v>
                </c:pt>
                <c:pt idx="14">
                  <c:v>107.49685534591195</c:v>
                </c:pt>
                <c:pt idx="15">
                  <c:v>81.180582524271841</c:v>
                </c:pt>
                <c:pt idx="17">
                  <c:v>87.222222222222229</c:v>
                </c:pt>
                <c:pt idx="18">
                  <c:v>28.166666666666668</c:v>
                </c:pt>
                <c:pt idx="19">
                  <c:v>83.857142857142861</c:v>
                </c:pt>
                <c:pt idx="20">
                  <c:v>82.383177570093451</c:v>
                </c:pt>
                <c:pt idx="21">
                  <c:v>43.571428571428569</c:v>
                </c:pt>
                <c:pt idx="22">
                  <c:v>83.958333333333329</c:v>
                </c:pt>
                <c:pt idx="23">
                  <c:v>111.49520766773163</c:v>
                </c:pt>
                <c:pt idx="24">
                  <c:v>85.5</c:v>
                </c:pt>
                <c:pt idx="25">
                  <c:v>34.873096446700508</c:v>
                </c:pt>
                <c:pt idx="26">
                  <c:v>51.028169014084504</c:v>
                </c:pt>
                <c:pt idx="27">
                  <c:v>53.857142857142854</c:v>
                </c:pt>
                <c:pt idx="28">
                  <c:v>109.23547400611621</c:v>
                </c:pt>
                <c:pt idx="29">
                  <c:v>82.95</c:v>
                </c:pt>
                <c:pt idx="30">
                  <c:v>67.710144927536234</c:v>
                </c:pt>
              </c:numCache>
            </c:numRef>
          </c:val>
          <c:extLst>
            <c:ext xmlns:c16="http://schemas.microsoft.com/office/drawing/2014/chart" uri="{C3380CC4-5D6E-409C-BE32-E72D297353CC}">
              <c16:uniqueId val="{00000002-CAB4-47FC-BE17-8122FC2D9847}"/>
            </c:ext>
          </c:extLst>
        </c:ser>
        <c:dLbls>
          <c:showLegendKey val="0"/>
          <c:showVal val="0"/>
          <c:showCatName val="0"/>
          <c:showSerName val="0"/>
          <c:showPercent val="0"/>
          <c:showBubbleSize val="0"/>
          <c:showLeaderLines val="1"/>
        </c:dLbls>
        <c:firstSliceAng val="270"/>
      </c:pieChart>
      <c:spPr>
        <a:noFill/>
        <a:ln>
          <a:noFill/>
        </a:ln>
        <a:effectLst/>
      </c:spPr>
    </c:plotArea>
    <c:legend>
      <c:legendPos val="b"/>
      <c:layout>
        <c:manualLayout>
          <c:xMode val="edge"/>
          <c:yMode val="edge"/>
          <c:x val="0.51837669489647997"/>
          <c:y val="0.76187595897042382"/>
          <c:w val="0.18639401155201762"/>
          <c:h val="0.1812223178958464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E72CDA5-7DD6-470D-9B1A-9F36A6F00C9C}">
          <cx:tx>
            <cx:txData>
              <cx:f>_xlchart.v5.2</cx:f>
              <cx:v>average_pollution</cx:v>
            </cx:txData>
          </cx:tx>
          <cx:spPr>
            <a:gradFill>
              <a:gsLst>
                <a:gs pos="0">
                  <a:schemeClr val="accent1">
                    <a:lumMod val="5000"/>
                    <a:lumOff val="95000"/>
                  </a:schemeClr>
                </a:gs>
                <a:gs pos="44000">
                  <a:schemeClr val="accent1">
                    <a:lumMod val="45000"/>
                    <a:lumOff val="55000"/>
                  </a:schemeClr>
                </a:gs>
                <a:gs pos="100000">
                  <a:srgbClr val="B5CAE3"/>
                </a:gs>
                <a:gs pos="52000">
                  <a:schemeClr val="accent1">
                    <a:lumMod val="45000"/>
                    <a:lumOff val="55000"/>
                  </a:schemeClr>
                </a:gs>
                <a:gs pos="100000">
                  <a:schemeClr val="accent1">
                    <a:lumMod val="30000"/>
                    <a:lumOff val="70000"/>
                  </a:schemeClr>
                </a:gs>
              </a:gsLst>
              <a:lin ang="5400000" scaled="1"/>
            </a:gradFill>
          </cx:spPr>
          <cx:dataId val="0"/>
          <cx:layoutPr>
            <cx:geography cultureLanguage="en-US" cultureRegion="US" attribution="Powered by Bing">
              <cx:geoCache provider="{E9337A44-BEBE-4D9F-B70C-5C5E7DAFC167}">
                <cx:binary>1H1Zc9w41uVfcfhhnoYqYgd7ujuiycyk9sWS1xdG2pJJENwBrr9+rizZpWSlLFW2vomRoqMrJCbA
Cxzc7dyL9D+/Df/4lt2smzdDnhXmH9+Gf71NrK3+8ccf5ltyk6/NXq6+NaUpv9u9b2X+R/n9u/p2
88d1s+5VEf+BXUT/+JasG3szvP33P2G2+KY8Lr+trSqLi/amGd/dmDaz5jfPtj56s77OVbFQxjbq
m0X/evve2nUTnTfr6xuTvH1zU1hlx6uxuvnX242Pvn3zx3zCv7z8TQby2fYaxmK+52HCOELu3Q96
+yYri/j+sXT3GOeEYUm8Hz/k56tP1zkM/yHVm2dI9UOm9fV1c2MMrO3Hf/8yfGMh8PT87ZtvZVvY
212MYUP/9faguFbrt2+UKYO7B0F5u4qD0x/L/mNz///9z9kfYCNmf3kA0XzXnnr0F4SCZA3Sxevm
BeEh7p7AHmFU8m3wCL4npMuQYOIOHroJz/NE2o7Nw7EzYIL9VwXMyRoUdG0S28DReSnFQd4eZdiV
hHmPIINc6RFM74Dx2M9X3ynOM2XaDs3G4Bk2J68Lm32Vr8F+Zs+xIX/PshF0Z9m4xFsBEnuYcIwI
l3eP+SZAf0ew7Sj9dYYZVPuvy779x5h1/nOTXsTzgF0j0kPyXkU2PI+H9yQWoFzeds/zpDTbQbkf
NkPiP5evyqD5CgzaCyLB9rjwJEOMbNMUCY9dj3Pq4Z/vvLNhT4qxHYL7YTMI/HevCoJDQEDfOvyf
W/ICCkH2OARi2PsZa8kNhQAYGKeIYH6vLzNf/yyJtiPyYOgMlcPX5U3CNgVPb18QE7zHPcw9dB9f
ed4GJgLtMU+4RMJH7n5+vvpOQ54hz3ZEfg2c4REeviot2V8347p4wagLe3vIk8ijEE49SFMgDibU
xdSljzjzp+XYjsOvBcxw2H9d1uo/xXXSrF8+e0RsTzDGwIO7v87/Q1i8PY8ziph3HwXPssc7sZ4T
+m1HZz5+BtJ/Xll8VVyv83XxBpzKm1P1rfz6kj4egSED546lC27jAUS3YRZB4FPInwjepUh3Fgy2
eC7UmwOTgYzmp6nb5vkexevxyebgQUr/qpL/ZG2tMi+b/mO0hzmX1INM88fPjJ3Bey5FECW7s8gs
SJ4nzXaYNkfPcAmuXhUuZ9fKJC/pgIAQQ8SlFPL+nx7/gTpJukexhLTGvWcFZmn/0+Jsh+TnuBkY
Z6/LDS1uskT9zmz8vQwfyz1OCfFcvp0cE3sIMSogsblDapbhPynNdijuh82QWBy/KrU4uYmBdFmP
L6kZkJ9AQo+IuE/YN0NlD0yZEFwKd3uo/CyJtiPyYOgMlZPXhcoPNn39wmklUMiQNLrgR+43fjOt
FN4edhmBrPPens0s1jNl2o7MxuAZNu+PXpXGHK7zvI0g7omOgErOVfNydowQyOyFx5h7b6g2NUew
PeQKgO/n45kd+yHZm/+1zqv/8+YZsm1HauskM8QOXxdiR+umWNu1fkEbh+ieQC7FlG6NxyANRQAk
8GjbOctnSbQdnwdDZ6gc/edV6dHRTQOO5+WUB7l7FLJLBD/bAjKAhLpAz1B0HyPMIuWnxXkEj/tl
zMF4XQ7nZH2djOvnJOB/MzIDi0YklCXZPR+DNpJOIfewlB4n5B6zGS/wfLG2gzMfPwPp5HXxAifr
QlXtC/obDFaMUE74g5z/QQ7jkT0J5QABZeVfGvWQEniGPI/Bcr+QOR6vK9U/UVPZvGgljOwRF7Yb
eOQNNfnBzXAXe+52+uwZgjwCxM8VzIH48qpcyXlbpOuvL+dKIFKWFANbicUGDhCAgfuQkNLfK8TM
XD0tx3YYfo6boXDu/7cobLbBPOj2uV0hHCcoqeJfqv1A8wXeQxDaECLu2CYXzPZDzf8p8OM9FH9v
off4zWi+87WGtqd18dc2n3MIQKG7adbD85c//M+2+Vw1t9b4BSMYTPYEZS60YW3G/ZAxC4oFNCjc
B5uzzOwZgmyH49fA2cG7evffHrwZMv+zQLxbp2tjoQb785BuI6L/ZtzC95ikBBNwgHc/m4YAPCMk
aRgimzsFmSHyLIm2Y/Jg6AyVd6+r5HfeXrfQOdk048vBgtCe9DDiGHiMLTQ4UBhALGEB9b9fjzfN
1nNE2o7Lw+XMgDn//KrU5Wqdq+x0fd2+KC4u4tA5KjcDF4jvqStc4JXAkT5E4ocMb54SYjsSD8fO
kLh6XQHkpdJavWQnldhjYJAIbPg2qyUBDQFdpNC/c6ceM/7oaXG2A/Jz3AyMy9fFEl3dQDEzftEm
BST2IO3lDDrbNt2Ht+e63m017z6eh8cb2vEcUbZj8WAVMziuwldlpT7eGBv5N4BI9nNzXsCt3/pt
aENwxWZgL8WeJ6B1h/6sWMz8+a0wb54WZjskG4NnoHz8r0P8/6eR1uka4ADq+wUR4XsuRxIi262s
nQdlVA5RFjS33/3M/MhzBNqOyp8jZ5Cc/v/N3M1ypPt7EA8TsY1P/N1bIHgP7ngwV7KfmjA3XEAW
cQGs0FYP8qQ027G4H7Yh+P/wFY+Z2jy44/HrkswCagbLH7drnv30x/Lg4s9s6L1x32q/7pA7uP7X
W8jF8QO4bufY8AobXbZ/DriB3Odfb8G3E5dA5UhAhQ9RSaG7pwerBU+AVAJWCcp+cL2HQG8veP2i
bGwCd34gXsBQUQLSHHobwf6B2TNl++MRvW04gQ5T6ARmBGod3q9bTedlNsZl8Wuf7n9/U7T5eakK
a+CdHJiR6u5zt5JC+gqhIQFqnjLweTAlrLT6tn4HV6fg4+h/1x3PTOHlJKwiRK/SmE6LdkyKw0EI
s+jSoQ27Ov+c6HzwB6CMPyuR58eYsrb2LfwfDQsP8ZOkpPpjmiTqtOgmfoK8QkQHw2QTzze4SVpf
NZx/xFM/ab8vMn4c6aRMfW3r4kB7Iw9j2U0fPcLL71Mp7MdkEnHhQx5oz7hwhnNXxpnvGdcJaF3q
VQ8FhcOh6fC71vT1ETVFeTgiIyrfK+xB3I1iWCDskI8OnzA9qqxJj9LMI8ZXkhZXWkWTe6AVdY7c
FF4UMJp2RZDwjgcJy6P3Q5nWYc4cdsS9svtSq8pmfupIrYJajOpDNEj3fcTG3lu1JIa5STm4AclS
x/hxNuFrL46yzOdJXh42ZohXrOP6dMJpQ/3UtOrYzVNBg6b0jJ+XIvfg3aS5cKpSe37eqvHCUzRd
dbkoTgpJdee7uk20jzuWt2exHdvvKFPOu4hk0eBnKurXFWI58hMn6rRvnLE+TQbNRr92ZV6tIkEd
HsRJpy/MNI4HvGflqh2JSvyi1srXvSarqhXlMWGGHaQIxdMipy5Z5SL19nHLGu0P5HtiM1HDsljq
+EVGm/3U0XXrl57bymCwLqCbtB7W/iRz9cUkqT4YaSGWo3WrlRFIXLLSFauOkOZ6tJlSsBtRG7ZO
Sr5VGvWfke34oVOl8RFLTHnB5Yjf97RoTjTTKQuS0RXOilVu6iyHtityX9M0NoFIOTtsYz7uZ3rw
zpq6qJY100UcsJLmh2NXiGNapP0hs9a9mFgljkjq9EvEW/YlT7rsKi+YvYTu1aTfL3HqXqjJaStf
gkXGfsoG7xSaJpKziruJ8oWW9oQ1khyzWuADFzl49KOobA9aM+HcL3rYUtlwne8jx0svVNz2xNde
NxxHvbnM3Sn64jWFPnQ0pZ9Fk/Mj4YzZfowbDNtUIu+0aWGjfCYKafyqq1kZFEZWBiZJncTnpRHT
CkV9V/jSTOTAdCYefcINXqqxa945JZ9WckyXbq+cBavqL1WVR4uIl/mitp3zoabNEDReeegOrbMS
bVQu2EjPrKb+AFc+VrlnEz9q6McoUcu8xWZVlqLh/iSSY6jm9ddZXn9DTlOf5ry5rJvqu6dMFERE
LzOvtX5VmcBOtD/L63ghWEUDlPLOh9b5Val4m59FLIdTDw5t4KseY10s6txIX9Fh9G1ppnBwR2F9
mrbssOF10LukB4OQJ2ThTTY/loLyJahh977waHHiuEnmN4iUYUZt215YHkWxH5Oskf7kOknvx84g
v7Sp1IVvpXU6OK5x8k0XYBMXYE3wsCzdyXqHchqSJCQtbI4vWOYMq0L2ICQMYq5fkhiC44H0rXPc
M9skQS+FvlakaFctSp2V5CmDY2GHEOWMhm5H3SWNa3SAGjEFXe+6YR7TXPnxFEXvBWxt0NpO+n3F
9ErGXt4sdNJj5btZXC+L1LarMU2nE8uUeynTZvoiUc2Jj1XTHeUYlwdERPo8wjJauWmpvleqj6zv
aIYzf7LuuOpHPSwVcfrBn7AAhSdd+7mimbtfa97HfjdptT9Gql61pY5TPzcCnzTc5T7Rntr36rj5
RHHD4DiMzaKO+niVV6VdZrToLt0MNZ+crNWHIq/HeoFTIULT1hb0ITbnaeq2XUAq2n6NhyJbQpPL
/hSzI6T1eGxdnX1qcGyO4njYbyftXLZVpw/SQup3o6rjM27c6Qw7Og9lUZDzujiulD3Iu248d61S
C6Bmu/eeR7qVqfoCB+kg6oNJV86pawq3OiJwms76qsmO0wQsfKBbDx3SPvsceZ79LBytP9SqLU9g
m/VFrif6xbKC60XduEMV1FkXncVJOx4n3UhTH8eTWaStJcteWi8wTOKTJJ+KadFHrVpSrz3KxokG
ydSx2ne66ahxOql8LwPopl5nq2zKp8tosrgJojzWH6U3kOVYDfYsTyg5FFk+cb/NpiowPE2va520
B6hrAaTcYeoyozGcstt3C6XIuS0UXsW5Hvcxqvg31CdjyKMYTJ/M8RiQIitaP0ODHcCRFs6xMHFZ
+zTOwq4Hd1819QqliK/GSffvEs+w2LdOXIZSSn3gTWMcRjSpAhVF2UenaKf3lkp8PAHJoX0kanxY
0ahugyIh6CB2ybUZXb1wUa+/skTWejmVafV+QF0W+9Af4BYLr27E8VDJ9ARLM0rfgG1lSb4mplBw
jHV6mtImPiOVIbEfTVFM/Lz39Jce7Gka6MQlznKMi/JCUInsQV+r6arEELz5Q5m3h65p+AdT6+79
kKLrpi3LKVSRcXwRZ+RMeCa+Ea2NVwVPbOGPeCD+aCilPu29Yckzgj+kjeiv4DZJv44GocDo4i4V
vtRuQX2Rsuq9GNPsJiOZDlpSZos8Ualf5RZ9TlKM+X6T1uTM1lW/HMCIDrEjl7Jk6eFUse6TF8Vf
vdjsg2rJo1p66TLH3eR3Trxf1OjSnQDnMS37w7GOTlnGa99N6zSQbT8dFGk14kvdgJLst55iR0OR
8suu0JHvmBaHaeHZA5mkEHSwSZuvVZqfliMBoEbcHODKYWGdgjP168ZJF5lKs0XBcH8RR3Cm29EF
15oTb1WBT3lfjmW2QlNTBrJAzXkm6PBeV5Oz4Npjvs4KHlQmo0tRMudKDmI50FH5DXS2X/SG5adN
H0O8R1T6EY0jPuiavF02XVFdF02qw16bYhlDuLU/iML7xEk+nkWIl9edwcOqN1Of+j3n42VDVb3f
phYCE2z2aewmx0nZjivdJfUXrzDT0YBK/l1MDgqqiJ1VuFFHuQPuvsA1+joWY1f6KpU4CobOkMQf
O0cdZXkUU4gk9fA9itz+eBrTWC2G3OGnI2/AkPRD+TXvGrzsHSOP4sixYZ/36pyPEEehOPJWwiK9
mlJRnbSR54SFKvIARZT7tRmucz6Zc1XVp60kdh+5lVmMyIFwwCrti5Hr49oW2h/b/hiCTrVIvYKe
ZR3O9qMKzHrpOnRVER26Qh2PNvnq0fG6Qt6ZiGOzyktb9qDBSrwrq6oiQV25aJXUzhHYxLz1cZYm
V3kNdtUvx6FQgdu3KYQRXj0dCW77FRmt8066I3E/99UkxWEXmSEUvPIA+zKj3yHIKtuQkRx9ACdV
h0Nv0Y1gfVwfTnkNsV8jtXfdtRKh1dSANzK06y+9jIkFndrpxDXOiUYpewfB5HiYemniE9foY9Mo
D6K5Ns19madqDMoYmcjvG0auMo3i/dxYAyGlFy16mx4RVvFTsAh2yeo4P+Yx7ho/j4n6VMGIY5w7
owkgzpxOGytH7VduLT5nEFlflg1ujkFfWQuxlx1XTT12F9qpVe+PUKI4oQ6yrl/xYsLLCCLchWw1
ahYDKrLLCeob9bLqq/hzoZP8mBg9uQHKMTslJUQoWtc49iFYzbGfxLw819gyHpjcRNw3rFdToOsm
npbx5JaOr6Mq+ejqBB01VWVTP3GpcxgLCDFoaw5KneWnnct4trAmP8EdFxcydimBAIwoEaR5kV/L
UaGvcdXKE+5p8blNUHsAbTtO63OudBnkcaKTICqidghoBrcWF0U7FAunrFC9jKZeXpmxSazf6GZc
DlIIX9hSrmjNQk972YKXVaMXTuKhYEyjJgSrte6Utb6H23KRSJqEmazyYFA2THB8jmv2vUZdvB8V
pXMwpJEJdO4cuFWyT5k6ncre8zte5Yssje2l2zfOsnAbFUYsixbajUiQUR06tymGEPk+bMQU9OWq
KCE2BEkOOSu+uyNsiYqdfcwH1wcglA8psvZV5jkLr0w+ek2fBX0SX9lkGn2Uxe8dCDt8SAf7VZPa
M0jni6Ds5QnBpl7krrNPlB1WkIx8dSJyrFm6KBSTweQp8A1u/MWW+Ch2ITVjpsEL2wq+mPp69HWZ
2AOh82mZ96jzGY+mRaRysiBFZwNNW5CzK0zAvb4M+qxZ5RleuNmwzrt6Ydpk33p1sihpcTa1Qp/3
JC+XPHGnE9A9GlYk8hbgepDf92NDfMibyGFamPhdVEkd0qhiQVx37bJ221b7VPHGd6qCrKbcaAhK
nbELB8SiizFiKApkpkcSOF4ra19ktjnmY5uqoM1gf2WTiVAPjvAnQrt96ojoQ4tw+8mkRZXCZZMM
EpbUcnU0mFFUiwl33UXmpnmy5HHlfchoPqwtiaMjw6ee7TdR5UNAwz7FfdXGS+swLw3QBAnOoUuQ
esereMiX0Fw27VeDO/jgONyPcWGyS+vGVe87DeVu6OjMHAohLMSg0jRg8rrqI6X2koxwFF0rr6zV
7AgMjPZzVcn9IavXU6WIX/OeL+2QBh4z3rJCbneDxzbBEJ268jRuidyHHKuwoHJV9nmUkgcDHuvU
L5uo+wKapQLFKlX7eZ6EOR94OIzgqpmCFA4nXnyYTnjYtxJYAl8myFsq3FRHKAabD1bI7T/ETGef
y8xToeK2LZa5MOK9hMCF+jHPs8GPUqIPHrZKbHA338pqbFSc3H8pza9f/31V5vC/H+0Vf/7x9jtt
/vzt5OeX4fz2U+FNeXt7zMw/dMu+/Zrrz+aAW8rrVxPHjEO7+/qcRwi23z7cYN82OMafNPYtRYUQ
UFa/vjHnL+TbBrP56/N33JsnoC2IQTuNJBiumDAC3TJ33BuXcEsV/gRfzQJPMZzKX9wbgVsSwHlz
6PeCqgP9Meiee4PvcuFggaHzDgvoN/Lguv3PdW/gB0Tj/e8PuTcg/sCH3jJ0t2I6QAYKKoD4czcZ
Nw+rjpsM4ibLkizxJyBkPiZg7KCE+msbnj89hZaVh4ReCmnN2A9AuiRN3TTvej658VU8TOX3388P
7OQ28SmUyB7O7+WTBp8Z8aWHmZkuKpR7rp+QlCHfpS64RkpqG61+/7JH9opCleHhywzEymkfF3w5
GCKJL10SNxDbcAl9cr/brNt5tmBBbxf5gP0UXu1WKfCPyxZV9AShnuaXvZu6/HiUthhCR0xgdvOx
rqAz53cvfGxBQOw+fGEl3aoTty/sMk8Mh2XSRm1AwVmo5e9fcAvzthXdvvjBiqSaete2hC0h0Bb9
IR9JhINKG5wcMw1ZyglqdauD2tTFKIBloKheuUXSNfu/f/8jC0QzxGQBaVLZK/BvIjIk4JN3Uw1D
Xwe/nx7dasm29d3y2Q/WVwnwfsyMbNnGcVcHEstQEPS90qQGP1HHfZf77Sic47KPkV62uCxl4Tux
xDnUl3aBcMaYZ/GYdxnrYYeBHgxIU36HAFnttn0U7NLD5ZVgCHo5WrYcRyM+uZCL+VHXpme7iT4z
PZlMFTekYUtNlLpx4UvVjgtH6fYJcB7B/rZbbkN4pweqMWFsmVnRfUB9DWxiNIndDNttK+7D2Zus
T6sKItClLZ1pWrqD0zULXgExuaP4s6OLhxjJMUvB2JS0TYOR84H6dQ2auvj99j9iOvFMN3Ov61na
xiLMM1NH76CSUrcfSD157qGFIFxcgPMg/C5uuOsgPb9TiWe4GTIzbTgdnaI0FSSoJWQ+5wZu4doP
ubXO998v5jGwZ5bMSLd1+4HJcCpRDrwMdRp/UNo0T6BxO88WRSezzfJKTbMWj1FYOnLKV32Dqm6Z
9SNSi1ol1NvxNWTzVBFaRrKvHBFa22K7X/CycJdTgbJhCWRjP+ym12RmNOqyqyMy5DKsIGu9gnQs
OSug/nf1eywe26uZ1ej1IFEPoU6InUEtM9MIchzTsaw/aib18MRWPYb4zHokMq60FJUMm4yOB04+
uWdejJrM//0iHpkez61HpEagFicetkAuDkB+DfQzn8rqCcf42PQz89F2ooRmBs7DLgMEbBbnS9o6
ENHvJv3MeLRQAhizMZUhNZ0GDEY5OMBwjmra8QUzfdaew2oP2NPQQzlUTaHeV/TLJhVTf77bCmYK
LfBIDHIgGfJMoj4Iacz5oGLIg3ebfqZoAnJcqLUwAYkvtWrfTmTwfKgr9+5uKnZbs3/oHwY11hyo
dch0TVzRAwPsqvTTljZP+ebbk7LFIuGZlo1xGrt5DxDX0Vg1izQmQpznzgQlS6gK5Xo5xHgsPmW5
JF/aIu6LJyz5YzEPnileNsSRKKceTGEms+owcUwEhZxJexA1Stun1PqFTacuUAmQLys9TLFYcNqT
8rJzLW9322A0U9Ax4o6Q2onCXDjtgqhehFJk5InzgW63ccv23rbmPcSPdXZQNa69kLhAPi8nFHXA
/0XTlO1XHhHjWWzy8nvl0D7fp5Ms2OlACC5OsJAy/SQ1ZuwJUR4xFWimallDOBqHVISNU/VhbBHN
oJYo4+udNAHNFK1FDZcpdFqEcTXIzwzczyl0NuS72Tl0u6gHAXJN4iJ1HOGFLINMJmiRzCe/Vc1o
njgGj6jBbXr+8AVG1SPDQyNDO/YRPpC0adyvQ4VAJRKcuKVfqLbKfTwBDfStyieDd/M/aKbgUADO
AOWGh1xGwHZXNTY5MOnU2dHE/jiZD7ZuohN0M/BGLNuaoSUfu3gx8dJZ7Ab7TIt5BDWwtB4mqI/G
NpwKkfq8qdInjMQjZxbagjZQgR7wxBkglgxTrPIAW5QuorHEux0qd6abkJaUEikoqAGlWvhugj4W
MX0q0ntM9JnrRLwq6JDFUxiL0Z60Y+GC/6wTlO52btyZOidQs61IM06hE+XeAe4GvYiIpOFOsLoz
bSZVxyqrYXYbYRr0RBjf5EjtKPtMm2WBJ9kJgNWxOAk0aTtgUwXdzdC5M1VOXadx+wi6LWqkspXx
oGGmY3Ra/X5nbndgi0G//Qqkh4aiiFgyTcjpw95hN5AX6m5Fra6K0PaC77iCmU8mneiKVEc9dGzw
5p1ny3SJaKl3y5fdmcraAmKVfuJ9WFLGD6TH2kU6FruZG7jvt7k/yOZZJKe0DWMopx6pLBcn1ZDt
JDp8ecjm5OBJI60RsWFdphEKGoahTQp6wpKdrBn2ZkrLoL1DOxPwMFWhhkNtY3vcQqfATkqFvZnK
Aj/qdAiKv6umjXtzSaDhLzuDliue7HRu8G2D5cOzqZHq6riDrp8hhhqUrtjn0RuLJw7+doMG9zo2
J4fuOE2ljLplnSXIJ1Cg92vPa3cUfaa0pEopjlLZwc47nxsMAVjhDdGOsM50Fur8jeMYfi86xTW0
aHR8V9Hn2spk1EJBpVt6PZDG+HZ2s/vGzLRVu10VZQZmH1IvCVqpb8ukON1t2+VMWxPKZOliF2an
+KZWNFvFKt6NeoI+2s0To+HfPpAqhsm9qc3DTHgNpEZ82Ck2wHKmq4OFHrFs1N2S2aj3oSUH+6iK
7E4uCsuZruZJhYuSuO0SWn8Lv0/UTZtOaMddn+mpmRpblUnfLnOdUJ9T9tmBRpEdJ5/pqRuxhoyJ
Y5eihvYkM6i1aSez4+QzNa2NN6QQCbfLFDpHfZ6qzG8bLHacHW8eGAHtq7FyPBDda9GJgfLIeQR9
TnBT9e9T3HCbdnP2oaW4oDBzOCH4lzf8qZCcLRzrSLPjmZmpKq4HL2+ruAtHmhdQ1yYVC6se2287
yS9muopUhJtyyMGzRiY79FKDFkan43K32WfK2kL5m8Qja0PrkS8oxReGkovdpp5rqhnTfByh50gl
zimYx88jFrvxa1jM9NRTKheoEDZM+0Qu2oRdlToqdwNUzPS00MZpPNm2oaOsCrJUHAtcu7sddjHT
Uyjf9pUZJDSTZMO1GtFHzPK7LyL4myw5FjMtlaqPHfDXYwjTGgsdsibh0BZI4t1Mr5jpaRcz6Nun
jQ3hXqj7iVqwA75RE9ot0hAzRW3rDLsZdJ6HedlMi3IQXxNVRTtu+0xJI6lq0akG+sHGZgzyvALR
9VOV11vs/pocwBWXTRPjFZyqysltCDdivBNpYnSSOVH1cSc94jMVxRbbxjYKjmMSQQta3n8SUu0G
KZ/p6ERLL40S3YYN64iP5PA5q+X5bnLPdJT2dOgVgbmd1FzRdjxh1JzsNvVMQ8seOrKhh8cu3chx
AieNjtXk7sYPwJd5baKJUFVBIyZ2lvDvFJzlo/gsmzHbzbT8uMH0gJVxEojTmxL2JEuKizIuVxH0
Je22JzPtpFU/kgFI72U5dftNj48o282D8pliViOz0FwHuR3P42NZDmHRRDvVQTGfqaXK7JC0LQhd
5e+nrg1S8WGn3WAzlcy8tKkmDSDSRH9tBu9CTnw3O8Vm+tjWnR7GnttwNCm6mkYLLcstMYvdBJ9p
JCkiaIdWng2NA7V+XOh9L/L+L2dfsmQnznX7RERIAgRMgXPI3mlnuilPiLKrjACJRiAJ8fR35Tcq
85fLN5imw0pSzdbW3qv5cm7sw4nsZbvEYOEFQIchuw0I/zMCNe9chI0PZxIbe54lwZUsWr7l8RIB
4Zgl9tzBiQ+HMl1sskaxDS4zf9FjmaKKfW5ODpemaMQczcKvlUmBtnDhMuUgpbyeG/xwJh0a5N4P
9XKhYrpxEs33OezWkzvlcCy1MaQPJAZPZfwcmul7G3l9clYO5xJQMk8A618uWoXPMcYGQ+3k2EdQ
F3VtEoYbRdmYheTBpE13N0cbPzcrR0iXAIhbIp/FRolBQNlJ91FycS7BOiK4tsxErs9w8jeAz7uC
RCChlQwZUHsutBwhXJNTUY1ezVo10fRn4OxnNB8+ntqKb5YW/ywSgaZINA8xL8Y0cTkboGRhNJKc
yyPeiMH/HF0Lm6AeveHDt+3ZjORus/PJExodTminEhIlIlyqtA8fJQCHF4C/2ckZP5xQ02hgI41d
K6Br30eBLDotziUpR/iTjoPBN6FaKsZiVjhFdUGj7se55TwcUI+OwpKqdQECgP/RLNtdm8Qvp4Y+
Ip82vdZ9ygJdeSpdLsdkvg6qOwddgPbVzztljN2QWeBrKrSQ9nLYx6ckXM715Vl4uDwN2DXgKDhd
jcCnyHwxOrgPLPEfzs3M4f50QYioCMJDxaz/a0EGty3pt3NDH47niotHTODCVj1vPmzTdEuUOrcP
j+AjW6c970BwrnY7i4t1DSsDOXw/992Hw9nuUb3orV+qDPS6PvJPKv1d2vn2p//Lq+oIM3IB6sF2
SnQllI1NrhPePc582nLXMeOLc99/uETBq96Gfox1JdvwqxTR52Dqz13+4eGIboAkSp4A/s+YXW7s
omlObXSuVceOCKOGibjVIcOHR/SzsgEIxcH06dSksMMZFds89ZqIpYpZG7nLHhof5UMqRX/ukn5T
wPzndRGJpklNKrElt+B9q9hrO598i7PDGZUtCMtsxdC1z96vpH1Xh/xcG4odzqhMfa1m63UV1opV
QcrW97Rx7SkoLjsCKlkCApVtsRNrAiqQ13MVRicRXYwdjqnawP3bFqGrwU4kJza5zq45WR0+gpVW
HRkTZZhyhMd769m9jLdzZ+gIU8pcI00H1naVgAycJ7u/zzSEHs5t88MBzbBLyMZ6XdHRPod0ftBk
PffdR3iRbtGd4C6Yq4Wnn1uq38t+PveIO0KL6i1SfTN1uuKYmRyUdpfPXqXn4uER8r6G3Rx0Yzaj
byPmQrP+vQmyj6fm+whFIgTvrCEmc9W0oQIzFoWKiyEBPzkxh+PZgaG5287j3GRegWrM+Qew1feT
Kxr9HLJsB8ocwHBztWeaFXSJnnCTnuyeH2FIJhhArd5GbJcxi0iPWOv7ReRpZvtzNZxj939GHSsN
jJqqUHfp1wSVvhvTK3tzZmUhsvXz5Kwk2PwexlCs4CzLOfrReeCD5HJmdHbESgH7SzJILmDfNMIl
xYDCX1XX0XyyB3KESvnemFSreqrSYOlnCFtM6ofJEnfywfs/KOQ/in4g3RJwI4Op0sIvpWo4xIIW
EV9Pzc4RLAXVEQj4WDJVBpNfEA7QOmxwT8b2I1hqlUAPLuEwVUuUNGtOd9b/2YOP3ZyLweSQCWzQ
UtJuw9yMogPFfVUfN0nP3ddHrJRko1NBYjDvQzrd+IUsVydHcWrPQ3305z1vQxv6Sbqp6up4/0zG
urmBO9TUn5yYQ7wJEeNj5rGs2VDPC2Rt0hCk3nqElMK5fXNICdBI7Mdhspj5cHG3WqcfxSxP9hWO
cCkQjRkAzHqqEnBg22Z57/r15dx3HzL2pvYulBCUqSC58HUYHYSi4J92alLAqfx5UbUP0KOXCGSx
9SaP6XTXD79DMSVvecX/fdDQI8xobjfA61I2VhDQamoIAA0dDmzSbn3RqKzpb9Tk3YtRi7wNlzDg
1SrEHL+C4pbMz9D5XPRLlih+06MvOd50/QCdhkS2KMY325wSl+9RN+uPbmaBKYifh/7PUYhgLjgS
S1bSGLX2SzKZzZQSUia+4OhSb7dmDtKuYskmott67JwvKEE14UsAZK+/0rBbkjJMNozpZLvu12bO
xAK2HdvNFao9214uVoXD1y2Jovp5jXjQfVtoPM9VurPMVnrD31tO6x5fOmJBVh8SRvuC+6QxNw0d
m+yBpwOIW2Te2QtLM5dbxvXt1C56r8iYpRD+UdJGpdVRE19s4iKUsKWwUdHISY3IZ7PMF6luwwQS
ZK2m926ou+xWhnSNqh2z7Yo47O3tvgfqqZd4W1dAgIJoD6GAen+RtBuTU1kIPUJrtGqstZMdqz5t
zCedzjtqqEO6ntugR3DNPLQr4PPZWGWo5eUx6x7E3pwjxdAjtoZg5uIoncbKj1OtypG4rtpm0p5L
LukRXUOHlu5B2E0Vb1S8XdgCJZ48CeJ+Ls/EBpoeYvKqZlcHYoXuTyR/uCm6i4Pld2zNt8D7L6c3
PQTkyThtZ5+MlSAZ4DvrkmyyCLOO/Tj37Yd4DJ2lHWpWbKrknO1pnoxziNYm1LzOtcBpyn6ObW4a
JCVbgxSQ0Cg3iesubdueTQEP7261RYb3EBKqeCygIKECaEyF2bldf0Q4hlHt8YCSUyW4+ruO+pc6
ac+d1yO+0aIDuUmG745NXS2ZvIMCxamiOM0OKxpbILIoKqcV4LKQUQiyHvpZdDw5J4fl1KQJeY9m
ddWwrsu3fv7BO/16ai9mhzu2A60bMoNkrIw30xOYg+3NGK7qVOZEs8O7W/CWmIHxpWp0Hz1EeLeB
Vm3WP059+xHvNSWu7qDLNqIaseoCiDJIPAWOVOdGP3y7I+Ayx+0wgokq5R0PbbzmfNb8HL4fnkg/
H1KImDQAMo3YjoNJ7sQQkq940/pTpWCaHNKbZFMzFFeQ86GUtd3WEfQqE7Im56JvcsjlWSgh5/V2
SrtWNcXiZggMrUqd2+9HyBfVdIMeUDpWgR/CvwXQ5n/vyqhzyE+Yif088TELhw6yOlMF80QbQMh1
oAWpnYt/0zv8BfGNHoFf4IPWNZfpUO2Shvp16ls7FnUysKl0yxi8ghH2FASZ7EpkcX1WNBkedFcR
xPF4bvX54U90UIEbBqWHqtVb8E11LvyuA9wCp07GETazdNEAeSCqKqRATwkUA+Xc/EbZ4hdX7xE1
02zounA9DtWyMXFH34Qwm3Z05440PwRS1/M2tX2oqrBPxybv0nS+E4kZRHFqYo6wPPCXOTEd0n7n
Z5EWgeqg+6HEMMlTFQB6xOVxEu54br1lJvVK63vVQtyn8jOEak/+BYfrYCdGgwnMhgoWey3Ec13n
oP3bR/bk/f6/F9M/KiR82bEtGX6BNwxo8d18Bmni+6npP4Lz5Kr8mpl9qCYNfautCX/sa3zyw4/Y
vGbe6bL0iaosia6S9XeMLaeqF3D6/DkgqSAgDcQ5wTCKLKTJgggdHrd/ODcph2xtFVI3FJK7VW10
eoHcFGQ54/ZkqnwEjEXZNoZ8IKpK4qEr5iy96SPqz90DR8iYnoYGyoXtUGUQOIYYn4qKZO3s+/+e
mLdY+C9Z/hE3lrneW0dxv8s9mpH6kKXJLpLQEXJnyG6Hc8n+EUOWel5D3hwCpcSE65SLeO3e1phk
47m7+M0a558dNhW0y2yzFtE4Zi9mJR8aWp8L9G9S7/8cGuoPa0o0vh0VqrhsNUr5u6HDueU9wsgG
hN+gByrwQhNdf7A+mF4GEZ9jM+E1+/O3y3aghrBFvgWD9P2kwrhaoZ93ctIPCT90RRWp1SDRDEdV
YpzT9wEELk9ODPv5041fB298K4EQgIRTAfLh/McuIel+cvxDkIdiTF1Pq5bVrpNvqB09qkR8/u9D
9Yv7+6gSFlmCbjUYgiCtjnUHbVFj/3bhfE6ugh4BZS3qCIOo36Z9Smv0Npb0VvHYnNvuR0AZFNTN
tmt8fN0IlJ0og5R6v50MlUdIWcb3xMcL6m8U6qQeYo7AIxTdMHT23CP0CClLrasnZLayooL7Eqqc
5HkEn+/DqZU9oso8b/HSd3NQNrTZxruOUPLE2BSb33x9+It4fASW8ShkG+cGWwfy9urdTOlgbtre
zvqKh5hh1ziL+FLOsdzGh8DjVfAwJR1cHhgNo6vhbL9NosDHebbXBhJeHkLZ7yCQv7FCzbNvi70R
9f5trH1rrsOELLMwcbd9D1UU3dupW+98K+w1rI3DEBCpEDlRbbS/Cgp+y/v+TUjidWihZw+50iTa
8a/aFYIA+fnUTSKA9UAbLS30O+vRnstojoA44Bpn9kZIvjQ17Z4s1E8fWMsgmn9uTQ+BZoTe+hgR
21dsI39DRfZ9Rpvnc0MfYgzemh7qxK6vwh04W8miWzYuv1O6eLt//uXqjg5Pc2MC1ezL1lfzBDGN
W73s0pWZB+qhdEhVm1uecSnOVRmOIDk6ZzGPbAwB2Cngl6h38rpPkG89NU9HkJzwtcEbEdLJdoxE
GdT757Vjv5unXxypI0iOkqY1vTZ9xaVpX4Cqjt6lotn+hNJ48JsKz69+xSFFIHWWNGyCbvqyhT0v
xTrruc2tRrH9tnVgtP3mUf2Li+UoJrN1ZDZLOGblqqJ2uzLmPkJ6F+r0/70Mv9hR/wtK/3iWAP3Q
GHjKNJemXfv+auINArddIC+t2lNWADB+snp6xOg1AqWZWkusycAC4Oj4Z8S5k/djeEhLAuiZoM4w
9BVFx2wN3XUN6W/i/68W+hArkhBQ0R0U37Jv5mS9zeQSX8c0Q2ueN1aSU+AF+iZw+s+MM8bYvG2T
ACogEBIElb75ksGt5Fy8O+L0Fp/Nbet1VyVJvF4B6U7zWtCTr/8jTs+2KLmHhoqqjVLIoVuvyjRr
zxVGjkA9wicqZQI9amrbO0hS59HIz835EaIHWXW5jCuG3vfoUmfzVbXsXMHlCNHzEEJrl6yHinbL
7pM4uJ/5ySLhEaIH1CJc+Xhbl1Pn5rtuWdYqiMOX/w4Hv4o2bz//Rzio40RYHwbY7LRZLjCdiHKf
yeg3weZXox9OKcl6XcckaKukXaZ7gGo/z40/pz1LjxC9hidNYJlpK+mZvJpsHW7ILM8hXekRpRd4
aHdHCtrobdfN5STShyDRy+XUrB+hdGLM1hn+LJCDtzN6t2PV6fHcJX6E0nmxbY1qkEjJ1bT5YAZS
7DL+TWj8xXoekXQW6PwdDD/s8gXmDUCNFROHovC5STlcsDtEeha7Ti1YS8oXQzPBDaXWQ3YOkEaP
sl6Z8uBc9HEGotW4szyVtb4ft749x4OEY9vPR8nwoR6SGRr/yu3oXb0HCuA3M/O/If4lDTxi6SK+
o+M0NKKiPgjtPWkVTEuAkvT0FUpJY9XG2R7myWxVfOGoJ7tihjS7hYTlxP11NhmZL/tEG/anSmJm
qzqFhcG5CvwRybYFM4Xuxvr2XNJrc9uGJDUXscBGpDy3Lw435dC2K5wuRVJuWnBEEN8ZeMHFnIbn
3h5HLJtee7PbejIXM4rpotLIlVMWnSt5HqFsyKnicAphsULfdL9cPIOpHSWn8NX0iGSbEhst9YrB
YULU53KJ5nyU7BxOjh5xbJEwYMObwVxYR6cihG9IjorEt1OregSyjX0Kp8ywXi+WCZiOBAEIXFtE
zl08RyBbA6wp3DzC9TICWZOPvW6eZBKun859++GkRw7eLpTP6yWAz00R9XsDW7f45MQc7sxWOzqi
EbteICLJnge19d842ZNzecoRxLbHws2rsctlGLgsIC0NRZioPqd6QsnhqMpsDfcwjZdLm2z6Gtcr
BMADeCCdm/bDYzh0LNxlvy6X0CkBxNX6Cnr1dmpw2IAforebIZmV+OXiE7rnPel1kfTnkgk4WP88
eNwbHoQzZn1XkGtxq/9BNAzxzkwLOULwgn1Scy1Dc2nAnikzJ0SBeHyueU+OSl87aBB1a5H5JBP7
tqjwRQl2jl5NjhAYoVBSHmE+d2mJJvk2sfpS14DR/fe8/Ps7jhxRMJLCDqgfw/TKaxnbZ2FUq66e
MxjBRHrCLfjfv+bfcyJyRMTUNqwj2uGPiFkalJbFTTFs5hwihsDR4qf8fBJ1sq4cozfN0JZwLwT8
Y/R/nfv0w3HtO4QD4Bn1ZdomX7Rq7spF1acuPnJExGRTRFYVx/pie2OvSqQsh8LwfurmI0dIolch
57t2+gKTIbihLf3HHbZW55b0CEjchYr2EbWey5SKpIBfTFcAknoOOk+OiMQhgXFmktbTJVCBLrp9
GvJwgl/WqTU94hHrKJIaXp7TpV1nUeyxkkUKaflTuRjcrn/ejoZ6lJx1k167bthfdzJtnzoy/E7r
/RdH6QhHrEPnqAFY+RJrCj7KW8IxMfq7GuGvRj9crBGlKFd7OKlFAUrnNvg+yuH13KQfTmmP52MN
g4vkCp2vWsKyEzDZVWzLl3PDH84plWM47kRncNZVA4CI3cbFA6dySM+d1fRws05LapDFT9k1W2je
ZexOknOZGDmCvyDENa+eYWgV4fp7a8wP55Cx5Ij8goFCW4tkzuC4Bemj3tGoiETqzl2rR+RXR6RY
dz9GJVS4bgY9PRN+Tk2QHGFfJAa6JVQqgr+bgzVkAO/j9v2prfJ/IF+QERI6HKKSwcWXVtEkwbsW
TpmP58Z/O1z/qBcNE507acbkGo10g8Z5tER3b1S93+kJJhjn/750yRFY1Ab9FKWu5vCwDZabtYZv
4tMCE7gGboAzPMsbtTvxuO71/8fj+n8923/7pYfjm3hWD7abJZ6tmxu2At7dkk2Xvsepk1dRbzBs
nEcFPxm4886427fO6yG5HeUEC/ErHtZdr3K599bfitoH9Z9h6AC7G+CRPPZ52PnduRxJzjQ/9Jym
06Ndakf57RZEydznepcNPChJmLVwVtVrMiERGjmW7s0bcmz+nLRQhuZRn7TqNtx7yD2XHg/6pCn9
bJ0u4C3XbS+QkHO2zeMeHjyQ+fbttgw5zUzAYanpod3e39Cp59CmVygqrioHrwDewFBATcbh48QU
HjJd0qU/1KTwYw37eFty4M7hfocZ6gtrYX1c7d5scF3qCYxh/4SLKUkM3P3wGnB5nPJG/DG0UZ99
V42BEw+InPuoVQ61r85/eUOL3Uy78ls+QDRqKZxrF9qXCYiT9WVHy4ZdAlZvS1HDR7nLCsudj1UJ
I9aY3NPU8uzaxmZX4FbNo7+BjP9QwB/T8kdYGbdpSdrQhYVIYEk9bKlKS9irD22+zQ2fB+A3u1E0
5ZrhvZ8UqJBszYgvmwcNF1nGE/BGLNwQowRpI2IJh2stVmuExaFOkdnlGQ2kKo0a2Nd5Vbx0ft+S
76bdPVxQ9RjDQ15DgPOTmFmSPIVrHYYPey1S05RyB0clumbOUCgi7Dwx8hEMjRTrNbUwJB2KhuwZ
DIQJVI2RjSky7v2N5+Hmvs1wax+bYrSo1t4mIDtmr3RL4AVYyOHNvr1JgzcZSGnk4AKwWHbAFKGg
kxi4E8IWFUn2LYtRSGO3vB9Skfcw/LvyXsCGkW9OaVRTfLDYt8zSLvfELP3FacSoJz42pnvdNtYM
KbbDyMy1gwP9BntQETGoxAovS7xrRPpHuobDeJ9tOx5+IiZm0/DMXlFtz7M0ThgyqHUNwxCWgGHY
vac9/NevEFjpt/uBOYqyM1mhrbajzbzaBvwn4he+AlLIIbJGpPnGZADOjLZJNL0ksaJpKeol7r7h
7ZPCwRiQqdGWC+xRl6fekIa/Ap41q2vnE9CEspGM8d0eB6x/oML1+1/tIEcTlZEOxuhpxqEVl2ES
sMOdFO3mzyJQKWEIb33D4zxRUTY9Edgd0m9RV9cp7ORhBd5Uzlkb38FBMxq/dI77uIDmPQEbvXEh
zSDtDPvQ7/Xqmr7J+7lPv8Uhn6fPYJfvokD7B3cX8O6jfwSOdUnxn8cg+j522u63ik3ev8LglMI+
FybX6nsXYZvfND3bn9aMNFfC5rR7l2r4YV5I2k7iAwypt/3ZAejOAnSioRuQlm9KxPx2cesw/OjR
WhH3HZ9DX41jJ+tqZhnV92bOErhzR2HE/kg5i7K/qOvrJ1DIgzv0efbvgPirvHNxUzYQCArKrd1T
dweTB7vfQDwo/AKrxSgrJwm24PvECzk8wYq3pbdubI2/BLPotpvMa8JhZrv15DPhdV9/EHPWTMUE
01toInYErr95pvhi7+y+xPoR7uIruQ0nPsmPcNaox3cmzhJxJaIfkxL+khax08WpFlfgp6l+nDPL
v0toAgxFjZKheyc2ohFKxLi5C4/HVTclQTvJ3vcdBI6vdWMm0AyCxDavIl2y6FbBtpfnax1o/k2I
rJsK2GL2MIeF1XJNYA4UhdvtIuGGW66OkQDesAOjMMbd3fRHCD/RzJYxaSjkDDd8RRs0i867LYCn
8vAmyZND0G7vn2YHYtolnrT7yoh3HP5nzQBdTlhB8EekS83fNY4wTGalYKrgysXjZz+HcQyBI6Ug
eQbv931vb90Kpumrhz+drnMxr8mGeL9PbhxhF4prGmbESW+X7z1d1+aDFXt2D7M3jVuhh2RN9kFi
qLfVnFajL3HG0Y+8DI6pOAeJcogrmdGsv1jbhNLnDV3T/d5tS4PSxQb/p+yG1B6JIuhsQtwu8EIL
8l23bfDC4x5OrSLiJigXYmlWJn7fu0+a7GF3Y9fdZZVRY1CXs2O1fwhhsfVM6NK1LygfMf/mJivX
7Arp+Ga9y3o8Y5486mKwxu1bXHprXcczUMeR2B5g+Nn1xbhruhbRpJMA5AW91DAUJthG9ANs7BWo
QUO0rs/tRhJ2M6Kx2z2NkLuDxSis42FzA3HxfHY6o7c0zJb1XbzMwfAna7dUPsB5HK7l+SCUFH+F
Mt2xHRR025bL2KSthT/7vnWXWPXR8pHD/bq+W5q2C2/BRuXy0cDwmCKXMETyEoZGYf33Dr1kCJsv
ootvlrFtGiBtQUfBRkkhpnQnutVPN3AID4FgZUC0kssywfowt6sf2MsQZOmdVTL7lLIeBV/IpMf1
a0SFDH4Aav/yBvO+gZQK89fV6+QF8M/tx7jMxJU0wAVY2G7of0xgeX1SoGHENxzhmeY2m+FUT93w
uddRV0IOuf2AVw00knYSwJBQ6l0lRbYxbH1FYNjwZKfNwmkcyRqMltHXuzZrwEoH02wGVc/3PBms
e5Q781HZtt0Sv6hsToOrGIOpENvIYLe9EmwDBbtgYuJ9+ao7hmdZ2kFIpVjxFnzsVvA+n0UENcUS
MKf63uEHj3sjm7JF7oTaAuvDrYQtvf/Sa92shQLFxz9AEjD8U2i95VHHH4Xqya1dliCEj+w+hbcz
EFg3WZJGsJRWEIMRGU79K6E4i3BWDiz2g4wLxnDvk6xrhxJRZ5mf9sCkF5tmQ2FI/TB1gfoIzV77
LjEI8WUs4TzczuP3nYg596puv8JbpXuInIfauVvQErnpufYRMo51G31JYJW9fp5pA/ooEq09hnzh
CsVBaPX12Af56ILolcErhpWtm+jwPbUh4n0ADtP91C3ATncADTf3Wbhu9gfwNWubZ2iD7iUJmI3v
02Tdt7+SQblrY1dAl3MBgf536bxyUcxbIKb3QiIYfg1HVed6CaZQFKr3BooqMGGXY97rZGrudkZX
XQJztJrKLVw9OoVk8MewJs/huitaDh1tFKZKgJYOE+i5fmbTVG9XACOH4QMwa2v3AgEC/iBIW9tK
zd77pwQKCFOpN3TObyNI5dhcGeZYHm7zLL6YQTfkaytC+64L2fw8wctc5A4S7ItFE2Lf+PeRtjN9
WeGYGHwJ0QoLPkewHYYKAZziYrBoI8ljXySttqxoJjjQ3ol218U8mwT1bm5MXSR7bK/parquwuNk
nx4dQCvPGS7bROcWtvJl1sRPLFND4RNYGuoasDzEb5MHnakBPxamYHpPLhvP2luv2qJ2wx8Kll95
srXu1gFH143DZ6DxfOHDMSqYiHoOcRMHuwQ9ZhLXFwhdaVcTiLQZXzYympDZLxO8+mxGH9phDXwp
tCA3sQP+1tdoikYDXy8UvN9CSj3nbRhDfEHz4SOy3q+8j98ZCmMGuuKIRv4Nia3YhvyTf2na7NGG
WTHOFCeDUlKJXtqh2LsO3aOARC9UufkWJmC9zmknw6qPpqwwoPo9L0Smd0GXDLogzfiEd8ZqKyaT
mFusGVHz0yRmAaUMCinY65R1cnwM1eQC3BVQKbjPeBOW3TjD6TumbWTfUTiPQ9AZnfXsNUoHJ65W
wnrpeWYi/JIusA0ql6hGbSltg5U/+WGqkyvRnWPv0NAMhw/Lyvd3cSQlrSY5jsGWL2/liyFCxAX0
HxjItLJ0wttkH5rsvkbInLYijaLm2QP6FBQbx+n9sOxuhrYHeNXMFZDJrPsiyWg7vesX1DAxeY2c
L6EHb1tewcWll7QOh6HUpGZTQVsh6WNkpjenYL68JdcpoLuiKbLUxqxUZibUYBBwxge1JpcOPuBj
nO8KFMHXCVTe8FOz8PFBDwZpfSGaLihoB+lBbN10s3niOIIEM9CnuGm4m5BUJhvBW7BZ0cmFJIl2
8FgKo2C9bfEx5L0ZcTALFvO57L0wA3zFcZ/8ERPt7JUlvaTwwNEQ16NRG6alT6T4ntm4yZeQ7leT
mu3LMNSC4ckT193yZIDWQ8TTSOnbu7CdHHr/tX+X+jfj3V3v4f2Spj25pHBO2pC+IdUt9R6F8Scn
bdDc9nyI11cja2o/DNrQAr25mX31sna2iLc2KKdefMw2Y3I7BX/7HnSiEZ2eXG+duBHrBHGUCLx+
JHthse9rNuUJHuQzYL/9y6oJu2E9c9U2muziVBLe92GWfZZIqIrNd98aCFm/oyhpPQvKeAObgvUl
dvZuHHEz3KWu8X/RqaOf5iFOxQ1rBegFe7fs2eMcMP1MHPSHIX8fP0I51OQp91AiMWSvkLbMnxqU
nPSzDSYAzNctKUwAyEUdxJ/SdFhyP6aPaENCYwCmuKHOF9LcI8TZW69T9hHRvbn0rOMwT1fbCnAM
zE5Y7IKicXCAKHscHcyPcYgZdXvTmqS5YGPAMIw3/m7n6V9p2qzvIxZFd5z02HCh1EVL+HsZa/WR
7nJ7l/Kpe9+QaQHSyci+n/ONtJlb8gbvN3/1MCz0N9yy5hOn23S3dj7Nym6YeaF2s2/XQXfxnQcg
N/rogjR5aaQLYTTA1iEJbmqVWCfzGmclhfCDF+Svdq39+jGOOfe5bdWWApxMrfNl+yamcyv9tkMI
KNXUT/CKnucFu2xrw7ErG25pcGdpBJ41GPuO3GlB6+xpCbZlvVooV5BPO5eMF5mP7HpvoiluvuIt
pmaYZrCA3Uzt1EYP3WYl/IWbwSK00kmnn0IjJ/JuDk04XSDe4Qfo+Sxc3I6BzeQfAU4mTNhi38Zt
SZZOrLmJWzyustUkbaElsm6X12EQhv+Pui9pjtxIs/wrZbpD43D4BrNWHQBEMDbuSzJ5gTG5YF/d
HYDj1/eLLHVPi1aqmpHNZUw6KMXkEkHA8X1vrSPHnS3eFsWD4TQt3bT+QM3ajAE/N4rj6V3jRuZ9
VMKLVW6QC5XSi1HVRXm7+ECzNl3LgmZrJA6+BDt6JvfDWVC6GWRDg2v4lUp+hCI88BM/XHi49+FI
Wz4LPEWba6uN6knswmzKD3rQARERYmYU5r+1pLW7BdgjKXAdiJDXo9a1xkmUtxIzVN/g1r+vAL/M
3ytehXvWgfQNdDPL774OKu+lgWQAwM/ScfRuglbJY1wdmPyj1E4VGmBGuyRTk43qm0BKhXlSc07U
s9ZDSMuEy8HDsJK23JvuxbyWSxZ5lMoAU046NnGYBjW90qta3CdDgEX9PhYwCm5UifLKO1fnS4gI
Dd6NN2gt59WyaSfkFV+EhUe7G4H7E2cwCcbzgIB6JAn4O2+RGLErA5LPu6DKK9IkbB2XsYtqIUSG
YoMOGzXWl3KIHYZUDNaYe8x8WxqMiPNFWGXV+FRrr5u2XemZcK91aDl+Y2s4j8lA62V6qUIOP6nI
q1C/mLkapm2fkcaLw8r6x2LIUhEPkHaYkytLluFXIgvYWzV4o3jspwEb1iAQMvRkVxYqZE8M6anL
6HAxp4u6GwLqjI4MX9f+2tV1HY1oiI3gt8tsgMY8VXZbNyuMLxlKde1+DTQghzy0MtJmxvwcGWtm
fSv9WeafE8p61GatCMkTMSPOq4syjdaU3Soa/sOhm7Eoo6DzwvSAgnEmWKzrtfSwXDniXSwrruAL
SbkvDwZPlvI1XIs8cS2CT647qsdN4Q2rhUrAS709lrXAxATIOE5FZYY0RmBY8BhMBpLHac6zfh/m
58cT3i3jI6+464oYz8C+eeIgpci2zPPWJL3Hi3kzLbDmAMbwYF1cZe4XV6qcCSCgwlVXcDbYfZ0W
osUdmdpDRwDdXYY0M3SPebt+UWXezVdtNeuDGWRb54lybok5x8EBcDFLXxDkgmUka3CaFuVYXRpD
QpgjEOI172up8rhfHZp24Gciu0KOQX05mEDXl2Nq9dH2fVe+0nFR1aZT1fgAGCXYNF6AKQw/j1B7
t0o2xvXC5ieOeJ2PEVHwJMoRKFPgIsagE9WzbLYBis5tPGBX7WIFqn5C2aNawFfg3NQYR8clri0w
kBjRS+ESw8PlssjPcfEOrqJ13EP6BdE5EnPoZRe2BoCh8dawOch54vnzMk/DeloZHnaPCK7p6KkR
hS10bIKpL46dgjAMoYDLkhBRdhZt5eyaovk9mTq5lIjkSFHY3GKokLd+HgCOSTX2/EigzPGwlqm3
QNE61GtSgUTHlJAa2OLe0hZlM3taAUKMUsSeqI/OAFbDowyLC8omFwINxWpwvF16KuzMPeg2Op5m
BBlg7p3RUnrFLDKaYqXGfr5uwIb+YCs225c24yb/lncZ3HKV6fsaQsCGPTQ0xHaDzl4sARVKUoAB
oQwSZ9/Uf8sLoB7AmPW20tb5Ec6IJS2iFVg0Tyop8rw+ulkCOIlgMPNfRt23QdwBWpmuXZ+t8y3p
B08+z+nQ2ms7FWFxUHmIlWbT2LQq9lOWL36O85byz2rGTPtSuWxups0a9ojJrrphfQRz0ED9NgFi
apZowSN+3C2lnnFn0+GJBnmwBcnjH5GugAeJ4sg4j9pZWPmI+2GuN2Fuciwtym+X06xsW32fG6Ax
EXZYyy59j4r2oy/DsEqqLh3pg0fXZrpyRJXTVdqh4u1WAVKlP4Eke9XrIGg/eatDuVv8rCYxY0jK
PuFBluFhnS2czkkq5KL6GCVZEObGqw/1y/2EWCNyEIhoIkdcWLI6WBGwHp19ZGkvwx4AayT6YEbQ
eZ+PH4QHRX5F17SFoCglVbtD4rxHb2B4lKKLUd+0ziBuWtdvUbw4j1tI1PomBh3C7Y92brSHZsPV
qL1XAwJ5JnUzYIEQmBwTfwz7ErsL5tnmygL4q2I4F4y2EdJ8fHokgnJM7dx47a6AQGL6MVMXarwq
kZqLOSvUnIy876tNHQRqSCiqZEwVDWPj8i0GqRobAUP2GFST9bnXCzVnXVLmRbgcUgOuMYbBIwt5
gggFohGInjYgosFhdtlBTEuw4mg2PdvhnOxAsw94hEUAUP0qgtNzLZOhaW29ZYv1hw9Z8Kr2MCL5
zAQoqkUMzmdfNTWMWBWoLaPjqcHjkMVePYYXgvbULfvKV4F6siMqWE7na27p8cILVrK49Jegu+ay
qJdvHl5N6EU5lr3Obs8x1JjvJ7VO7MqeV5Nj6nXVgmcMhK5rVLo0y65d42vMZKMNBJnAKQFnkjFI
Ej6biOgmbN8KhyMbojwnG/IxmskbthbpEpgLcZtj90fNTDcedNhZdc3zcsrwRFTl+l7loBFeynLu
qi3LWOthDx76oEXLsRiLW4apBo8GdBUyvu1xtA8fec/4rCLjh4hZniWz6sEHplagtwXAvfkRIoe1
euo923k3XQam5nYKy0HD8+5UTWM5DQgkht+tH+t93oCwwkXC+mA7Ssx3YoMCRDscYd3L+ByvIH+6
BkmOoyxkQrgw6jj3oIBOGCKUOFWWMX3f1mU1HmQWzN3es2ghfwkIwXou2kXALtM1no1qSWfv1BHE
69x6Vtvi2VtRKBiHGADajbONGq8KbWAhaTiR08NaQ4sYK6LBzhRB3SKkaMw886aE7tOHANhQTFsU
E5TTevBWFGOPSYBQv3o/91ngIowZ5Rr7cjF257o2DHYj4PH5oq7ESp783HB+KCpQeHFPGjD3GxiB
yYjdrgVCD9xeL9zbDiOlNg5EU3oR7rlL0eszFNVyBCxsiQ9N9LAtPB9EjWjBzbioRjeaityw9DwZ
c8nZziw2XHc9WzzSIouNzjaMqiBDyRmWL788cX/U+olrxKF/yIzZ5kQAasttzXMb3s8zOJWkzgDv
wVYIJdlN0ba1OKZZ3Vb3s8Ibc3RUVfpALLpwAFRAWo6ucLfym9LKJjss5RhWj5hngSIBMRSuGIAo
qAZQM0O4WkFii5u592KkRwjXJyDwpAq3FXR85+xh+R3xfUT7cRgi/bHZNOBwtN3LZh7xxhpZ9uPN
MuJNA9mJKwF14VSG7j7A2w7bUsjzan0E7QFga8KdvA3XVZ6wKwjvSL0UCGIkCGLn6Jl/U/SClEL0
F1UpB35a6w6WaZ+6znyfCxsCuqsswie2Bg3TLo/8GRgsyEkKtRQZtJqQbjc2+qWZmKI3HRJCNN2e
M1p9rG4LR226GtdwKuOwmecqcc14roIzWlzxMWXtnsGCO++GtrdBkk2ub09UI2AmWtKK+Hu29jw4
edr3vS1oRVMktcpCzNX9oHsgY0FTBK+LRDP7MV2zcrkDoMwMkPI8Hdf3oOVB9qOvOlLvSQB34p4U
sxsuYfQfzUONFOn8sWs5W04+87T7dAMv+1Mx2UZuVssVsI8Q9HQEjs6CDim0hj5vMOzSkkbPsXHo
+tyP+BHKxK6UVjHk7AI0N2NnReyktiHEyFf1hDLfRzJXmb4czeq3B4mmOkwEQLxT2BNC49C2riUr
fwA08YA8ceX1GuggRrBYt7jOmw14pApAA47Q8x4znyeR0BunIHae54+4TdQwwuHQ8/N7F/ZY07MI
oG14reVUe0gIKGTxbs9PxndpgbPB/s2z/dCFGEIITrr6PhhHamzMMiD3Y2RrhgyGOUC1kwQUSpKA
cg+CmCAb0iuaSzNvcX4ivXCq22L6MOXSL6dulQ3/hilAsCUqh9IeHLDI5ZuSTT9d43GdBTuNOSVq
kJMyRKjvyZakDYDN42ELyvEGU3EoDzqHN+AKrEYDizoKC1as7kOFrZyjapJx82qtN6gIXh06A87s
KwAW45DfQdjgZ8k0oUb5roQWEQ9EtGIgbTGcVBo+yZ6E0Ia3BAwUEK50HDoTFbDQsahTYP6DGGz1
aD+wKGeAw7CQEvOKbWwtvEgYaB/KiON4NWuU1R38GRFi5fs52y4wdKLOp12YyL/DEw1QOrIzameG
iwa7RlHG84DE7/mARXjhfjIGOcQXyV/TuHyRWwnH2qZrdb0h4XPJHsT0l0Tp5GsiDK+DadHYzTdB
caew8xT8r1lPyNc8mA5pb2FaSLnFU4pgVQ0ncqlxWP67Svk/CXoiXzNhsHBTAyUX5m4PN8GQd4U5
NrPXIUNNQ9UCOGwqEacvw4HeLBoAUYwaXI/EQGWxc/zrX8vZB/RPVDpfw2OyBRhb4Y1y26EFtE4K
mEEuIbobYoxLYOzAtql/49D/ExGSOP8E/0PkNA7aaRYEYgsj/SDvjetSm/QZxky4rrGJAQHPvRpD
4eLaf+Mu/hNx4tccqxK6KhzmlG+FQpeFQVzLZgCi9W9e0J999S+qrR5NeFrmIYfiovlRjf7TrPr0
rwlOvwZZYUoemj5L+RY0F+b10e0LWwd/8Yt/UWYZ3zdtZwXfAunaQPAIeNUHvvGvL6g/e1e+3Ofp
Ag6Dh4XYZsTTeKROKfZuPHz/2lf/oqmkVR9AVYP3BZsaMm1NiHbGtbv/11/8T67Qr5E+YgRR0y8l
LpdchvRdt0Uzx0Q4ij4eRZs+6i1UzDuYg3j/l2rtyNd4n1xls0TWCd+iRpR/Y8Oor0of6My/fkE/
XXj/5O7+Gu4jSxeIyWVs26gwB84Vtm4GhIt/PpxvxBPD4Iv/0zK/FRdFXz6Ua/Hg40rju1QXNseq
kOUbtBq+L1OQ9zQyEhPRP366//WHGlL99//An9+63o1Flpsvf/z7Q9fg3/84f85//50/fsbfLz66
q9fmQ3/9S3/4HHzd379v8mpe//CHDcZi427tx+juPrStzc+vn31057/5f/rBv338/CoPrv/47ZfX
9wY0NXaOsXgzv/z+of37b7/4gp5dnP9dOnz+Dr9/+PwSfvvl+Dq2+H/V6z/5rI9XbX77RapfOadC
wRsSovvoZxvx/PHzI+xX2C44UACf4IJBbMkvf2vRF5rj+6pfGQdyRTDB+lLKczqA7uzPD/m/nhUH
YYiPMPwHHjb/9fpv/nGl/ONXgvfj9z//rbXNTQcuVP/2y9m387+vJ8kEB9YAuisQIb4SUuL/eJYL
zb0eN5/ZYC/Btu6uQfB9+qrdTqZCCoW5nbrqc2Dm36n71c/wwz98Z0iMoE73FRGc47V8ObuynAer
WGu7EWk4IuFVkggbJoMujk9+tqcE0daYlZiAc7Pw1rtF90u9r6HSuSp83X8yHgLPBB+/iKiFXe65
U647lpTRLhoKjLtJlvGwxM7u1A2rBxBVlkz5NuApjSEC7qAynOTBywxOOHCZKxShKRJKXAavjRiv
0UMiEhEEbyXJ2sRWEPWHgR8bLwfUPrR3rjkjZhnZCI+SI+TsJGLLWN6h5w6c74LbDAoxz7+pM7+6
kugXlpFdyvkqUOVDFip8v9QtGr1yorl1vNtUfXkqkbx9WfV4K5Zw9dc4XQikoEWFnRzSqKKKm26Y
3gLhsUcjNWSg2vrZdYG+9RNvGw6+1aURBcDZwBngwHOCaomCusyeitkP7xAKvmzSNe9BpHcX/kzt
LaB3lqTALZ4N0mWzGOoWD5KdKujiYPLU9YyJ+zNdKNJs2w5nSJyVJnw3/azpBsosL8rGkDwuZNX4
T6jlRIJ26fxOA9GvcRq5qo1rmpVIP6zcfKGIyo+oAJyPM6rSThRmjDjwuLhaioZdkwLQ+oZWjt8M
XiVjwTQ5FXqxse2X9mbJzkgxZg4DPHOQ5iBk04YRtBTtRcfscppKZZCemSJNaSzDbYnk8mO7TP3j
0CoJjLnXXpZIdFY8UUjOwNN5yotkhQUInuop7G4yhAKXyJavGkBnzpo0mdqhiZnuQxNNEETuAGEX
fdzlZH0CLQQXXITacmMwY/kAtHv0BV3j781DROfW/+Ce5GST2andTNyEN7mYsV8T8L48tucAWe6D
mMaqywQUdF05XWQTgSJaExpcMASE9EmHxLUn7ia5btYSEXKJmNo0ShejAEKPGjHAnezdPm20PPOW
vL+0NjcvQ0txIVUDec5Il3+kRvZveGeKO1214TVs3i2wPle7dlMwmz9jokfKEXDxbEvLFq0DgvjT
jaAW32Wlub9D6EdoYldL9oKMbX0QaymWOEXxYhoVU5m3SR74boORj25LXbt72q3BXesrMNGzTyG6
KZszZoa1fHkbGikQupnN/e2U+uGLVl3+bSzw7m2YGrvLsK4rH5EZmXiakJAVSdTFLtgDi+W16Yx+
nLOwphFtR/E6FOXQRr30qsT3R8FjUZcjiQd/8D88Xfj3YMibp4mXEFwtgXwG6kihXwpqqDTpHJCH
DJwbMFN/qnpYL3hzj7YFttHOQoaSDVnfRCk4aJ3owDbBtsgV1G1irD0/EQviSLIchOAmJ1Rd+Plk
IRXOVojFkJa3wxo6TVCQ5OMdtAUDyP+M1Me1qpAo07kUpwhCJLM5aurZA9DudANLj6qe4NvALERI
V55RNdm9EQK8KhE8aHbrcN7SfehMQBdPqHK02DwmqHUaIHd9qcobDyq8Gwrxg43HEEKVeG39+bbo
VPCEXymPul5g3BKqF5sUAav3YNTyhPVQefGAN7e1X5Swwmshol4swzO4xg4KFRxD32fCxAsO87O2
oG+9PNKgannMVOOF8TBB4w/wpcee76lmWSPc5CaIQfu7vdebg82EgyJLlSEEHFOLY2GCSLFLKm+d
rqDTnJ9qiFfWeGV1qcHChLTfERrS74XRE48zy3m/Ib4H68bsSHkJyYK98bjqH5VbODCLdJJqA30R
e56btX8fsnWskya3ONILAtVVbCB7WeO+zlceZWp02d5PPSojNJNWV03bkPymQ/xmvmEiDA7dBKX+
ha4hWj04gJgZeEcfd9fYNQWEikPpvc7puKSxy1K4P1ukc211q2G0mQGrbFkAH0gy9ysE9NDDeCzG
hTNOyQC4OUNki9dAkzkTlMOmHTAGSKM1/ooPdi5aRmVPIGHQZwRB6SEEhxP3VKWXuJLGFwQV+5ce
lGdPthwbCB2n6riWQNnwnBP1TuQOT9Cqte4bTCc49CDBnK+YqVQLbQdO6rWFyC6CjGQYooAz+d61
QtwvZ6CnYAShLHNPKmhIrBw/nZ3yW/AifR4XbQkrOgnnK9XM/hYvdIqRZdl8a7tsPGRI0S1Q5IzH
TobspCoS7XpsKLI10MWij9A0B5sAP/krtKFXds7TyErCXbRi/PqB3ai+Qiy1njcANsEWVAhfKGIk
ykmySzNHZqCBKn0lmZNDZAVyME6dcLUPucmUfyNQV+EXfRYSxGpZII3ErgglR5q7Z9iIxAOO3x7A
JRUXGVncd9RE+idBswVyYmjAvzd2CQGn61WKKCNizSAAlcBKKaiJMNIOEvNYALx7mS03N0x6IJSW
lN4QqflH4KBCUWmxPnLcSG+h8FIWGyKK7dLVF5QVro9VZ0C3jbUZ39diAoPIBy05UFYPfCF+afS2
YIO97zrf7hFUWdWnYZrkd27z/HOtUBYe+/kwAQWtK3BTtsyhIY6QYI8ktXVh0wCzQaqend+LVzxd
ilvh+/mCYwtK/SWiFrqspDO9ZwhCGCt5DU1yN8TQU7IFLC9UALEXjCyBioEnS1Br3ATQFy/aK1+h
fk+vuqn7NjVjnqABfEny0ocCpdEgiTAYDGtsjSeno8uZuBdrcE7WcLyGQCZl5bbP0fKTNHgn/CZ1
48YCaYQ2mKq3gZrg2OYCcOci/WyM0y7Uu8HzxMkyH0B0OjxWS8B+qIqG9U4SXGabkGoIkn2KISFi
VppPhdoRCHythI+DQcx/B1w7S7cWLT0OgY1ZqpN8sSXuzsBCKzxD2IWLZoJVCIaAsoIWzS5ed7Ro
aPwG5SyuqMZvWwxCNcNDn+CxN9YEUgW1oqskwgPe/xyrNO1wTtfZczG20xp7li3XsCpomhDYeTYg
57MGUgzpB6dqadyhGArvR1qMIAsKzhClXI2KxD2vzMvZ8g4iwRbeS+aJTsRoRS1flznAKRDSBvJ0
dGf492gyYmyXTSDc8aBa58e5AkwIFFYHeu/goQkjXAJzGldl6bJLGI6COwLJvdrWM7jCqIDfZYxt
0A57I6h8b1KswQtLYxVWdTIOkDAGxhdbPrH827xQFXFvxcQ2IhIrqhrdQXkBXRdsR1j+UU20liCk
vDfnZ/13wuPW8DaG/IHCGYkSi8yoZssKz0UQmcMYtfb4Zn1GryHgy3A88DxpgolEHnfISVygxYaU
pIxcqdht2XseVGqt2kJYUW9kmDI8cqf0xqWIRMehpNYtarveYNXxv+FKDD4BkJebEYQY7rBOhjfS
juOpzBcwSa6s5d3qu6LbEBPm9x6KGS6pnfH+4aZ4gi4BxxXIT8REK126bylT+kFjOyNJsfLFJVCS
QS8JMZb9DDENvrF8agVwW503cRekRMcNtpvPQOlpjFcvzx9Y7yBe7DRll7MGM1VA6V3GEJsvNqqK
uc0T37r5s/DkkvTr0NzPgPxN1LdIV0nAVUrgN4ixwVBpzEJ3Fm4K0FSonj8wXIgYemsYxmaHJy2p
8hxCC+aCHI+xdqivgI7ZJqlA+ZM9H+txk/miuO+rwbvrHIxrq4R3Dhr1VaF0Z5Sbmao57sIyQKXM
YGcS1a3wDlWdgoBfHPASXMQifOjSCQqJIHWYBPGgrIckG6cark8fvHCUrSIHZ4fYP514zOGtlax7
9NEAsO0LUomNrXpyhPIxnzawgoQ6zriuv0HCE+oDqML8o5LZmEewLmIqapGl24DfBucLhxDtnogN
6odZE/VOm6zbzRCw9HsLXuy5xWYMHQ+a7V5L1mVkizWWX8+uArcQeG0dooqE+EfowTAehoBGRrzL
SkHWMacMhwPzKSS+XTfcjmoup9g0uAyjsVgxYFsPa45mI7mhEhrqY63A8W7dyMgD5L1BBM3uRwv9
oIygSsrhrfJlKqKp8cpsx0XmH2A64VedgTcP0jeIjw4F3FIHZDXhgktx5+9NyccbDTVJBX6ZwRaI
7vUlmpa+vCgoI/tZZbyPva58F1KTMQokpBHYkvmtKNujr1YSzUMHDxS8TktePeaQMsG154tNF8wX
rWb1RdF5JqGINIpmKq41boDrwkvVxgnTx7JmBHsDxo+xgzstctJUGwvvepSuRZnktoYqeJrJFjRH
cdEOfns7M9PcNG7sEuNjagygqh1TfBvH6lPX+sXGg9ILlgX42txSiusg5HqLnJadxYMN3ql5k+lq
vmnFSJ5I21DkwpASBPCov7XpBD9DQcXdJJTaQNfgtrxdrmXuLXNCuRW7ji3hPpVor8B8QrMJJ1RI
kjAdiqPvV0iwGQu1bsgIY1WuuvCwTuPM4i4NU2hiVfuhtLxAXZb+7F1e3WQTnEZmasPvYMHVQeY0
eEZ3Wfau8ACNJd4gO9YgagyzZID9MM35Bl+x8m5WEUgZL6CPMPHmun9oRkN2FB470FvgtR6CJveO
ddpCrYv2vx3UNdNjDx7nJYUqFlpV4rzPycpWvwQV1iAMAAV4zjZV0MyOZTUrnKRQo5sCoisAxX39
7sFdcHJ+jslyykM8wMrFJ5gGelfN2xr0fFRBGY3AVqbKra8Gi8zKecKOQ+BhiW3hdynWTEwKSXV+
ZvaqLzgCFVA+GakZNtwEM5I+IGEdx47Bj/YdcRrrlCy2SEmyLB4uCmQ5r3zHG6wJUAQGcADTTrMK
ul2I0KKg9cWLgZTyo+cFTcE1h5VLlFbhPpzCJdxBFa6zOGhzDNHocRMfCn6ppACSc9Sznq9cuawy
hjwPg6lFNsMbzIqmi1g2FCgKZt3O2CC4Y4ZMDaycBEcigtTnJAP76kA/alg7iwaRyhdFkWI5L+t2
opGYKDnZse93tZkwPRkF6H0LvsW8Gbcqc/ET9Pt/jXxeFm9jp7tP8xX6/ANa+v8TPsrIOTzzz/HR
XdG8vuWv9d9uxtf3D53/ASb9xyf/DpOGvxIEZgQSSx1T2CWBRP4Ok/JfAY3iSEbgFUM9zvkjv8Ok
QfAr5dyHhRpSBUrpmYr6HSYNyK+4F4UKA+EDLz1/6P8CJqXBH2k1ycgZc/UJZz5QXJ+yL2wIlTDA
oJtBgcVNASVL7cAmh14X9Z4b3qBcGqHTzcOneeDqQniwHTQsNQkqt9I9RXrzOxnXdge3IU06aq5t
EzYXrDHlSz1W4OxWAUx+MdXwNhgCOQVEzHE9u+zKS/VyB8zf20KXnOHGL7BIYApzF0uu5d0/pKK4
2dlbWndw8qEhEFYRD1E+ob0sSlYfGTjoxMLOtx9WJCKLAhmWEFlviz68hmth2PXwVT+LbAjfq7PA
Osqhzb4YvdRucW/D6V2X9fKeFSx9+Sk1hWuLJlwsELlpVGtyFroLR8m5qmWwSUbry9AV6hoYy7xx
tOx2gMv8ZACkgqcWg5bU6vVmhr96E5YLRkxk1biLFLIfaCJxAz9Oa9d9YGyG1ZN4wWFQ9mHVJPxG
V61uAjkwaKT4VOBd7RB/qorunCsN7bLcpDnkMPCWAUj7KXY1Ha2eIXokh0At5tBW9G1Mm+kSqsXi
BIJUbwup9D2CBPI9LCwyRuwyhGoZcgR+AH3zvtE0U8eh0OyUKZ3+gGqgz7AbcRzieJBeNk5Nz11J
m0v8wvE6uYH76mxV54RdzTxFxp9UvIsdiqM2KVGfC6vaRIgcPoga0Q2Hoeohbq6DN5ipGoxntbLb
ArnhqIgUDG+U196zhpbbek3DBD558jzBmwntdD3sQj51SW8r/zLIc73rKeQ+cwAjDRhStBxmhkcT
nAH92WxdHrmXPkEVAx9e4TcPjNQANDWwJLPmwffF9dXOUtXFE5PNNcylpYxHlc84Rg0GHDo3iUz1
Zq4kBWwmxk3D8w+KtwToX9vzK9+fyr2FQAK/dHLqDWlOSCwI33nPsscFcD4E0kHz5BZaQzuaioe5
bQeA3Es4nKCIRM1kT+itHgIop7zQOyd/MIQisNH275rp6xBG9Ni3Wb+1fUmv1sDBuj6L5Spfagtn
EcVVC5SnfkQuMR2SRaCz0mvwnkENQxIPk9cLspy6o6dUf4dKZHlci15BRH4erpbyfWA6Ej6E3r2T
8qnqF5j7Gj5Fo5cd+ejKZOZVfgHZbPvoKxde5Xh1JoakH0MHkiowwOZldmWAH90Eq88SkwcBxiof
iQWQsY7kQgczhpaUuNi6EjNGw+FXXGGhikPuDTuPj2w7LlC7LGN1s9ruTfvLQVUptnMYUykx3nbs
5ssGQpMdZDewsxDxkP8M4W9hym+BUcIII7zkf5zV/4QdQl3nF37IDygoqpAFHEwLTuAvx57zDCNY
pcmFz7P7EOYR2VTBvaeWF4IB7qebLeYyG05ytDKLsZPOW4VJFm8JalskBLd89Dd8zQEjYsBcLhBq
DuVpWU8fVWDhK2/gfJHDvGMgd4bgP7k7r93IlTTrPhEPaCPIy0mmz5RJuZJ0Q0ilKjLoTdA+/b+y
TmP6mMY0Gpibf24aaNSRyVQyzP72XntpOFz07btPrKVK2oZOtO5o57YfZpn63jQTYwlCqfcT9c0H
ywyadT7n/TGwuuRoNzBjwo6igE3WZs6hHFpHhGZm6g0DDZvwYZauBwHBwgum4p42xOAd63r5Pg+Y
QkaRl5924fS3Hk6O25xryTYZ6baq9ChfK6ONDqJwuIoWanjg/8ptu+BsTC0nOXJWXtZBoIkZ0EKx
G/t62VVidM7cseZDjGhsEBDQERFgO36cMUdxjVviLuTXHkMHKWKbuYG1494g8OPlyyZ3MuxfCQvF
hrB2+6JtXDyxE9QvjIhQDQFb/BRUZK+vlPJTP6KZYkRM8XLmsQj7zvZeDO3Zd9zIjUcH69z+moVl
gfXN6keTVtOLMCrx4uGKvE+ihnRJ5g1Hk7jq3iFldI4as93bA4l/jJJ6SPy1ZHBJpqObNPdwa7rY
4zheprHIboex7JsVblq1S9yh5C9CIIZS9vaxt/Mg5PBY7ZLKsj9xnkZcKN0qCKP8OdG0kYVUxIKD
1bRBvRdmPd4sjq3PC7fwnYln/FTGOE8LP3O2vsjVWXozeaJW+lhYLey6q7ggp2C2Q32W9RjddcZY
k6weZbPD1z1zZhX52nOdctO2Y78JhiW7R3+sbgRumXXS4dUtYqc+TkIGl8TiUcqbiD1bHgzwj9SP
3c128pgzIWjGvNgZ8XwzdcLYpb4cudRIvNo8r931wY0Fj3B0fZid2EouxWIYP/3rYz5cH3icy+i9
GNBdTBUrzFPejvkeq0P/a6Vwr4tGf10+2utCArKBsFKu7GWj0SMYL10Xnfm6/EzXhai13elYjhUL
T2038ys3KCSTcWZZs6rmYZBNdYKM0b97ozDXVS4lOntrb4tfq2N6XSjldcm0ckuDO7kupE2cKWMv
7aVUof61DptBzeU2MGbC25nVyKcZSMhdB8QiWk/XxV21iaNXfmVl3o47ens0hrredtfNokfKX6e/
tpGyjv3PsU491ks+0w6LtapPNUqGuap10eyrKBt3QGDIorS/9rXF7PjDIm+hOXoABCzIRmQpO/5E
3KfYOufrLmqwnS7XfdX/tcMSG05D6ji8NXQV99bkDBUFCT3IxXVcGOVcLCOjn05FbtVrUthUITIx
XemSXmCgFskaeHN6SPveJuLmJy549cCFkVNB0AzIBt54dpceHIgtN2lc2EQwhHurO0THcraignx4
0m3tpA1+NEuNySsfve8Edod71c3q2QBg/xgxwOoghPTyoDFIMV1viY8UpqvuhBVg81YEum8hYfb7
1miyGw42M+OEq3d3xQHX4/pdJ8caYfdW9wMzonqU7efUDq+mqOt14BvzVTw3vW0BHWhHPDZ5kjEv
POXofGiNmmFTkorhOn1Gd6w7D1U+c417b6mcAyK9+1iklbifINKESPB8PuDqPNVVjzu34nJ9cAyV
gjdQSVmuksEnl2jVfZgHJDkwTJfxRgxjsOd0RcYlWPrvlGcxQNNLphif8KBtxxFO0YoUGkp+bPE2
Inl5uIB5x0kKCXWEVZSdxtY3jkEzjPsinaZjKg18NK5qIahwS7+o2DDfrMm/X2I9PRHrLMKpMtAi
ykgdE9rZJt40X1zA1WTvqcPMdMF+gYjVFvoz9ob4vSYosTGlS64EetmO/+STIuRow2/kbXRRihNE
Nj78htT5pqIN+WI0eQPcKueuWXkchVDhhHuveBlRlpahxyzXZ7S2qtLlB4ktwta6UiTuLOWQ4CWb
tfUBDjJjs83Xqsvc4zB3/Q3xEKaMjGk2o8LqSTs11TV2kvECSr/ZYNeYNrRoiFUeiGNguj+LMfic
aVrbsYHl3BKIthxk6/k87XjhV2XaxA9JAb6GlYfTJX7mF3KEa5FVxYvl1var21j9fiDz+W30vPRb
hLr0I+N5XwdG2l3JI+9lYL44Ihf5Kk09cfDc6sYW410aEFmcfs3ip0lsMgQLxKw86VBXByYopOAr
YZ7a2q0PpAnZd6PMOxK6dfaLrtON1XrzmzL4nOLrsE8ItFgGExF9t6ED7WJ6x8eQ4Adn2wU86Gqc
+iUEAvPFNDui9q0xtsKa7TPVY+pUQ4CZT31pVA8CxP1TwiF+ClU16R+McTkzOfiYz8QgWW1gs6SP
ZT0K5NOx40UVWbGVqVvv2srxOB9iBuVJ9IRa46IQfNdBfeRqcBns1+3RVjjhU7/jtTPqPoxkD08M
VDVRNcTelbo2g7icye8y0SVg8BjTjzRi7OoID7KNNr/CyTAfpiCwdwrpk4RxLl8LpjoKI8Yc3JAn
Qe2qnWrrWL18Txpl7eyBRGIEGbhnOEyUatXOpuAuBvlkVVfdIc27tyDqbxZpgplQDOasyPoghyLv
ggZUhayfmPS40FGwbz3YcTsXu1Gp5StlILZyEv+l0JT0GT17+2KX1npELsOb0RDKTpxpR3YgBSCS
my86nhoPnwpLcdMOLUvSoNexa9eXGpszTCR4r8Ya0KJ+4o6+PImaXGCYmUzhCMScUanrYVXxmu/z
srIZ2uJdMKJY3DhubF/6EXT5Gm8RDamBDIxHj6363rHK8aebfUbdsi7HGnePHS+JuDMwHu9blXEs
MsobEkEr12zEuu1yeBXEUnbYXhpWEebhHuMrsiVfsyBFtA2I/I8rY84ZUwTSWtdDdNZjutxyIDxp
e7glu//qZ+/V8jBDJrBdba3wT6Q/Uy++zbKiZOZQmxfpRc0bny82LzHru3GR8Smn0vPVHIYxhsjD
VTw02Gd3AU/02+J147MoAueN4Jf3TYCVYjLYuYfOMNMjOwGISlwIoc9IjURFXmxK8DNhmsYH3aag
SkjhYBjqk4tKa/EwM7d79xJcQ4YfFwcQAkibKWFVWWZevico6C3sp3KiK4VTb11WFiE+Stj2sesV
h1zNzQYOLwN2I5gebcbiO8+olt3V0rGdZJXu3crjNpdwkgU+MG8GZU17zpAk0t3Kh5DXOmZ07+Vl
fWBcOW3jvHcJ6FvJcwtZYTdgNcJx0Dd7322DfZznuBQrhRyPjthv+R3sdQOdcDPUOn1thpnhp56g
EGDNfIhLFtFVVxnLFvfMxGA3aXYIu8+5MdfHDH7TLovIOrZZAoNBplx8yek+BS25uqWvKSFjzSB2
NeewUVUFrEvnxsgUsst4ArPSZMGGhktupOfJ4lepQh0UfMWgKROeo9J5mUsyoYa7yO91XDr7BLLH
LnIKjB9azDwqqtjTVsrvXJJUwNaSQuSqWM3GsRnDOPPWc59FJ4hA0U1JMWIZJJ8e6kSamYe44iuS
6NQWUbayGWteQfqvGpA+IL7R3OTeMh+RufDQtMEDl9OQmefIewvbfMVEubhJMht0zzjINZflZaMm
L+GapCQXVD/LTwkEOd6CCJ5YW1lfSz+gxIPZ+JlE47Qi86wOvjMbYWNEVs0sR1dH2uayLzuvsiuM
sL1mHezowSXzf1Ny0L7nrqJPjFT7gzkTwlp5onNeUsNlUBKr+q0gBMOAPsdudx1webJO9/Vo+nvT
oazQHdrmXDplt+/UGOLcCs0plfkKcNqyXWQKdlNbzrPmunavjTRZlYMkRl0gACSBuaKsikhump0q
2ztO3X4m9AmfKnjrmj5MASQ+2OUQ7NJRpi+CUe2hyfL8fAXE9Whx3iEa0/vYEeM/fPX/2xLv/0fi
7dU/+gc94G/e1v/quo/ij4Lt71/wu14biN/MqzjgI8oKrkf/1Gv94DfpMW9AonJN1P4/6LW2/C0Q
EmOrxEDmENH8p15ru79ZduAFvmBnQAa2rP9ErxW/7KP/tJf6Lt7ZgJ+EWktekp/1FxRzdX20EuSI
fZQsTNJNgE7WprciJ92ZVU9Fhl8t+b3PcCfBi+H4GJLiWUtGrynWm0TLoQPxYsp2vVQaxwsHHuYm
hddX+8noI7WrZtfY+0E7bGzKTq4ubFAYRinV0fVATa7i3s9DN0CoFJyMU4SMe1eV9gUIj7iN7Znl
ycYDibVSHbo4mm5623303boLeQfnnVlb7bpCKr5JO7kllwXGi+JunLxHWRShrPt+zZq2hGIeypWt
CSyAD662EsfK2s16e+N4/QzLKLiJYsO6HYwu3sFVfGdYp0gS5v46JQMactsKtpXnfNWB7YUjNLyy
yPxdVitypx2bSj9F8yGtK31ZgmA8crhPvoJGDGE+W92xtPQHSimPvjTbbdrX+LPA/N34SvzAkmXd
6mZiReq9LeabHN6YcSsadoZ0+Qya5GBAPdJF9G1qnBMOjLMr07We+2PhWjuVmGWC1db4zgY0bqPJ
+crzete5+CAoRN33+VyFmPi4z2Cmq1S6bLyMHihGxTiArfRbnnjTRkv5KlLznLYWuUC5ZuIEB6af
mk0QN/BPe2M4WVdKid1Yx6Ko0LI5kE6GUATS9H3W1tCSlqkrNi73vj3ux09MPziOWmFeFkfYd3Pv
2Vzw3f696OxiXsEMi7/bkQA5mE58h94xdpwZ3e9t2xu7HJn0rihieXImMf9sAzTjHtZQsyLIuJyy
uhjPbZLdmVatfrrtWGFxBgdjxQbQJrbIlady/VXDOwixrz5gUjpyrcY7iM04Xy1G68AvGKP9nPv3
cCCD9SiWBz+pLpk0ETBGeb8UsLe8IVfEkrWo8BJgZwqGqlkrb/6eU4W59Y38HSlsuOmkOBh2zsB5
sLvsQUpAILJu0tNkQhxphL910nrclNfEN1Xw80ljMQIZ4T3ouOuss5T4KwFilFazLgFSO2GBu7bf
0gzbKwLdY2xg88hFs0oHXuw6r12eu1T0wXjdrAtO10tUmLtMXRVOw0jth9b3AYOl7M3DGuNHma1z
wQUv7IcGQbI2idJtOgklghqzRIlQMgGV64hpBC0BqYU9Dlk9wc6MkSE+G64q9L63glqHiZ115IEz
V9XfjCwF1cjz7ONdzQqIBCvAcn5oD37JiZGj+LzHFdTOp6hJcjTPycM/FJdt6z/SzO5VB45lRkWQ
XS0BPzclXWR2xOqxgxipgFQW/UrSBn68AVtTFSHWXw+hjGGIzR2zGcVG26ZKtlFh+N1XZQ9X24nl
c12BiFqxa9JH+W5yE/pWjjwxgU6j+zZu/Xmdwqxo8BROSbWP7BGfBtxAIG0inXAgeFUee2tIV7xZ
MgOhMLibnl/jOUtNnhDt8ygoaHIcyYrHjjnCD8gPcL45Go7kx1NlZfeiSot0u/Ru6W8KPXTxbZKV
/PVdFAo8zJOtN3aUtYALBYCN9RwbWBuKHlfUQTStzr83LUeqbSChvoY2fIsOYcxaPkpOvWHDofch
KBdzc3WSIQ7UGaaDYuCF1onssTxNrbdqBgAi1XLEfW+/Z0IlN2Xg6o+RPJS7ApvT3PQE4dAp/CU9
FJNYPnwPYlTSwcsR3VOq5VOip1e/TKd1Vzbzm++NzRZ2dH5xUvAceKHJBZSlfnSlrLbD0PlvEGow
qzjaXd4tc/mCTxGtW7MvXwCirusAUapD2S1aCEyC79uS4TQtlIceCklx1u2QcXMnVPFjHGZUCxET
EVzlvtHczW1ubYxkivodtmjNjBDG3LixiYCPJ1ZtjNDuRH4RiOljWsjceYCAOkRbpD2fWX0nTp1d
kpeY8SNMD16uSKLnbkM01cwzFExpJV9ImjAaRtx7sGBaVz2hb+rhPWaU0R4XiMnLNhlUJ0BmXseM
4C6zcfqckjTCas5nGe9cLILQjutla0VdGrZTN9xrPas71yjxTTrTdOM7ZApABRyiRKQXn8z3FpxO
+WwspjzD35zeiNtzfaT3HEMDdQNPdLbOlxkWUn6PB7/6LOG47vtsGQ/RUEiEc/rOPgS03IvRBVcl
TAd3ky5g0mkr9T9j2++/5cgnzbpFLhTcU6CShJF2/J9+vjTneu7Hn9itxz5UQSXzp85oSJNL4+pp
c8CfbCTwnPyn8gVzFQ605m0G5+MB34r4RogTT86gbLkN3FnkZ6vEyW2U8JCNMmifqripMQuBi/1h
S7/6OUhjfB0bu6/XjZsEuLYLwEtWqjO1UtPS3JEJdW5i6ErFTQ7L/clInaY4lzUcnT2oY1dQPGoM
6SYwE/9VVjHj17QLGJvUUWUfhZW5XwwfhovIbP/JrMr8XCqNO6jVkXym2sJ7X3p2EDWzqjKrmeNX
MRjmxUYOh8A159MNRPJh7dtS7KMxcDbwNa1TEtv6MLh2Nqxil7SLhyHMYI2o2ozLb1s0XBtnF3xK
sHTPzGyN26hsC2rcYg7lKxHnS3tD/zxZ1iUuSnwuQwMRtzV/sUCXGXJ8zqWj0xPtzYvjdN6lTYf8
tehiPnRVHDvDphiGyFnb1MimxwCb1XLwIxIYBxLXRrtn2MT+1zANKC+AA435zhNQ+C4GHOx5NVUp
Di0Do7UPp0/CNqgTXjqXs6sZuTCykfGgj1FoR1rFi8FGIiaEQzkOF8uOVHx0a3TJ85imC7F3jDs+
4NbqIagmAv+woOb+AauRV78A8wknRH1MJsBX7MAxN1xdhxWA3yAcyf3cZNLyd5hJg6doKsQF/sIY
44Zl3cdOr/bcMB0mtz7+P1vZe/az4o7WpmLvyw4co5vg/JyHKl8jxy3nDk/idVrgGCfldPwV6ryp
0QgwHMJZg9iOU48y+N4xb7t5VGs0zAeTBz5sOxVtNLejVZfXw6tvgfkoUhU/p12jwwzQhrkyaxE/
uV6cxBtON1AujWo6LLPf1Oe2Yi62c1w3DfYCOZg/a609J4zSxNX3tp2bdziqnJvcSJxnd9RTs8uV
gQO1AvA7EbUXIqOOMy0OBjTI55mqUv7MBPMx8c59/zg56VgfrNnPjom9xF9scyyWEeMvXHAjmKV9
rkzkWO4fH7VVBKeZgfX94lb3jbSmHXlGC0n0OjovF+9ctbUPMsM7NQuKdmnrp1ioDOGhBIhreMsH
G0b6GEs7/0KeGnZN1lgNwB0jO+CtikBCu7L5gjDNEQwN5AAPaNzn2ITVtp4S+Ut6TrEMd7SLN440
eyAlbAS7EdRzdOMlOth1IBkDRMtpuUOtgKKq5+o7BJHvGvmPIZelCuY/JkieLZbGgPLWvMAu94fL
2b8Y1v55VPv3G89fYtnO1JdmVekJgl3eaNz9XXssmTU+/ec/xnedQDB4kEQH/xLcHRY6VqLIGA90
mI1XyG6cYvpu3H9XknYt/frzBe7697UIkpvcCLnP/TmZaAWGrf0ACWKhY+8jve7wjPW5EcSwbZJw
MjL1Ix+I8a5cjaf837yZ9p/9Ptd307KIfkj4c5Lb7V9fpgJKb9Stow8uyaQtEw/9aPuF2LrXw8GA
lHzxG6eBbuXOb9lcTWuGEa8kJJ4WThfur2MGZAiGGpxqsJTulukema06CAdkzNHE4/oLhSjJy4wq
v+tg72V4MrHb1ZDbWpot/k0V1N9fEDdhU3JlB1djk/v88/u5OATKgPrXhwWoCDo7Q5maUJtCgerF
ELDHx7nvHP7nD8vff6hjCtO1LJ+TqZB/rTFsI0jJA5BAfmi8nB3pcJbWb2YbH5WcG0K1/+0s+xcP
wJ+bzK5/Mn4YQ39eIN/Jdf+aKA0cu8z9Qh9G+Bkbr7W/pszYFuak/82r+vuT5vCx9Ijs4jDDGnH9
9z8AEOyis2hfVSUOzQIvl2vVERtnaXn9v8EdWP/i/buaL0ghX0dD3l87fBjKuqm3ePlBu5Y4JT1H
iqifkviM+uH0a2I7dreDSMg9r07G7i4be8e9J0gUshElX1DVOf3V1gATvu2jZT/9Oh+2v86K//Ob
/7f3xKJiOCDkzKfLk95f++tjMIG6rZAacaab8lD7vb6fqonL0n/8c0gpe54XXJUk55qZ/uN7LxpQ
43HcJwcovLJft9Km+C2O8vz3Euz/bbnv/56jMxDXyrX/fu7+pgrefHwl88e/9HP+/qW/64O+/Zvv
+a6QlskH15Q+zqF/xt6xbF6z7dc0/LWw+x92Tlv85vMFgR+gHDIluXY1/sPOaVu/4Xmz+aMLErq+
Q0fkf2DnRFnkW/1he/llZhKCfBnZd4kP1bs+eX94hpXFHGTJlm57dZC50Oav9cFdm9whMpgviaet
bz7nTYYOi8zPiqSXdfTLWh/8UTFRdG111zZM/nCGzO6XpzJW/hL88o7qJVucsYD3yUtMGfS8MozK
fxmi1F7ZtW2vJ8MxV/DCH+DsT8/Sq7xQJ/1wV5dAfFNcYEQVxieOm8VTvJTlV+9J5641i3Rvu7VP
9HZJDmAU+/sim3KqLqSHK6rLdVGHTWIsBB1nvUtwyphkcwji+SbA4LDt/fkS9NEwr2DC59XRbpsH
oG3F8jAEHQYAkSzFY20Cx6PdoB0eC6sqcNK7IwncAJ2diLJrJ8PBjnPuXg6NwF+G4fczDLSSrLdT
sKWd+4nejCP0KSmJh7t2e5khVn25rVupXRxM2fBiWHHwVVEK8blYWFj2dhs0BTKdk5EtHw2xVUFA
dNPghlPceb4sx+NieMNPLji6Iu5QNO+53VtPlbALZvqRf7FdzN8c3g8JcX3jWIPuN3c0oohPEBbu
cHAELItVA30pRhmgLXaVTOiUYmgrUIexC5fecomDBbP5BMFQvfW5G38BK+OUbXbytpBcpzadT6Nt
lIyxG3pFPZ4kseZdSfDKX2VeW+x4V1zwAB6kc8hSQwCEoF723pAxH7J0fHZyQp/vCx+OB07GBm57
szSPBhOcFe4FRlYLseZVTdUOIxAnVmHdF+0KO1eyJrslCIlktk0d2gizoE5jStGy733Bp2UqG6Di
qqgIx6s4fcQ7B64cyxuoNV432UnBtXax4Ba7U/Vhgv9ccYR2fsZ54X/DZ8mH3DIZlb0nNSFIcthD
KPvp06G4mtDyYOzTiWqbAOEYbNuiExTbQJ2ELh5qJ1UoaW1y9rzZu0jmAm9tm6ubmGCW2OTzkuwa
LX0s/TYWicw08tcBWBcNAbaHk0yoeIpD6dr0I/SovfRo4DUmoZRwvzp2Jcqp9PEEruY87s5jNCj4
2+XDlYO7UZXlNjs31faKpMNT7rrDW+tKpk010ZUQQ42XhMg2gBv8ikZv2liK5cMjEpx86wnFq1Bx
ugdSgFCBFdUyxvFgSo2UPPYL1+4KkF55sABjxitMAslrN6qpISIY62pbEWedzg3CFr7c7DoDNH3b
SehfEXYTJsZocaJTliRF3Yo3Z5FYfZBPIMTsoqJ3v9El1Bi3ntslLYVdKum30xWWsUb9tOcQM5Pj
bcd5ms11OvGHXmGv9jKedZqmplu3kXF/g+cLyxMtYGbxCJbTLR8o9+MCP8vIGr8B8+UybMo8o2gi
NrD2KrDUoMjmYOFTtmBX1onSTygf3gE0Sdw8Zl01++CMdZBeBar6PGB34cH2auw382LlLy2/qB2i
v2c/8lEH7caJohaYDiEzcx17MsfRaC6EXzoat0DTMm4Z1sWSo3LD62VqONJTl9ZZd+CTicujRldZ
WUHrXojwlbdl6XlfwphKe+/iB1DH3vXaTyfIW4OmK3LnBHGmASZIoFgkJvu5FK713AC24zabwRzM
M5cIFrjaOEx85qjSw0YeLlYAWy3ysIWvGCAnesUCKbuwT/umCnmJxZo+g8jgH6n6WOVTxog3Ldvx
bRhK/2YAlvCtAsBDNtob59t+tLMjAgVEDOIl04Z1KKYkqAvGvbD0eENTTHAfGQSSKa5IwFAYYrpA
qp9DNynth2IoEzccAXMA2yjj6hARs+1AR0yU6zSzOmk9gmk22uYJP6Lzjcv0uLVa0oRLGQjSbyPp
uIItstgAmsRoFQ85DA2bjh2Uo3ghIrP0O3PugzMzGyPEVeAQOq0Kahbcsr4zdNV/EJqe3tVouS9d
YmUHwcSY7oghemC3VP6usWT3VFnp9NmQRPoC6zE+jS1FKYNXPgYsSxiUGgmRMxmqx7R3yW92UEWO
DX52c0fuPN5j2nPWSPTebmDWrELP1ZADvTRA0fa5tsH7z8VbjHuhWfcE509MdPyfTCH6ValoAjGj
wNynWhfvUhZgOyrPtEeIAL2zyQdmV0S3q31RDBXOTqAqHt5xhj5M6tLtbPGCoZkQSKqUce6jlOIW
u8SrdqYXd6nJOi/Vc5OPOdO+CW2GAXTtHmq3p/gqS2KN+Oq73mo2tXr3DMO9DP3s3KRNFtyV8IqJ
Agv/O1tze8bB2b2lA2iG6+W/PtZTFp8KCxvdqplZqDxnah8KRQiCMNkQ3PG76HdMXOZLZnXEA3t8
5A+2ZBCmvLnWV+bwtpPpD+Hb+bOQS7oZo0LpW/565Zu5mMt6gui7S1vt7SqbHiJV1V+wQZb7BKfv
LSeXiUK5siAODlmlCQzFOZmGilVp0WCVBdXA8yYnZ22ZSsB1vibJij6YL1ZPT/YjvlTjaLtV+25b
JR8wIKULkdSqgUyKtWAYcWZ0+lM0g/vORHK4TBjTnIOXlNkrGO8rPNfVjBvM1C0/q7HT36HbM53s
pqo1jh3FGCjUxP7S7RAPVC+5M+lqx8vlscYinawAQvC/cwL2MeS7sZiZhpQDKUWFx85u+McMZNfF
TXFweGPHyswf13qB5lJqrLI+eHm+usDiE8MAqOnP2AFT1j+9KqAYBm2KHcxJ+p+wfIcDFs36PIpW
Hj1D1ZesorJg1XEtTdZePqTPOQ6yXdIU3UkllJvRyYYJD3IuGfRW5eSP8biEgejYbMhFDh2F6AO/
4ZDwj1fPUbBv06IjBk+n2UcTlKm7aSZn/lBgz77rbpJwRrqB2XAMvS1Z2aBOs3uLKMCJPzxOOJsv
LyGj4+5fFbIr78BVLg8cTBMqyYjZYIn0Ywgxfc5kmu8Z7+wgrd5B8NO04znluCW9pywcioRAtNfU
b2WlRRwqyjk/gOx4JzeK6OLs+24zRC0ISd+lQyqm/oaCM4ucquRX2sSsmfSLYBz/pv24ob+pauaV
U0nvViXeYKwgQ4uHpJqnK7WifKoCbN+rtq3IwF5ZxWQ7VHcoyR45G9uNq3tWffDKrWREwWGnqmGd
RPFzZOXXdWdkmezsAKtOEVCq10YcmtZzxSwqdKa5efdVylbjI0TfIUt7LgmYqf/QumIumaRdFRZN
lt05yqYyUY4FbekQMeDOW7mcbnRr9SQEGOU/x4sOnoKmzvyQmwBIqZkOIcjoJdFHObmvtLEPyWM2
9cE9Qr6Tb1hgfLhHBtvHFYcC7YOd+b6MZ+9ITVRkkkHU/t6pHAOBlegqhXC8Z3sKRYadpzUBE89q
5UUhJ1OmSYvco2DXWSPC9i/JotWjA933nsQX57YERMQlx1E1bM0AIxlHEoRuTvYD4GGmluJxEIG6
g4dMPQrxDNRwp8loFJ2ch6Zmod4LhwqTlQKttPEGz/hixUu37M9ia89++oOcbr3mKOQ9E9CsrG1n
GuLBJCOGCQ76RRgkjgoJrbUUCM4QUBJRybdMDst9YbbGJ1Dh9NGck1ad7E4Xp3KY5U+cIqo+k2qo
IszaXvHluJN+WcZp3tO4OZwkyWe1dkG7piHU57RkmtXOlJ+UrEL7pinEfgar8kx/Sz5scsJJO1N7
cDRxRYVyVox4G4ySG2vu2z4sbW78VNeNSejmjAYXP4KznKQ1xUCzbOQ6AS6wZaJSn3UF4nhtxKrd
jGWsTgwtzINV9K+TScdrFFdqvYD05hexm/eIKkwuU4JMQOL4B0WIhb0rdi9qlEDScJ5i9ZtHpuYs
XkTNkxc7w1hAqRKWX40Yb3fBz0q6+0447WGKo3jT+BrUOcO9Hc0g1S6C0fUjguNzB6mM9W/Gerui
zYfpinZ3VUH0AVKAS0XxNGAUYSR2P4GhPjRp3W2tGZ671WFcpP+w/z7SAXBhkhX5YTRwNCKUXj2R
lI3hZI7dfsyD+J3jTEfQP3mg05N7Z88vSjUDQeorXVYOVURohExMHbTXeU7fnWFlsFOTbVqPavzO
7UEfqBbEXMBOTNthOeqvrCnNcZOOuX/I08R/Txui5tQkCH0kUmUwqJ/bUwvlg8NixjyHUM7H4jdf
S21wtiJBcN1OuY3VSUmsZm5bGDv2suMKFG8HCglI9IKxuAmUV25gazthU1I718ZkpVU0iYsuzJlW
OLoaT6LJ9Nmsk/owGxgT1r7XmndIZnGI9C3OThU98bG/CDc+DVP/AnHfheKSMen2cqjhGbCbzhoD
8PPXhtcsTrm4LWlyQ0NImYXp/2PvzJbiVrZ1/SrrBbQiM9VfnlJ1QIHBxhj7RmFsoybV99LT7081
997HYAfEOtfnYkV4TRtKJaVGjvzH38x99oBlTPyFzFQfRnLu9Gyw9WdHdNP3pNLTrYMNM35NTpde
E/rkHh01WhdlaPvmQUytRXlD3/zVUeKDrtrmA2mLYATtyjkwCSYuerj0IjP7b3SdYQCZ035sGeo8
VUt7ncdZfdVmab6tJbbZlBi8pTFlEU8R7UaAfQlBKP3sXdPoLVcDHio3CKv6T3nMZ+Pqb+PzRiZt
nZHRxRKFHJcvubopUcjcdy69+Ux4J+PpzOi+omG3Lzuphl3BoH7TzWb75BUYgmW+O13Zfjh+CiMc
eYXXiT38enY3x7H2psGU1IOLQAJkFUVQMkhnFTu6kduM1Vgz16thqpe9zHe1UaOpI/+sQNGiXAQh
o6wJeuXUxmnYMKtvXU7ztI2Nfnh2M0zL0C9MHoHTzME5mXQqJvewSn42ykA6pLN8OmJzWXybogZ4
ojcVbmSukVbRbZ5W4iFMhpL2W2OOmJrqm4oN54NKM/mzTddptrYYwuAEKs2LntPN3kF4JTbuMiUP
up5GG6YtQ7pPKMyL4jhBFtpVEe4JJAfXy+MQ48PtggBdMH1Xa4ipWdzCwFHOcQVIvke2IXeDXlzo
s8MEW8q00JoEHYF1n2Q7i003DlbA/lJ9ijO3+04aLQWglflR2QlJj2V8ZbZtV+yyPtJbMYKzcK7L
sB0LS/u+dufu2BaIpa6jCRoW6vombXaqVYt7QH1pGntzMqCLeyNuKg9pnSjSWdk1TVxZsrVljE7j
WO2TsYF9rDu/x42QPFmoN4MvniHR9DceFOMvYspdl7xHM8TBBA/4x6RImksQnAJFQ1pju6JwZbw0
XPg49yNG1Z+KTg5Itiao51dlPOlpu8RzvktGYwyY1fKSm+5XP69zf1dzfGPKKEyXipQIlHDSXq45
dDbfmAAvJXIRvArwMB8DjmbGfeWF3slwljaghUSm3JfDN165pCEtEZz+qu7z9AMMP+tHhqLkC8gM
NjPsR3TSlX0odFbd2H6FWLuJkMIlfmSeUCzLvfTj7GdqVEZ4JKeBoCIRNzj7yQX7lY32c9gmsllT
rs1KIYJzqnG11E5Qq6WasSzHwj4Cj8jwV9p4WKDhjtIW/bipUNzYgdnitAFTvLfzTWJNvO7kaM2w
6kXe4U3OSSxFmMVM6zC4g9g22iagzmqq/tEM67VVbksYaEmbZcQdc0TGFDLrP8ALIdY5yaFAB3HO
wtywT2vnssam4XtkwHJpeuLCA40nCh0OW9Ts4pGysRBcXo5+5TwRdVd9cXLpPS5OUUwYOcbGbell
5hy0Fl445OC1896bO1rYJOubCzrxbD8slc6CcO6JyMnR8DKTTrsKyyAMcL9Z9Uyqu9M7N1hgQG9W
RU6iaYeZ2NZOPPuHA/5hbAnk0leOlemCKq+8x7Q1UN5Khxl1WjvmLaEQ5jHLsYBgBZvZx8JA7TyG
JiZGccPZI1B+RG42dn/FSeLnTgRXTa4etkKQtndDXiIbDVVuDNhNdGFeXaQ+kUW7nuTqgx5cfOIh
g01fB4cDFt/Eax/62cW6z8EJjG/trh5gipQSXND8GQBtwPPpe5/F8t4jFWnYWZ3n0CfgLH9FGDOM
KjRFRCHhug1uQe6q3M+RFEZAPAHEGt/tly9p0XPoYnk63lZHk2sTVi8mPKRwtzsQl+5cAoi4CSxT
s8CXU2Q/8Z1UMJpmDEwzGIQoQVq3cT4kfdQ9QPxKv9SjGIgJmEOsFMfFwz1KG5gSsMRIIArI8C4u
uznEJB55xRqqNET+fZ40nOYnRfmZHZk+hfNIukqvVE0sUuElkFahHbJAtZ3LC2+qm+IQwTgzr8Z8
6Bdioohzb+y++Zw5CqqCTpAZbbQC0tskHZmM2CGCPXIWMDSRvg1ETVg0ZkRcQuJeTaoBK0381LtB
lIT23KV+UrDTqM7gDBgmRLsC35OtXXQYgmSFBLBB8FcLeH5DdZPm2TQC0urpqxOmqLrcuv/Km9So
UyMExKkqavtTJRQ2h6Phmv7WMNvoJ2S4NN5Pqk9p9khmqgO2JerKVExZ/jk1B+ty8cuFYIq+I8Jl
ZJu0NobjjwfLwRTSUC3WU0Ml5tNcQFpbT5FGFFTNRIg8yRVZuiMId7nDBEZXB/wuC6yXmHhua8E7
j4zCCq/HyQjHoCGmZAdHEUO7UZMRsNHC76wNVdUcNngm7g0cAfvTPNoF4c0IzhYotiS3kPgnAJOg
Yq5M1Nj3iItDQLjJ2Nk4gjlzQYp5CsfZQwvnHEpYWrSnYwRYNJdccGRMbXgNF86GL5bL50Eb3sfG
cyXIIykcG8uANLAVUBo1r3EGrcLIqqbYtZTNCApbbdxFHDW8B2iBMzrXAWGKl5J44Y1yMPYc6y2Y
qpA/v2U0ZPYuTVTyERSXGA8a13obj27yUWONesTDIx726Nvchyrpq6tlHqKHNI/ppDE5S2+zOnus
iIDelZj16wvcIUDcV0VmVHdDuIWJTOi04jhTJtV8n6LLNbaEl0NzwSq1m69WRjLJsF6W33CGnLwj
ql2wbD34P2jmmieRevnnBYZoEpQ42OKWZMSXhmTYFHRQiGCUhb25MR0He6I4s35Jox73oBbmfgJQ
uALSIV4IWvVtK2a1OnaVpiSabVyOJgv3Y1eP1UeEX7wBqSY2LFaR+oRbPjW7w3LmXuOCPF3FdV/t
ieTwov0yugOZwkYLEiWr1ln2oYXN6dFj+eJDWw4muCW8yxQr8UzP+2WRw3KqmI86R2h0JuOZuPMs
DIKVvOjm+FNcWw4SKDl/F2GyMw0LhwiBtMarl2z8wUAGt0C/Vo/0ZJPN3pbGzicUoIAWpfYwymyg
BBGj4t3Ti2KWKbAaNwLBKMqgbavrL0z4y2d44vSiZgMOEHityH+hjPV04Jk4XhbOBNhf9wmMMTWZ
Gyun0NNRNk5+OA8d//989h1HcteXyAnMtya0/6f4+T3/Xvzre/HzXzfJj/Lpe/Ovizbj/7a/qzn+
9zf9t6DD/LdPmIjvMJtFfoEz+f8MbH31byVwCIcLA+UHEgKj3P+e2Erz3/yXdSxrWZYrGFH878TW
QQViYeNDIbEVpAznPxJ0rK7rv89rYYpKF36HKbkyQTbdKyMK4jSJD02m5hCPOboqO38qKrIH8QBq
NyTvVFjoZM+dgwHU4uunUmLd52O/jU8Xm11ScsohdHYb0tdjBJE8DCUJOL/d5L/QT16lf7jrJTKY
BhlyMDFCyvLqEhmJ2kLqqEF9G0ISRee6i+KaxMrYPw11/Z1x743T9ts2UkTtOEB8/08XADdLcatc
7H1fzrRBIipvxFP7EKIn2ZjLRAC9zKhosAHjulJBD+C36X3seKlCm1RyHW9fwksKzj+3ABt5IbG1
d4S3Sn9+n6q3FsBblmf1oekjxsbSve9jcMK6eIfMZK2/6P+yw/7ngxw+xnIRz5qvvqqzcISecTI9
FBiUHruo8/duVz0CVft7uqYkwCu7DGp0a5C1RgCkUBQnY1J3NvK8EwJ5g/Joht9J7Bt3zaTER1NL
9gpW3wFDygZnZaQgOJHpnVHRMmptuYhviLFq+qFDAxFRrHt1Cyadsf64kXPtfG1DRltN622JbA8v
o8LwGHRW8wEdTXw9h58BH1it+cJwxbP31jRON1OL3z6h6bt2yJ5wQGS00YQ3i+f/gvD/kcnhl7ef
0Eta3XrjeCWEJ4R0LEEfvz7B33gP7lKILEpq5J8mdoAJjrgpiVCINrsgBMhgSBX5G5f59f7tz1Xr
6n/5xCybrdP1oKCdy8jLD84r361a30sPGGji2tBl6QWz3e6oIEVgbdK2mGotQ1A2yr7CaLDCZDjF
qtAreKCoendZHJG/jWOO7fJOmVJpDABdb1NCwDhkaYgmG2cxIq6MQu3eufaVOfbq2h3puRgfCGel
sb1a1qL3LSDOODv4QBHb2gA7j2JdYZHvf8zGHvN+nAIOiCbzG5jcF4OJFFNHl33GZC/MnYt/CpA1
IbQ6OTgtbLyWRsM3+NLMG/DEyMBb0dD8ePu6/3zWlqNMuH6KggSFkl3j92fdqcRgqsdlj8iCNiTW
8sGCjMzzjW4cjF/rvvORvWbqvffzLzdMWWj/CHfANO3MvvltlfUqR24DjeMQ4jIVDOhLNj5nne3b
3+8l52xdy5YDRdT3PMGXo+C8/H5FVoF01Fl2iGe3OHCa0JeY1j69/SGetf6a10+fgTP+cq6EDqpe
Pf0yb1xmC0PGyC17xoUSvazT+gWMP5NDjMVL7hsje8vQdbtCLvoyt7NnGVnLXcUEzy76mH1n9gPJ
CDDIO9vYxUskjlnLItfpqIJGGAkQjndvOMa8F457wzCouUiQPmyBiNLNIDN/b5ArCsog1A7zRrBF
6pstJxUkzPnomPlnbWzLk3C5tLTPVn9Mft6qcW6dF+gHauFPYKbwOeAlbcC2/H3RG0hkfIwdlWof
ps5rAXRG3Ae69Clfkic7Ne/yagkvQ9JVN5aZPjcKBWQLEZEMt+JoTD7KK0f4+6xMnhucqDfIbnA9
MOFN03ez4CTru4haFQxV9uQMrEFLR59xSUHsnfn3uOazAjvNdZt3ReIbxzEeEC+q7lES0BpgM+QH
kIjaL9VkIxOCMIMtZaECbfFhmZ9a36WYKcsKkD8bk6cWyHBr1rUK8CKvg0TZ34qG3MYIrubHoUQK
kCYLG/HiID3L0mcZ86WHqPO2ec71Rl33sVH6l6PZPbGrPEUjwvHBo3Dj69TuYANISBkLguzGeHRF
1W6tkAkFIxNvC3EtDHpYHRjL4Sus7eTJtHgcdu2gdmvZgbMZwDW38pOdVZ9S6d/XLWrOum86IoQ9
XI8gubKxgA1m+NjC/W8+OgmwZF71H2gwDqFbPDWibS7anuRvg5HOzp94mvlMsWzq1MHV3NnXdfaM
PAUbzHq44ux0teT6Gbdv/zCR3YWDA1+0HXPOyeZ1aLICEbV5WyXcG43MBFIJe4A2Lb1V6+mbRA9s
T9Ytc+bgFWjJR82DfjYigxXLk4XY/2wzaoHgU9sPgyYjAeMmVKkWAvopjJ5BplkEMdWaNERva8Tl
aXIhIZMfngTZkj9BvMg+kJKJ1zqpI59ale0B4Z8cU5THeBbA/KF7L7qM70h7enJS9K3nB0NncNM6
TbfTks3jvHbnkWUjkLOuWCeOGXHy5IX0jHZk3ple5h+6OXvyBCJ5zQqXHa/GeeE2uNPjvzztmf8V
O5k7uBp695gjki1eC/3PK5CzwqQ079quabf2QPNpIR65LiYeFrHSdBur+UuZI9n0YlaQKXn8LcaQ
AM3QqRQyvtMosLmWYwjFy2PRll3ydL5wLpcupi8WQGv2NHjOzRX2t+0X1JD+vu8E9bqaeNXcuCLr
2q93ycCzc2df7whEuZAO/kK4G+DIDIcnSKfhVI4lmiZ85PZTh9Ihp4AZ7VqwXJuf4XuwdPU/DzgX
9p3K6sey4r1ypvS5drjqsE6fzuWid/Vzh/UMBupUgiKF9U+kHAaCGTtI5TDZb2TXwmjgJnIYoB/i
sIq7ne9uBlsePVulp4wx0lbXVCUKld45S/Voq/J03p18wSoWEXfAllZ4CV3sGc+L8BbuxD6nSQoS
Z7F2TVtUe3uCRDn7PwtgvI2JInNLnmu7advkM5A5Jc/g9w7UWu2U3JDJPjRu9tTRX63lbC64EXHm
3JyLUm9TXsCqH1MUWNsE6FKVznKsM1gG2M4fEsmrgjvNE+JVPH4wnMa5kYd7Pk3Ea8PiYPGzW7cd
ZqQ3528I5Pq8vhKgTHfrVgCv9a6ruLDzM6iUf5PkZP8KIqE3ejx5UUpyT7EuG0gXm1DZ+a6UzSMs
Cnmym/RZV1G2g4aqERuyGM+VzsPNBzWjd098BBXVWYwd1WT80ALYQgzi/U15M3ejsfBTzPWPmW7D
y259OoBR8AOWklktuSIEA/KfqmW6PFdijEloxJACMPzz2DPQhG3xy713s6rGPi4qHK7Em/Ytcxm6
GB5AD5JDUGqP46LOk5vSF5ohXMX201IRWMP8+nVfMTUX1a7Ns3bsO4ndEnyH+WCGq5x75kauK2xa
+JdxRZtOpQFs5lGNJYuu8Sk8WcWyygeqjzfwaEyfhmJ9um3aMJfgDXdjqj6noOJA/MfA0Y9Twbn+
Zmt1RKhbMAWQJjK2sjzWadvt1j2u8fmAKGZV2z0vkLvok+Nw1YrBVZBWUm/P7TDWIRkJFY2+NsJs
/iziujy62PdgqENzJSb9dF4rRZc/pV78XCzTfSjSmQ2jIRx24Favu03oUxd1xysQNp2+nlyUUo7h
kB01kGkDYAwGp5J+01dFvWfgTliI0yQ3I27qW1uu/bnt7pmdxsesKtnw5q6+oUrWV4kVo1UZiWJl
9u5sJjOetj0Wc3vdj96uLBEdpTVwY9mO5MTBpBPHhniS1ecU5gemf8l+kLj1dF6CosAFeUum5Lms
y0eMyzvyLOr8h+Hr5ZMJNfNKFAx2ogoxalFHB845CdI9KR+RghAtn5MrpF0TBAwG4BaLfYEhTL23
F45JQwnpa6Orobxo7Ni9lT0WLOMywyscVw7ejLG5tx7gNAGWjGKbG1PG1h7YXl5iePjUGxnugi4I
Hbi8if4fCrcexXK1NLxO5HQ/eesxr3RRDceoWLFNJUPXtsf46JPuekOqqN5OKyVtLDMm+lYughao
ejNlMHuHCqw8zhlNQJQk/kk1v9KFhq0b7Goj6yKDRVohbnati86vHzM/d+G/4MozmA7UPxMCgPZM
/J9kkwa474Z8PPgbZCCMsSWOM/FKj0yk7PdNb19mTLCiLBrx4GriY1574XYkuYTpqPOjcpmwR/MP
phKcImVM0TLIHCg9YH+j7uDsqoS5oyb0EVEMxrNWqQRnOCSwKjGRFuLMgvOj2A2RtaV5vjVGFPSA
0GxH/T6CGr3DSeiHEcXXxthcEXWM5/YwfpZivMSIz8NZN8dizDd+VQ6Lz4X2uENGqgD2je843eIf
UTM67RbrLtKwF9JGnBrD1NsCnjdD775lRiaNY42Pw7adYKd768lnIedsIxbKEnFTz3Iq/X28Mjxk
SKUpi3j+jL6a4GqsCIMxYweyCid8HpnYBgCT2UNRE7xsLTjh4j/LfWlxPwTiyHXdwMnzLcpb0e8Y
xHcHXdIEowRf9qOmYxKc4fQmhSoJUs77bRn6ZAr2uYjiIKTd7QxG6Ie+avip9UTPsJByYPKakorc
ssnIOyaC8BcKktianHVbrkuUA/PBGscnf+jxzSiGO/x4jF3I3BChMJQyjKKe1+scPHEnQR8OLVaz
BHXys4j2n3oZP2m7fBR4dgSDLe7aBT5lJ6DhjHE7XRLnUmJui9alcqNb5n4omiUGqX29FwNksVao
5nNv6K8pe1rUuYdazf4ldD1zo8ZUX6cjV+PRVW1av6O7Xsvp0uXLte7Z8Qavq/aj7d2biX6q5vxE
gzHdLmj76ALN66qhrzGkz6CN2CPcknGHVCPuxVP+yScKeVA4MnUq47sCHt/gUBLfikZWXxPBvS9o
k3dSuxeZxQqrMlZDDxWZBot7Su4V99lyPfgVRXMVGcl4n0MkZmDFclMreJVg8D5CyQxmj7oWtvQ5
uo6nG8MwFbJjfy3SOaeVYUABarfdwpelx1TLwBgyQeNWNuWR/L1DKPr2QvrpM7lVzxG7fdOwDwHM
32BFL7bnHb2bOISt7U69rtWIZXITWjanPHoCDtdql+KhtDO4YFxM2DMLXJ1zGNbm3TIBELmOrbd9
1DyWOVsPavPxAwOpcoOAkoeNEOPQMay7nEEmVznFhGNcpz/WPQS5XKD9j8TAYAq+cMaJHtYEa7Lp
yoJocJM2ypo9WG++PEWwqCC/sobhJy2YdLjxzyaZkBe7/ALP70kWwrAx6A1Wk4/LxPdsbPktTf4M
f1Q85eFQnDJ2vfPq57yJ8iJNLjmsPgNC8K0y56MHTZIsyzvYyRz1QnautDJ+rUCVbS31sY/84dqu
eSKzXvfAiPXZ408RwIhbi0JU3TVwUNnM/CpAK54GSsQ3c0IZA4zUu9xVDCvt7tKAXUrFrXCjWZad
VfPxuJbQr1o0WImhPmTNkGOO4uKrgxXvFpsXf89qZ4vreURDYd2d915/4j2NrfD+7YP/n4iz5TjC
RQWKAhTDoldIWa96aEXlqA/WepvWIxUUDpoMLHB3jQ0jLGL9vf2RZ+Xga6jB8SADSQT4AneMl4jG
kMIBiNJZH+BJcfYnRWwDefCxrsAhIfrjn2VIzY1jYXVLhmGDwkxl1NWDXSNXqu6Fl0jKBmfrtbPp
XWHsEPHe6yG6FWpaAhNHhaPKmp6pHF7b1TjcOsyftsrr6Lm76PMZOz0fy9C3/Ey6PH52pm4I7M65
kwyVt6PRyZPCXOTSqab8xLibHnJY+2CXYxfkjoQjGm7LRmfT7hmCWJf13AfLxvvYe9AswuaqaGuf
1Pe18YxxyUTtgEtv5IUXWsrpP0flGUKYzCZc0EdUka9AsDRL4pzYIQ3pimOs547hZdsDgjiKPi/X
9kNyrvWMDgLd84ZL4gXfeax/weHWHAI4KMwS1wHGy6dqelCxEqX7Q+pCzICkEx/hoLPxkTW40UYK
scEZRIAlj/kOQvbKBusMkYEY+Ai2TWoU8NXLj6aYyB5tWn/waviBNvsI6i5DfkxGImOspaq+9SIN
Madfyk1pp7flkA+f/EodZnLSHt9e3etnvVrc4KMYiTOeEJLG++W1mEUnOG5icdKGprfLatQmdcSf
ZFbeT22DHR/CGTwfm+yYREN+fPvT/wIWMifgAnxsx9ZR1stPz/mGZlcY3aH2aMY0gE5QcKB4Z7n9
pWiAMiOTsD1wzz/GVOymymZKRjaCTKygX0jRbdLpmzG3N62ffZ07Jvlvfy/5ty9mQifE90ihDHNf
fTEIBxFtSd4doiRtr8IOwDzprOaC9xMoZ/TuY7ZPjJFAz5QTPeVTNh+GCSdAOG249w7JzyV7ePua
XsqW/1l1zBEdW7DyAIFflc7KyJrEFxULXqffysqef/3T/OqUHi+b6nc0wWczt5crCzG261qg/qt2
1H0FBPfKNZyw0O3BS9ybBp3ytjCgjuI1ngSCrnkjB+c7yZKfK4EXpnDxrCQxcUhGTNf0z84jJW2x
k+X67buwTmVfLXjbZhpus9R5zxBxv1xy2PdWc+RGUHz8AZwmo3l2at57pG5smZgy92V9igHJvpjd
ap1d8oiMGF/VxCgfZTMBTNHHbbJKqU1SFlAAHfNmxLQCf8T0h9Me7U7Ar7NoQTr3wmzNOxQAz30U
V9ia9+nO6CLosyA1Lqm5cA+ZLa1TR03CFoqyLA3WAJKgNdeztRBqA2srR3lj5NwaoKx1bHfeZdJF
NBdv3xv1571ZJ8k2AL5DlDVS3Jf3xpfD1HEwrA4Y08NIttFsuV0EhXlEvVC52JTMkNCBDsg0IcFH
nL8m0Cp0b1Rbs+cC1YZsOyhm9WUlegT/ginRsPbNuDgt+zaPFpIyc71pPJDQKH93t8aS8PXzdW1P
qNUCwGEoLdbv+PuUY+goug3NJk0p1EkcuLdgaqSwu81jr6ANxU5+Qsze7GSKVbSRJftmxJn87Vu5
vkwvFz+ySsK9lFpV1e7rZJo8XcwKQmdNeEVzqUZujGIlJMXgvPNB6s9Kw+gQIwf89YnDwfzj5fdl
CoJYDduiQ1iACqY0IRK3wX3tdsVzRkbL1nVBpZIVXcbEqySWG2KYQl8UkLqCHU8Vw16OnpKReZOb
c97THAG5v3pXrmfGgsM7+PYJsRvAKa5uR4yZjXdmeX97aAzwGIDariCY/fXkGMsraDio1Q5xm8ut
yiyiA4upCvKWrnPKMQY0x/7nel6aNfBTX8fPc+69U7H+LJAutAjmiaYyrT+3CVjZrVtJWR2EVf4y
/bkOuA18WNaoYJzf+zT15wSLCHn09Mx9TYkW//XOW8rOE46qmF+O0V5X5bxdx5JLq0gSwQEKAJeG
ellVKsqzog/5Uj6WU6mvnZzm3hLRU+XJ+RpHseU4cPCGO605meec7MknGq5Tc/zw9qL+cx/liu11
UOw6VPTXRILGnty8JW7ngLoBr80WcZyB9G7XC85PQNlwAkX2ztDyL903n8aKwDlUULZfv0kZrcNY
1gqNRgqwWZemxUF8UqeU/LljnHfgqRF+4FL3Fy3w1BWGI3dnzBC83dhhK0x0JCnph5BB0bbTQwsQ
aspLoBW5r2ktKwz0afU4dpt290jWAmj6iokUuNlvFeNnuLJrNUts8Np1/GKpPrnTnKgIfjfjo7W4
eKXrljxebJWyWi0bSaQNYi2HnG6GDvvYXTtrjL0O9jqhJO+BjA5wkvNso1xj/5i5/VhPwk7S8XGT
YEIRfjMN5AQQ3UcoZizDtx/lX8uGA49bcnPJELZedwMeia2NRdmI5i6+RbMDKMBZYq8QhW4Alkv2
QA65ia+egM1Bs20edDHizjkiJduRGTheujMY0bnW52pkNDonFZhpW9nbrlNfz6NNq5I+nJ+8IVmy
MW/QAr03b/6zgfWorzSvME5WV4tX9b6JLEawjdseCpfNGFe/Ypu76ytBNOgV1mJ54HtL/tXyMJxE
IK7f2TOtP+uvpyzkLnBe4BrJ1/we35u0P05FeRAZU7RSNROSA/B+LwMJN2vfeigqsrATM9YXsIDF
VlvskBN0Tooyf7J1gdpWuPk2Wlim7F1MlFwGQFirfxOyv8TI6BGXPeiR6/wBaEMSkMjwOt3FYdw8
2tU6DbAB2VNAyYPIV4xvWuHcpUrumnq0HkRmQzn0T82AKMZ2FpuQJaoK8ZrP/I+hR2aIX1abZofC
g2CjXcaN7yy3PzsLT9F9e9L3sQSynfUu/rYrYwOqi3RVWtUMKc4DgtxaR8KSiVCF+HK3dBmxC3q5
mAgH2mCeA+6TPDA8wJNsHcMsooc41RBqwG59l631rXbuLaQmzMWrrwUT/W00M4twRT4f3r76P+se
3kx0FLz3gjPj6zNS3yEMywFeDoZnHWTIfHEtFXoGjjyjUVmYv1P1/mieXdYU/SmHMkzT2djXS/rt
fsUShmujwTmAtqsNMmR3k6yT+/Mspj0/3p6h0EB9gckBaQTZEXPOrvZQgU79rqkbvbMhs2ygarxX
PF5vlOeLs+lred9W1tD6979dHKLwFAVPoXEDhkfQNVwDHqNMAXhO2XpX3r79f/m49RWHqWTiGa3+
2HZ0ZbcMIvVhtNdV6+anmbBeCg1rh7Pje3iP93qt4p9mUVFgdEJkw6v61VqNm4FpI7YKhziO7ZNP
7gS1sHG3k+XvGTX5MVRxOpKkQN+AJ5V9TGy8faU0ihurtNwvo5X7t+nQI/jsP7QOeSFo8KB0j4Rg
jbyjW6COlgTbioQFIktICCgSvNmJkAqHnOnm0hV7ZNSA8UNDhq1h3CXA4eTgFJKoz7beGqXKtymx
aUfOMFZMKG0ybq2I2HCE1IifwnEPIlnvmqi2DjnKwUu4HAYTFf0BlRNWKdDBDq4yuYeopk9ObaSw
1XX0oeCcvF8GY1jjI7xtH/MXsTKe5Mq2k2ONjSiN2j7PwnTrxpzUwnIYgA1tBSKIxgyfkpDBr87x
w7apBxCU/XTr5HWxLyoL74i0Qa+eY54BZBWaB9OtvaOfcA1GFUbgu58Q6nyI4kQRJURIvecYC1jM
Ir/12GIeOlfb77xo5utG3VUeTRj5lhyIoeF5r8A9PDYa38jY5WFQeGsgF9PrDNZI0Qom2/RSuEGK
D1WN7DysRouks9naoa/iAZbawrO1Q+6b9vT1boNPdpLFPzKVEo0F9RCd0ohHDAtoNxsk83gUyK1V
NMWeIYIVrKjE3jMX434uR+vkr78+LbsPXazubRe2yTg5MEls7BX6Ji+OKm29d9Cf15sXtD9eKN5g
+hgKjXi11KmceJwhYd/HDVm38bwBInrn7X1dPM8f4cIwtIm/k7Z4dYM5hdkAAZEHYSBFGE+ERYAc
kWNGhbyj7cyae2O8dyp63RTwodROi+aG8wRl41WFwluFbI+YPLi6RO7I8KsJqkXUjN20hDDASM/A
ivGibEQYWJ1u34G15OveHiHL2iArGnjATRCXlxVyrnPMCvLS3fdOhRpjSlueNlqaNF0/EB3qRUUy
3YFqdw/soA84OQ2f366aZwbc70fQ8zWAVyvOMpB+V4L471Wa1wYftgbvJly6je0w1+0xt5C3Llq0
ywZzFz9IctF+n8QS3nAjrRtMiMJt0Snvk6HdZRsPbhO0o5Xu+3zxHkWruJV1S3cXV/tcx83HcZ7b
CxvXgIuqi91TjdJhzXyrH0iHiValCe5Eo9/dmi62hvFgZO80X/Z6uH3xHWlgGQhgIWWCIrM3v/yO
M1k1Vs0Wuu95q06j2Ux7UUUy8IdyuDx/Cb+Ps1uEN+6pjfkLBo9h4K+mHcRApXgzWcvWBIsIzDiM
jj6xgITqpQbvtWgvpkU9E+DXHvHkh0Lmob5OIvMODyxzVzXJcInrV3vMaqeBAbCQMDu5A1PtdmfY
KQkci1PvMuwxYfiU64y9wPewUsu2CYkzrWKU8OhQbiZ+cl85AxSLOPo4GxhiO+GY3c5L9bA0qUkR
6i/tsediMVxFdRMP1ypxu0ejLH6+vWRe5+l6mK5JEHE4lS5QMMG+L29n5fthsnBu2ke6ATvpjSYg
2OWUROMnYhzDwOwtuV86ibrFmcNAgXgFqV15R+2hljES0CvNfJn0MV6ztCBMGhcs8b2eU5fxsr9c
8Vuc07AaykyGhYC3wwGHm+4ctBh+LOQ+XXHKE4HooOzZXYu3qyK6NW9UExhO+UC6QL9H6nWPn3Gz
1UvzH3c264FIuhbILS/wH53NPCUxgzZuwJDZz1Dmvdv1gTcEnOIkHA3vYJHuH+V3NbkzoVkBR+KG
95qRm/cALqLvKBNwgrCIb/1H2FHxVbUUMiDMa9qT75PeIOCLrxRJsRtGpDXDEInnzFDThnr4+zKf
+jL44Qlx2XWIMcVeQlWZnMs5SsttPbM4hxTeJv82qGhstgiOw6BJqYFqZEnSez6Xbb3cqRJGmqyX
4Zcsy/aI5kkyi5qKU9oKwsUiM9rH8Lo/j0PWfGRqjWEuyrG7ihCrwFKQDbQlwWmcpd6hdR2uYST5
F4wV7zpEHkfyx1n+C/nHuVO4pwaJwPUoqC1tpTW+HVwOM7hs7SaHzzYeXtt2oFYaRNrl2My46b6s
O5YS4TQ3SpQCLW0hvpkh+nCYuMxk47g09n6Tg50OkbGvuZGb2JXOLgbQoI0CJFve2dr+aEwtBDku
gMJKql5L/cvXpXWcTOcR1M7/4u3MduRG0iz9Ko25Z4GbGUlgei7cSd8j3GNVKG+IkBQijftOI59+
Ps+pHnRlNVA9N4O6qcyUFAoP0uxfzvmOD++IF4HPr2sEJ2yNxwuGYPYvuqh7EsxfjjuLiRD3CSgp
rhfrL8ddpoZF8n2InTVRWpKy7Pxha5KEKak4oPrRt4kx8of9gLkRCkBpIBNr0zOoc/+wkKAQZime
8ZJM6jeV3MVHiksB3qLAIy0yY2fPDcem5MPvkG7CX+QEW3DhbS3lZ9vR9K1o6cY9BBoLpYv7Mk/O
h2tYpMgG3kucql904hDEWGWe8Y56hwRJ0UNSKf820O0AHPdJ+JgKhkVV2oTlrIe9ZHK1d1lI71ib
cwxPfEkdFM6/mDD+84+KFR+KdEosGnXx1y5d5tjdjLUWmC1LCpCGr4dsLjiiOfIP6Sraf/H1rH8u
LGnbBI+FRcPLqjr4SwniI29rAZO4O3RMTqQWlKEQeeUFey6IwtVMzzpwVZSAf2nqsTt0PT8QmbdO
VJd8vN5MGpw7e/EWVki2DUYuKnPiLTFrt0OUYA37puVbUbKGZtVzXIvqfrmLuOPmUcVNVPXncv9B
JXhMUVzzvkqr+ES/2EaZRBWaAeIi+dKB2uhz2a3SfyimNN+xZfjdwmYK11n8Jvj20075uxuwNXaL
H69n5lp2ZI2awUrdkRTAMWEZnPx/Xq1NTqnV+Un6gaLMiYISwT0pxQ4aEQ6iAATFPuXthUJQmOd5
cId9Le+3aZkjBm+oS4DrctWWsA/M+zG32By9XTkuP6qVJyifOCLWlgc07zrytWdqdkKIwYflTfuu
FGhhPjdwZB1/oYaMiJCJCzHABtGe69Lqv//XgqMCugz5zR7+7A0QrTEcbZI0NHt+8hr4E7LU7o+u
yj3OGU5aRRzNUQ965UPU/TEdTP/BatmmjwX/GAyJfyALdXwgxISfU0IFUcXBEPY14m8038O+S/ru
UVmoiKohrnnz+DYNYWVkAK0rbCyrj3AGyz0epeAIepHPrhD+vljlm1y8nyV6XeAarn3kYJsueGqc
iMOfp1gsMOrbgpJFUUb/eVIGko8PpSlfAexm2ARUOkBS2GgHzkDTzo/jz8Lh/5vv8/6FftasQlSC
rPd//c+/f+E75vYf/iG6JycuT+NXtzx/9UT9/Adu9v4r/7v/8d++/vxT/oWl02J79J+qp38i7uLn
TLv/mrj75+/8O3DX/RsaI4Tb0Awtl4U/3c/fgbtYMWk5HVJkHZ/R4X2I8h/+zeBvlgT4yzSRYAJP
/F/3pmX/jdM/uNsYmaDh3/x/wu3+pUehbMYFKgMmcj6LcZbj/3h7Sbhyk0UGLqLHZO5f0tH3X1fP
qIBQ1YG8AoXy+9Agu3hXmTBtXHPIomIgpuY/fWy3/1Os/1s1wnNR1dD/+/+guPzLwIVRCw60gLBS
lrLS4YT+x7+JKSapjIXXGx1W/577cJ9iGcTHKSnt1zFXwUVzg9+H4GVcMxOvxwOWAVQhMFAP/Cu1
Q4BT7+s8Le9xjCbqFqIVN4VUiuCpWNxMqAtHhK52SLjJyBQa+ckma5HbQ/y0n9IemKVq7eropyWV
ZmvgJNFJEUcGMzj2At5y7yGrbWqO8wcXn2fvBskuO0MUe5ZjLrBV2hNkIn79splHbR27WOrPGtsb
SEv3kfeZXDKZkVi00vN+srcsHoRTxGyN24K3VaMW1nLgOF+AvDrD+svKO/HKyDsg1MyZTkM+9zdV
5AizszRHoJPM9Y/B8/sjoPjuSgYEUlwCvUOZ+uOO9c1wS6SDwLWyl8jMHGStzUErsFblKJO3xQ3A
D2UAlrbA8+WHNcaEIUjTfkvnwNgR7+Mcs8qBGobf/YKc0tjxS8y99mIZ1nPaHXqKo0uC/+k4+Xf0
ylLsqiVZiFhpx/MyGOpxVG4S0Q02kTe2dr4dkaftFm8WUTy4QAuEHF5Fa5KSTCETsiwlE6eaxYcH
NyzqCBWP8LObh6Z3Vr619rbmy7IppTE/JFwXryNFzjfij6ZdJroYDjOLlK62VdTW3BnO2k2/2jLz
I/RE1ZNb+iyuY2mMD3PDNoKynjhpadObzw9uSkJmZZz9NiVeiJixHRvrq+eAhIFhSte4mmpvgwTZ
AAKEaZfj2cmdZcDdIJvQTZfiILlgqnjN0duVQBr6G1FaRASzm914oDTDuezUAaxFGjZD1z5S8w4f
ihynfdUP9RbEFqv1yjB+eGurEYZWy2MpSJUKZp4nxWO1c8c+Z1fVl/f/J38lHQkXs26Sb6tt2Hc5
6LQ8JEjN+Zq19WRqx7qN5aSvZgN9um0mHc7sAzZo46+qKDr01OO6b5JheCoKIfdFwUVNwmQWtSv7
sNKR9XaSq7rli6quzCkS3F9KRNWYyWPa2gwRU5KMqMHRx2LyPdRz07wXlUNqsWKtXsG4j6qg/O3M
ZJnA8ipf47tmkJWRF/Jn1FvczvJASvF60akGziWYh1RVgssMlTe6p9Ijo8UIAqaYpr/VOm5CNDXq
0A0Eu+fJYuo9JTYyktzvxG50BBjNFfrVIwGjMjQa7eFuKpfygO3OOS0pdLWRdLer6g3nedLAgSua
72Zd9wwLxINPZsQ+K0ANupO0HhI/vQYcMhGr16s5ltsihQCbmNV4nixH/VzqLmV5osdtUAzV1grW
+LJYs3ldPaf9SDj1D85YyFOHDPahmt3huFaT2EHOlFfYJWDzRhE/J5XrfNqNr04yG8RhmMfxZ4eW
4pmTGYqbd4d+tnT+lpcxtUhY/LIsISdxA/1O5keAqFvNw0/gtTeOy16sbTmHaZIReNc37biLwSDv
WDr6zWM1mWzGxi7JHsa5ScK0owTOEvivae1DvCMUIsXw0nlDaLemUwAym0iSRzkhIb3E7w4YyqtL
9vi6tUVQw3cGkdViIIWI+B1g0fhkYNIhUBQf3HvfNiuWtDi5Svq5E5ffhKUtXZh4kKLYL2N1mpcy
/d5YFfNjP+l4rxkPQXF0gny3NiABEZYH2rmkTS5O7AZiN3Ka4GvJZZ4cm6pikj4O1ckvevHhqmA4
rFmNKAXxB0oP9jj7yvX0uoFq3/xWNWl9JDt3w2+vZ+8aT+vwUVrBeGhkfa1S4xtksf5Q3XWRSDoE
JEhFjhLS6KCEyRMMvP+r+73wchnAvknqD7fsimOQLXwBc/ZIN1X+dinL6pgS8wcm3Y51vx3auLhZ
6TxZe4y3rj7KbJkAAJexhZPREP34bGWl+5I0sOx2UCybz55X4TOO7eq9LlLjoU0k0SpxzQUdWR1f
rQzW+a3JoMZxScXuezJNH3kZGOfFFzo+my7xWVLOq2R4ohijKAckm7w//0nTOZDlfazswLr7rVaL
/E14t3jmKuz9I8GtRfY09H19HDxLvYyMpl5SqnzJjq61xeNUBu3vpOxJV0qVJ78RueUAL/GXIyop
QT7jJM+kXvpfuC+YD8W2mR0M3xKXOHN1ijlibl/sVEhceXyqeV54+8lCaen2Riuf81i232li22eX
0/plKdv2kIEX3CVwGcSuyVNfbgLX1w/OGjsHV6gkwqs4AL0jaHqYZg9osln41571XHaa8mcjmPxz
xsgcL2CeRGZexxiHArM1v9VBp77PIhttYNEKvlpZJAMtWj2KPyQWouqarW1WR4OqVowZhU8csGXQ
Ya1Al3ELADU2LCN5SkFPfxRdY705oO9e4ByXp8DqxY7NSn2NCyMBhh2kR6qavNngoex6aq05C5HW
s2HRat63ZImemUf5tEa+8QTKst5b7YgKcl7rL09pFgQsgBYC3uLprdNWlYWkqlUwmDD7PC45USfR
ilEH+0A6EYSVlDX8PYt+BvTvMe5rjZkIAWfdLem3xC77B89JSsYqNIYV4+AtOYH2dp24P8sMwhGA
nmNaEpk0DgU53m2AU9wxS4NazN9DRQOkTxRp2fdbTKmDPjfAm1z43IgCDh5ZmfOJlic9Uc7U9G5W
lr5SNrCnxZwMG7Hhft8HmWfd8pZpDMsvHoW1RvCZdU73zO/aiQxpSccaf9mS6RVKhIHnOemXCIBV
UrKW6fqPJpag8TKxHK3MHnaEGiZcRw7O6VYAxbE8LO71mlyndRG7weUZddPOv0gDoi8CcVLf3E3j
fqXmUXfVB3F4n7HwNpmTn2zvgw2VgyV4YlDiaqNHnF/Xu8ESjcY6sUzfjHRpb0gps8jJY2xLjO79
x5oJMbnd5j2kvc+DPTnxWQhxqthnsXDv3m65F6byaUfl1D7W9EFbX4zWBqdVE+nYtJZbr027PtX1
Kh5kUE63VKQGoDOsXWfEwvnrNMbphpgvcy+mvjhmPcpguJxOHxEEu3xNdll426Ses2/+3dmE2DJT
YUBQrUMkvCMbJpg4epku+LaONPst4rIFcQu0v8JLj36v1TYDoNdv47gE2a5BZq41dngJcuxSeaP5
iJOjtalv83ddp459ghgNOm62vPgQxHFbHDKMVRcCRkaMWasA+07YtJywmGCYsH6MfeLc3NlmQN6x
iHzhtEkFD+5IMl+qFbmNQ4zLIp5O2BIvHWsph0jMiKLnrkiswCMyXEe7VhifK1zDfj/JwTixjP5s
HSO44m9PDSyudvE1Vl5yzTkVuf2HMtl02r0ruZZ4QX5hVg9eoajejMl8b4AB37jg2nNtzu4Za9Ww
I0CZdHRt80zoOv5N4mWBldnxrhrFOAW0R0xqPXtsE1RjvAM/5AxZ2J3obUBeCDG9ZY+LXbTP6yzd
GLmk7TxihGPfEqz6U2RF/LRwiu9h1GMiHwRlmVUV27HovzqXoGOZmC3zQ6vh5kxiis7Vwmc4P8Yd
RYGanTOI/zLCkeBFkzTrt4ZVWCS5aFCltllUqth7WNIifQcw/tjactj1ed3vi9rusZjT3Fw6kYD7
yzvSyqVdjIeaHiNkEG9jyBLLk6uBirpFxY4T5Lldfhmxf0WjV29yizyIVufmTqXVTBAgSvGO7VZ9
R/5Ia1ivBdTgn0Rpjtea6mszUAVcUsSfB+knSIasH6gaoPIO7i4nXcQElXmAiZXSS61zuICl3Flc
SAnu/wWznEqSg1Rw+slM3dTpUSvQzotkfpyccYrLB6S81hlMXgc4y8FMtzaiYbczGZSM5S9/bhNr
00/za8PLtHMRcWylv2AtI2oLG+CUPyULFW2MjOjsD6P75Fqlf5rMZorA1gehh4tyH/O2n+ERanyl
dWdRgla4xsdCYPPm0TA00Si10Ie4kGwyOnXy82FvpnNo3eEB3j1HEc9UJQgotkhQiIEebqEf6HOH
ESlcJHcTSrF6PFpeaeEzz7C+uqLrtmXeuSTmahCG7YE9F1mA7uQzDkfnksisOMZryfk3Tfyo46Y2
mPIgpWGDYJAe2QYfpmhchP2L9a1DxLQN2qQAh7+OIfDJhKRA4UZiDqbDOmX2H6xFnW/gF5tnKuDs
OEBqfc+ruD46VUOm8TSK53xtc85K4ac4AAkYwbgIlLds18ikaPsJJIsW2iKABJ9R/ctJW3it7gDQ
Mzv3ZSxCzOM/TM3dB89yNXKxHZXx2rJnOtsLG/RmDti1LYV3hAwYPMxyDl586Py4F9sM+RMF7HSf
KvYOe3ThNZd7hjGz6TqUJsHObLRC1D/P2aRz6oSq+7Rk5YYlSKEtAYDGsXfsg85X42Q6qoyIfx4e
B/zKJ9RWz6JO0UUQ6WK73WNtf2tNwr9zMyJ1ZGcP8nueztdqNq1DnuoXHwRoYpTPS9kd4hw6btVD
fIytekK93X3rkuADbkVoT+qzY7BBEDWJCsAX0ud72u8hGCQH++xUFzefbZ7jrj4Gfn4mHKU8Jdpd
z7JLAWEIvzjcc7/dJSdxOkuLA8AkdZyHItk70/hiOvhM/aWCsVDQ4CHcILkX8748moLmihi+/KeD
V/+Sj162EjZSyTBD1EGRbhxS+LuhIBmACKAy3sHjjs+6wOZukJ9wCCw6feKMM4/tnx2DUPXCtfen
Y1fkxV7BNRjZK5C9vTplGzWWEm9N4wF9dj3nDY8tkELcfEEk7IWLMS9L7M85XM+R/A1yx9deNe/G
HBSh79CirBKhEsuh5pzW5vTSeOUtF+YmWwS/frqvcLLTULZflRZkmrJJgu/pm1XEAX8ysRm2nVXu
GDGBFfXzeNs6GrMiOdAPq21NofRs86fD97dJ6jEftl6l3Q88j+1xQkRzI6JR7GJzssLKwx2VFPBK
W23u5DRsR+eOA7DqD0ca5jNxUWSv2JpsBsAMnr3xDdntBuHb+xmN6WaeTT56wOZbb5oDfP4GYPKm
E3A8QYfLRs4XDyz4BUvyQ6LIt1mtL7awKUEd3ikIXpC+kejs3BZVHEsAFHMyfi1JJ3Gys7kLHbsl
SULIpD30sG93XJvGdhZ367VtmFFtlPPjmE8WXbahDtxchNeKA7Eh4exO4QyTfkMffvD9mhfKKyNu
2y85249GJYJ975GLZFhnwZb7DgvdtdP0nZl4wrLBcfJjy3Xw0kF1eXTi9Pvo4ATuauPdUYG4lkSq
fxrCaQ78dwTmlC2wW9uj09KNUaIYLzpwHmqnJX8UcatXN/LS2l0MMc5mT8CHJO+MEsdB+23Azgz9
xXov0SCHmWQ1v3bpjhp62zX5dqmHrxElwmbiaoaYAX0Ty2y3WUrJrsImMEsdieDapnP5Ct+F8lLM
wHjAzuKL9nYl2BSGG/uiWj5IlHV5e6Ciqjk2sc+6xfBCk93vkJ8/ZOQaocwebjifKPUcld7S3nnL
aoTzhHUQ+F2AH7EtJkaY8saN06sdYbKwAJRdMMqz3EeNfCckV6ViWQEaVYBpsHszkiS5sqOxppOb
k75snptZKV7H6uVOQx2n6hQHfXBQ/QgPJ9AdcrExCMfaInqsrfVHUA2nbAVrXNBwbMpGHyTkyP1A
hANkasJnj0CdRsAP0jpiUbcPeW9NN/a6yR+oX5AqeM4nLf+rA8V0vtkNNsD2l8ec65V8qPpoUfoe
UyZDBMhPkJ2RZVYSCqapPf/g2uxVqnm8JiXjlnGsm3fHytZDDpMd8rHhEwXQ4CVH0N+FbUNeke3d
6aMMwnZEosiXNZ0RdporkcfrPaIms2V7lKBjQsKYVFgF+mJ4ZbUJ5kzzgzKTfUMYcITxYYEB3zjq
bRLafeQ5i+wR+quM+0sWu+umzkymXsc1s/2I39t/9L1rHNHGKIiiJtJ6c/V+Ak3qD1MwvwRx9oIq
I90j9mj2XdDk70bF5LsV3W10yPbIlKnuOyuEQrFBRj33PHUywRqk7bpU4c2zNKdps1InAO53k41p
tNURDjN5b/P8XdQT/hlO8SNpWu4DfKg8THDSMSLGqgH3PeFndpi141+QxmBKYS7UeHA/+HUkJk9h
WqVMqFrxy2PUBft3sW8VUfFPWZ+0Fvwp5uGBCYwgZitHBFnyLV9Ffun9ujpVjtRN1KssVhuMAARV
xYvO9nOe5jDMZ7bDOUFWNZUmBVU+hghxpxCcEVacDqsI3BRYPNYDJMMpuUxyOVesht9jG6BC1tB6
RL1hWa+kQZJBZ/s5CVjsk7OL7inJvLixDtNsmWftocrflFW5pgQiQ8/CCarOcdK3LOx6JzJtNVzo
5e13xaLraA2y/d2nDaVj7PaXuaNhqsjke7IrkVzRfjj4eboM+TBQpK0lW4tkpZGbd2pKcTGnIewo
/gD73LHvTCkuQSfsF+hSyQlFqv3KwV9dR+mk+ylpB+j+Xdvu7awkLVabpS02hDhrGONtw9UHgnpx
2+mOiCIZeFsvdvrpS86LDUrP/A3kwcMY4EL3lrm6ZS2YZ0u7X4QjOT9Yp9ZpiOYw/hUXqnylDPme
BezX27x7wmDyagf5ncfPwGtc58OwLuDGqJ3P5JfwuAoGX8RpTwdSYqrPRijv4Dcuq8wkhhlRY1xM
GA8idM7XG4JoMqnMAuz24vmMzXKiHWLTZUAnIQzf1We1yppHP3fGbdNqIPTp8DYtKXHadvdNWW27
7RSC09wW8hF6sUJ91Ld/uIkPfNaMvXkPVhc67eg66aYRNDZJ/EqodnCEdUu5g5lI+uNZqyzjwNPZ
abG934ryf+NkJegsRlCcBFrcFcp+8Eq8MpdJvwIpGQd4j+Aib6O33mQig6fUu0cKTAXI0MH+WQHo
2HSCVHZdUht3uKnOfbYYn5NMSCurgz+CwfIPsiEYjirJhXxFYFgVODBxyY7KjnqyrQO3Lq2xfVJU
TW9EDIhH2+LxqzwDCqD2jQON3RxRvD8Nd+ehZjG1w+N2sSjUe3+Y9s7KVDKa7LU/5n1lPE4Lnn5+
Hq8p1py7zJX1SkdgBxkGE/vjjBF+xzePsn+wnKuxtuYFfuq68WORnSxygTZEWwRMhmR+Hir9bN2z
XCC5eKTikGRJzvrLogf3TLDxC9tvMpvEvOsmL4j0ULxCtX5chtXErAJlTNsZMUJrbnneVozAXGTV
DTubCoezkNGoGw2wL8CQExh/BqYzpEwBOpeHGbsMLxAHMiFvzdsSGPJXTUwcquI02FJYEPIe3LWR
PIbh4jd1SkudN7uGY/FhSPv41q3reloG9AJ+APIEdsibSEjz6DNclG7wKTPrXOjk4jPt3ruipxRc
nKeAuojQphEgGqHoZfe+jNmHmGoGrX2TbhFqboz8CeNSGq4sWF46Ary2tlEXz/DGunPb10NIyk76
DrRKHvJupqTRfR0OePKT1fLCNm3cyPMbY18OAYSIJ82uidDDNDtlvGufpY5VvC28hrIbmYq1GQVv
AOqIizXa7MXIrDMjvxlOyeSChbK6I0qHmqRx5BR7f2ElOGJUQOzrEZATo4Em1VC4JiNHCfcIxik/
Rr+0380WtTgFEFkUvi6qHxazBt6fEagWf2h2qvzlbfAZURWGvas53x6Cpci8rYGw7eeaU5hxH85k
26zTMWmqewZmN5gfQnXGK32/c1l5lN91BUVbM2NPMeyl/ZVzoW/5rt3iD6mD6WfqDfR1DA2CiaVQ
nov1DFpD5Uxv3fEdbZ26TobmNV5yfgjsmOb0MV5n5A/kHlFmFs09v9GSaB10vXJcdeb0fTY98Tam
cG/2hcecqkpEXTHJdN2aatAuronwjQqboA46uFTlvPKRKLdBH+apt7HAJMQ6ijKuGm21o6N2Dx7B
WIgVaoSRG88u73Ev8/SRedXPFI7kdliGn7TlBM20qs5Cs7V/gt6nL5JAqeD5ZoxEeoRJ58keFCdF
zf9COE39wyLrlJLSFB8V4G8IJhwD/YPhyP6HUyCg3KKPqHfNOIlfGQU5sndXHv0YER1bVv2Iaqdk
PMZOuJPzsGsU8LERBTVvu5fwoLQeP70xlc7BgJ7A/im953Gx9mHSBRWod6YvPp1xV+FVg2CbqYOp
u2epXdaQRUwaQOai9MzirHgYCCN8YbKWolYut+tK2sfWN9pyICVMSsXrl2HU9KROQ8+KxY8aJRyJ
B4XZnnoDXL49BHgmmcoePF0412I2cnLPYn9mFW07Wwch+jgRg0qAKTLMThPUmBn7duYBTlb/s0qJ
JvLbOLvx4LfRagTjsbZr+2pO6WfQ31FJipp2M87Td7cZxm3vJm2Ei+k2plMR2k2JCsZcR/hV9rKV
UGxQHX40Ksx7k0xau35kI1jz+1vrLWlalMh5tw+Uv74jEDVDQIldROzjDEHS8oiB6E5OhYhOe2t3
oAtMd71jxM9jA07JG+UfOh7SJcoqpGRmMHUPGarWSDMCe3bzmECkrBLuK8smOBxpFj/N1ayw1Bn6
ezxYX8XK0CEPYpfQwK58R5nGiZgTSQLPWD2Nd5PBJGRRbsm/JVuELYpct9kaB2fFWJKuI8+y13Q0
h2fPZuETIdRJpi0iTkUaz3IH0/iuBTiXO1nk3jZeHf2il9zCIjJOe1cHNGj1faumjouLy4qHxYvu
N7VH4xF5AdlyDYIAzIOt+U4ODeD8kfwId5iK+2IWyKWap6gWzSudGVXK4AK2rhuSm+Zs2pVLocIl
t/9g/xafKUSg+1FNbsuWhmZRpTyLhqN2yoCmLez+HsiJEt88Y43KxJx3mXKWQz8M3iFvmg4RqqUA
lfXmczrb054lA2POoZkbZjdL0+6Hao5f0kkDOOK15E9lKei1lXtmNW3d+FRd6gN3aR6sGAAO2zXy
TOqVaPBt2vjrBRab93tZqrLYs32hB2TrRgpKh9HNd1eeHmapZC2749UZmxshmmHFNO+h1YM8uoUH
GQ7MbX1OqoRhXGsKVFSsVcbdHQ6Hwrv+3c7SglQnWal4tTP+KpAO7AajiA8OeK8E6BpEDYtC4eya
+lCUy/CZT8h4UCgas0eASKXe+fn+sdhtttcMEbi62KtjWrdo2zRyuqyHrZal+xSdmNrMViq6zV2O
znCH/Z0Zuq5jjJvVGWU054Q6Q2Oczsuq4YG21fidOKflli3cj01LtACq+nbTOfXZq0RP+KgUXDbs
zKn/2yVVz3i7WsbFWe9cnYQTeqjNG7uGHfBO/rVY3qxC5L9Wo1SvfdB5v9jABRcxYnUdM6fZ0G/j
/vMxahI/oiwytDVAA4OF7LW22g75YIW6M7OM0MxJfZqDbFg2Op5ye6OVZBRMzfCTGSidh90618Q2
nQhhECmaflVeWfzrY51WAcld2jXPSal4tbOBBZOBuJKEpe9xp8kQSqk3tkjYzDPTZ26bKRPZz5hh
JW2CO8u9M1sZNhwR8AMa228Mhr6rdP2Bb6rgGpfdm2OnxVG1gkg+rlP1YdF/fhsWk7XOaJrLYe6o
0+k1wBBm6OVzn54lTHBxRXmuqyd/KQmYqXx5JdfKw8lTzIe1yqd1y6Rv2Fl9UruYlWY0GfMmi8k2
mQlsXQpn+2eDkzOW2K1e98TGy9p0qraYYiS9PviGHbDKMPy90WpQd645XTyDzevAefSMyMPAyi1U
SNGub4VI3IM9DMlHCr3ojbS0HK0DqhW2PSZiDsOd9ri1mI8beWc9ZvbM3MkkFJqFF+EwmNDCWgnE
RF7CTaCqhUH7pPISj1YSDoZlX8yxqIBLwA7dVCsm87D2cSfJVlaR7/W/M0sN4VDHAOf7DDlDlxdr
BC7j1WO2v1WmFewlp2nEfre8EIR9ExMEVGD/YmOL1Xtcuram39f6x1Q40Pl6f/afXJbfIMfEGjya
yiqfWdIGL7bh6hsLbPnD9tPqbCxktbmVOZ2yziM9MUmKcevUqf/iLmwZF2f46JlDw4cYu/XBUTrf
oaTp9lyl6F3QbF7BWD8j3ssvmprrkAVkHrmz/96WXRr2hGpRSvo6e2vR69zmSQuwd6ObvaNOZUdg
+CviJoJrto2zPnQ8EKS7xZMDqtc79mm+TwkvPIlSMY6Mff+UCfHYxHkZjk7pE0W5VEdmGQAuVFPy
Ruj5hDVufcIDzXyz87xyG/uL+RFXHaoPTCvfDOk8+11MpGMz39IuqUIvpovDXpGE5SzSEFfUU8qe
UKGGOuBA5f0JguUMG5PJa6Grx7yeui0Rt0eHcvap8hRzA5qoS7CUkPNonpyHxgvqA3O/n37fvLrm
ck4SFka+IU4kFrG0Mf1kPOCeNz/SriXMtijvPmO3fLPAe6rNwE4aIXR1smo5oszN0YS4QofKstv3
IueDgik6bGiTcZd2LKpNlg/9/Ugnt6eVc7FL8CcebEMh67hzzkqzhV+Xk63G9bXYECAT9rIp9pUn
jumJkFQ31xE3B2lilmOeR3v6ajqLWU+fiEOsZkZ7BavIR84tMAi9s5zQE7hspxP9Og2JfvSreD4E
I9GrSCyLaFUxI6nAqp5biovneVjuKQ9l853UyizdpKOezhqvEwJYy/8ttRO/k0GuAT/SlDKRjtuc
N39tr6yXgm+VKpawUTVTAzwF5B/hfBf3tMdsFvWxTD37yVJSPTpVz6B8TUn1DWZnuDEbwPw3s0/G
B0kqjcMgErmDJc/4kt0PK58159naMzXU4jyuC1JpgpMKdFvqLuR1g5+If90ThUrykyEhNUR2H0UB
HHtSNOEljQB8Sn/4uI+Cvpkxqiy89ebwfY2l/c50Q31Hn0YIa4uKHH0/rmpCvr9Sw7WeFy3ZHMR1
8YrDJo1YC9DeVySiOkHjvQjTMvfp2Iqt7cv0eUpYn28bdyxOA7E5v8mLml4qrlcWM0t8bYNWCLQT
RXmAVeNGBmkFp7F0nF3bc9fQPFcmSYPL/J0xi3xgZUW2QO2PxIHNbn9lY+C+lCMNuFEv+UteGz+y
vvN3suP+HIv4REYa3g1HdNek1danqCbGivndkkRYLoQBjwTptOlI7mtXG+pDZpCBbEzPKzhe5vPz
/2bvTJYjR9Ik/SojfR7EAGaAATj0HHx3rs6djAuEESSxr4b96fsDMysrMrIqq/PQI9MifaqFwnB3
OmAw01/1064hv+pS6NMgZMBIJ/jiC+tDEDI5x6FDmVZldA3n2qCLTorNwY5hXHCWl9yHQ1PnXLYc
9Tk6oxYwjRK3Q6mD28T3y22IEeC+COI7nq7seRzO0jx+5aGhko9ZWpSe6zQbH9QQzYeprRg8GXAA
VoJt7YY9cvrk04aKGG0E0XNPxSJc5iwZkB3Qtwm9MxcyYiPduaa0z7VQ82tRxWrvRUzvKHWVoHsd
5ngJNVRMd6Y71LD2QNphcfct2ntFavYDc8209srQuZtraz721GWu+d7gQIvYP6vSQaFpMInhVqVd
yc7pAOy1i64wKcMCqw10DbT71s3Hqz5ub/KZrEGStf2u8wNvh5uMPWcYG/uC0c2d7qnYDnvtHEy7
FpyqPIuWxonZ+8dsKIcnxVw8pLi+2QtqSWmdKo/47YOrJumaazvQ6Vlk8f7DGaPgKnVtkiqZ9c6C
Y1z2wQQOWGWGZ6ycjO7J1f/GK5YkicimXdQPWOIzr3x36jLYjk6QvWTttMSmsQw/KPp/Dw7uq1Nf
BMlXyr/6K0cydEGnxQxLKzQVIXZS3PyXOOH37+XVa/6uP53uvznff/G6//Y//z8xwjOqYDhskkX6
Pz/a7X+10S8f49//bR1F9DnHOnxtoh/rjKy///JvhnjbNG0obJ5kIEea6W+GeM/8IiBzLU0etmXy
BOcnvxrihf3FMgWIPnp8mKspi/eiEbGif/83y/3CJcEzR5HUV+Rs5F/xxLufdUA/BErx6iwoPGRi
GiVw2v+cViZtB8GYAfLOtctI7EZLN+tBJxyjJ78gsCyrWSdb0lGFh0Nh6U533YoWPtwio7FqVUtq
21fiohislA1syVrTBXl94bhudpdSuHnvINkcw7FcII9FdM7CwfG7cdx8ryGJbF1ZpStd6Oitl95M
lzn0zYjELaQZSnazR3K1PLIC8vnnoVUw14uEQhAfgulGjWWOpW2+C7vP+TpnGlbZlcAXtmUP1ZxH
Hh720XNMsZvKrktprcQADANtMoZ9Qf7lKi6X9veOztW7wImzZzmO4R1iAEYsU0Bh9abwcspIN68m
o5+/haXvfB3hxWLo6JrXgcMF6KL0yBzDh+AELmpdJlYKmgS17DRqnV1Xc5psC/z6q0KM56FJd6uV
RwCqZCN2FOqGa7sjz4MpzPrmQTvPWfO7QCwI7BQfukq/DQoXDQ2kmf8WlnjsoNJLxE2XU/0qRpXh
/C2YubUObcg+9ZMrpv3jCjKWOOP0bKw5gdvrViVsCUpUyLgg9OyKESr1rItxnSUFbdPzWNNybM+p
XDDN7mWnhuQ1Luz83RQ4efZNP6E1Y8QjsmT6k76Ycf4hkmMuXuX5TF7VXzYqa1WENOUZkoe5UEN4
CdbOPxv9onpBSdX0VRBpNVdqjGmwhyKo1g0y7HOe5YyUwG9EB6l5HWtaZkJonh78/LCtKah2cMDQ
/9D4bNhI7R44b3ZvNAQO0Q7JZTzgrPD3budOPNJDxbSMqoN8BVaV+kTK6PRDa0txShnVXwSKuQQD
p/I1hB+RrFRLdfB5G3IprpHlq+81p8sX7WMs3zCRiNOVnzTVVwuVuVrNGGbTfZIUzR3QVv9kk+Wj
BhIrx0WC6eiUR3VNK2ERWWKNubC5YbwxPjKbyxtaeEzjnWyt42w8y2qebTfNv3FGKffeOPHzUvjD
PUW/7HzCNodtv/hNOOGJxefVGxwn2gRjJeSyYW+0I/JnNAyPvhqqW6ct56PEq8l9m9YHOkINvBmV
ohmUw425qUNnrJmWiPRbyM21/GqQUQDaZPSamjH0+i0uGO/YO7E6YZTBcSDsbDSfwpr9PQKtJFVR
l5jHg5wv0OtK3rXEj7DyZA3JT5vNYCGHeOFh1hFunUC9B5mYX4Zw3Fq0xMh8kN/L3gfebKZJ841n
eI7nyrLHl5Ee9k29GCbJ0Q7349BVFxETJdQwW5whmCDoOmHLjzkMbOtp1E+zdokWhLqFTQEuC99a
W54xelDtSk5Y/4qpKnbphPjJmCM4kAvc877nbbng9PthxM4NtXff4fTD5eoGjz6zsXUBOdYnk+ir
tWF1DN2ntqnq9RDmFEjOBSAuhBrTWhPkzMutCFIbxT6q4/ekq6KH2Y2iczOlfG1bt9RAYwUSw7PB
jQJ4S0iCorQXdi85MYuGW4RjK+E/zE6rOXfqU4VeNVGFkxB4yWfMl5ZRtauWpBXn/E51V3W9xEGm
osSxjB/1WZtkJRlnvaVwmju0INbpPsvUeeSnkbX1OgNKyezXD2YrEsLJkL5WPm0gT3YQNheYGqIX
q8cFvSqcfN4yEXA0FywFK+vczc14XdcMkHWB9Bzm7XezXmRtGlrKMx4lTroOk6x+s42QjIPRdOzP
inYYLjHrk+zwnXByNtpKMMoZpHQjgp1J6SHa1HSTd34WwQFPQktuaB/V75PNrGM9jC5yWcVTxga7
2uRNfRYoshg5fymTAwZTCbbTGU4zyII6OlBSL3Z2rFrzkM8FpblJKMMYurNyajwSMkOJ8k1bb7g0
6w/8td6Z2ZZiY2mtu5VHQ+Zl6+PxYOqaY0iJ45Hmnrp+iV1IKKuKvif6MhrxOLk4qVc0vCMyRKV4
8ImkPzNG9zBiZqFEHkfPXnlVKK8rkt/XiuD7Qz0RmmHZUFw+LqVq5ICQ6fKNjvvLyW0RWe3RDh99
qzPzzVi61odZm5Z3zjuM5Eb1Dj0MkTd5L+3omWA6M6EvuW+d/BDAfV2QnI66Z21qLvCpJ1ecc8SO
oBnMngDTObQtZlZ0s8ZGRLNNZu2Muowvkilwn6bEHBhgj/l1ijt8nYkavv5QxieCHyiVs2Ux4SWu
gppaP1IpnT5UjBk31tS9VKYr79uqt09suMWmw4B4qJ3cvK/N0njHdzUGK9pGYcTLUh4TM6G3k+lL
cJ+boXtyy/i+LE3jFJQT6NupcGmk4LB1MhJBaNeuyg7qYOG0MNXhTGxjs4BvBrBlQa+7CabrIPPG
5UrIZPUacyKmD6ILHXwWKRr9XA6HyPLdYxuydeizYf5OW3K8YSqZoCd0ZXRNXENf5BUKdDWo+Gvc
Ni+UVs/7sfPHfRB3xdpVefwadBPl2d6Q3sJpLpC3HJxCfVTsamPwkDI9LAOfYLipixCbhdaiuXSd
PP+KUjJnlE2J0duaWUqde9GY9jELKxYXZB772EVxe1/PQ0n6ooku/dRstq2eXO65MKHWtwRbZGpb
7kmZc2BhPnTv8Gi54VQlQ9gkQ4rvL/XUFvOufp2tZECrkKSYWBGiY18GEeJ0L+5MGw3Z6nzKi0kw
uhdm2Ks76WDlXmd2au0HLcU+8UbvaprNsAWGvTiCfDPKLlVCBLqieOKlm9L0tnUt/6OpM/rRuQbw
5ZWUznM8RcMb+H8ao1o7YVdkp5jCInpDJF/xysoBRDW6xXfe2uX0JGaSwxWplFNaQbAiBEH7MRYi
S74qpj9q0yZh9MiBKWp2g++VBpSQJjq3w2TeaGBTwV5GuGSwa3fTcKRxT1O3iI/1qQcN9VDkcX9L
nA6JPs2t60FEol63jm5JQBksDwpz9F7lWfuCj6C8aYAt4FUMO/hMNTFEFaXcq0zvEtxqcroAAkDZ
loGUfcMGdqhXtd9HzxHE2xDff99CkaIJ/t5MxvoJWaE6+TpJt6Nq5iuvU9BjeWzZ48apG77Rpoln
QjW5+1baWJ0RvcV0ZfRBcfZpnQbAPfbrBsmVeIervs9U9FrAWOzpFfMCkwc4bMaWoUL/jUNg4u18
idUJ3cXH6D0PN9RcWfS0LJ+ytl2GKdg4XvzevZdJi3GdRDvGThCSTBOL6uQNNIVEdf7gpNltFuXx
hr4RfeHnkc09C6cYpEXPOZcoXrg2gLBtCrhDzKhIpz5VTMqJTVVDmK4J6+Yx40tPPiYqqC98CBq3
flmq2z5X1SWHl+xCh1P2bCxWgLXC4Pydep1oP6ckCtcMF5yr0VMYinTWjl+9eDKnsxKX2XRIgfJy
RC4ElAXMD9OhlY7zPchoNAW4iSupMOhMgSfjVvQaNJ5/RfnLfLB4cr1TcKHewzBoqLxOUrIs+AS8
Bh4X3zWzTRmLvSh9LFW+FhRdZ8nzbBhIavhB5a6fSp9nW9Q/WiDPbt1JZITIuvk0x7J9l58P3wZD
JJiYmazgEAa3uLf1txFv2aWLmeqeEf05rWWhImwI6jkqY7KNg+1FuH8CaCj4VKZu1c9CXnupO2yg
9NCgHRHd5XvOHL+jjclO00PXJWAB4Z2waDAhpeypE86zGVo1RUd1S7u0GTcDMyCz+m4bdUudRhNf
wlQob+J8qJ8aNLo3TVj/kNE09NgjlMzrcRrDIw4JjeaP3kjksWjDo+Hbs3GEyGgemFiPzCjkZK2c
KWq/RhySs9XYtN0FHk0SCanyWqCrlk4uOBLEB9UM4lCRYcHeHiT+1iKKfOtMmLMRIIuq2sgqn2tG
vtj51yazAXx1pT7L8yQAT0IbO7NULMQnctnzgczWsruRXUJuRCdUdRVYFAak/duQK/MwYDr45pVz
/nU5Zbe8gsyzDSKhcWd2TXfKM6t5glI3HQkuYPgh4TataRed1xUJJX7Sm2wxiOxRVYJLr/RDkj0w
KstgXWZl8pqXWRMxoojDa1HmfIQ0rVy4+HaS3HTEOptWKsntkiOYZcnJaOIYK0HW4QOYP4s4Rwts
9GSY92BR/FvcKpRJeDMyFggf7C9J3bMhoUxbn+kYA+2GIjF7WkHDqBhB1nD3Gb8ZHE2jZHkoA804
NK3mq2Ebb+YI5L0zNGctT6TXOFVM1Io40EQtSJ+jEpIAsjdR2wY94woccjMVW5ggtMIv1CQ0OBHr
VVsQRBEiG271hvnPW+5ZjHbGkQoZtpHEctwuarw1Zp346KMfvY9him+3SVlJDEBxNzXmnofcWc4U
rYdnCO/xhCfEs9C1qFa4yFVLrMrsi0OfuvpYdFNUQx3Jx0dbKGHuc2KwR6Pug694WGLKudWcXRY+
MtpRNs0cPrnd2LIBdAdGwP8lMtUlk59Slx/tzzrVj7yG//vfScyiw4MwDICBf65lbd6zKP6diPXb
L/2iYbnuFyl9B4mKslO5/OffNCxXffEsG92ITYCQnvihlFt4XzywihBhLN+y0b3+jnXgR7YpFrVJ
SSg10hF/RcPyF27DjxKW6Ql4hpyzwfsyM/B+oinEhVMRMxH1Pm4ijDsEL9v7rg+H56hv+2s5Dvdw
vYzbQrZ4iEkJUfViM211Kgvt1BmS7IXYSf/KhC8+BrRUbKmfcbClsB5bdtsi4cbOzajM8ZZ/Hu96
MlSnMM6z90SpbwPhdLRo4Ax1wpxLQUI6Vf4Q3MPCYWKIzP0kSzvHgEzHmkHqgz7IND1NJeGSMuuZ
qXE7jvR2PcpEmYALZlz7kd9t/LQt78rSfx6NxEbvgnNepDxPlIF2hbUAp4QQ8UZrPBPdVN+ZuYy2
kWaSJKvWv61Ggyagrq3v7Nw2tpqMNF2VHGm9huB1HKRslkx/eBITSAmcQdmHz5wAp34YffMAWGIU
1+23rvD0PbnRnFhfoHpq4KRPXpx+lU2S07qywjBsfSWpgQ/GdjqWXc+/GBgTEuCc0V94fvF4lzmz
rVXmO2wwars3X0gs4mZgK5GsvBBnP9EJ59JpGY3j7Ey9R8/I9HlUW+z40AQrbMd+2Q3/syT850Av
v0rUf0p7OYtemzR6XYB6v/yjxze057//5q/itvvFx23KqWoZgtpqgYn+QnvxJEuGaWP4YAWQC9Ll
b9K280V4wDGhzf2GgflV2hbWF9+lFgOjNYUGDuiCv7IsuJ/Myx/XBUiUnhTUMi+OWEd9wv9+oPaa
uZmEgTHN+9yy52addSbmRhYr7hPdMV7HzRioJ7apJvbXBhT5ttKp169ppWOczKnOXra7dX83mPik
8N22hGszI7/0xm7ZREXtbcmBladvOQBDI86zqjAkHaKuLM55QzlOcw6lg4+Wejk53jBeqNLEZxSW
RXztoJRACsehHW8y7JAo49iiKfiKcIDaRQtiZc6niU2MO9PFNdYmEI7SjWaJ9Z9k04qjL7tawqDe
gRJkpz+kxHVuSa2RnIMXnG6ssXgGioWFtwsstFINozBlsr3sq2V372pFVARMVhashtwK9oNTucna
IIVGsocmy51jqx6pXtZuuYvnAcabxlJ6FbcWEkIa4R/dhC6Y0TNBCSLGXvBmuEUJJLkHIs/SBBVP
9n4bNDbuQ1RKNa4JURpf0bd9f8VXGV+UFG++1nkXX2gG3gvPpHTj8xFM9EySZII0sVDSFFJwo5GH
+sB7hgPTvWQiHeyV6tryXcyG/ECSN2AEEM2/COZ4uhwHct6r1vHxiHbaZ2tJnjk9WIYYTsZs9DeJ
bPLvMgf4uwTNqDad6sF41rU9GZugVrrc27WmrlA4cDiEHWacEDVNmGsIwFiTZdaDSmnNlnjJrKqS
/btnfSig4xkippW9zC5Ix11n1L4DrGJO9nHcxPgMqmaJAbnp3DMnMfxzK6ZzxapQu0WjFxXQqE5R
3zQH2Zb1bZR45lXNkJ4cxpzAusjIIlLmmVevpm7HK/qD8bpzfhDrsnLp5GqoB1BQ7lHyAM/r2OtR
rKdi2rd2Xe5KIgy7KEzHJ2JZ06UZFv4BFp5+HKsyfrIZ1YJYnOEmeqbnPedBO99ZJfadAvsDnjxO
qulS75pYXrrN6JVGYK7Ty27pBe/4t/ZuRnVpQGxxrzVNsx2+l0WjpbFgbgTYW8ptPlvDkPGDM8tq
S0L4lM0R4CjY9Uf5Y2MhMpaefOBRj3CtaJjTOKzoj+4Ft8HKz2OqZ1FBbv3ekcc44pMOuGE3MYWh
53VAaWLQxtNDFRYVHIhuPJNLW9pnRW5tKraVakH4W1DaOKaLIDxZjjXfSAFgfiqS8ZprXe4rkbgE
tEun+PAgmdx0QSXIETrWHR6p+RElXx0yFxTSbkhqEsVyrIrHjCPrk0265hHDY/fBVjp5dC3nqAav
O9gp/zYoXNLhOm3VaRJ5/YJjR9/AJLBeBz9wyjXTZP9OxJ25LqIsNtdJ3pGU9llTcH4lMtkOcprx
WirxOsyLWa0ytP0gRB1e2z3BfI6f+TeAbu6110j1NYkMvY1yJwg3vdL9rfRIrU9VbB1jDjtvrg78
aVXWJoGo1sAUhwUZ8co3k+pDxLX1uFwIxDnc+SPCrV9tvMHMHrD4uzdTPi5qHh7lMWrhR7lktfmc
7Ow3GVvEF8kmwth39lg4G58x9pWUbnc2sUbcBmMcvudRyjZF9eP0lPoF7dgYmsuDVCn2jkQG8iNt
ygVE4Uv4BToV6r7zC8YpXQd5c8ZLdtvkYfGqGmpLRM9Rc1VCWjiZMWxFnA9Fg+/QGy8cEbYIi3M8
70a2RBs2qfgL42BkZGBi11ZcA00zcUQBPYYmFdjN2Ww6NdydrFGkI61uPmSMOLDzTVF38ixJNqxM
uUkqxV5m7bVC34ZYzvZxOUYljrRO3yVYsrZKyfqIHVGdS5WBvclsGztgkZ4B5wu+GtDHzCofL5Kw
GyQehim58RuFn5miv3jFiE0gdsqwO6ZjIybqNSZxtJiJXajUay+zOsWqC+ksuk4dHLY+oWqaT2cD
CAHtGvPNoHQ4HMgbtXec0zPa7UPnq0iMYdv3oXtOSNu8IdwwnMXUZl1kzEvP4rTLkXy6qFpcg/51
jsXu0Jejc8asBiruQEwP6oU5xHQ16hZjKQe42Fkzm6wvuRXEg4p0eUNsOTwXba/O0A/z15GKvVeU
y25fIy3iGJWyebMw3KLcxuK+h7K5ne3C3QKi8i7Cpqm+h0E4vPpVgtsxlE7rrVODrm6oXENzUBM+
7lXcLhweq/gA9kGcZNltHBDAEHBqaUwb4WiHLPdYXiRDKnclufdVP8k4InPiALaYp+kYReTgDdfG
mdmYHo0l2O543nqVX1/5jNRIL1lOjjVk6IdXA2oZzqlcBLdRO3Ufsnfy7pr6lYiBt2enPU9Pt7gM
YtiuBYmJmyafMOv6jW5uipJy5rWmeR5JNHHtdap51KEqAYJRvUqvtB7DnRvl5Vnk6AyjmEzEm4t6
SgeX6AaqdElinvvORPc6te3mg4Lk8MgzO6XhMK6wXWOF678WjuGcZxD29z50vgc/aohouQ2Ktlcm
WHZSQeQ8i4PZPMa9Lu5lUUu9QkpKzufaMJcEziSfyspU4wbl9RiDeq1Wji7Ks14P9XlbYgoaOYid
2T7EzECbxpp8D3C3ch5Oc6H5g/gsuivDbdsnx6/LD1gD85M5NKC2mN8e9ewhGMxecesHtX3hNlKk
BAa1empFE3WrdpBsh7CJOsGRYSuhhCiKrzKMauBrLHXJhg22f4CNGD2WEjvsgJ334s9MunHrPpt2
Vu0BC4wb/JdczlSJbkj72PewBdIjDVgZPbeyoviwQGd9SFTbFdsq8+N9hBb6UoTm8ChYOisCmk11
7jNJ2EZkjwhDz2I8iDGLzlQMsWACbL8Vba32QQBTkxgElVoJRc5UEvRYpyeqzeLUVmsE8/TFm5ri
U6vyDvAwvCvJyEBsasvs3wNH+9tuBIzAxmhrVrHEJa9fixi69DBw+Xdt6pxTmXRvT0EDVbxn3txX
T42dNfvebtpw5fYeK1ZCXe8ecEvJ2pSF2V3MZQLgyRxXMeCnAw6AnrYgacW3Yvb78Yy5oA9coKvo
ZUPetZ993U7fKtfDLT2xqrergUbphsdPoDuGuRVV0FAsm7UZZi4jQiYm2KQ7wCS6q7KXGEMkf0Qf
LRcqT+1SW8Q4B8ZJitV7mfH4y7inhHl/UkyAsmUUFC5DIcJyzIfKZVTU2fB7rM/5UbWMkuiPMe/b
ZbyULIOmpAybXWhGaGkU0d6DaQn4k+9mUCOQR5xLnZvmRW4O9hbqHPVZvsngv4jyY25RL+oifJ60
11YbQ1lXbh5bV4qt8qpuzOEmWOZi6TIhSz+HZeTYwE4Nn0M0tx7cTb9M1rplxmaNY3MR1vmQbg29
TOJynAmXzcxmcdVwnHl0Pqd28+cETwC3U+c1G0RmaI2i+GUZ99WsdTzBJue2cgcBF6ljl7hbGr1p
zjY8H9fXMjxMmApcgZqPTuHnbJFp6kTXyTTOZ94yfKS6WT14mZouVEYAFXtxrx4Xr/INix0sqrw2
oxduYHMnCWyyhf6ccC6zTneZekIYYxbN+xQbf668M8GU8MNXPRHGCG58vUnZbx6LIWeamn1OVm23
1XAJl4Gr/Jy95qSlClbNCfd8px2YASGDRBQ9k1HCug1DiatFu+SYPdQfJFLbeMXkre8K6vLkumXP
vqnQHKHHZd1L6aqJKHI/FZed565r2wMMqRODLc6EXHDtaZW9YF/lhIaDLcmvNREeiRRe0/PjYLO1
V74BjWZj9SN8cLMgjXQYK4s8RsmlfCDI4j9BjOOg07tUYuO641LFikLG7szIbJSSqpioxFOz9aS1
YYf7lmKcc38aYOAlIowfSsPLgSBAlQKUQxPXh25s+nEgEjcTLIXWJRDtemG7ybAwRNettDlyZFmJ
ZcCLLOCWbUbvkPAmcj1sIoj66XHdRjN7DVb/8zbqD02XF+ejJ+0nliXnVpU8Dsg0++dFP7V3hGp0
ym5qfhrm0DWY5Md4RucyadeUdsCWYkmaf22V+H+Guf1vrpqCbf3nqul6UUfiP/j/fpFO+c1fpVME
UsoZffsPCgnSKbBbYZqKW+B3Eok0v+DTw/zn2B66q7c0cP0qkfCjBWKL+4/uB0tRXvBXJBILeeb3
yimzEh95xOddINaIn+oPSPPh9MiTaa9wAT/kRFKfaxdQjieCqKVKshlf8F58g/jSvHOmKL6idqL0
QbjotrYeyq3bk2VzHcN/JunDXoFxOgygOHtzsrB7+h8J/z8DZqYwkSEr5tB/fi3uu+S1eW1/1Op+
+61fr0P7C8xl6dvKkZKk0lLR/ItSp7wvlg9gH78ppleKILna/qbV2VyiwpH4TAVI20+H6t+0OvOL
hb3NMy2bxs9F4f8rFyIv8fvrkFdgaocPzbeEyxTp9zxkX8ScULPR3bYO+vwKvt/0hM1z/Gt9l/B5
GTwzK1C+S+WHI396Ga1McsZQ8BeFpP/am4a3w8oekl5r034f4gzZ//AtnH7RGv/XD6jnP95gvKLC
YEvRp+kDafqJie/nc0oKICDpaC0UyCo3s2jd0a671LNKivvwm9x5wIoObeDdst9nC1DzW1/Zjlt7
s/aTM2Z48syqe7FFUU/OsMcOl5TKzhfWmFb/op/j5xa2z78QX7ntYEw2XdNdvqgfJFM2ZOlEA4a7
BXaYvw0kV9fapV6VCGkBnAYq2oodghpWsVe+NaU5v8EVGB5p3qj2TsdjMcRl+4DmSKh8JJL4539O
8cfrxFMuurLLzAlzqMdF/OPbc/3aJN0wqW1HCukyni3AN7GzsJT1EBEhGl2GJFZVnmetHLd0LoeH
NgT+x3um9GCkqkzAVLyexujcsqqjGRk3IwEHDtsAGyI8Xn36IpG59zA5mhP4uPJbF1rpPp/q6vbP
P4u9dGX8qE4vFyNt0QzNpCTmtIDSf/wsHoKq2ULx3VZdFl1gb/VwwI0i3IyVFxELxdS/8GCcrVHq
4a1AlA1WWV74+Igh6B1G5Rs33Ti2L4p5DI4bABM55orn0aJdhE2x21AqRnqqZ6Zs0HQmu/7I1jQC
L5y8VM5ChgycZ99p5VVrdGu8VtfeFPeHCkblMW0ydcX4pb6AgosnT0QDWV8RW8EuymGGJRjTt90E
T0hkg7xsKjN681TDycDqZHXuUDB92QIbCUm1CBPPt0k2G2gTDQHlPCbPf/63/Lxxf/pbEhBxbImq
TOG3+uk2q1wQyI6eHIymMr8uqV6kN24wFzDj3pXWh5EM43U3sWNa5yPI80PXZMMHRJrmGwpmC3cW
6WwlEOCOeEuyjQu9VdEEDPGQ1rbqRCwKjA6KMgbuKp/e/G6w7roqADSRjQZVM2l4Uc24VdZZReJi
Cs3xwku7ZNd2yvwXFw4r6x8uHO7M5ZHg2dLhVvj9hVN5sPrc5SbQad1fQYzvEJQ59R4rlvUTeUN/
V1uWgM6WzTcNhtxzQmUI9lSFwKuabe8BhWR6b4bQ/P7n38PyZ/7pa/CWJYR6GcX+WP0E2M/CKadG
CNz5gEN0LRtEgH46Ujc2btyxP/vzF/sHfwZa3RkXmZTYIXYRkfjx/iGsgLI6tc6WSi732SyncrmL
k3/RAPyH2TI2zx9f5ae7NPOSWGkJ0SmVcfxu4h24AOZscOZqi2n355/oH6wIbMd4RvNEZZu/DMx/
/ERckklViRrmuCPFOW0289uMOfzCbqR5K0bNsluUA6hwCriLk18EzebP38A/+JOyUbVp1mb9t/mv
v38DpcEEqI4ch9YDFxfUgEg1BoRf//xVxPLP/HiZUIvKxoFBBUu4MNnO/v5lBEuuBwCEUJbT3FZL
+3NugiKP+5sxv8eedT3iYmds/7aMkbsoM65JLWJ1mUtYznKYNn4HMLiN7PJG6WrYkwluV854q0VV
r9MpMrdVjDRldtGxIqayJP7mButw/Z6E8frPP8zP1wexHsx8PCsZgi77Kjb+P35nM4GJmpC2u615
7KyDLvaYMACvmBVByj9/qT/82XxTLQ8+IP3Ktyiw+P1LRXMgMrczSMxkKjwLptQ4MCVbKn+LjGN5
QEcEJ4d/8aJsBZeH6o9fF6UdrDdsl1hZKbH8+esaROuInLwN5vIBy3FabmVIIs4PxuFZYk9TKwpi
bo0wPjbh8OL6RbJzh0m8kj+xVi21P+x9FmCTu5KBOumqMgH7ycWtUSENIt7rIH4JhH4pAYfHJsNH
z4OxBT9TrOqsBRU2jEcn7SnAwpl98kk7rJdAjh9PBOgMJ0MSNidz14AKgWqPDBA25kUljGznjgMw
mUAYeCLyG0rUfQiPUIm4n/AZrFn0j6nt3YW4C65n9WpX8xsCvb4ucORvCscJn3VpdNdGnQhGPSSY
gzmxkFe8fMU4MtlncAJAEdRZ8jItsIqxiwsSTKPu30TmN3s7YqYG8FbaL2MsMG+a+X1V9afG23d8
TvoQrO9B7DRbJwABFxsh7jbHAQ/TZk6zc+qUBurYp8YCTOVaTE1+ZdcYpq1RAWsWSU2FdQIKzmo6
8a5l6l2S8Ne72GJ8HcQpUgheymALlJey5YCn1FeoTsM2JvVTwJpcV5m6c8j9btpawgwuOmA6a/qz
pvNGRvZNEPWY1+NpO8JA94nYgDuY9yKTBwDXXY98O9obksf+xzTIi3To7uu+e0/YXT7Gokx3oMDy
re/1T0RiznQ+6p3uWrj4guFSnSTypk8bKlOnqsz5tzKImD4jdIY+N2DfH8ew8y7xkdkHXPjUN3Qh
BsLUw/lmGdh6mnEe9xbDoFNLYdpbofnaugaTAlSW8MMDxbkPF/gdjpTqZhnOPhd1lT0NsdwXSVvi
6klG71SWeXVjpFmHmwaB0YFsUk+k6vvpIQvn9kYGUwdtOKGh2mimeyMKqj3Y2fTKqGqCLiO2opSN
1lWX1AtuSpgbq85dXllVwIXg6KXDaG4727NejQDAEqEZoFxkSjYR3x4M/7y9ibrsW9O707dk+YSD
6Rj7JuhPZmjv5/LetCwKPPPpumZgG1DetMdXP4BYT8vvQWBF96XJJVnLLmYD7mEdrlPrzKAkbtO2
dbuhgxCO3xg6N6iZ0VVKgmdjVpMFFqthumnqcWf09nSWky6+LhzvHYTtS2FiV11pq6wADImYabF2
y4Md/gd359EcuZJe0b+ilVbCBFzChHaF8sUqmqLtDYJNsuGBhEmY/PU6NTNSzCy0UIQ20ubFvJ5H
Ng2Q+Zl7z52ATS8hNlIHKojqU8BZEzJDMhbeOtm/IXtSUD2E1f0uG2t4TYLCI7C3rXahszQbyOk2
vN6pv8PbIdYdG689k/5y2xlBshHoTiPC4OpXt6uNM8tFJMkWsMOuqJ84Yed9W7UT2DyHYTkms53t
T3fAs34ckUBtnj10WSHI69p0GNkR+bSzjSS9krcRbMZ5NIAvB8F9TPjexmKYd3VI2OoD0TyV3eQh
xuBU4B3E1+hk46GsxIOWpvOo0orfiY2gY532kzq6Vj/xUg3pNg2nKVKkc892I+8IjUQxCoRj9VeI
s4h1+jIgLuXPpD6ZZss32LR9BDEnR1bRL1wQYOOEleafvarVHRu66ZLpuASJ30znAf/VxpAdE9kS
QaybfbSkFmxBINdrrAC4mE3iIEcCU2ajyi9NwZJ7MWb7y5lytZqCNl8DGDHXWZG0D7ZRIXeLae28
rVO5r07cCs7ABMtXmtZryy/u0Y+rJ9ydEG7HSDmEo5E3g06t5juWxaNjzjiPl8z+BmRZPskxp9IP
Ju3u8t72YSRoMP1z5913tueua4kXnLSEqwUgXNQuWckKYarvK2LgpNoQD/a7HttTaglg8sXvOnO9
VVaP7m6Snr3rDPPKknXd41U6o2sh6FE1ebsSpuzfBw0yVbZTHf9KaM/GVRpX/nbJl4HuWnenwRpI
0iBgbe6L5KIg+DJsnizwqI4GS9XMBX7oTkE2C2um7X3t3qKDbnTz+EjZQaZSnhenxjHGB8PK2u3N
hHKXNo08CjQhT67XPqYFHEjmysZn5nbNp+7M4paRnr0CWQFCN7vZXRZ3zjtfdYPQqBCoyLNyhxdQ
71IIfp8h4X/HNoCa4HvcnGx4W94LGe7ZHwMuxPJ3t7B2XkNmqQ7SQWZhE3ePBKYwz+Uk1XZoObzz
rHvsrD9Fyhxh5RlL/xwMGAB6K5UP9lQuT15SBCfZlcvJ135+Ml0cfBBf4zeC5ZZ3BZYzCu3Seppv
xgmYLdyFqZ3v2Cxlv4JGIJx2+5alauC/y8RkcZiGzTF3Eq7bdHlgl56u58JJHpjsDBuT75ZAzkWc
Bqzxd7GjxCaNR/PZZu/7CBDOOXT9FNwhvEQlGObJeawC/lcfjhdYQN+yauFMsfaJyFAy9zyiG1Ih
fgeVSLd1Sb248rvb6RKmKU7aUlL3a7YGB6wyG8fojlLdw97HBePV91OZYW+UczBElvTItGKpcAYK
1jwNOhPfImurd6hMgrA493WJXbFuIIJRGUBAFNPYhatBD/nOdMmRN1yvOg5wUTnDXHjqvuGsWVyB
GzO69mqIEc3SrMtw3PoSYEbrQGEwF4ippUUghHYrHvx4wCSznmvPPcCg0oc6MN8Cd/AfAj5+pWby
zuswL886a7+9Hh6TWXQOFXDZYU7r1MVgm+H37p+abV9S6ORBFKG3JpoBOCawv8Po8HPGGimiln3P
inHUuU9gOidxRKEWb7u4miAxWku6GQ0rvJ9Igrkfhj55ocX0LKKLMmsburXHirwfuwt63/jV73zr
qaoG82wPkzzCq5rP8zz3373IWK+NbZo+TzVfDNtj8ePMZvgVIO46FhlBEXbKx1lYCdcdlEYLyxa7
KIwgDlS72Vk+7bD376qxXwyW/E296UK/fpK1T55Mm48/5TQDzckdQ57IJ4YMBPBLrkhpsV6MmJqE
PLAwAEDPfT0y/mlWlRebO3eSMN8C1cbPrsSrGyFLooxkjbVbWgd2UI+uCy1RCngv6+3ytRHh/N75
uiTWCRtKR8JPGsebnJ2ut2qbPLxAkB23dkGciEMzhAggNsRH0nIF+RL6gmcrfxcKA6hIgb9xNU1V
eCZmTPLFI30GX6IJVhyl0YKMJWPtfsa5RcnU9fJeLml/zsf8qfL0b9fP31TlKghui33s0EDgAdHv
SsMO63XVRktadHvlaEynFbS94HbdmLbv31CJxM8yIiKso/LgTZeBusNram0JPk23RHqB+TB8rNNd
Fc+HMZ22EBUR7yLZ4nZFRuJU2KR7xE8neMTytZ71ScXf2vWfgsl+7oLx02oJy1iSXwjF3uFyuPsK
FPxjO5pEQJq1H7lm5d+VY1Cw/Wqyat2YFhaVBgH1pTJlt2b/oPdVaShCPkubOglvB7TdbrgafYFM
Eb0X6jJpq0tRs7hfoUsUn/NExkHEl6Ae2lgkj2U4X+O5cvaNW9cfMwFFqIYnQCSMlqafMY+Hq678
drfMDe48KX0MdksSrGCKLd9KBSPDV9BVCbmxq7h25I43OcAl1jWPQZJP+9G0kg9oKzCuLBVsvCbB
Gp+EoPkK+egVDFyQjmbA/AC5H3xRT68AuLh0gmDETJ0lQF89tBDfs5mxtiQCJvvDx8Cn7jDzrhFk
elys8JFdhOW9cSymIN9Q//f3Ptu+FO/1Umw6O6zuiEwzBHHTMPKg1fk7TJoDR67bOID/bWNbwyO5
GvONGe0zNHxBk97AAfHhizlZs+vgPPByA48yEiNB1KQfMQlGI6S9b5ACSKEcUoV5h+3N4mDSK2AK
PZALojazHxKTNuMiOjh1YJzNFF/hCohjcS7TNr7vKD42Ii1qggnKZqfiAKwpkdqnKgleyhEVaNU3
v7VKsh1Y4fSKk6y5agHTEqnBgjOJ47SvQu8xDG3zVyrK8ElBcj6j9YxXfMrk63YU/qqSJr2qqWoF
f1hYpw5mOkwbI3zx9TA8+yTDAAcfsi8OlvICFGV+mUyEQesM8Cu79J4t1VLDYq/TYp8mgPdKTD0X
Syft49jNBM7k0jnIRA2kk1ZsiA1g0plU8b20oVVhLrVPkxdkp4qC7a0KMweMHZblHTWPlJt2RE0f
VHO4b0d/BBKFo/OeySDRES6TwdlYqmMTjj3BWc3UP5p96jNO0d2yh7lGdmI5eD+T1drtCm1shgxL
ysc2QClBZNRk2wfh0x+nJd0kyNebAbbO4E21eVDvyR/JWU9X3Uebu6a1cUwWByj4tIm2LZnyF2UJ
fI2w5DduReDMygeH0aGwr0xAEmN6MTwiBCxBLuIYd+PKcCzkLkvaPXBNkuTs6BIxWtUmgHGC5dWw
6voFUQTJaGUggJsTJK/bergU/vwIbdPn4R8LMsX4FoyVDGT9h39F+TK5JaUlQBys4SFYz4neKhBP
RppkawBAVCGxXbhRS+zCizVYDExNk/qO/7v9KiXyvFGP9r01VvgtDQoeYmCM8VOkcf6BzqnuNrGF
VyBqanfKnpw0HXZl61DsGnpRpNpgJl91yQIzDQZ2JDswJRPmiB2X+rKbfa/aF45hOq9VHPd/RjuH
LmIzOayPtlt5bkRjICZW/5mHez62/GVdLkU3ramkDeMenccQnCzo6ICUhXhX1VztpQ6cp1I7MOyN
rAUdC7g6QF9IphZvu5DBhj5zuh9wpnAUaK1mQKdZmG6repZQ6UaKWzIg5YYIyMW+Y7xHJLwHIG0D
jzfXKzG1xmFuRXMunLB/yUYslZNhequp9enTjGD+o2WIzZTeezpqo6l+C0uO216WXJELNyzqhGnE
oOVX+s2u3f5PSuDq2dTC+OZbbz9UPPWQHGJgwFyFHAP8blziJlQVdBcRJMulb7xAgn3Q5XYUo3nH
NCzhPB+BM6yB+GXrNm7kfYaZ99KYIv9Fa0m76E9t8DvPO0h9Ngf3W2sFYbEJnOmUD2nQRNNk1CiE
Jk9+9C0JzKV043dWSrxXY5nR6GXNtUb0fRffAny24PZ/lzYDqKkHKTC4LE+YZ+7yUR8LKLr8sBmB
wf8zkqds8cvnGT/Z1jFlcpJpYKGWLAwGH5D2QPmPdb9daj0clqq1N9LIumEDIb97w4cz7nOur9cE
/vfACZ96UG8mqz92Oi8+G8qlzTQ1w55XNTm1gbIeJGoVGAAQ4AJsORD0o2EewM3O8xLDZfRTbsl5
1OfcsmgM6IZ/26INDkxXkUuO809vjT9db7yYtAA3Epx1cCwYUQHO3a07cYSiRVavnUySYxBKSCNu
kv2M/k2ho5tsuTDZ4maoKKyJ6LB9hc3GYgzaZUC2Zmn89DiSkLf4zp/eFlP/dfsrAD0D+sWqmLqp
2Hioxgpklhmtvcc6E3W7s4BBsAhMdGO+OVRctOD6lZgegl8LPf3ODGDN0RjMw/0c+0RzDeI8cAaT
zKfjdTaAv1mFhaNOI9iyQ4eSesXb8WHyWUBqksWzpjEpdt6wAPfkiJjJVNW/AsUcLtmFlfvhd8F0
b6LIfu/51o84qCBOkwZxYMfVbJguOa/cTpFrpC2o/ngRFwPrEVDyHOdoWRCTYulzWlftKfS6MYqH
Vn4v5cy4rVLGLpb0usack/fWTkMMIxMbPtA23gMD3XZPSQuolMtqWg0zV/JQ2PMOk7exI4STZKMO
Myv8aVteetuot6bb+QdkkgnErTSxrjLovC9GGWQqEdpNCoiRk9Zg9U9V3KUP1i1WKzSgXPqecs5x
rKIh5zlcvKWBiB80y57f+ACV03ZZugbwWVUK+mYM3yfD8V9T7XnHYukkjg5tMZqtMJxz9x6JGnXO
wai8dUC58j5aXn6qYBNEFAdyY88j6SBj26zcMJxwSQTgggbTWDahk7Ktq+mvHv2FrtgdMTN3fph9
JR0YKElyb+QI1mhFltQvFQyc5yRR+onIF/+VfX1DS5TFVbxyFSy+IAEpVMJFh1VZDzdDV1Yygy3t
67DU+KAXwOS0QPJg6b6HtO4EeOC7HLtYMdaRW/OohO5cZTsCiPod13QO98E3J/CgAgB4mLoJ5dYy
/uIYbQFGEP0WbsNmorTH/jEc2EIH0IL7VlbbPvPV02AF5p5QjrjhNA3aibbLxsAbisl4zEiuv7RN
Ex8DGNS7tCHdaoKvcQfQoN1PoK+gRet8LcaeHqgviQmMcf1nM9blynFesJ6v6s7+lTXeZ4jLbSUa
+EYrKr5246W66mGzeBEZE2dPxWKP59t8ko1wIsBswbFapvKc9cVznYb2ijCS9E9r2dbV71yXLOgm
PmSUIBvE9VciwQoOaW96mqrJxDItisvMTYpCob45/NRTbOjk6ukKttbQeVu7YsrMQNc5T7WrdsKT
w1b1uKBYhnyQImOe0HQauzmuDmPZ+Uj2eYzydPgz0K18Q4aIHGnMkVoUnn0wqDCIJMwaWR1I7oPE
g6J956c9s6HYJ9UXrW2y0Y5OnweltsgcN05b8ztm17Uxl/7L7St9SqYJ+7saOoCKRNPJlcFJWjN/
2rmxqYhlMo12JQdSTWxx3wKMQaZcSBgJAvBBvvgyhb2V41Y22/IUADXU0tiEeQ26zwCuE4pvQIvJ
ThlkUi81IHrQ896jMruo6b07Ww97Q9LfNQMBaF2b3jP7bdgdVDvo0Y+NIczfqSSYjewWwgeniog7
2IgnBmAvRegyVjD9iMVDZGcZw75RSazLGVBmPJpDN5ffDjFiUeF0v7RO7jC/WskqyRqcoLArwSxK
nN/CN0j4hIIvtMgOPqBCdPthW+HDqNlkUXr4J2GApe00DbJXLhifHMK3AyTkDClpJwRRsb9qQilO
1Vi4a6fxaNrVvE04c9emn5C4gWf1d0MgxNVrk5o8l9QGOoT/3du6Sz5ga1iky6ylSY/CwFC+I4pI
fHQjMZ+fMX/A69kR37R2QuvZgT9JrzUybSsWqMK8tzKil97o4OaBYUHBKKND+B4bbnwlswYcqAob
7ECBfQiFQxBYax9bYWcsMMdpwljgazArfsyt6Oc8Ul1mNfkz9qCclSP+vPAzAXAqVpZw/Ih4ASM+
eRn9SZSQ8TN9hGFePIaJLxzi4YDwRItiP8KCFvy3uIGNi3mOJpBLCMwH6EkJ96FnskLgPA094EBd
9pRPY3FVwEmSiHODPINcM9MEES/QgWSe/yHrUn0ujS2+yXEAz+uGqiJOiroZOxnUl2Yut1oPNmjr
xRr2uP7rqDT5VdMMjnSLMQF8j4HRvTMo7jYQjfF9zYN/9D3BDN/wYcIOWMN0eSHREKSIbO/R/h96
rF3oOcGpedO94H7HLHjvGAlxIINxda0J+JYLA/xRUJCceeLSj7jNWzridjX1iQnCxPruxKzITLHl
vhxxo4iYcPgqD3ewgn4RYfkk2vkdEuU8QOanzCBtpD3M+CQSFKw7t+4g2CNMjLyOB73KGDYmwr6J
bCz1xN1dc0MWTMnyUlYb2gA61QHoMXAUPVY/GhV01LlOj3ExPdR16gCxgswaoORFZeKxlZJhP13D
ph5eEkXIzpw5DKmJj7zkCBjg5pxvAPyNNfvWGq8KQ4q+ieN3+gViCFClERUJoxfYjTP8yqwcSkZH
iPxJo1FOwCgUOYUvUbM+6uvIqFTCkUf4KPOCJU/C/WJaCjIpbR7nT9VczLIW13YKLQot5qeZabAc
EflHj41vt4ycuMxW53PWiA5cxazfF5+urYpYZTHZ8HhY7r2uep8my3kkliNOtv3gLL+I2QTkQXV8
dsPBe19aDR8CvTKlNclFUAKX0DzPpUFigO/zY0APZuS7qk/ie4fR0Be9KV2IzuNLNiY1gwp+fvwk
jdS3NrGwyhdaONzfXbcjKinCv2me3NBgX9CPxUs1tMiJJVHY1fQ69Li5+yZ5YYG8k1bg70t2SRul
uz4ylwWKNAxdZty5ce8krBQ5V7IXDB+YUQIA7WLkQVuVntn9qXV2gdx+M1EtO9WMJE208HLlJrXJ
B+tR1oC6tmWyBdVMhB42OM9buyL7bcMvkYgY5bSv6DffsbIyS/Xc9gZObL+J/DDRPdk8EFPWkeJU
Qdy5lgKOUtRaQ7GHzE2XAO32zk8D8h9mr4fdxnAOD697A+VP+AzG2kse07a4DD4J4v0oM7TdLSsG
cmL3cxcSmNOZqiGLipiOJz1n9R6h2dSvbUgn+6Aw0VuDXmR9sOT5e84p+KWtjtRgxDRXT8Yjc+FZ
knuAmB1vjD8+DAVrshG+7oZz4uavsSUtUtu4h84egWnhry0uE3XLcVxisIiqlxBV0nQGTavLhpd7
MG13PQ38iCPsPq9FT3hUEOhgg5UNz0dg5ZRxhLz5xBisplTsRE/FtKIJtc90bM0q7dgijmtYbY+1
/O7zzPhpitmIOl8Zd8Wtwp20nT2hz2suDvSXqKnK/CHX2tvz6jgPIeOfVze1sWCFBlTCUdf0dzC4
yD6wI1E0c4TinnMKJvQduqYbcXKkVo7b6cQJOwNwJy9ScSrvPAfANDHxt01YG1tvJeOFY8zWZy2L
MF3XmeM9KR1mZ+IFxReecvIJmeJxWWCOdDCL3pDZE37cMiUbg5mRszZT4EayMIb3LkvF1eJ5fEyl
xaOUONBcXN08CaRZq4a9E9A5p1/nHKoMpEb3YLZmccvmW7J1gGH2mlWy2AFrGN7amLOtMR0W+FON
km21mDnfcYX7bYzKmow5ie8CHnCTfrnoZj/EGGT3i923a9aHRmQjTMSD7YgImztRlGZC/HhRNlFe
O8spNQKumIS3g4Fw0wafxmR8EIHzk4y+c0YJ/sADxXSe6VEEkip/SA2rUmuVd7dOwU2BEIeaVfVO
0uWqXcNhmUZp1497HuuWctFhRDpVQQoaP0te/NZEks3FM5rrJiyXGWi47yMR0CE+MwsksF91XzZs
f4cZe+w7w31rVMuBJAM/KgoD1vow5chlUvJiHom3kVeeruytqKX1TppKufb8Ptkkhki2cRPre69u
yqj18cQSszayZi4t8x2V5fCCU4pBVFBh18u1FRzSDgwXMrHkJyR2ZS1js9iEnl6u4LTlXY39Y8vt
UG48v+uP9WzCgdWwy1i3WH/tilU041M7GWRQQusqy6NYEhL+bgmmtzvDwQoaLNveHfWFwcpw0Glh
fBbgl17NgpxSroPwPhMoTfhVrMlb25T2rL6NENxMNkEegl81eWUEJA7P+DQ/8CyWFM9u99F4Y/7l
hCVT8zTRV9+3xwkrimJ8s7AoRquwZj68QsnIPwvmIc8LfBwVscYg1csch/5qzVV/cYumFRcTauJx
WCycYMKY1EbQVe3h9rMr14X5sDhpQM/oVRZJbGm5kd6AGsXCZeqTHP4MrN++pLKh5LB8xjOwP3mT
eelkgkm9CXT5knYVYhFC09l3NmejMV782oBY1ZXPlTTap0a5MbirObvVr7fI1ix7NY1uvCfD0H92
5mJ8MpaxWef548RQdWu7uXovSCl/EJYzv4PuHjZgvtTJabIgUn6s3jlQ3r2idM6LcasEpqq4QJ61
T3XZm7sySauHZMjg7Yqx+B7HuN+2k21GXTVmNCUm5wJSqj1dYJZErbTJ6kLoIQ74y/htdYH+qJKW
yLiBbOsvUpGovHoJVq6kIj7lmUjWtesxgXVriIoelqpEKhvf0E0EUauAQymRh0qSbEkBuOtu7mMJ
IpEgMct6F2FJxFfAV1VBRausR8aq2WnUOLGYzuZ8Vn/eYoUsDglQqgfpt/2mCkkcgr8anJTF8CKv
/0xMZryZ26KM1byjYCYAanHclpj2FNdmn9f71mM+7AXJR5Cm3+iRfgLmqgTW+9sstrbkBcLY7L0c
E1HzU5CJDAwC9lrWlatb0AG0PJBO1YgtNrmb/IZ0HA6cWYN4JGFzZViLyYY43fCyRspy12PmW4dy
lNelt/ZogyKfOKP9kpOzLaYMrQH7H6x9MyurQDHYqXpMW7ax12Z7LB13r/Llzm2Zcy+Wx+6HT7nv
yZXYukOC8ljqjLYRMNkvXy7d1oBWeA4g415tNl3PoqY3bHTG0LtqrN2/6Ybs1Y4l/cYvhuTTSFP3
TLNrbnWQFLu6z/qXv2rj/reNSv+XwE0eAsx/EAiuP4fPfyKQn366z/LzHy0f1t8+5O+GD5hNZDvw
XIJqQDVvoTb9m+HDd7EkIXYxPYuqHc00QsK/Gz4s+y++CSUU6Sc0AI8b87+cR8Ff0G2ZFp/P5nPh
ofgfOY9s7+a1+EdVIX4oD0sJkii4MY4D6+WfhJOhwo5ewMrdODHE+7jBvQpSuMwibOTqrs7pgBgH
2CePpeee8f1waCpCW5BChfLMQT+8uZNrpqs6SPN3T3aTiFDFNgeixjzepKBAb9gSNkPMxBjcm+lw
Yxt73pQRBd82X64W6tSTf9wdlekx3lBNpkZIAOxEIXqA3d4MRNWyscqI8KWsgFGZVmXyXUshKuok
HFrrwMnB8A3lzQO8EHNTn0gi81+w88ODrK0UBIE245PuUZwcMd17b62ebJyIdvBMZPl03+iBum5k
IbhCSJgcRxwkt3oo7Rn5lQocoVXoC5o9kqRoFbJhRVnpjkeijVC50lF2xtFbUvtqElErtmQtwtRr
Fyyp4MIthsGTMH0UQ0R4x/ep3yvNAk/jCm8qF5Ji307ldI/x0+/vEO4QtGPjeygj2RQunMjcmpEn
+EmHKIOBy58WbOCdrYys35jZ0t01oGQFosDecSMPSCMZ6VO+XCk4K4cFh52l22GYywFU3XCrbUID
FTrqzeKrMAD9HhZLlc166Qv+AvJhg/cbhvq+MGKgJLXvPpusufdLHC8XiLEhopaRGzQL827e9L3Z
vGCsAICDhm6Odx6YuiO7HjpAly3fK8WE/1iA/PgysVRmG+UxIiCCdOZHE7AUpJXPSbJXorffWpWp
tyAR7ridShfFUAA6SDGa8NsTDI76SlHGkDEPWrzdcrCM6eDOZLJFcZXMay7vOViLwcRlrZTjPOVQ
f/YiabPHvnKRr45W7n1ZZkrUBdoDZswFI+VLzqDvFCbUV4myvB8XzyoaLS06CDNjyHqxj3V4YIea
L4T0Zna8Vqwg+O8s7xfVFzOWyjPJSwI9xozKq1zpbicTzup+IUo1Xi2K+L+18gCdrNWo/I+2TpgA
mY4HgDDQ5IW7EpXPCnlkJlas6dUfz9IIOvkUNVxpU1IkUzJPEAWDVm1ji0nL1nTq+LEa6fVtuZBj
Xsx8YzQmISIPKDOSEYI9dHctDMFvdVPyHILKoO2PBRElXpk3eEeocQnm5o2urmTQIXPyVUCmKCNs
27BXvQs3RSIdQOs8b2rVTT7LII+kdNNuQx5H0CvkAuV7szfzVxj+CD9qwN5+5uq7JOzL05KO9pZI
qriN0MD6oJdYGViPRGc1r93krFnOOnuLtpZ6zRlkDtKgqq9Jmm+Gsl9GSGck4xyq7jZ5LHJxNlVA
kBJkZ3PiL0AYC7nMyORvh2nmnT1aNKGF5Dk5GgDBl1dMna0RtcsyoilySKEptqNioAOUZMxheVd5
kf2OjTZ9mlTt/S5gTsu1CeM+PUxLWev7rCitJbJ4ZdQ2FNIz11OQsFdeheHgBAcv1ErTqasFmI5h
5K8kRtKSt85A+KKa3QWomkht5e/xT3PMr+I+DdDZFECcCFlsP5tZgvu9yQ9IXyc9u0VJQjEthXIh
uSAizVb/JmS4mEoqYg+rWT709jjsLCmLvzke/rev7f9/VEY8lVyt/72h8/jJav5f/vWzkv/+L6fP
HhJv9083/d8+/r8sxn5APE6Ik8l1kekj4P/7Te/8Bc8nbhLfRcBvewLDzt9veocigI9xb7ZEUGyW
iwnjPz3G9l9s/JEWXDe6Wyhs1v/E2vnXcuIfbnriJ1jBegLC5z/f8LWNdQ6jBvg1sExEvMXkA6Qm
cvWUPLKLdAuv2YQMEtAgGaQHMR1xiw3D//a0zCSyN0nSbpfUFxfyE9K1ucz+mskAwYVOgzZ2iJMq
kkZiNVtFtPwaJEnB+PZGNWmG5VDZvrMq+3R5I0ev3/kD92UPFmFPFdHeW8ou3hKuz01Okw8fbmKa
gCKSAzkMD7UGyuNkiNfJK+mOwKWxuSH++QyQLJ/8DFDumgUQ4tueufw6yF3YuFVRQRAm6quR4Hdw
STr5tUEtATcusII7VnNMNlKMkT94EfH+C2O0n4faQJS4tNlyatsxOy2od3AuzMY2xsiwW1L322VW
E8HlnNXKqAfkHgXks4hwcpeFhRd/sQMa11rTeqGcQ2XY1/rDKMZ8M9PQ7K24gODjpwubpBCJUJ/0
MZlKJUXWxlQVQj7Lq4i17Vy1Su0boNaY4pOAg/LbLTTs8F4a64BJaJTjEViHoPR/mrwu3nyxyLck
C9XeRLn17kN0YlIvEABmlbPsUEQiwJND1n1xVcVHhzvO3qWkdptIOAH0ACUBa0+ks/FsGJU/nxGc
xXycKnETWBru0qyhQWWl0Z08M5GfhswKsvhcTlujGgYOrxLWl875LJlMZRIphwV+j9pjX994eSxI
rbWGkbFmmo7jxLPpqUhQt59Q7VXUMvwW1nbnyNcic1EFB8wkkpfemQAAVqPNQll7WF+ZrFQEc7hF
kNxX7M8PYdWmD8KubLSlVGH8utk68mPrmiVqFcLYOIEW1Hckjrp8Svuh40v8VPmsrI1AZr2ul5Yh
sE98B6kwU7PFYAXrv+ZvOaSusWyr1Ir/LNLja0ItJcrNaLHcjywelXQTM3N78r0+/gxNVpwrATUE
65Nlb3SViXydhkuIyLvFDBpnw20X1HSPIsg2KAGoeXQoiThVmuBF29bZU+aWyR/HLOzHggm+vxZ8
3yPWq9IMVwDOypPnda1zjEmB+Gngu7M+mUUZvyD9b1HHFWS9bAdacUwXLvvS1vNQUc48xd1+zvuJ
ATuBejab5a1bZxa1PO9H2lPoKImnFTApQXOGwDlyHnoCp1csdzOmIjkaQyoDBgANKyTGGjBDfsMl
wLUSpvi+IrJbpnMfFuoWvcbIE1mrvuJ+CDVXfgJ4ZaoIxlm5Vo20c9D0w33JthexbkrkiZ0wbrQt
Mf+OFaLuSCou23WDMvDa+W3zisU4LNY35Za1aedmOSMwbqFN3Wpl4ejnLMnKaTeMtwacn1i4q2i2
spXZ2pazyuzMxrfUqBb1YhF0NtGBnjevEmup6dqdPnFACiFA2meE6Swb35bhPY7K7k45XnUDRjE4
Lpsg+cWWun8amdyhUYO0gq7YMcIvLUX9NcTt8J4kYslW0gfu/RJOuflExQGMipSTKap18UBcu94R
FxLOqzpuhXnoeyf4Yza41SK43P4JX43zoitSidop48CdLVTVg9KEzSWcYsXWjePcI3aVmndX4gy4
2O4cXJfOau/UVN7WgYgc+G9HhFqWMswcZa6yXiqnm37NVTIR/GIuAohNT/ZHNk7+YzU7SEU77a1L
R093Y2e4F69NfXvl5lZ8TBJUtOQRgPhnv7pNgF0eBmMku1ZYgHjZkJRPwu+rTZbF/Ca1TLsf8hCz
9GLDuP5EHsSqYig0ODSzaESUO/N8lyKzhOkZY14xg/9g70yWI0eubftFKHM4HN00+ghGsO+SExiZ
JNH3nQNf/xaySlKp3pVkd/DM3kCzKpmyyIzGcXyfvddW59nLhx+SbTmODab8mfNvjzuyXE4HL6pI
RQfp2jRVcaoJb1zP3K1BKCIafllDWVxHHl/ctIUVj7RJx0bde+3PYPbKlTkXcjdg1TrN3tx/5R5f
5tJsh4cm5ABboW+le8sNvRPlkek7zXTU5ha+DG9C1h85jatNvKttbAHwgkAi9XQIoHq5/RVzv3k1
5GLccIPq0YWTeD+pkv20wZ85EvdKz2Ud6NsEpxI2N7FAA7yaV7Orn4KxaNY5BxHF7zh4AO+196Pd
zHipAveRzMwAbnK0DnMO+NKDV3HlGc51JEyQXYNB0fTccslyE8c9+5zIH/9PdJt/OQAuk+bPEsUp
hkD1/0l9nGUvmId/Pdsd3pvpvfhn5eb3P/N35cbmWSxc1zY5On/hX/6u3KCVOEKQ/iQCiubwj3lO
/MYiyHEAabjuH6LO31Ad7m+AP8DJ4Bph2kPu+Vur3e3vggyvGy9j+FX+8e9/JlqgRf9FuGHb5VvE
RPkpwmPmXOKif0JEpCbtGmkaFbjuDO+G5Ojo7ujfQcufWZuFiNc/bGiMxwKLJMVZNSlOW5PSEKTV
Dw0kpmNCrunBR5QoNgO11s9l71mvcizc63kW6im2g/aCWmzhzLOSD4hk1jURMw1PvgkPfF1pbvQE
6c9lN6g+UwYFSn1r/LxOJuQjjgLiH7GRF5RtV/LSeE72SM5lZJMmaJOKLPO2rS3g2NNSmhZBOwgr
L1yx4Uuec8/G5cdXAwEhSi6wpnbx1FF3ZbDowUjmb+OBiG+S8CB3XOKndurJtZVY5rHMvIAmFPCR
S81BSAe8VezjlnQl40W2seoerYt6twdqZzDSUBV93aPfbaiY3HgRgSwcp+IMUbm64Gk1TjyEFfvb
aLhWLBOXkpv0YYAndsG5MjO3OsV1LVV7DLPW3KKbD/dZEXVHgo8YBDLCRWlvXweADjhg9bCvde//
MNnLr2eDdUToSmpMZZ3eZJnVHGzOTPwrFcyqvpvfMd9h14qTakc3Qs+CdNHimVNA+Xb2qQEj8xSk
1XdRdBU52a7hWafzlPbTTofP3YJen6KgffSDPviCOIA4TBUCGO/4F9J7IrkQHx3mT7KqGHcX0w5k
cPWLEu7Nrn5LgPGqXUohyW3hEQCLMVxf+Uakt01F6H+jMHrGm7L3/c1EwAkjC20t3tpQGc422gmL
Mw64/Ntc2ObBYEocxqVJoQLWpzMJOGMbaLt+wNebbVRN5giL2Pekk+JujqgRM7RjXVIa0zc5I/eL
Tpxw23p+/+IOSfxMvU24aWvjnhq+6ioZRvlNcMJeQZuGVpv0dU8bWTjpOymTzyjy3mzbDS5VM4OZ
0W5wRX7W3vRjYYMnTkrCnUFn9SkmABxBAwCD+6gkxhnP7XSiwtm9IRi2J3H6pCMUxdXohsN5qGXx
3qDmHSYMv4fluXVupmqpIcy2TDfBoTRazIvWbDl3S53OzdiNE7sQR5/qMLJ/RFbjgBGeB+OV2FD8
HFZZeizScXzDny/ex2Ag6xKREylbz7sarbrdxD4WaMe+i7VZ31uDztd+nw3viVXXz7a2on1T9taP
aqjC49wP1lLlEeDFLTGvXVTOI5rofl1dhy2FAStlKagUEasomsWrG1vH7W3sVdVLgC2ZJlzktwM0
Dm5MAglql4CsJks2JShuyrwnfWKGBP1z60Zatj50sFf5fUUO3X6Q5vgMVMc9kb6bcHEZ5QVvWr1y
ukTexLPXXqqCUbwDaHhqBxfdip5wInZOVTmXFA/6sA2yzvwK6CH/8pyp++odu75wx9bNhlQCVSa2
HJjKKXypN0XLjQMIqhifKB8o6r2JdzZbF3afuht/Io4PC5R1cGAl9lVt+XW06QtY97Jw+22ZsRHp
g5pzsHQ7YW8qVXjeukhwVHSWy6psdg3vuvNMbiNEpKwfNHnO8YpazKnYAPHL59U0h7QPksxngd3E
lH3iUR6jc4c58dVSEXdkTC/9nTaG4hO9CgJ3UITyTTW2tldF1UY/NPEb6oGsFIXJZR1OrjtDPfqB
CZSCp4iUzBNdpTbRYXN8hRY8c8XztYWOR5nx0SCvXOy7nMmLNGxs0JBJIJYQcOW+9uT5vK2feZh6
KsLcVjkthzbNnRyMmtQZvO5C73o5TP3ek4Jur0L6xg8n0tyIsB4Y+AnMVuuLQ4CdgRl/BSZUJILr
MSNwvYV+A+YHzAD1Nq0xJg3jrodXa5R2+YCDArl4xPfD4Bc07YeAqkgjEJ6U6AoLveweqkgYV24z
5wAeqw6QWR+FYGrqfHoQIZremvtJ/yNuQuogcpDr6On9qOJl/GNh2RsOyiTwQ8jnmZmQZLOI80lq
v05TkjlH+NbscFsr1t+N4RQv+Axb9rXtlK1ZtYx0/+o6u49TN3jpR7+9ZL76JifUvNuxf6+05mY7
w0N1VzornR09cf6pt3v9NhFux5vTD86b6gVydZin01E4IX6KGDbEPjQH9z7AAOvdhmmA431SuYnr
jQTlzk9Iu25hDnb7NPM7KLTu5Ix0guXJE/ZNfdUGU/gsVIwtv0cM31SmQLUfnWb8wkLbw9KA8k44
AT0lAgp0QWsAzN4RjEYjBVh9NIyM733DF+G1sjPncepov4GQC4QhNws+gCXgDm76QTDsA0gFT33b
R5c0t81wk3KHiLeFUySv+Gv4nd3My0+OIouAxsG2eNVGfnsC0VO/eA5C+zF2kwkzIsRcgDO+lbXr
RrTACAreOMC9mNwN0fIL2kOYfdbGAF1M18l8XRgD35gORs4LG9L+ijPUfBdmN72M7NOOWbHwG39x
20ujYL8x8p/GyVnq/ofPn79rBwvvDzlEfGa2bfyoMWBfycmjH6foeOgN2qZRrvCfw1lj66/87E5Z
Omw3o7apsO2s/GJlEFyWRtPxi0O3u0kChUXMx377PAxqIrsfW+WbkZYVtyETkGRtVdaDHZOIXHEq
Gh8EVrkzU9mCvKaJMyvWNx6jAtJL9h7jYq32xjAQxUk6OkFXSVw29T5h/f4KtLt/KAtRfLkRho0X
6B44e5ppdO/hjEcQiceJV3JIZsC8dNLdwsPFmdQFjmxZ1ZCPCejmXroHoruxi/B1tt4YACCPobjO
2QfvFWDbWXvV89h2PAUGbJhKmfN92kSLhRgJjwrMejE5UAhXwmJe2N+yNgS3byID67lX7nlAxMEz
i4cIjlfc+P3ZDWUzbVNa1rpNENkd6QAq2ngqStZ2Mo2C18DR2THHswvfKuNVJQRXPfetdu66MfYJ
mMS870lTtLdmls+XWQtOVO6F7T0Y++p+9PBxYMuiMdhpTI9vPE0vRJ8n50wQz6rZLlWcEYE9oa8n
vbkzS7MnQTCk8TaZRcdEa0ZAy3Hz3LB/xWQSeoV8n00W+AYJl0Vwa8W102heET9L67MQmleoUlV8
MAlBvKdxZv2k04dfK/ST7tkn0sDrG03RxlVu+JNlb3ZwWA4+x7hN9ygxBodfJ69RFZJLNtkAUICi
zPtkTOwDT1psT7ljUteWJ2JyCbi3/jkgjX6lVceOZ5Yu6kccR+0bmQmQBVnRWt9Z5edfAd32JySm
8AOfK00UYYupSGqLS7AljhMeyv/WNP2xs3+cKlrD3z/zuNjEeO/jn92fBf2F1uhIduT/+tq4L//p
yvj3P/HHpVH9JlmoC5OIH09D3/nHut/6DVUK7KH5O95xAc39bd1vL+1NDjdDF6ywxRr+70sAczEJ
2JgHWBLgB1iaXf5yS/x3t8ZF6v/zsn/5xYQDr4zxzTUtwbLhz3dG6bK6tbNx3CZhWK6A8sy7IME6
bZp83gBY6P/ABvsrlen3n8cPBGMleD2WO+yf7qi0srYpl8ERuHybrGYVfg9onqtpZKL403vwP9yH
pfVXIwM/i7Ya14fxCo3N/muBOtMh2zMehVtu37Ti5jZJYIZs85hIWV3SIBwuPd/MfSa7YoOryf90
kM5uYfCknFMKa1NtMDKIaSRFmS5LkFXqh80LIUrykzGUtWvHCU1sCrL9mMbZDmA8uDTowa/hAprP
cDNXo1V+GUG/RLdS85HQXjfsLJfr1lWnGnEbUx9Leyh8EYo2XfXVORFoCuAtw9prM8oqtBF9hU5M
LStYyk0ZZPMtipeD4biewj1YH1pSMDzfJc5sXNWU1g/YpHpaMymi5FfBEha8IIJyZlGHzHUP/hZE
5NCbXEV1nOHuqxkc3ArvqVEzJ9IJvWLRy6DImNt85wkEB7d1jm7I58Ecerklsn4uJuexADhVbSCB
Bycm3fkqlja96jo760h2BEkFdT1x9WrkUYIoIO/AIRXALNzzRJAZs4CMVnXV1MwGRnOeIuibou+J
gtEFAqKBRQhQcA/0EtHArUnm4oTZ+5W1BuksrdINqxmKKpjCV3pwrzuCZbus9dfR0jtimbpD0ve3
lHlO+zSUy4p5RRbsfqIIwzbp5XNMHe09l6RblvtHWZsUqFQWP75pSFab4XeR4Jmy+4R/iBi/gV8d
IBH46yFzixXOClQGxQ+XTi42gyfuxh6Bs8fuyj4gfA9leskLSsykE35QGZCsTEhHJK6MfTyKuzJt
2N3wiqYkKjaBih46EylUaPlp98HZTN0jlINsjbS7F5VGoh3Dijpb646mDua03PxMnHxnpaKGld3t
LZF8C4kzJg2aV5t/IZhJtUfyje3knHfhKayWhqEhWHp96wdkzD2d0hSJDVdRkO47yzhHCJZbdst8
7rRHWKsO6jo8J5YaBR6boL2pO/s6NsrXYiCXN1pIoNaYXQlffzn0pm9SIDO7NOfNazT16KzrCuCt
o7/trRj3qAcGh0AYU77yriV4sGsr0B9IES86lM7WliPzhkV1ghMYj4EVnqcEMWm2AMlzYw7W0sWP
kgbFSjvhVRikJXk/+UpHNX8BUnhQkYpVNrK+twmdLj22mUNApXOJ0y2+ylzwo51RGse2JB3QtPQr
8cbeRfnk0xsEAtPIspYID1/UtJbzY2e04EFa93EU/E0Ll/R/wftAKurDD6HH/Dqr/rtt/w8PVwVm
+98qspf3CHxyy5X/nx6xf/y53x+wnvgNedAXWE047gVL279v2SUPWJJc/4MqK+VvGPgFT0+Idj5r
cP7QH6qsaf/G/GfjgrPYzFts2/83D1hT/N+YvkUp5uGK396Byuwuz+A/PfMkNFbdSUNvp66Sw4H4
OO2+A3731RzB5U07/Mld7vqUmPoDYpQXDjV1aKEwUdZcIybJk9DuWpAqeM0n4qHX2FaW/0fRgpWq
HROaFOsYV4P7WDVuoE1WhCH5O7oYsurOphD1xSDsET7AvxnLOzSqDNkoibt0TfQbH1FTOIHcqGxs
GkKGle+hKTpc150BAiDVThJSgC9znIBoRylZXLsIbympNb+phlDbRDvSX9dp7x/rdNHf0siQ1z0q
Vr4xo1Ehoca0Ut+MaIRnwoH5sLIzQfFK0YynDn3F2zQ2DWLXQT4RaAMvItJ7L5WvxMcnGrENwY69
dmVMuD5wJizmEb4fGG8qOZO9Mds1ZYgRsIBUh82mHFqV8KBPokflGbmzaxo8BptJApQBLJjEyU1L
kH8bxlo+OTV3UpgDU7ibW2/IDhDPxvTU6KonbRZS3cBDZslCTjSbYG5PPHUnOzMF0UeRN4xDO+LB
jUg9VqGEGAKF1Gy86E6bIcF50/hps+WkMEmnqLWpnxPn9rl4rcre8QjSZvEL/zVnFw5hcxvYhlce
7awaaW8pstnbsV9X98DB5vBCPQP5LG4Xyl9RKQIIDG+VoXdj6ZRkD0FFzhfIRdgOQxdoxFrAADMO
DYUiL7i2x37fV2EA4q/RnHh2DGaH2ihp3xZamwSPPTbJZ4+O+3Q1+LAfuRhW5sHufEVT5BSn/lGw
FqiuUqK/rOQdmMVbUCvFQYIE6DamBfJrG86Sf+7QGCfUlSgOdtSUD9lRTGU7UXjFZXkbuRX4BgUE
CqNlZGSHRFvqAxhU/ZRHJXCFsGk+yzYw9YlPHXdrkQdTsx0aDIs8ukuu9mSFFm2dmhUGGuoDoYXD
CGY14JySRFgflW9iRiGg4uXbiJs9IRxf8o5NTVierLFb5O6qSc/cBaK7JnZv3SJ1ntq218Wa/a2B
u9yMTt44ugLUXl69eEVi3pNBad/gczl0/qSHoZRIlyRiPfkAsQOHJfCBTj4iSblgN9lxMk2B83uI
C4s+34gL7WCLBj2HunvzpsHeX680lhGmU9BrA2bvML+gAZEa0qpM641IhhzG/1zfkDUQ9aahbqza
BMKn6N3gWvFYT1GF400CF2IL4lkd/VCFfVZdESFYhlPsghDBhnPVW5wJqzbMFThosyfWFJUTW4Qk
j986v4TC7U6KT7vJGId3YpIQnEh2shkQwbMxZ8F+Rntc57osPrPKAIPQRKyAA6VfqF/Psconnrs3
6yb/MVEuEK0IxnC9J5a3ViovrwqRDY8thLxolU0ZZwHEIAqulHXb+LbGwuFbyaEf8A5hRchgZRA1
yQ+1qNWTmaftVTuNIYgjGflbODNZcEffCAO4a0VDsPdZSCBUhtGHJlCBRkhkjFZSYfZ8PLL6kdWN
dcSbv6wxsgLFMXLwEKnAdbLPysZEZCE+WusABtxzb4bFz5o0rb8bMjShPSwOr9rkqRvCRxqHrWKB
ch3VpXEM1FLWPIRlNj5U7OibdWQv0M0oKwb0Gbwo5skhf3YanCrr93rCHLZqZyDpmxSOebqeAz6r
a1tAshnITt8UgyxJqcTGmxkGbvHkJa2Bv1DzRSGX6OOoMUrb3rCddLyfuUHrTMahv7ebkY9n9II1
QHx0fWZuPVkmWxWnDWpTBM2y9Rw6SfJlZWDG/Ej4FPUB4Y5WrRYHGsc+ZTknXJF+8YiIhqJmQlvd
DqoO7tk8i8dwSnlFHTm6A/xjMx632VK9LfqAKwR3H/ScZZA2rtQsk3eHWp6BxQcmmItaSr69kCNn
DW8g31YyFs5q7pv+Fghq+Gh6HHObIcTesKixUEZMu+aT6P/eMB7645OPZXrmvDLjAKWFSqDtXCnn
LtO1IeEesvhbx9TMVRvYvvwicik6j3/tJzgbSuJZVezA8MMwTrToV206RYXOtuA0o2zQXXrVu1gc
+DBTtt4XZnjUuqxiwqq+3x4k7JFg19X0tReAOT4d7dcvLDuRxdDNEMDqeP6Zgn1ELQTQa/N86L1y
w4/o8jVXs/lo/qqNb0Eq4R7/VScPVUwqooTLi4ATD/xLmie3bTpPDAiNZb1DNOBB5y219ROi9KUU
1ag2FGiB3lVL1z3JQIt0oxvm15riJuoDo+F5xPcAdgIb7E4YxozXWXgj97y+HS6pP0+Pwyw89iRJ
yuMoTJsadq3Te1/uqKYDOHjzOiDFuECX4KyTGEnHelWM4VziqIcjacY6Cm4IqOvpoIiL+reT51As
ZYxudDGsxv/h2JN9B+2cZUpC9Zfb5feUM8VXyI5dtAkKM95bHHIbrt3GIUEBBFmjP5IqG9ZxxZkp
RZtab6xOPHo65ey9dFR4fbcVfVCR0uV7asxmtC4pAjgKveyvlweAiMPkYSIUtc7GPgnZOebJegAg
cW/UhXsya1fI/WDhbc5DJ1raXGHJmeGS7wkojO7nEGiqwvy9dmubLkc3mE9GPaP+Cq4l94pO2fQt
Mrvw7AyY+5wSfqZmB0afLGywVVSNbFcyful9EpYj0QBTdvsuCscrg8ImtRZwXLag/icXHnDsXg/A
an8OmQo/1ehEP6J2ejRMHqz47UJYl1y56XPVldrkkSNmRg+3IunGWbREmGY5HGF2OB+1EVVibxaZ
NE5DkhxNNdl7kgfeHVso8kRUTT1y/6neoJi2pEuTevim8aAYmQ1Smd84XQRII0pGw9nZck7XyOME
xoU5liYUt1R/hDL0P0esYcNziU8l3julWX7WtiWaOyq4qBiQCeLUSeX4o8+xz319FYZ+P63UEFSf
VpgNxIKVjIZjIDIgogbjHCtss2RXUhTW8FDj0RmgoBr5AysWmsYAxebzvdXU90NbpeXJbqidWpYa
090ESBPgxRxdzE7Hh9ieWrGOdEOALOKR1WVdXq1dFelyLeuArwmDeHcbz010zIkUnIrEiA+BD91C
KBWNYJ8pyOm07rn6VdnWF1nIs5wZ5JMtvH6yCzfa4umXG7cMofUbpfdsGEUwrYj4e93Ro4W8eIdg
4Vd7Dlr/EcaZ+uwHtgBQ7Jripvfb+rnXmYPNaRrNk5VOGS26BLfXWR2aL/Tpms8Os9p129kAdbIh
VBt0dyff24Cusq1Ayl1hLKuQR9JK/eQBmW14ZHnp2vAM66UL2nfZ1NS/6SGjYQq5ofqu0rp+MWMb
scr0IwrcbDwGcFniqXiuwz58HMt0AUU59GkI5sWHsc40lOcKPemVDuF67ddzNv7sFAA7ZdApbAbx
FgLJ9E5m1Vn3U/SQpJKcp7Q4+TuNFfpU04bkHAQR+vmcmlmKSzIr+uQ6LglHbvzRgINmKDSAg6xa
Z97xT7nLmecO6D1m4YW7uO6rXevWbLj62eseWzhx9jqWoXyIk9SMN1LxKI+mtLpvpjYEVlbNBKtn
acKc5jG/Kea+Z0cdq7XfWoQRstbaSWoiaIdXX8pZFiNV0VA123iJfWwTVoQv2K5IFPuSBj02Ns3S
Y442eqnwgtyqEZk+T6qVptV0W7PzPLHhA22FMrUeWsg2/Qh/Fv80LI4oc0lZWpFtUwbsd/cjpRz7
UMr4teK1BbKwYJAo0U1LCGS+QV1yTsZzK6iOAY80GMYP8k+9cYK1UZChsHL3abQGkgVgS0yK0Jqh
/Ckyz9WrgAftdaiWy1nptmQSWx/wYjzpINuVZG94C+35B+v88U3yWzibZMQrtvZ4vauNomBxr6xG
v9VUr0LsMVN1E0eWeGTA5YRN5oFhvW+iU2CV+isP6mnnwOk6gm6f48Pgl+rCpcELTnVSyY8E7OcG
kQ4WO0PG7K6j2SeptdA93rScCCCDMlOSdzHY5lkdw7PlHetW0CHSZMuXmQUiRYrDB19f59ymWVet
IlPwdB9UER6CKMqqzRBlu1HAmGJJbOc3UjAMbYNaxOap9aMAtaloBQiT2Ei4VXG9cdZccuc9/iX5
Znc8wNZz13N/JeyiQmI3RF+4KPnO9NQELSFKmkn9ZAdzPfoc6sYGwdmbP3JdEHyJ7OaQVhzzM8TO
eGX/CqumXbmlNDLd5DZgyhW8z7pYo2bijMyl074pAxZj6A723jGb6LmJofPB+qiWWk7Wzndz05Xt
qS4l8Z8WcRbc5VJ55IEsRBcbQ9hYmEqZazBr6xuv8vxoHXax/xkTKn7An/oU+T4ZVDtx6Ogu2Fjl
1ewuarLYY9/2TuRLx5Wn6uJY6bi6dYdabKoGp/CWZ3NGkXbcAzVe3P5W04PPi4u4/ZlgtOp2iOhd
c3C7AhaDGXWfVTcPN7rBBsPfTZBisXH985DWk3hXHZoguXbzW6VqvmcXCMsH4P5ZUVt2l1QhPYdR
MF7KAaaQ69uIcYTX8RfkNKEr52fbM/CkbMWx5BbACiJuSbIW+zbBDj4OjvUyz9EnHzfNa4x/p3fi
z2xg2YdDPgef4/F6J0zI2gSukxvVKbeRY7OhrG49HsM7bFzhGzMFCEkOP+dBpe/YJOxtzOeIQb+A
Ewzte0sJoX1MC1E9ANcTe3iqzZqDc1OWrbU348L97DNYj4Fo1NGq0sNceGxCnT5NNhW10ruERsuH
BngvFGdPfPiNKq6cQY7vfVMFGxWkeb7zu0mQiyCxHW45JMefM3E3WDupWa/bwPYWgDFDVy35u6+H
0ajf7dTxpi2EQps6E/xfwGzMbYqYuU8WSEcVTFz3hyq9HT1ruibdgWXdBip9HvXAVOiN3fw1JS2x
rZQJcm2r3HucbMc5TxLbhANWmztxRqNRlYqNZJL/ygzd7BtSTsvDBJZL2+PfLe3+0jocop2TlMm6
IkQY7PPSZ91rTvs68wgLd5EGCbQ49FLwVU+MuzUCBcyktf5159BUztWUmH97qNxHm+bo+3FK5h8A
RZ37opyALYoIYDNmObAbhYBCG9sclyg3e7vMjqMMq32Umc5NnypsHKn2QDzYZcGwY+RqZ/UlHGW3
s89Dxv20d1X9OkLOoharSFeCldA9zo0ONl6j7/DsIRzRZE5vcZG+1jh8XgM8TBsoU831aI2gOYtJ
Qn9a5LN2pHcSZjETjX0LeB+F2o3jUyUwkNMUe7C0e82OZ1yr2lVXky1NBil/3tDVQSW1BB+UNQOB
VlA124GH8c7xBeOdE+ZnDqqEDETnvRRGvcTymrpe0/bKgsYMH6cMcAVdG4N+xBPW7kb0aj4ffm/f
eMRTnFWYONNlzGiM5sTFhm9RMTJ1YX2CalXJK20mVbdFTTtOQdT+MBJPPNL5BKcWy1r7NA8+016Y
Wi+1TsTezVPBuzrTIIrXe92QGsCwmCXhqdYjY8gYgZCkkYY5Z07dD5xB7w5h17UuMbw53Zx/DZMb
7DkfynsCtCPjUGBcZ1btsQAaX7qEB2tPWdUmzOAk7HE2Desk0xjpMve6olqDGhKuA5C1SKlwOI92
fAViuzi6ovG+RGfdGgFjd0tukoEsmG4dRbuSJj63Zp9iYDOHB6kNdu2YNo+OntGmpnJ2nh2Z2z9g
Sq7JCvAkCfv4yq07eoi5b2yNicH2GqPh9DGz0n+iVlt8j01vcB/w7Vts9vvEsefuujKmdLxEA0lg
/lvRgY3ez9o2ZbslLaAPjN4TZcpJfpuSNjjUA1S5RuQQdUW60PYmgC1eB9qYHqSISQrPkGQcpsJq
nSYxWQCPS8udsIjlrGwshFH2+wr0v2uF/7BWgN1Gqs7/95uFeC6b9/zPq/5//LHfFwu+9ZuiCMmm
0OeXOfuP7J6/pPBYC9j8CN8jI88O+4+1vaTL0VoYnCznBXtEm43+37ze5m9UPDqU93keWD33f5fS
5wD5p8W9R27PQaS2gZUTW8U9/pfGRMsPDa5kwXDo2zrCBBn5hMNb8z5Lb6OwuZ67YNiOjnsFkydc
zQ1lPgFbP8DiFLTbZr6Fl0rTsHIfPLO7SKvqV00zvA2zpmw9uSBEI2kUvbHBy/ndMsTe2M6gYdXD
lLuFTASAVM3Zm9vG7yDBzN0klP2KtEYHHqVPDNXsc5msNuSZP2qfiaPnso8eRmCEJ55zDxgN6Afk
jw3I/zbsbgunb1cS4/ba8SXYuJSS74prL9LsNydrcBRznr3gNBLbrhvza4/ZXE/0SNVkimc1PrSt
dbEwU2XFRI8Ia5RYWtSvFPrbKUxAdJVAOh6r18AwMG6nY7EiGQ5iJ3eBzFAFomV6xRoh2I5d/54X
YKtLPY8rs7OtrWsjYUjVzSuhs9fKcMfbsk1y5Iea+h6Bz9BxBCuVFvgiubSh/Eh7E9VvSM8op1cu
DY0SfMEec2a9y0aUzkTF0Nwhu5Qxa+CaWhTyLu59pOBCVWluLE/B7oADRK0GUmnPXnTryBRsLrqy
DSvf9/xbVY53dTFtiLW9dJ4KD6lhNpcEavlJROzuc0a5Uu0yMT8LLz8MMluxCcGxNJgpLSOwZ1Y+
LNzt0BskYezxZ6Zoc9C11d402XtYRz+dQd2aAb0liuVGgkn6NgFnxXsNvlyW+a5CFDzDz092pUvU
3lTjuJkDcRMyk25jsyFjTrsEnSeruFHe0Uh4vy2qDCErw9gRMwLSEAWYxG0yQ61snU0O4ymMUHoz
BocN4hI+Lx0oMOu1fden4VvV+OO6IZ3GDgxrRv+jntKXdHLzfVfxg9E688S6n8mC3k/KuPc9FD08
luzQiA0FnlrTAoJhT5U4kmlrPGUALtej1rtg1Jh2TZltksHdMTYHhwjPLVcjt+ISbYwnl7TrNTIC
3lfpBufMAScjE+NJltZZt1O7hVzD/zJFBNdC+gsBFKxZjDwNCc+5qKOBC/LK11RhIJhD9SWa4Fy3
kgeT1z/MuDuxCmqct4by1kwP7Dx0fezMvtj2yriNaUI91zq9Vth61wTdPgtbens8InsTZ/uqFOIb
bezOmFPrqm6I0Ltjsa5LPpsJOMG1RRZgZcPFOGQtnpGmLDcVeJykAmZfOp+LdkCjx70ecswRPY1P
5LC63dRE5qWppb8yGpmf6JFgE4NlGwk9N/uj6Z71zDjtNdm2HX3QQoO7LV1xoyfERwzYQITsxn/1
AHVMZU/2Prqd86UKxegOKsPSifoR58ZHVEqJuuk35m1eTKBLZ974yLgUHrJ11ZfE+9Qpyr5tbKSq
69kDROLGECUMaN7JXa4wGtgcaG4hg/cxue386dib4tCkrnUJC7QCu3Lv0cih2ermI5+D6IwNedp1
ymayXEx4JzLIHJXeTJtgSGTWpj+Z2WWVK0uuq2p8nkx76w5MoCExEKPe5YOLog+8FHBEIZobPoRU
wfPKGfb8POvZu6+5wadRxNch3hqiv1e2JtIyCryMlYXTIX7IqxIbDqAGXVOeAg1xSwGWg2sQNIFw
mzVdZt7O6NR3BdCDv2v3bsEmvso9oof/h73zWI4cyZboF6ENAY1tIrWiSMrawMgiCyogA/rr30FP
z7PufnL2Y9bbYnUlE4gb192P5/kQmGo4dOXj3IFEwjOOI9M5lg0QqBKlN7BAyz9jaK3ToGW/sSuT
NP1Vqxz/MolI9TI0OE69qeP2PWFEep2w9ipQHMb0nsgyw8nPdX1nLlSnOff6jYFrB08MO2FJRHxL
7Y23MjvB6olHbT9pXLZ3Vk7b7L7EcQS7omzFVgE6aWBO//6jsRrlgZt7+H5HKrOKwCuLOA5UWcp7
vcGHFfD0UnWjR34kNnmrFVSzy3y5GZvSD9cM4DarF5HkftDhzjKDPkdIbYmi3Ke2Pe8Vy/GN7Wvl
5yQxcHVEXskE1U9mUZ7sOvb24Szm+0EvQNtkBTdJzdPti0leZWOJSXBq1JF89AZHO7Nqje4hoyVP
UW+4HyaVGGjTRHwDEdFhlkCm7Xa0AVnPA/DgXU/r6BX2A8Oj27/5Pe0d7D6gXsR6bW85rulI05uP
wh9osMrILp1dXN4EuclCbSxW8W+eS2qx0BNnPxo1YsIksuStLzDECG2qFmN5IvfdbGV37LO8g8oG
9uX15K1NNif1JuUueIioU3FWeB6sZ91NFHD3yme6h7WHi738srK0esoMxmk2SO7VSjEXL11phzLs
5g9uqQYfN6SoYJCMz9ar14t5M4vSwHxT/Bp7v9lQY4J1W8LW4bNziXPLSPviA5e3oRZhy1JNqE2q
wYexSn/jdIC3RiL0LNgMwjpanRGJdVciJNDZFn28LWlzWluUaWlrxwyLz3ou2mE3shGcA7Ooppyt
ziKtc5n4wIoFWFYq9cR8H270xuY7n+WUF8LwlXce2Syg3JQXVrMAbhzbr2YXca8d0/xHrVisupQ8
BI2JqW7NAd3daKch3pkQzu1wzt1FevgoPIgypSkJNLi5Od8j0goBiqeAymMWxHqbMtv8PhrF0yTW
pexZlqjPekzGnQdg9gAFp36pPDVvapLOMmMTPhgcAYGfRv+o1/33gP9/DPiGxUT+Jzvof0Fw3X0l
Kv6LZeiPP/KHZcj9zSKsaVkYctDK/hTk9MRvFuli3vqUSP1tuDd+Y2Ww+IJc9vN4irhf/NMy5GLX
NYTDnxGYTU3b/1csQ+5iPvqrK9ezQU+YSNMeWU5n4Yb82TFE53rNudbO20qWmMjL3JYFvjpNv8Ru
Q0+0q/xtV4lwwwY2zje8ITENOmwCQoTRU5amkGhHjBPrHlWVyZ9OlZVhQF+FUT64zY6KreYyiiR2
V35JapqaVg+cajI0xwJB/W1ObLnuAIkfElNy781SOo7yvt30JEL2GAOLuwS2SLuqo7b317gR2P7m
yMTYICaLBZdhNdziDU9ap2RMyGN0laU22GC1C2EgkLHc8on9kwbQvkPVNRSWDML/THy6tkm1eBc4
v8mRGCFHY57N5dmzTedV6R5mBbhGCnsr8XraRJKmBxbBU77u0yJ9SVv5Psx6ckma5ClsAHTYUd6T
vnOaD8eZ45NlgPchK+ksOEl50ZPUYEzX4Ga56HlIJfGhnzS8D71Ovr2RWyDP88bno9sI9lIBFXWw
UYEcPDaseQBGeRSbjvLEVj3BhZ99sbNaNpbIsqFnpwc6zyW7o376QUmuc47BjsGv0DXYf4mDNwZ2
lWkeM05mglK6iU1XdRV7tVLa3klrcdAiCmiYF6QULM2rceDakYPreBbRrN87AJAffTQgH1UqYYTS
06i+y8zl2PNyQ32UbjzUBwjh3YkSbANdkz69u9IDBriiLZUBPG9gipyGSkiGFZbVzCOu1eFAqiL/
XvWRwaTSupa3LVibHNWoyPpVEKHwXHp1AiMrhweAnwBww5ClV0BPBmBkLf2h9Z2xDRUEb/Q3YoC8
KeVjHfneM+9Le2O33njOVN7ftcKV/CqhPyEfjh77YmNoei6myyUhT0zjtbMH56WsBHJWNTTiwcdq
f+cYFv4yuwnLfWe7co9lm/7Zoeun11YnDw+bK31QiBwbk9oHzsdkmuA18k/qtxglSpbisgmDwnGS
xxjS1R5Yk753smjcLrUMMgizvtzXlVtepCFbPFo3g+53mI1UymnxSzlA2ijhrl+hl9cHQe3s++gi
IDE59ixeQc95iIHtKK4YosQ668YZ8BlkzrTW+MgAkwTMEDW9ZLaZ7yRsX57qCV/y0DREZyZsrFDN
GqNh+QVbbQ40NCVKJvXh203D95YaunNam8VlqP2RqPTAmMRtpWYlkFsw4GhUKjC14fM1RHiXKqVx
ncYSfeoSDVsD5YuJSygrcR+KRKoXQQKoDUYULQAeonnjKAXiKZqqJQPrlc7JrgBqHgbPUN2Bsl4H
Gas3vekHtsPEvCmoGGtlF+WX9DGlRYEAOlKdPb77frMSoNzEK72f43jgWmULkri9V2+oUcn0n6YT
hkBxS6hea3tCLMS4m/lk+lxCZgTGExOxsJ+eIbqJtd215KKM0cqPMXMPy9IsI9IEZAsxp+M1jfAM
OYVLeydfERGGXec3GhBCy3np2EWchdmqK/HI4lk2LH9wGzgIHJ4c9S/XTd2dQlK7YIFnBodvv+3b
FCM9bjvzrhTj9FlgTnuX8N0Dt2nt/chTxBsWtraXttXTkDD/sAOYsQMR3qvLr6hvy4cZhsl3qqlp
n7nd/NWwrWdPrPODEVlFtAG6YY27kfFNPSVYAjwgd8qL6NIuvfFxUjXmG1cRltqilM7WISLYvm4L
xBy6ytCj96ExZuE6p55LXgokP+OAl7nLcVYnQ7cSWTQ/pZ1l5GiVhIuIfDlWDKLFYimEcT9a4gZ+
dhltOtoaNzK3lYhhmc4dCwhU0nI3+eUc6D5rIdb3d1Ll8gxMJiLZPY4jEi+Ifi4LPK+Dqo6dk8LC
7gDl0/o25hf8JsMz7Y7RuS19h2IIy6h+dA3/nKDJeCToAhzJq7tdbZ4iTfPmbc3sBeVOVm66z6Ji
yIMwyaefukXB5qrPJv8zrrWFB52S/lxVLjyS1VRDL98BnQUypOcTsSgrsdn6E52Sj8p1lcFAnrrx
KXQwJ66drot8TrCySO7cUm+IQsZDeUgxGB2GyrCGi2TDsjdth6dAafkJ01yyH0JWLysaY+iyLXlN
siNvH92xa7dKNvpH3c6PFoaZBbMYdjedEpBiFWmLl6tNmwUsXfTEDzBdOB9UYelynVWj89p0ducH
llOlbHGQ3vAf1M5Mcy6IJJZOZdoGxFAgVQtff7ZFO9xaP0KJLPupvbEo9E81zzDGUMN6FKq2XkmZ
5yde2NZR2RrNKmkT0ZwyXWZfWtSGOKyBPDs7U0J8NFoeWIyOEp+iLHFcduYSsQQzTsAlodxWI2Pg
O9jpEFKgOjc0Q+0saZm/2IpO3bbSvHx6MClpfrZj8uf8dN07ZSJ3oh05SfM5HfFfbF3daSvUT3TG
TQO18U5zO7rjgW35r5X0871A8iYRYem1ubc1sbDMtZDInBMzr3HbbTJ7reCwEyTAf5bfKZKELTsX
Jd8xfeh3TYouAL2wo8+v6aeCGcKnxEt3JUsikNZ3nTEvdGiQRQGEHnVTs6V9YBC3UVw7xcaqiyJe
NHq+cIykgSyDPpbf8a+uj2FMWnXvVIjQXOk79a1kjPgMSieC4+eBbd2X09Ix1eC2pNNAqyl4ivWY
F7YzC01B6cqHiwtKew6oV3CwZtmi+sIfb2eBW/TlEXebWQXWUP9kvyz3Ff61nx0EbWBFI32dlOUS
2Qg4meZNVdYpk0OqR+92GDVnEh/9Kz0+c7GizCW99KJ89gZqPRCyEu7RgElArzcq3aR5n3bgUosv
3TKAYgzkReaiLA9NvTjL+s7p6K3B27SE9ttVCLGedwoKIHkKD3MH4d36Hu1i5pEPWw2ljFAqN+y6
Jo3dZU23inRfCNCuxkKayFk5gpJNo43GfvLEZit67kYn/u4kawlwmrCKNmVXEt1P5oKv3hjl9XoG
d1HzVu6gBnBrcwK89Q4xGS5RmOq68AW1vkCHi5Etwe2vqlqyoYOutJmneMdAus/0bAmipGmxRTCq
yB/NuO2zEYSEuaxOhhwZVFdYhtYJDlO6x+k+s+hoCTj3eZ8AXzeOkWeG+zaS1bnE9vnE8hD3bhvm
a2B/I1ljR8pANXr9GeFZS4I5js2f43J1ZvNOQGV+x6Pw3WMNhSCuR1BDjR6kwWLmXlmTZ2Pjw7q9
C/HX6DT3xBCh4MVO8PMa/U1YnEavi9MUNNho2vd4QrzDDIW12ZgNIet91FZS0HrS0VfY+UX2WUX2
iOOBF8R6sEp2H/h8tB7Lml/tG46LoOUMOIwJUdrST4aXsB1ZCA5AyxHemTJhaJ/Yc+D7rek5nvaa
yr2RZEBBWyrh/+HJy2SB1kxbL7CkLP90BUOCkWS09NJ1o303lkZ0mMAHP3v0mgfeQLqBCdqsMFdl
pQI1MPhnS8dmvEZg8e+ztGhuunCgL4UQy6vVQDvkDycBXr1SVVqINQPa9O55Y/UTvzRPB/6EmsSP
bjIYJkVcfvioBk+2oECvY013n49CPXuml1UbFA0MEmbkTJyztB/TR6v5O7bW1JU3xRBDc9O7L4v8
dbJf+Ngg0Cht41XrVksR3eBBkZrMol+nCvHU0I14L2XO4ltTbvRmgGFmcTCQxZed5BfYUnnS0m+m
iQ/fU91ROEMEKifHSzl5ywjWtxHzQD4bDcOBGYIxRBVc4SdX5yl0GgJX/YRza8Yc4u/iwsqJAg7p
R4oL/SI9PTXX01gXGz4z+rtoPaDfoRUxmNCkCEOcWuULwPL+xMPKOj0ZtKCvTHEUMA5WHvz3VWx3
w4a3KnXpLmRIOjn9kEYfJzUxmcxT9EzTgP8V+RWPdgNk+ROoeXpuKpuVn5tAx1n1qhGfZpeAMtSR
aRItQy2fuDfiE6w22MhPTTiBO6WgfAOMVVKaMxf3peukRtBruHNAwPJiqcr0MDSqCWxekh++1OGT
e539A7by/DnKOperik7bhQ2bflYG/e4Um0e3LhfZmxHm+o0sHPc/lzPk2ldVOOwMgjCAD1yDPAsP
FgFxIiVY+ZOmOdF5Ym/GfKD1Udf2g8dQUBQ3vJRwLCgQmB58V3ikYMj+gfH13dMUYYEJaCeULyo2
4/04M1xQliznRR9X8Re+SobFMvQ2tY3qgLNsjqABFfGJrWB377DZOkh+AU++3csb74v6HJn8M5iM
WPH2GWlCYnGM9/PUP+HUOlIyxI1KyHc35W07+lZ0q8v5Hxj2/5EO5f59o0Du2AQNhc9A9xEf/5a7
9Uw+WBNTzy5rRPpQDajbFsz99VwI95jMEv/+wvL8087lv4ngonb+dY0BLMs0TWrGQbGB2GNl8+c1
hkF31By62bgb4kiemTLae1IsSEA62ZxqbjoQTpNzUMNQf//vf/MSqfpLrJm/mbWJoCrEgmdu/U0d
rWx7cGUO4RSIssmo47JoHUtHOzWTmc0rVsnF178jfDDl2un/WMWxCDN4W/N9+58D8pePgpre5m9a
+x9/7A+t3frN5VbGwstC6/4zWg25fVm5kU+3LTR9zyVS/k+5naSevyj9QHLhCTGo/edGzjB/W/Zn
Nj+RAd03zX8Jio/s/5cvlGfhYiWPz1eKb5THvLR81f+U4bMxpVaanvn7UmbannohEygh/md0FcDj
2KVZNI1PmZcyGvfSDqJ4Hp9zjo4bxvfXiPB9UCW+9+XgWD8akK7eVW89CPILK2KDd3S24QHPw5Q8
VanzOlE4kuMmfLEML6e6UzuAqq+2rEgi3GTqUcNBRjKWn7GxWXwFcI9gDKaeR0Up27qVAo+0mrNi
Ny5OUM1N8CZVKPhP/kTRxRi24WoepurSpBZPPaTskQBSmO4S4Ox7rfAte+8r7KVoKPEbHfHfGWwy
dx21Zk3fYJL+SIz0M4tddIRYXsjyXFPQanhvwJuMCMODl7drZUKpAdfyC3kVTFQUndgYcY6UHbdm
Njr044b5I+cOK5AMOjpVzkxmgna9xB6DuaF6yQL1EQAboz6oZcz7nfy6GWiXq0gfrFhHUG/s1+46
dX0ugzqNYjEWJBQDZr/VgC38MRut5sA9IgzMeEI99ElVDblx5yn9R04VDJ9VWPS7yVjKPZd3L3U/
yQtYdvnQS1o/4DeFdE+TZ6fXzcU/TZ9zLAPem2i9meN784oLJ55mdp28XDPyw9wMin2IuwvZLdXo
CJS17jJhkyxrBif6iQ0CwG4bbavY6c4Ns0jCU7GliWoAX0JCEo/6ydaLk5Fm8Ymqb+Z2A5R8ZuBO
zPOIls4CVFffoXPnRGfS2lFnB5L7ribaCUW9tQNR8pkt+H2zKAwgv24LJKgsnhsiSxtGZ6nDSuJW
tFOZWGTgviSE6sy0h0G3Xy7Heoq7zLfoOw2sSqQZTmPcpaepZgiX6WAzUIzGZqS+lRpALV/7flS8
xLU/3zsh1Fml53jAm5TzVFj3nVUwVnjYXd8nYbEeqd15a5ccBS5ODfgnFDLf9VXnfUWscTZJkT40
sjQ4GoF2lFGeigsr+exKngR4Qdu0AE0x/c+E25k3T/GoEaCCZ7/DVm799MJe2wkkqvsQ8Dtu6Sj6
Ccw6R2DHbP5jYkJggqLIGva9/sCyXRKNEp8WBRV7fYRhqkq7hnmTN/eSr9MqsY2dzCEjCUJd+gBO
ye20/uRFtbd2xqbeDDHjDIFKJEGP6Xk6V639xnQxbvjkXiV5cYI7IBzKyGe+J63DSgUWhE8xJ0vB
fWNxv2L+3QHv+op0MWydWvtJjIbmcUyIuypuj1RirWNBi6IhTioPX8OIkgvA9GVP26/AFlj6V71n
nzx11E2Mc0fmkMVjVpvfpRX5l4wF/Fpgq9t6o+btS9F+2J5SR8qX+0A5Wfw1UTtLWs1TD3lpTCBp
bZp7K5CKeZ55u75XP3kV20Fhm1+9Jf0tw75D5jfy8GwkyclKtfc5zqMd1xlxZUy/sLGciC+AjCgK
bVqbLkBwqP5hUHfMbz2kU9BuHf79XlL0aBwzOio2LXk7nrttWan2MrPxXTMnTTvXqrj7jgY+lXC8
sApPDoCeizNdOw6bK4zASPbiIbOhB7HN2lColtBHtUSJBh0mV0gG50h+nMZgQyMWoEKJnL1I11nP
BT5b5GxrEbZznHwrMzcWsRvZO10E8HqgTSqQiyw+/q6QO+NkvLq/6+b9IqET6G5f6tZCkMA3lP5i
R4Gb+XfdnYxi/DyIBt6AAWeFekYScJjB2yCCAbfpwfWsRha5LFeaej12bHukdO1Vn5hh4PtnMNOY
mIYhO4jce+wH/60uMrWvsJZoSRyei674jGb/Vml3Yzw4e8PfVUYfBc3ksMxVutU+dHl4qMfoF+/Z
dQlRw+/1e6NNtDVAgwdd51gpsbTknKXbzDbG9aBXn+b8kMNJUB5/RojqLdcMdum6fqgcXg5DQ98L
f6J8riBRERsJoSJUWrhyNHUPmY9OMK8/9Ljk99KeJQul+IlyXgqlNB72LCMTMkgz2tf0oeKc4sH0
Jw1ERk5V8QRpdBM3oMdJfO/GArT2bBI8z93oOFGasatL+i4tNg5B6pvlOhRFefEIpL0lvbjTWnte
MwX3O3+oihsRvG1m4cIXpssGrfA5S9vevpez/ehOQ3yEBAnHIvQOVUS/LnfI61jyMdvuTdVzhw9j
SPeaQ/6kJbkNO44GLmdWewVxfWTN5EmsTyiNX+TtaZzOxM02rB8ma8SgZ+O7tZT3pM29+B5a940z
xbuROPv178Hz/zN4Gox+/6sGfN8V6cfnn4fOP/7IPyZO1/mNGxEzp4FjUzi/I3v/gPkyO6In+vC6
EDEdfWl7+mPiNNGA6THlIujZwnYMZtF/+jv935hPhc4f5PuF3c/4VyRgpOa/DJxLLQQDr2EaPsI1
/1l/GzijiELdpDCKXdf1at+IrGPIxvi3bKXuTamp01Dr01qS0zoVPZEurqDRoRm99EQ5EshHlI0X
r5jsL7/RMYJZrrZ1Eb1R6dLxpGUFz5VFeTwKSEiMDzE2GucP7Br3ZZqsTV52K2fMTzADyYv7HvXu
WEQQ6RLELE479pIvRml9hVYHYs3Oj5mq6h19ngIdQM/GbV11bjAZAO6T1BXP0k6g5dRZLI/IF8UF
R8p8x90z/0mRNql/z3E+p4QlC3/fcAeHRtsalsYQXDlW9GLovR00Ws9+lPYcovBh9oOmeBp6Zv7W
kPhqzgpNVl+9bpKRrMvo1cqxRmnF8rJwKKGoi/yBngJipBOnaSqmnCWEN951mudR12CTt1MKeWeB
W3b3sRzHvZY5xamMhu5x4lSgyacAWRQDK32emDVJNZO+Ss3oqmKLUyXsyx11CfeIZv0zpN/ou5ZJ
85Y4g/WQI2lj0MOymXi1GYwNfe/5Yv/CGWiAEJxesAzV9zEx55uJPRZLF5V+bR4mgPa84mVAzEfm
0skEqgjJNWJEpvHoYyA/cI1jj2V+nQhBKGhw+5vlp/mVMu7vkH76AEs877HOqd8c8i/INVP105np
MUgnb167/vgaG9U+i+1jR/XGJqmEeOg5pTaJl2b3gK78N8sZq7OglfpkEnmBfz5LjEQ6dcsZdi6I
erF9nQpTuwIyYNWFScL+WdldvSMaQmhnZOORxZA+ct0K4YPS3O6yVw9a4WHSKTTjUk/ud9ichPFm
pvzNOl1nNwSX8ihtpTCUFhyIRtpVmzmaoigg8lMsVs0cv6FTZlc/ntXO1+bp2ZiluAMa2XC6loQh
1Txd5YRvLNJ7nQQM9KeIdX5guj09poJfEBsww7/kA5nuVczQsdfjkMbToie0pDm/gIqCeWV63tRG
7W+dFskXr+J4aFlHXB3ffSa2W6+5vrTbJMGrp6bGffLZH2PdyElLYBRcOSoxE1y7HJAh5V+btGE5
XTPWbOdC04Jx6iA6TCAenK7UN9acsEUnKn7JnXLaGzW1gDLV80MOcpg44S7HFYUgO1eX0AuttZ16
gd06K3caq90c9fQH1qy+w2BCAwkGo/y0Y0ZXUCMnNsTEPTs9e0BzShBuFB3FLNkZralMFIsUCBnz
BPDVe88oNujZ5hf9g0jq4dEpqnfLyT+LOdrYszrTA/Yzpdj3foZnuq+0xtoiZoe8fJafmDeeGQxi
oLFsfhyU9eiJBG1GNu26Jnl9i3wa08wBTBmyXs2NMv8y7fLaJMzMrPTxzXaO9lgyH77G5YDXgLa1
XZM5OkodWlg5FeKE1aE9ktWyNhgY3e/Wy8KtUwKIRoLhYaJBeBOy5bxh8edTHYkjWpM/Uj/c1wBs
SrKos1yq2ycW/oh+42uUMwgwaMcbrthqS+ytPI7wdwI369Wupxj6QHXBSKOCgoimaCXfgdGe771o
trfsp+FHmYTapnAa11HDb3vK7DiwZ4KdQluwrn5N+CSESVVNnbUzOnBGK7Dyn1Uqlp66rJxgkpDZ
zPWWzGlWhq8slOegL7Pq3PpDf9TrsTgWcvD2wFSKz8EuWuJz1Hd6fqY/8pCTVMHUE4LCqh1iOsZg
PjtJ6RpBC3hjkxVjx62Zlq8rwSTP28SJZ27THjEJ42j0Nfr5sznU9abCxajRdYV7Te1RQd01B4aN
F1F76NRwnUhZUkARxH1SLFIbwGzKGNK3JkKcyqVH28REKURZpt46bKQPlYOUBcJFjK3Y73j+Wxby
CqjDri1s/V7BL890xNSYuy1Ba0zXvnvuUrsLGB0XG6p1SmfahLFs3Yq5H092ydlNaMZqb7HmJIvu
/ZWx594PZSTWAGwvcZE8pJQbQqiDkjMv4T7s+da2LYd5R/FNtTNt3uC4f2f2IaS2unzuqcNtH+Le
fU4JtIFY4AcEeOWntwr0MFjUMAfc2Ts41tEOw0CHNa9k2OxaXS2unnD6AdvEftQd2Z/46YH0eijn
0XuLUXWUyRO70quRRxuQZgPidsRVs9V0YEihRp5dxecGzO4Rx6F1oNehxoFiWq927pvvykyHdVJ7
2YFTYg/ItrpFNPDsphrvaSD6HmpxHhfVG6iT6FSz/rlz86k6lRo3f5wx2opv7nIMUkwis7zAlouk
5s7Kf1ROghdo7DaO3r11Rn8N0/zUDaB4RR5dyiY2OGZlQVYeYya1AUkJjCTlpUrDHLAEbsqDqc5Y
jpYLGlfbGGiqlZq7UqY74pFoI3VKMl6jiGkt5vbQAJMaR686G8iBuILSb6Em394SkuZTlMpobmY0
1OcKOMVoDr8SdwoJV+M1HkLbONlt4xW7fkhah6jm0H7MHEPfKXQLYpm6vBdgivrV5JB3W7sApJ7y
glQ5pDhTg/udUQ80yKR+mHqQsFOFDw6uYLy2Ae/aREYm/YVXT7quq3DcqbqgL8qYhp1uoEbNS563
G5o0mETs3DS6G+ELTHNOxyFpu7UZq6cK/WxUtYcX1aY6nqqRF0A8M9kcRpRIr75lNY5PVQ4KACEJ
eLQlOb1NXN0POP5eRrrLy4K+wqKIrwgYW3zB+GTN7k20zXMz57ANisx8ELZfbgu/mLYce/6lCHMC
ZrgJ3LfUVuA7GCsiO/uZxtbOLKP9rJJTm7h7YPMdNgAy1uvZykGQL7jfTUQAXCIOl6ldboVe7wl/
3kN+ecz0+CcHGj7x/ksB1iMUaF+J8NRbljp+AGWf7+40C85dprAwhgjlsItz5ulSKWvp2s0t8h5W
fQ3teCvRqmOINq5a+7HVXSPdYndW1YSDNBTIdWrr5hOvX+88/d5s0i4lJ4zwBbxupk4rvupllpy0
UWlrKmvMPYFG/YEpbrrBSpy3Vo+zWnhLn276RWCF82a0OkI2ehvUsrs4qaJBIAYBpGybFDV5k7VO
l+IxNJKFYCXGvUn3VVA22keKaryfainPSEYc0exnN3iSuKYrZ1yXc2yf1RCKe8bv+ojFydhTNkVq
MkxPuTbW77RKuS99yPvP6HGgrbJJA1iEy/KxQZG480MB1iwtPzxZ8P/rN9Vm4PSBP+Ic8IZNgarb
txrPIjAie50Y0MCnvN45bZbSzyy0VzvJvbciH7RNAqnpubCade4sLk97wqEm+ei+2fzi/mE39DDg
ewvoUCBB4OMCODp1JvdtjU+s6509QCyHDzWPzmGkVfeuxyEF1mhttkX3yuqpPtvkO97LpMTCZteL
xYH1FC8ehEMcf2orwrrhu8PaNZ7yMBgiX9tiqIJfbFv2ruq78LmY4voBooq3rmOwQmZTmVcniSoy
GnJ4LA1ZvDZRowIT4hfxCXt6JOCrswRp5RewS3dXJ07xy0ft241DZQVezQSNNcg6oyWwYGA5nX/Q
7xSf7X5O7ZXApHYq9Sm5RRFTHgJ8nbwoQCS8aiv8ol0YXYXU9V1k5vpVuHjouz6C0RordQhZqu51
t4h+FNYs4C64xnrQhvzLqjv/qnmVTRREEBZtWWE7ZqfewX1EjxmejBubFOM4eN4CohJJz0ePTszi
OtnwxKSBUsvhWsQPKrW2c2PHDGxKvXRkoNDbx+HqmthenKEurpZq1YmljLuBx/49FNgel1YlZ1vI
idFtNMNtNjveuxgbPFNFbj4Os6M2YyvqU6RSh/nTYafe2vYPrqz1ZmZv/F21YP5opMKDN9E94URJ
cqXELNnbFsCi1irqY0lhDaeG5W/HokbcNZL7TBvIIEVM5h6kF/x4AnXV8NOrMTd3uR4bCwtEASRq
SQjN8JRWFV0yrSvMsz002S/+ofUm9Cv3RN+d1axkS201kfVfdjj/bEHkrzwdJ1lFmSZ2Q+LX/C1Q
G3qqmYCJhKcQWmifZUyOwr8YtJuuaVNga5nZySvwh2k9zPK99HoqxqLUvVQLItae022BCSwoDTWc
lks+kPTiux6qne3l/qkkIURnCvTVipX2SxwbGn2AUPvWMc8cMAH8IkSii3XXNQLIYJkRUzeK54gB
npWy3r9Eug3WptZvKQ3zFHJt4azvRFZnxzDvH9LBWbvRwMtlYiTX9S0gtuk6hXO9RS1i5zSNd6ml
Pvl6Uk2CDHHtwCVgfmzUum5RNAafXVczCxM3ir4E+U2+qDLM2X6nBOJlzLZVv0a8Pzd060CArL1k
i1mcvHmlQem1qJQimoy/zEqah76SyRrfdL3vlT9vNDvN95wU6VH02B3qPvfuOjKdO4V9lBVvdOld
k5JUptHomIwdWAmJSXIdZ6CTCRWGCv3IN14Ng+Fp8SrWkoSOLGUUlBXZRQbffVyeM48UWBf1wxll
i2ZZTxv7m7LT4j0PDR4ek0K9n01YzNoqjF00Ij2uRz3Q+/Qhb4T2OFp23uaHxuohK5H4QtLiF38t
86y4pm0qfnACNqS0wRnMMSjhIs1qbzUnYsR9qvlvnTmHL4borE3dc29ZtcnE/TQvxulQNJnYOazg
dxCWHMzcAIan1ukO9lTaj+ZoWbuuN5qfTgNcHgtal7yXWNcw+FDtoaqKh7Hn5clH45/CWpQHojze
3jcgyfaOlQVJqSDOG431xl16QE9K8ltbD9Y1cw3i6iwtoTsRGjP5nT6wyuZ/BvjNS2QM35VMDVoB
5+QY66w06VxMjt0YYg80zZ69gb34JTGa3HHakpGyqAVh+shJmWtnLaVrM4MvtXUZLFa+qEmgAGqB
VsKSmjE95bGl88C9uXLUiA8YAIIgiVz0XN9gNMZ9j1YZVH2U7CGqZUe/MZsAoeKJttyPphou85Ro
q/Q/qDuTHbmRNFu/SuPumTAaSSO5uHfhs3uMikkKbYiIkMR5MJLG6envR1UWkJmVldXVQDfQi1oU
UqGQu9PJ385/znfG9Fueu9nZ1+1NObS45nCnkCmdPnccfiBzbEhQzzcmnL9StWld0ixJPv236J7/
m4rl/7ZK/8vY+u1bTLf8ak74/lMkPX/7v//n1xU8P/frLt37RUoc8KuICMEWmfLvQFwS7Y5DX3gI
LB0ziHAInvx9l44cKj0OUCG+eTRRF9Hz79Km9wuuMVaZCqmU1Lv0/x1pk6jM76TNdZeOqOn4/H0B
eXgeA7/fpec5k5TD8fkcxHFx27htTWiqG7pbvOzccCMx7RqbZoWZr+7OHvMFKAwoT2+y4j3hz2c1
dNahcGa9o6SsSzd9Z9c7L07FQdFBsmVlx4mLk/m0SevYu6e/Pbvq2UeCZnfJ97GibBT1I6hjxc0c
FwDWNNbVaCKDgHR1wleKz9DuWHHO3lPbUhphsFXfsQYIst04m+ipGUFJH0NvJqPW+YvGVFXxF5Nb
SMIGJ1IzH6sliRDeUgqbjqJcO6yHyK1fLU766U6vW1hvsatnzKLBayfjS1cQ97Fk8GB860gtO2Qh
RwEh4aCse5riU1GoY1qy8nJi9zSve19jnIdm6q+TpoVB6gccMrhF0m9ysQr8YUsFvguAVr5xLLNs
aeaGmpGUVxxdh6uora/9FLYkUEJWz118gPImt5mhxAOPKQHRdVOdDN54qQYav6w4s9bwo3dLtzwm
r9AuDioV4SvwU32V/Vx5T0E936ZpW94mPH2u08J4tFhrFkXldd3kakdC1zpqIvRv3Nn9m4zFHYel
4Jh5iocQLMhtCUc4t7LH2C1pBKFZadoY/IA8UJLtmLvDp6H1KIgHyrQbG1M8BhqxgIakzyZPLpPN
f4Ok05ykUyOIu+V7P0SfDNUCigGJspXoR+mg9MZQ6Igq40vMEr9+9VO7OA55yN5XUqq5ZNQa1WVK
rEoNyJvBEm7rEGERMwRpZDmwfYuoLCindD8u7WG08pO7wJnC4HQGbbXDMMAhF1EPBx0/n/f3Gb3t
eeq9j+Nzj/50tJIoWyBgEcKBqCY2GvJLhJ50V6dlfajXpCTzGvHiob8PEml2Yd8419kMWjR1iIBX
/TGJPHtnDbFgntSC8R7vbSPn5RbPCCvmm0Sbi2PlLgjMsRQYjasfPKKWXaiyA2edHYgeMg3ZU77S
XowJIcM3DdotE5C1sPSazSdLesOe+XR6NuninSWx+Bpv+H5eJyySLvGprOPksSrbB3zfoNexOsSk
LA8T8e9tP/L1CjE3RPbw9ecaEC5Ys51pWz4GPeoJCSf+0hVNSVT2Ad0b8ifkDLPLymR+FAU+BDR5
oC29lcV3k7qJxvlFB4geS6aq+5Ed4bYfoFsyMgfdyPuAaknVTlwg+mbwpnozAYMf22trEQ/kap7G
eGyv+NQyAZKrxjKZV48C8zD3kRDPud+AiaAVbN9DUWVrseHyb28RCq5zbyTAOsw3tZ7PUyee4VOA
YUMt2pVSPsRtdtbCAtTYiGdJ9GwLWR8YKJae7lAlFatr4m1HHVGj5dlvLiX1K6Zu2Sb+dZncNXlx
oYoPgddmgqDTs++1eh1awZ9PYaK5BtkrVNUhLgzP8zQloAghY2YHLCKWGKTQQ4+vOjap7oASyMZY
en42Hvw0mlYpA7IimWWnBfTpJpTFVhyyqYTWnIIXP+zAFlEeHJ7sMYyyNTIUN59pJSGUhzm96bdZ
5eT9qY7xjlzLQsREubqUOd4QuzZ7ypJm+oR1CoFf0EcN2zRJ5hitZdLxvlyYxDcT0WyxbdGPc25p
WX0kY+vccdqWN0E8eZSg+fahCJ1ujyHJfug4MUDNW3B7HjFGQS6zcFbQrZ2Bf0YMjd6xQ5M2CsIC
9jFY78RCvisM2FZ6kcjlDIP4shQFsaGFbj6eE3OWhexdMHBct04vH/Je875U+hNQoWVLPeaIHZy6
KqTnU4cse8j8/rkfrtXC0SmOxA0ex+bGpVsL446Ftk474oYIIxqgj9XajuaVCBpjlq8b5BwXPDFT
7NeGFqrDnI0fdkVBUcCcFISzJFSux9u6536ruvY99d9BaISXGfGdZ8csdwNi77VTa3cD+fnoJ/Un
cqcPWe2HO9BdEDlG2BSlr7Zx2QqSIi6NwWpSp6KOSsy/1EIHiOe5yWkD4xBmcUVCH2s+oJNb62cU
A4ZuHGy+4z0X2fNiN+kPzx2TM8WFAyezernKcrS+aaz7F7rF5l1m6/lHWNu4eE0M/A/j+08Pzk8/
zn/LXPdPi2d/2zv7//4XTX/ICO5f7rMf3rK3rk/eqt/Ofr/+1K8r7QAyEVZJ92cEee2T/RVZpMJf
3IA9h/LoH1B/c1f+faMtfrHtFWT0J3Of8wsRaQLPnuMIGEPev9VPy7T4u7nPx6Npr7bcAEMuhlGi
17+f++AYTxaZxu4gSlUWRyuauuhGFh53vC6s1RkaKB5Cxq9OHcMsw/ShFaWGO2g45W3Xhly3Jc6S
KznkzmHkQX6tdEhlCDp3y5eedgG+yuxEcIaYUprrsKTC0M8c2rC1P/ZH6MrsYYcBujX5H2vcmtSN
bkyLnYUYSKXOTI8N0A9Tls1RMea8UpY2jUiDE+RJOnnQ//K65CEsqii+noJBvTtamz2QQ4gFQxgA
drCXGw2jdQ+aMQcfl9f7Rpv8YZCN/hiksODGTkX5zONNvZd5X32RpI5aNuWGWQGoQZIcYreL2WT7
WMewUeoN1Y48TZrRx4flD+X0iBHHHJnbWnktCJy+QpAAjQFA+hV77UTpGlDDW/x6rdiVlZ0B7656
IJ25lPQgFL3lLDtFTriAgAPfejO0NhiFuHKaO47dmuOkTSNtU9tO/CZgZJC1qGcr34+5XqHqLrw8
5drea0BpTYWZPbFJtISc8rrOKRhAy8EseE5BYFwFw9zhMSRhRA0vdQ/AW1AVjelZOcm+73gBnFaZ
O6a2PGgS3O9Ob4ilZW5zz3bW/ZbY9vQcGk+QUEE9qaAB6erSALGmoaihxzwqxual7ComOKq+FQEp
g0WwmjXJC7EY7yUxMeYs3eTACJeQUh+9uPWDreJMQ5Lqppdh7Iv7qtHJp9wmX3OI5j48JWnfUasz
xV8ynGXEVaXHehdipqGhPiDC+dnQI9BelD3a1paUBQwsIjSzPFnukL153cBjIYSh4lzZJErIzeDC
4DOzBwBF4MPA3K79fxFuKaBa2JnAPiEZROBAfNbXIULFi1FkGbemGKfXTPXBNY1E8K3IyEdmPxAs
aLhgeWgghKmRFWObVs5xLNcqwWhk47LvdUkDkait4ehmVPShxst1fxc85xmnmzBH6uL035U0xg7l
ck/xl1M8TDFNvRCMnVOqlXNvgyq8mgaAUseiqxiwbUbJV8DlYK18K7JQg1r1AUDT3+FmDqwD29f+
kkazgn49OSkGkwpWYVWr1zDO8EfiFgR+WRva/3aIw9CcnEZymNASXJQz9bCk2sQcRC1Mvx0Xy0HD
G/v4Abo8DHWdZOEXAX/3cwYW910NgUsL+0BhhbD4y7NxBqtbB5/NAH11WzvoyXNvu2++RxHAXezG
tWJDOXLoC6fC3OkKGzTJbONe2sFtEUgKVPsDArX54tVJ955kMRuFAoW4OLbcB7KDzBfjnPJZzt4m
VoLfHBGDNpBlUTevdBPTd1mnPhCExAkxV04qbECQeIZRPc2dDl9bio4yL5Nr72QjW5ApAaER+iYD
vuaoXDOGRBHmkMq5YN9q10qBn2Ovw9yXFN/Y+NmHLIyd64pvOBsUEIcfrVL1re833nES4L6SEGYq
nhTH/WiBrd7R9qXcKyDOaQuiph6+Wgt9TFmFFdcWdXgdENF75ooCEFqCeImqdqkPPEzm19zMxa2O
AwF0SzBoYOGJ5dGz+wrgkj98ZC2xZcxvejuj/u+rZCLDYjLbIF739qCu40Itj9xsvPIJWEL0FmRW
cAtdvOIXoB5dGDbzLym1MrApepz3G1GU1mcOieY2H0KBAwN3B0g6uqOx1urC3/D9pppR1t8wo4dr
XVMq4d/a3B1f3MnKOBeL0rEO2KboVHSrlq8ZFTSi2/YVyeCb1p/7kx/V3lNAx6iNwAC1vETe3rmc
Nqp9l9WYrr30a9zb5ckpUuRt2Zi3YjLNoxkHujw7Al+wLK1Hl9tZSf5JE+xFpyBFDk9e7s28DG+E
Tx11SienuscPAnlhIPCD36X3zn6hly994eNosaHG7+3GqatTG/Vu+ijckv7fgfPkC7umRWxMEhQH
gAfOOZ8kdnWQu6iPchT2N7bY/h0hZOcrTLvyXs6rw5Y68ZcinoL0vkywEPGPR9HbON5Yfc2oQj0R
Fp+crRkb6gzIAW+p0qmDPT0jeCMwEI/+U2yZ4cfkpxK6QllqmPyuT4Vs17UJI3hstgT96n6bTpGH
Q6T2yz20d+J73jCT6PeW6N60Ay5Ojh/xsAt6n7uWa9nwO5RyeXDnEcBwJHFZhsXWDaPxMeegfyUt
KU+xGZKnulxLRGyIUw0QjUuU9+YVvtoYbeKythLC65A4N+v30MJ271dsfVrnjkPTgyn8aQdk73Md
k16PYubdJCP7VVNdf5VCPaZArHO/TUkmznESBphyiZr2Q0Nz+Zx+zdHcNpH2v9N7/d7HLjZyQFi7
PopLrAgYFrINMQ/3c58jt+/rhjsxPvguJNBdu6NzhtrIpp+FZ9acRzdis0v4una3jqXoluVgyikg
Jo+8HCbC8xMnxOBbXWvECmn39kvSBNayaUSfeqcxL4Lpluxn9S2CXEKslCJTiF4FwQqE/JqelwwD
USjWfHxm7eWgU64VjAdk14IdLVnsWQua4s91j9k/yTL/IfdQbbwhgiUPB/aD1Kr8EaRR/1oETreb
lrl7t7SDKX1RLi5fQcB943qRuvXx1WwgV1WgiCkmAt3XwmWko622rGc3SQt6tMchrbcB+eBqJ3U6
LLd6JZLsSy4Y6tobIqUcpHrHBiAXT+cmtZxbba/x5mJyUMMoa3WIVbJhOIeL031H2cFGpAqIkm7Q
UBxb0lay5Y6ACuFMIrhbfpacLlUb3oxLE16Ln0Wo8PKS97LpaEdtWwukLBnx90b2CExU3cxfhVw7
VWcQCADEAA1wtyAQ7h+R0ulh7QWZ3HNM2A8b+1rXmvMu39htIJ2NyR1/BWCrS16CDSGZyHKjVrJ7
YYiC28LxW350em6/mLpPLkXpBcmukgFgXx5K023chpjlCtyYFoHmtX+2c+zszvxspUV37XeNspJl
Z+d9q64R4EuQyXZAHJ+b3WEc2/Xpx3qm4LH6s85xLcn1Cr6m2wkrK1ByEONjuNQvDlFW+HVBWp8D
y8cSMGqTnQDM6k9098U0egCCmffmZ28v7qA5vWvtKL6Zsq7FzYmC9oY5RH+STakeoq71IQhJ1eN/
GRaMHPDhuE4Gjyxn7hRGoB5mu3ZtGR5+Fg5bDKafvJgqYhPx9myjnw3F3Ma9l3xkKuaWkcwNfsYq
B8uYuLQcx15Wf5dtKVNO5msjckxPF+3IP5uSo7U0mUEhepiHCYILbfSd2NTkLBa+NiEmmpxWebq0
dcZijRs0Bc3R2tWc/6xtphqrvzP1HF1VZqC0yi7a77Rh2w9jPiTdzl4LoAlrgXHUInyRaz20HMLw
u3EGdB4rGK8Cz7NeZxHB7Y3Whumxzswr91/GBVf30kXd6bIjkXIS9GhtwVlU8fy5TmfM/GbtscZ8
3PQ7Fyd6yU1AZPmRwz8uLYqPSCTFhCIKJmWB60fgugo2HZne9oTbhIbtn2Xb9ZA457STqjhowdqT
hRRPt42bJHo+Rlik0svSU+btGXfWZ+Ould9phqqwI1MV/hhwlHx0LWvptSalkvuOs9SLm82g9yBB
oIscBSgVCz5jm7gXmE8AbBwra7KDt4zj4NDUVofWW912/mnOZLF23CwFeKOkot0FqXnguLPDYl0H
XzCJ2MGDBwUSUyZXGh1VOcosZVSRefMq1Ko5RoMce9qm+6nw97F0awunv6vODt8nLswFosQ1VPoG
loTjDs4tLCIGVqf2SfEG3hN9Unq55NFMFVTITHBfGHupIMsuYSyvqRuxomOCp7PYU/9h9hJYr3K2
TjkMnFQK2FeYoKpEa32TLDXjUVOntGJJuynd2z5zquji2d2Q3AWjb+AMpVE0nlg09LT2edUnMEHa
AkjFTAKuW0gaB/TsOYduIjh1xlCWZl/wNrTlCTYRJs8mD+bua7lAzg9ptFCr+8+LvgLAryJWzjEQ
zRgcQhTzuY8Qhghad4yZUOTSrS3nFGdRPEvx1WHv0W/bvoXtSeJC7qLUm8NrHt96POWBbS4ua4F2
L72OFhch6fWEaIBzluLtx6Tqy/I8pyoThwT7RUCyyMTZTY1U5W9xPNT9vs+RK+mWGaxdH4/qCPo3
jOjHwhF9aOBUURBSRX50qbSZtdxQdyYwideIenvLUkX3OuWM242e5vKmoFvRh5YF8AoSAfHr5kKp
+RyeIloNSEB7pZ+88JBS3dmd+ooxR4zjNa4emGwonN1QPieKYp93op9D/Sk2/byrVLN27ugI0ono
1ACMNgxfM4a7tSEdD+iu4+XQpNKm83KyY3w5V4mFP2QfRJ4P6BAv3MGXraaDKmitK9APr2GGTQb9
vYnvk7zhmQg+8KvlTNgFYPjcZxSOZNQomF2b5tTMI/ETHF+cITvmk2rAR0RGX0nYHoCPgQX9wG5t
SbioGScjJAaAaH2RzB9z3DoOQWdUWGb7gRYIPZhHY2v0NBWjJUoPR/rgaMvdjG7xYOKOe1MVdvlV
PPGNZWqJ8BlHASj/LQLe8N75AUoneQTyRLVqCSDOHIWLU9q1iHTdMMcvXcyqiDD96ogp4IDczcop
5A3xgCHe8dMCk0U1CGun0VVp/FsTY1tW/iuHiPYDza0fxrKW3TNtGZyYYEdC1LZUdbaAr28LBQQX
zbxb2ysXMmhF7FErtJSec+dR9PyAU9AlUZqV5wxf3fLu2LwdalQtSfmpf+KdD09uGAt+viYcxjKl
Ozeimt7iTsQv85z2n2cAc9nRzmx5GRzbp6ErnMk2BKTl43wAzJvD3hBbv7ZFyZbQayhO0ZlV3IbG
YNVeHLweJNWSiQacPLwKsKbR2pXjG6RlMho17o8+3HVtpPSu91JQJnRviWE3miDijq1Dtf+fVTdX
NOQHZRnQ8ZKeou9fUZErAPF3/2f/czv8yXxv54fvnSn6v3eEr3/yP/sf/3MN6Y6ybZTGfx7//vy9
6/9j853a4+K30uWvP/frzlr8IhAmBStrf41/r13of0vjBFShy5CMDp3nyJDeb9I40v9FOsIHfu57
ofR95zc7a5s4Dvv0wBc+YR7f/bfiOP+IE4ASSXrI8SThH6X+EMbx1yRKwTqbvimT8wjO8AbDP9tR
gQ18tprPv3l77v/GKfiPypT3dVr1HQv8dQP+e3xB4KLKuuTM17TEH/EFzDERNqwQKAM3HeqE8uy7
67iMbzakDXz5466MCIQTrAsFEJF5AElFCsO8LG1UcFKQlBpQAT3s/sW/6x+4lKAyZSACGNNSYiBY
Fd7fpODDjr1PNpfBcZTF157FMKdnYj3+4p3wKF5Cpk9svw4aWlpMu2S+8Voj/kWDPJ/pP7w3ju1J
pl5lO3LN/P/235AHWrHVMsGxSSeUrryLLoQL6qe/fql/8olTUMRDHBANy7+1S+C3v8XnTc6SJQuw
z3onLx8/B64P/IuMEZtx2kH++rf9yWvCv8WrcX3CXlxIv/9tIP5sQbVseAxZsR/oz4buZHjC//Vv
4Uv5x3eOMwjui1AJrmH5B/1dRrTOkGb3jzBDeRk5azuyMg+IwB9//Yv+5M1j16hsNhFUIJCF+/3L
8SwaNX9evhGhpU1pZT/GdKH0AimEgM/tf+GXKcdBAUHFAfjw+182GbemD8v1j6AEBY57FpDJIClp
WlTBWlyd/vrXyfWz+MN3M5TAWR1cNIr71B8+q9QO3AVCHp5Uy8039HOF16MfiYcCT/iZZ+i64dTq
AO9dnpY6Wx3VZfSuCox8YzXphywPWlL55bBzcsUpkD0slhEnKHYsSZd7tCZKaYKkChnksyplbC2D
fsNug9g4yEkImP1i77AWAEAQmfrUQkb7m7Xqn8Ji7D/5nq8ITcKHgnvxP1yPqxVkxEnsH+MqkefM
s4IzC22es4P3bFFr0mQR/cNt/MN3kmbvylyyW3eDf/FW/9n1SjW3ZLnpC8/5YwSyzeDXeVERHovC
uOfJTW8rXEob+K9q+9cf6j/+JrA4PD8kbCh6Nf74mSZNAr0+C1mvEEfaTgaOBsm2r10i5P6vf5Ot
II/88QKibFTYPz1WSAY///tvbqK6tB3Llx3aZDjIfT7QTdhyx7+XQk0PyuJCkLp/ivOJlgjG3nzX
B4KTJwGscU0njpA5muI4E1I1wGI99WjSwXvzBh2cRgUAd+swnz9Sj+leE3aur/KkTMEUIc+iqWFM
PxRBiKmI4XMrSt+cBcuGE9xXdQjbaj5auqNsuNVy74Dut/mDAkOBR51vdBx7iYBV2mzNksy7w8ww
YWpOOkWGYGJv7QfpHaVK2duKiTi7Q8havQiXE/EOAiiD9s85ZqYvKRHQOxxUKcEEJGiLisjVBK8u
gZDRjY2jN8x7Z19ETbnGXWArcD7ZcAxpnlzZNqzMquYtiEVAVYRmOE5mDce1Hrs9JD0gdWHFHCz6
7NESjb4LRBnAIPebcZe3E8Ug0+ho6vmG6KalfQKxnMKfARjuhxo7TGCRcPCRZJ+p1wwZei3Ip1mP
UxMr5K1fJjsa6E4OEuipGmi/4g4QyweWIsSTnEQFV8KlPwOviNjEKJJkSNr8yMsBQjdgw4xow9t1
C6LtZajTSUA0obsrNCEfJknN0oBdjkjOGgCCx0KPw3dGJt6T0amuE/I95GWMfav7KOItc6Q569rt
CDpWwwsZ4kwjAzWdousFLYOxDQqMV4X9cwC67GyMQKbWAKVb5bnXelDlvtYi6jZpHKxchoVH/waD
M6pxRuqLwnJAYyfE+vZQ0Z14J7uBt2+wOu+NbceIlkGtH0YHG49K43mvSSMpQ8P89+okmnxoIPLk
bog1wYNgyPk9gRFdsOXmQdlT686tAt4+hi9j54HbcnCSbAYhsg/tZbwGP/K44sMh6x4LEorgTJKx
oTmrjS4lCeTCdv0fS+zMqJEmJdEiOENjLZIN1irKbeZrmZfUYqle1bu0GGe+QrHYJNFEzHFhwMGi
Kst35XhDiCTFeS10W31uQ45STpyb04AR8UYtVpxuMhAax7q21rJxat12QRXd5maKT56DNLOZKpt/
bzK2DiHSoCd5Rx9gAiXUSpdrWMbsImx9oUx6PflU5aNTjaCj0/kwwRZ7kiKc9mnaQBDl33YarTo+
hJodJCizks93QjRSE9dHQWMiHTaFAQJLzO1lcAL/Chvk99rGYJ+aNmU+1fprGIXKZkB19Nmy2xYq
AwS2XOJB3tiLNx4tsnM7TYUDR9Egv4HnH5I+o0snoVaA10qcz+nS8g1TfgbXxx5PgdNG33Jn8SIO
geOIjCgoTuMjfozwidPmaxX7cR6SozXxFGYUbT/IhPefZAjwlhLQ8th29DJoGduHQKDa4/M7gO+c
b6bFdq8wg2f7aV2ZteDrNkNzicmcXHU1NqFtiQL1vevigN1D9BzPg3ulWzu+s1jBXbVtH76l1NET
QfL6fRED0N20EV64lY17ksKrccr0HGNBdGwgzmFnz4mDq4bhuKQt+ipuhi+UMXeXoBb5lqceGp4x
hm3MUt30eNTMtnHHZQcl1mXf17K49q0i21KCXO+mksHb8ZbbztE0o2T+8ii1392gcqbvU8odVwDO
oOmDpKPW+XTfDfXIadiKvjQx/nqDYvWstLvsp3YGyDH7y00cZl8MLZXHuoP5g+KCQqjuo6J8EOzK
z1TJq/NoHKRtYMkxLvRjYVi71o4av1djBQ8THQOTemAs+wt91c6NW3Q3Y4SeEICX3U6jmLfSne1r
RCd4hiqgZ7Mt/HznFfV4qF2A8Z1N+jGzwQ0sbTugATdVemghEpPdWCSLQ+vHRIa5HH3viSFpORpy
PRuv5qusbJqJbeXtx7G2b3AqErtvr2HZzBvftpot6N+WrFj1Ztc1pem8cqdlqR3HWE7dHnWQtUWS
Lu6e8CoipBlZE9Cv8VAJ4kx+FM9XWeDeuDUgw3DdlrBkm1DHjf4ahcTdfXZgWzVDIfJ0cMjGCtKq
mkb1hU5f0PFFPB98aLEYsUSM3cqt0Ghg1lfNM3PZ9ElWqXOiOjk6QuBGXuFmc5uWmA9sHFqPCa/3
lf6hod3lU9HybqiSOFi3aCgidmHIyfo07og9MY582CtSxiHWlsW/L/Dq05DMzevzkLTdO7sumie0
H7bmHGfzFJB+pBen75Yfs0whBgOH36A+vrHoqs/8dcumD6gDzNyWfnYv1LtuBqZeuzvBzYfYkNC4
IrtoK6nAekXw1BcZoyjahkoREs56lxcxnKmUsI2tAr7GOCHbJZruiOK/DDIVO2Jbzw5mCpqCpL5X
lB4fOkrqc3C3duWz3h65cvMO9JXv6kepxCP9ImQFG4zBYU+FYN+RTpvmzj2V2pgzHtmEu7yp9FF5
XBQD+ZkjwTJ15JZikb1BxB/Z/F/PfSnvzRpQqURSEeShKUC73j6y5uwKvOIaqAzrHzyQcG5WSFyL
EsNzjCueHiQ4Yt9bcC4umRxo5Vm7BnHZijEzeoQj6TFDR6+BPaTdDzqGCHQT23t07FAfWjHfpy0Z
h3nxWNmHzgQn27aGF7JG8Q9vydt9wmdzp4NZnH1PRwfAaO3DgrZ1AMH0rQ21uYVfEB8KvI8XFWQp
2YvM5CfsEjAPs3reGhYG+74UnzCdBNvOSegqCwbyyJEHWAo7QnXJPK6EYJLiYDum30wyWw71lOZX
LCQBovWlScfthB0PO3FUf8hJFlcUx+f9oep5R/DzFseoCu2zCyp8Q0LsKnfNl7md6pupnm6nou6+
eWVjrnXjNLs1bwRtQ94ap+72YdR1b06nvGMp9HAuvfmY19YLVdc5bUSo7ntdRdUFWyGVlc0UQ/tX
5fPUTf1t6I/1UfAQPE1NfKnmsn12mwRZOQnkTodD+01X48KTm6GA8EmdYvmIadWU3JvXOtRbXDHx
J3uoaIMSjVrbCljXOYJ1K0LGcD8l7edmrqhiscx1At8Om9e4rxPu20sP37Uw0w5lOkAur5fjEPbD
tiB93C2NfyMXG+9qmqafGOzpR42zCIwULRibygnYKk7VS7ciqRu/2g/g5yuVnsxo9+fCzMC9kk6e
2DVg+bIHnsKEgU5sZJdjYVUYY/wDeDD/MCsEyk3TWMElrHHZSod8rVM8DZNV7nB84e0YPcTIuDky
yuf7gEajvUoyNhNDmB4dfv+mLb2PXnvRF78kbtYAZxEj/ZZLtpyg3T3PfccuaJgvvWVegkwO98lq
4B7a17DHC0cJ1Qc7vhfp5DegYR7jgSdUWtp3xeR/j/PvMGwHgpOpoaYufiLbRJWGbi6N51+nnn1j
SQBHeBC666K1rluuINi8ISheNPiPevKzQyzLLU+pbRU0w5Glevl5cb4hxRWHQGp7a1NFAcmNYiLj
zSziyy59MmDnuItVRJWDF6Bu/E+/Ydj9OtXedYJq60qvB2DmtviaWiJ6ZfKcyPCEz+BpDDJ8Rfrc
9G6x9brq1lE0egk51BvVDOPeoGlv+tUWKC2T7VwP/SLRko7tUR9GVTxkfKvORZa8IzucFb4eK9De
BtgtCfSB7HuWRCcIj8NdFcbeHT1s3fee5gxEM3qAI6u8hKmnDkMEIKAco3f2vRzMOe4/9as1fT3k
85W1PPWR4Jg9lB1W86j0Dm0oisucF1S/RSM1jMmk9N51aAVL6EradVOV7QI7bDdhVd1QjAKCopqY
VRoiXWvg9WjFHBG6Mc051VvMMLzgDPQftwIT0fnlQsCt+bw5t0KutmhsVPGd64yYhWX7FePWoeuZ
8yvF9FnmkgxwxD2/iRnonfAhWahFzKLP/VzdwpxxNxVwOFYIRLczv2jPSbIAAHOrZ9EDhm/Z9ckp
a75kbF3gxQGGTut333I/q4IY9dLyzJ6bjg+tzV8aelfu52IoXybE0M1MqvrUjrFNGkJie4zY8zSa
ZXI6GPIKOM+5pdQZNXqi3cw+y0ldjsy2fvu1sg0eNaV4pSKD9ZUNdx6O401SOvV+Ycn8w58T5y6t
WWe1LDGomxT1waK9kF4qcVNxZjlknH8uYxUxHKl668n2nlWZ2nhNoL8kjeUdKwI5RySWR1yM9SFq
KFIcYlp8y/6u05bZT9w79thR1E0dSqq+SGWmx9Ru9e0iBfU76ZQfhOJwHFTtZ7hwtHJAbzvg9xer
syHEgaqmJ2lVHF2qhlmyHQX1MX79MfGiLn7rFzs18ZFK2xBRSSxz5HkrbnEeYkap8+pS6hM1E9le
VbW8EcTPSV+Y7CbH1flCxkm9BJP3PZpsuSOKOlCN7IjPlKr07PYz67HBj/g+cm3f922gbrCoN9vM
caxj0yfDcSonIjRF2N16BsShi4yz8xMKgIROWWSPTPMVc1/nP5Oy31qYJp2DsNlXMpHRkVE4HYFs
kzTmTPUDzDpRvM6aUTFG8fog2F+RRLfnbdIyCvUckXHwUpw5zRmzUibMSenK2wEJVZem7edX0qY7
DkxqX/D1PYiOMsHIzZz9mHnj/2fvTHYjR9Js/SqN3jPByWjkonvhs7tckmsMhTaEFIrgPBpJI/n0
/VFVhY6MzKpE4wIXFxcN1KICmZEuuTvN/uGc72zaIhoviSlI9XCz+iRlPGxK5d3FDKLWA5nFuBCD
4IAq1tphHbCJONT9Hqdvcu2ObXtEGrhFrTLugFISvQa64wp/+kACTEtdSdgKvhSy3cnNAM+SWWQc
kwd4rOeh3fej7e2LvBNXvM6ikcjwaAs8P+QQ++jqg5CZS9VsnIRqngbsQSvbQTeUWmtv7CCoOPqF
sI3XUs75dTPG4Zc8mT9ox9v7QDdYMqPW6GFn9/jms3a4IlXgybbFF15WndCyHEGCulsVUw4r9ATr
NmTkZo8qgavUtPGNbRrMhspWOduClekhKAyUtUXCVtAHrITQtt6JuAqjHU2f+6WPWiLKZFV/WZQf
KKmWxER0EOgoEVCsJ4w0d8wqyqfa0MG6DWIy1rLYuU+GBEhg0zjbeKI1XEEGbS/wR9+bvAjumcfh
ETWcjnDEegHez5BO0XwzYOrlOVNl+5nlsvWCMTsOY8lItAm9bWNUxd6AM7+uFRxCgJDJCdUgGhyy
wQGoooXDazK/atgRhwjW00tcIZLK07RlwuG9y7ECgimCCScskSkKoPVt7oTolYYpORO9nmKvcNIj
X7+7wPVQyRFo3RwIVYnPyMHS7VxVCerxgf2xkTFRvULTh6DQRepxNxGF9zEglbFPRGhOAEak468d
b5YvkLGJk3G1HMW27ePkR8WXTCJbJU36HEcglOciQHGTm8TqbDE5dy5ijzZ/0R4wU2PSdHpzNz8S
SuTCQ8i5HafMBb4iHlKv58wMWhbPYRPvUt9a3LOozc2SnEGYauIpzMqrrBtufHb7p1y6AgcMdwfP
aj5fl20RbFOJ9n/lAnNBjVY2rJzJU3rmhdon/PPVC8gz59aqihsALtkuLWt5FnGA4cbSMcec35WI
vWvnxFLeBgonK8RwVRMeECkNT7qZ5ocsHJpHxKsuPuHA3GrDNQnBMqYV2Eam7Cqv8wNCmhGVoEx6
dNYh2SXdZHEmkgEA36NCy4JjnHDbSC7QCrmYW9zYWDCufbgDBMksfWpIsMkyLgMAqz3yEK9R+c4I
df3mZZhXl88ke5ScPzd94bP6LAWUSNC+QPJ4q/0z9zfGrsRu70OBy8DK7j0/KPbBEI/EeTK8IAsR
Kr/oL25kiQ2THCgC4YAcYABeFjRylYSkjSOQ20bsEXYG+IJVm9UNsvtoUydpzbbeXQeGoTbGmIl6
NQRNdi2QkiNDVc+yweeMSR71qSpq782jlToEg2+vW8SdW42Lj11Z19/TUoY8/wWqIfBF7Nhrfqou
ftF4hZAC9OPWsDKS2Wf9MSvbPZbjMK+qWT/3E/FrUFz2TGrJOfJD4El2qbbADPGW9Vjv80S68IHw
Uk5x1pwcP7n30Nxvq2E4ha45Ij7zsf9BfC0AMoX9tVSp/T5WiDU3RVqQVOuY6GaRASBGDtEtXSH+
7PdSomTk8DJBWKdDsO8nu/7C+KO+IzO5u4+0372AgU9h6ir6YkZ3O2to5S21nF57CIh3BU/fxhzs
7x351IdgtsZbgeWRNLUgD9+ZwVLhu5RcV6UToYN3OfMggCgp5a7PysV+EDV1us5w4Xc/SImxRkBx
4Yw5n+Deal8I8iCQ1NXBE3dpj5AaFZMPDwXWBw0HWXBHkA+Al9vCZKXqA4Wdka5edyJLnzJvCLdW
7DdnFXmaROdl4xImxuuEYxFwE0SwGIiv6rW6FwBI9kVtmbeMRST/aRUwvlBM9ISU5DMF1LLBukE3
kePs45iGz7Vi0zOuy7bciNodbsM833QqhS3kYAsuMYfWbf2jn9unshuDp3LUJdduNGFBjJDnb6Q1
v0At+DKTZrZykensIG9tyCONVz7w8XU1JckpqpgJsdA5RnliPCttJJuAmOBl7A6OIAYiANJoUxBu
AwOLrqtBdHfwzYBmdnCxyKoYth8VLLpZLLzevDM7bkWsfj7mEFjNAagvn0AyV2lcIL4RI8hmq2Lc
gGCbqp0JDxhfsAziB0c64oqirzraqVdtuySuH7xhwlQsO89SAOrA764ZeHhQJHq7uygHzDEHmOM9
mlHdkNob0UQS8FCTFRC67clwbJzNE5CBXeajbWsixpqmlt4Lv9e86wA0LosKgfZxHjpn6VhyXHZR
xeBmbpwPyH8UvWjowX0EpWWvmSzWTz5xI7j4hmWEnBHJ8cP1MptSyPeNfcoOgeuNeckXMWbypZvw
arKRWrLgLHnP4lMePdtxnkwRYWTwhBGnVNWuVgh+VPAVKXRFIWMU5dHkhjP5bptk+c0eQ7teFDxb
ILfLZmOgb/pOTJPzhMnTfA7NFCSxLJE3d4EqbrH22qwYmpTUwCZws4/GEOYxHKcRUKFIHhIcQ9Em
iwkw9FlUvE7EIdyKOs3fczkToJRG0W0/Vu5LbzgD3XEfFW+pIPQJqRt/LnXAGCI3aJjWY4HoL6gr
8RBUwq/XVeFab6qO7INuu08fdOxdMjNkGuE3KroYs8tsN4bTGaNVN1XQ/ahKu3pmiRR+gS2F151n
f2so3nncl2V29KgkD1OZzF/CqYpfysjm0UTf1n21W8N7YwrsvubovIkuwVYdOvAqXEUJj9xKAsRy
rVNtuC5XSpVuC3CHP+wZUyhirZ78ZRfmuPLBSk5N6TwbooiPyISn61ZrNGKWneHUVBX5SD4gaMbM
8NONrt7VVRu+zQxZeACqvPnqg1Y7EXjrUVTPOXhECkCk74XCljWIRy6v8vtQ9hVUgRbXgU0VtBKi
JcAtoQiyMuM1YdxTrdjDAz7jmAeuH+FNipZoRIY2JVFsRbN1qrq4sC4jWm/E7gWnKacoKe2ifkDn
3gYAo3LgaBP5PGsXQe613en86OrJP44hANPEreqPlCINJ42FD2KdkqGIHNZP8kcVaJO0sayorjkw
4GljW/UucHPaak+bPAI/txu6aFJFUxwbSb6k53nS/malrb5jYK0vphk2D2KQ1XfR9OTJIdU9zah5
fxAM4F+HXV2fI1fiv7atwfkh+q76ntmL+M8A7v+VjEH/JW1bBfneka238ZMGr/KkXRcmYokrgq9q
sImBUDwq0SCq9yuBgtoNlXlvtJ37HMmi+Cij9tkKmIqWioqEdBx05zKPYLQ6oskuc6+nN0ThMRmG
zE576incg5LROynQHWM9QVpCsaMN4E3u64ECw/Dq2TylceMWm7izMAO2Y5jcTGMnAEiwdeWMiEp/
56C9uopT7q9Nxrxip+eGrw7JbYRC2j6XjY3lCsOvTyDr0Lgja6uyt2/MXjKwk103rYUno7e+rcMM
EqR6IVq6TjeFBNg+FG11H/NB+TvXV+4TSCi02GbRyA9KI2JKgiXnLv2MvMs/4+/qzyg8NsZoSfk2
p2ofWtyZq65V5OfJoPRe+89UvZqS/yoKHf3kdcvNFhC/FyF6JJG8tIJTJKd3wN04hrArAvx2Kp4T
aiR+A5YJFqCqquHKZY49sseRX6Mczmsb6ZCRJYkCsTchFbGss+gYYXIXuPBCHdymMZi9aUQPiq6W
xCX+waOFLx8cweRa5baOnIJNhyVRmGIVYHSmrPRbCCfgKN2E7LU86oAmSNNMcGaFzbd2kjixR9fi
+md1M11lmYHoXXfey0zSwYolBs0bGvwiO7R55nykeWdeTa1b0uDOk7WfBnINnGzwCCropp2XswTi
K1keddSzKJMs0y6YsgB5tm7PbaJC9W1Oa8gHtW20X0gIXLSEVBNVXP9wBgg/Ah7WKUVtddGzQ5A3
v7Y6gWpqr6epNzbsaunxp2wHZ8pY4Z6x9vQ2VYz/QtU/Gn9A4BnkaXKJfXGbs/fd21ETPcZFARfW
VsZ4SAviFnfs7eNdqdw3Abvs3vBS95sByRH19QKvtaqPXjjpggzJzcOsSdeGEdW8BNzmZyOqrJu8
roz7CIjIXwgx/ih5CUwXFRQX94Kidhf5xE+KhTgzZV3Hjb/09CxP6ZgvOELi27yrQUeymzVvB8tI
n8wBo/3qXwsm3D+TSyBBYQuK1xnhzS/6ntk2PLBjo7+fvKi7Dby6PQwtDmGuRMaoGl5USE/GYtxM
hw89c6W0OHh39ZBZqO/Vt6xWYu37GHigM+A2KVkwlaOHg5gynn2zbV3KSDuMZQpPki0IOuzQem51
0m46X3cquVH2wKpCMBt0UGrleKeymXOFCpi7HiFs1Wf2vhizBc1gEQkRcpb1be9SoYjHsac5EHqy
LjDsvqUlbiBDDt0BzB8ir6qEBkszJvdEpjl/8dbZf5QRLtFHAW5woD8sg38RsRV8lXj7XKp1NJT0
DebFdccJLgkk29JCsqTRSU9OwN7dgidxlah+2gX5lipg0RjoRWIeBXJdxAPYv77wtiD3h6NZqXhd
jcbVaPb0u3lGAeykOEzSTP6FMGcRkv6itsJ+zkLLXXjr6HMW5dxPX72Eu6QegjbYm22d0uIEw5yv
/XmMr2aju7fGwdsMXM7rCYjnyTLN/jsbr/7YEud8IAJqI6wy4xHTJmMPdBt/8d38sx/OxdCOlj1A
mfrL+xsxw/MsHJN7XN+cofiYsCFhnvyLl7GWcK7fS87Q7LkoHnkEONqtX16nZmHsqrAO9qw/8beS
0keUmW77Dbk63rtNA88ZmdXr0iKqJuwH7x5woho3DMazKzQ7wW0++aSn9TwstSAJE6Ao0v0snI2t
m5iPJPyq53/91li/Sho5r01LCBPppOsz+/lFptlgcWQgwXdvUDaHwmyXYi1NhoNpmNUr5v7uc5Dd
VmZSfcVQZq3Z/5jreMjj00Rk4wYxw/Qh0mA8f/5cf5dBX/72rqGL/kUm/fMf/xP/IP/7lE5/+4eU
+vd/4z///6NLeM6i8vvnIu1L/9F/i7+37fSzRptjY/lrf9No+/ZvNgUeaaumsBFb/7dGWwrU1iix
OQNR5v7tn/ydL2F5BHuxdUYzKUCI2Qix/8EVs0yU3T4PN8eTLQVu6P8JV+wPDwmuNp8LFsGua/J/
l8Pwp5NCkBlg9nXfbA1ffA3pCZQP2DuKEFPlS1MLvGDccZqd69L59tM79ffv1M967eX5+93z+ctL
/3JI2RTfWWaqZkuHBrs9Vhmu0/lQZ+G7bvBz/etX+8OxDq8caJpPMC2Sedf+VKj+9Jum4QAOwIX9
O6SZe4qaEAd5Koll9O1sN6n6xYxS0MvtBBoSbcg2kAPwh9oUm8HrX5a2c+XO0TNBYZepk9ciHdFZ
5GLVmeEX6OwISBpssEmVXkGfVH8lgPyTHz8ILH/R5PNd4Qu1fJA//fh2WyjpUXRuRdZVB+k4DEKq
zqCrx7pH/Oks1ppcyc2cOeMl6NPkwQ3Rno2NCVBxyRfomxccqtE69U16THRxDjD1KnuPkKeyMkoY
ADOnGDX/rl3oFKcHIggmVHtqFuAgPha5qLHNR4OusUWR1x4qI99MQ8Rw7m4ijSIFpjyI+N5lQhJN
+h3SKIIJBD59sRnDgeyeJLvDqnpf59OD23xQe/YrRiivYzLOe8lqeNMRCQY7OwCeYdXZMfBRRNix
BwtDETclfH6ZkT7VbS1nb+d29Ohl5l0Jtw2LEa/sNEN+tqNxekuLDmlzkGLKiTvyLFN4oW5Tkprp
sVPcuFaf3JI5oFc02w3Y2owwSsmgR+CuObmGDs++T83vBqm6aBB0hxlYxqlDW/VKNIpcR2VS3fqs
W1ltLwBhNjSvJIkHWwFY/r0WQNHrvjNPg3Wl7VjfaHOOYlx4APIJR6p20AfnU4mQaWV689odSguZ
hKw/kiT9SKAtHAkPIbDMbjTVsXVnqLpFbxOzisi/Jn58alwGdoOHGo+PRkCbPliKv4DCmAscbOiG
GMfm2vLJGuurR9Qq5d9uhH8qdraXm+jnpxcZnctuEX0xhgb63F+q24DKuakZVm/7PEdGyKa/YkPR
dHHGHIn1vcfR9Zgk9nie4954XcBrxJL4DST9pKkIuHeeRnvAAxmWV0jH/O9j6U/keJj5XgnUW15A
Wxs7VfZFoYshAzo0f/zvpfbpX3qc6u//8e9vHwUxb4nq2uRb9/PtZHlYhaBV0q/884vtqeve2rcM
btLHP/m7f7/dLGhHto/c3V7ie7it/uFAkvI3Aa4UzbZFGOxCVfoHO8n6zUZbyEkcSNsCvERqpKr6
Lv6Pf7f936gKfW48tFdLifg/Yid58ldFvgWCCb0u+CRJOcUF/PtDMw5hHAnHQ0GVCthJMvf0DMIN
42wQSvGmptC+syYGT4BuzHWUzeWIVHXy7J0DSXqnhdRnmC4JuzLGHmHaN+u4fuqhK5UD4GQpCVeP
vYaevKuH9zjpu6OZJg5ZZV1EAkYALwTCry/mo4H/J1v7MjHvw9xyUCE1863tMCTOEfAd0rLnp/B6
EolYbjGjzzSBknX7HXwcSD6ZsQAPigS6I5fEjdn1yZlhr7WdbGKHDNk3u8J24i086mSrutS/Sh3W
SES8tGsmRcY+Tp3gIy2w669EMyGaUqG7r6befJBzktxmtce2hnJjUzjMbZmW6/lkWIm9MXEv7exZ
lvbaIZKPhHO7fcMuwg+qI6IKEIm7IPqHKdMgRAd7ZYnev9PgETfkalQXSDP1u1nkzQ3ZN2d39l5J
+bmeq2RBciBKm/LzMMirWUx3rPbTtXD7iywz4gXqdjO6WE8dBLrcW+0RpctIPAaeWfLpjKK+rv1R
dyyOQu+xE8wnUHmjPt5YbnJncw232YiyywemH5YCIJRPYPIuLqYAGjQ8Aea4vV29GY4xXU9sml65
LcQxnf36MrNYr9ZLD/2YAxk6McFWh9FjbjXGcY4BoHOizcQYEq5dYDGiLUYJIrqRhzzqh6fBoeBb
EaGc4ZqcBxTuhgVyyjeOlU1EoXK6cN0TGueTt2CrVV9q+UXnnn0FHwgZRxQD4PN4R7ahWyQfiafb
LSLWZWxcYdivRFzuzUqUr4OwPZJdGJnmlpm+t3X1tYNZ8xVDmdzLoszuC+CfF4Au3nOFMHOFEdg8
g1yV5zQHL9FYHhnNajyH1RidUd+Vu7ZxjENgagRNkWvfodlFvUPODCsBN+MbLTJIPFbY3/hlnF3n
o8sNmGf2uCaTyiKBoK2mFV5u+dxJO7bXDFUJW2yS6WFMwFcUWlkXm1GZu41EPbw5wtdcaSwHnRkW
wJDN3Su3lz6HeHgPUNGcR2WyM1n5utKAD9P2NfdCslSRkahmjWhMNDdE53C5h7owlnudsR1VpbHN
HA1VJdR+fTC6bAQsa/AypfD0ZfC84hnzfKuJUuWjQGEs462KbMzO5eBUV3NEuI6DmfokUzvcGgnc
DI4LLFIZtPwbLIPByp/d/KK7uTsPJK5dRmuAKEm5joUEPunJzTrVUXFY1Tfa0+jWZBMCu8tK7d3Q
NmqbjBI5D95c46oIqbHXpP5UFi9aprf27JTX4TBnF4VpfduFY7ntcivfIKoaD1Jq2ew7Q9d3fq3D
W1+6rNMLP2b+340suKnxd76YmNAFXp6c7TS0Eb5P3tmK1Xhltl28Nx27O0M709dxkRevos41Stmw
Gpy1PT3VEHeDtaid8NFqC/vdspnd4vqFMTs17YMo63GTULJgD0CgLROLZ2vSRXYTRrm+83trvEPU
pJFMVFCaoGYzD0afZ8nuAPi9PUjE/7BBQ/MQZGI4ddJoLpYXFBemnOK5MTz9jD+7+q6dOkKWOlb2
IZx944HoSPuWvlg8k51gEN9SawjFTHbx1MuU6NeAr3TpOD/KLPTJJoVwxkQQ3Gs9ts8JLHK+FBla
0ZyZ/xbOtocuOLD2aMZipDSxJp0tUkS+taDfDODCD64swl2MNcFYOb6ejoiNnHNUEOMzwRPf+0EH
hIi8TuShqXVM2z54KY1W7hpl9/cNwLELfwyPdacx72ir2BdRG++AZTY36Fb6GyJUy/dJdsMOCGDx
CsM0eA188rl6b2DYObKLHOcMEwKNy3bhhRPaiW7niEq62VpNUbhrkUPwZevRnxjVNxsM2O2R+IXi
UjdjtU6z5JtNuB1bQ3WqYb3vJbdaEVavtTNj9J56eR/BSyDFcTr6sYweSWMYvpfK1BsPbhf7bF0y
m+8RLm6Rh+PxMHNsX0yAtd4Zk0M70bVOfa6lgczNNVOmiCQC5z4ClJD0l4NIlyjURKxc56Wd2pPo
E+PaqoZDgfBmJZPoejTaltUlKvOJpQW79OYQ1EW77VqrXVtjjnUXu0KCABuzW37KnA4FNJ9JQbPY
l6CIYhrUDDLeMWZmyO9iReW2HUnLidv21QSqeGCnCp/fh33IKtEU+qEl4WzTu/a8pcAWOJ+K4d4x
YCRv0bgFh9GqwTmTc8gqaQxWOr2XjM1WedGri6m4z2qMBIcwsOt3VM7Faax5e0BOi8cChhbf2Nq9
jlXtbKYqrDe4jKYrS9v7zpnngzfQ65QYgV+sEXMIl1ZehG/xKBV1+yKgKMnJrliHuuR+iio8Yhmt
GOsbzr0CBH1y08p8cEEa47Uz0vE2liWjbiy5PRu1GC2sV47WDvUzqXuonn6MIQYxy67aZ56P5kwU
c39wkAJzzfTVBzkBw4F1nDxhoJzf2lhkpAmUFzyvBE7kE8jHoQgf+AAK3lMbNUqTtf6bb09sJVQT
31gRIl7+RWcTqZHMXXOuLng2zbNKkuJFD+awHeKoJp3AGIZ6p+1UHYDijCaHkxn8KAzHWYeGEew0
YHygtA6LS2xVOtnCyyPKwSuT+FjiN7gn9DRKtvHoDodyHHuTICDMAXsDJNo99UVSXucRKqmNUeQx
AcD8d+MjArmZLJmmSfVtMI7tSQdtfhd2TvK94MRBKel6GpJSg2DY8ZInTKOERlPuQmSyrEclB6jM
djl3/Fk6hyKMk52T2hJlTmKiHmEw3kAqOpgFyKZe6vpeaX2LXmtVAorlBdURsXW16UfSBnwT+1ZH
abFW0ODWrdLjh4aU+UPX9odiDfQq8+HNqyHarATEvVtoM96hn/vuMMskwann6LN02pxi1RyuFkfI
pgrRy0oVQ1PD2LVSZu+cnMZ/tGcNsZycma3dG0uaWIk9RElrRY5LhGNFlLtY9clViozwtrNCYx9W
2nhg+9nttbA8tqelR/TPFH4AMHF2PKMRStDZ4WPoi8dEVN514vjRxQQSQfzF0CGcKxDzxTmKahlh
XSm5OtepPacb4Xb4v+0hiE4TQ/ydkt0SuSmbdyCbIxv4OrwAg+q3pq7YSnJEIZ9IBdEeCZLKPHS2
UWNEmzB3QBVrn1y4OMHBsIVkBTcNJ2hF3IqW2zg00YJ1uF2orrRxLIIKyqHfDlurRYxejJ71gOA0
3rYMda57vCQHMbnZHke39dy1aAdrW8Eo9AZ9TPKwukidIxfqvdlGDG8ayYtIWlYQOqvvTceBa2Mn
SIoTbB6+nBnMSvpszk2f7iDxbKRvfnZKCCCGm9f1HC11+cMvM//aUyJ/GrKSBCwYLltizvE8Z644
QsRxd0BQzGM51BZquDDgqplKNqWMdTawn8azMrs7YSq2izWEbYnu1c/bL0ZYbcjJiG+GyWCTrGPM
eJV4csDWrTx/IbVWNC21J9W6ts0ROXvcbckQIZ4NhzAqcQWazusL1Ep8MTDdFB0RQ0CT0Ja4s9hM
iIv4DUaJwAd0wE+d5Z8MAm2Xju93w4Rf+7RlVPjTcItQvTnVZhIfRvBDK8MRGZD2QJ5AdCU7G8wV
GlhtPDWBPT76RHa+TP5Q39rxHF35qFS+Iq9It8TN+AyUhB3t436qH0cnQI4jDFw8MiPsDhTupRxa
O+ahTVC/unwC5pqQN4GX1k5eXA+JGkVNOaxDuyvRHEp365bZle8nxjcgu9HGwal3a6S5OhSt99w3
yiIuu8Z0A9mfRUEPUdoSoL+bgIx2fvZ1mQlx4+ZZtsuF04oNftn52MZSvlKpR3sksky6Uv1WDeLS
d/2DS4WymjK0n4yGp42Y4+lu6MtzmGTzORnYFInMRw8LRisg4W+IiTbKxxY8mBm14sPuGuQfhgsp
BiY7ReF2MKzqy2wXuY0Sz884YmNvOIdSTkdMwOjWydXx7qpKDbeKjYKxGzkOrhHB2d9FbyYfdTgP
m9o15FZ3sX1fIfLEoYltbQ49x9xW0+BduV1vHISNDFGRN9iw7Id8v2UkOH4f1PiiYuJ7yl4kO7ct
IOmNTb5D2WHiTxAOm+85gVEvcKigOO4AVSI2X0HbVFuXDJfbmQjFhQZvnwjY89A3tyRUOOOQ3POg
B8cxGPURjOBwnE0qbPIy1Q/itygFC61HlsVaGGtgkBiB/KZkqu1bRnW2lzp7+Cy588/yG3WSccUt
TFGe1jiieSPtHaZato2mjuNbZ6nk4blzNqFksE7WZ6UP0YSkhaX+h+fRnYOlJyATNoAbRJ/Q54MN
Yiky/FuVagvRTKAei6XBaD97DY/KjMNoaUGcz24Ecm3xXCwtSvHZrYRL46Jb/GCFp+21H08BGpi+
MbYR0qVV8Nny4Bam/bFkW9akk8kRXrpnncZWBNvJJYARJSZf3CBDBBgJS77VpWkjgQRBjBi+u6D8
TvcTqC2sj0u/NTfzQw1ynojk+t7ADXSoDd4wx6ir+6K3XCCtVMqE/41Y0ymFT3Ism6shXviSqDW9
VZ/29Tr2KcMg2iPvjyPT+mI3eMXQ/TuXwNfyueEzmFbm0jJmS/OYffaRWdpm13HWMSmgyXTLNF3r
z87T++xCg6UhrS0n2yOwNg790q72AInPDR1svbSyRGfwsS/tLT/k0ujS8iKL8J7zpQ32lobYX1pj
YUT+19Jtvo4qzd69pYHul1Z6Xprqcmmv/c9Oe16a7nhpv4OlEZ8+e3IMgQ5GZRr1YWnZu6V5H5c2
vvvs6NulucePY3ybl4Y/5ZAuwo5/CusTJ8fnZCBbhgT9Mi4Qy+DA7vpg869P1D+gcP52oFIbLtt/
VKa/7FaCFh0kS2t/X6zkw/zivDRvxktzr2/UHdjw8hbW0//dYer/i4QmJpoMDP/5jPTxrUjyf7t5
++h/HpEiGlj+2t/Ho+ZvDhx46cP9Qcj78/LP+822TDtghL7gmZyfBqSW85sL6IVVMGtgSe3+38s/
/zfWhax/2GDxqVJhev8nyz/EKQvYBhwQr2aj2fj9tcuwx++90Wu3gPfIRyhAvhvNa+E6lKf4Cxic
nFz4fId+0cz+9E79yZ3PRvSXO9+HHeIBoOI9YUrML/r7Fx8NZlYaEBr2YmM+cHREa6OL8W6MCi8M
4dFQpVP7DNQu3vdoUM4duLJvwPAilBYjOuy4Q1S7CuZ5vBkEW6txHgXO13lctYI0h6aFzpa0Krh2
EkVSYTsN1SH0MEgcEGhTE9fyDjCqyK5rkK7rxvMenRi+qYxs/oNyZuQ1A2W8dSsyDze9p66Bi2Jw
SjKSlFFz7TA815gwcgXgwp2NR8tsoEvWhTPftRNERbZuxiOF4eIcrYJb7TDNkCyIr7n7gJobxvSU
Jiz0GgmVwkrHGUiB1+/tyRRXAcyCvaDMPc6u6y7h51ARmC/FS2qObOwzzlpPoZRNevLaaRSdqwbS
Zr1HDhzuowTKKFHKXrYGGuq/EnidOrAMavuedXJUrxURbgg0Dd415UwHqE3q3OGxgZ/bxMUdyfDD
9yKcTE5JqIrAdoxyWptzyV8lrE2/6CjiVoLyWTyUjvrClSQIaqLlDOzuyi/dK0x79SHCV4zqyE/2
aWO8er0ZXJu9O3K39GOzynvVszTF+ptceakz0uYU43jTg+/mw8qyKyZqxT6PvWxv+5GPHLbxq3PJ
gXckaB7G9BDrx8ipUmb5mgVUCx9YKTIE5p6PWyGvestLz8QWVuPwDmQx7jMjuC2mhpl+lkS7DPn4
NWE/WKCkKFEb4byThvIPFirzbcCTQxBT1zPWTHRcr8l3ojtJdYj81SA4NW/xEAZ97R4jyeyPRPZg
NzBT2Hhdr754keV/YRJpXtf4H9oxEle+1TgrtXzPuwjZfoME6dqZ2uBx8Ja5etF3G62wFzvmqDai
CGpI6U08wmnx1aMkpD1YNLPZgx+pwNoMAn94tZ4CgxzerGqwf8AZ06+p3zvUGpiVGQv3JmLpTA0J
T4ulBVK7eS7AWmvbHXZFkszMcaXzXrphR0tDr72SoHD207KKQ9wlv8+R3T5IrQL2Rcpmzrfs8tJl
q5f0hfsIi4kBG4bpRt64cRYgjB2HqgWULEK9swwDF3sgloscM20EQrCJyPzLIv1eTyMW24FgxHPK
pMd69X017WfKqjXKJsgzweyl72psmbIWKSmWUY9GN7EFZq3mqEpYz36uf8wLD7VoR71jNuf8wDfI
DpVr/TBFIrlusj4+zm1HgnJYk4IQNc5A/HxcX5kiAXrYj1b3RGkVfEtDJzyiryWBQaBNK+nj43Wk
CnHIzAY+TGIpdT1bbbydnMXHCJAGL7W2CNedwbrMA7WIrpIftmdZW2JHy/vSGHyCTQPrrYhm7wJS
oN+HcchbOPrqCZd/tc8HZZ67MSpewAI1zxW2wycSc9xjrEgmqIEshoR/DWxWehrafa0UkjNI0iN5
VmFitd8oM8voKnbaCKpEmvvuk03grN4CsAlf4BTsw3SKf4Sh48mDi85jxq1BhPvB1sjQV12STtvK
q3Y+TqdpFcAc9TdEmSF3iswGMKwYJw/DlMHCfEQ1/cY3DVNbiUOVA0kG0A+MhNN4YrIYreP/Yu9M
muNGsi39V9p6jzSHA3AAi97EPJARnEVqAyMpCqNjnn/9+0KZ1ZXJzJLsbdp68WqRVgsFYwDgfv3e
c76DWyTZuOWAQ9KyOlppLraGq7akQTZbkwkj1U4vRSFCy31ARupXx3D8m66e+z0n4OBLY8k6WCVG
PxiX014M7IAQcByFsUGDTE1Yzji9D8cQefcTjK/W3QdwXwMcyul8a9K5BMtvRf06COPxNU/G8tQS
nS4PNMd9zkHTy4QMXXKU5YfJ+8y4zzur/KgC+PKghaL14AJ7WYuOruJi6ieyjhQtyWdu/vmSyNQT
jwmS2re2adAiUEAUC62oGnpaSGiU22bZoaDgWDmU5stY9tYF7JzSi4tEbjPaq9oXI8ekt3bT0v6C
BVA8c1iLl6Ka5TuTQwZs9uyTWYaKX2Rhcx5G5X9rrLk4iWr0E5LXW8ympsImtszmoNhOIWTdJf8s
PlaME4tlWLrWQzCNiuGczUO/KOy22mEm5QPodE5JgolmePCDmeCpQlyvjUXapGXJmomQbhERU5lt
i/QCEAhCp9NLlE7zuPEgUBtbTaVsLORl30FkUzyx9eCiICPK7dA19uVjGrfzMa0Tf8Mly5cDHrmN
zekEhgJmMzSRtG5E5bYwnPrL3Ciy6BrrQuc3QFM7Rn88DqXBGddMJ+emCQAtr+EKWeek79UJmGq9
RIGSX+mpBi9tztFR+9WwjdIuhj/gqSRfwuhB4+2XVnRnmEgCwbHPjbEg5FpcHnSgGHNby3UofO8b
SEbu2w5eBJPD1G++19MPQDrp3kz4RtxoAhTs0odL/ozvw14xlGhvjbTYWq0ab6LB9O/mdAifzNZJ
FoWkFYdjlQCTMpI4sXKN+htUyRW21OgMoIXHVirDfsyKqn/He5nyzMS1S5s2nDjBRUrM8FUssbBs
p7725ugKkts6q3s2ZFoNW1sUJRWEjKAlJMOpn0teHNlVepKFQah2nFknezQVWVSuEd+NbSsWINvF
kTH4etZaw3yAkQupmP7lTEaxrzaxCHFXWda73RvOalD1OZ3APWlC50ijL3k/Xnhx92taxAXsijlV
cqnRNW/s0houERO5dzNESG0WqjEtjfTflmjAVVkci9TzntnlBli73FTUQRRC33UfzSf0VmO2p68y
3ynsTnDiLRiZYMj5QCh+IB0sJG61Bdra+oNgCK/d2l7cvjMgr6eNRigfEcBTlju3l7TB6NnIReVl
Md5tPC4OS6tDCL0Pk4twwViV/OlwplpLdZeTPzFVx2Zqsdj0mQ1ayw0d9sOyi7svrdPIL0OFFdoN
vRnyPKUKpkyF+wj5jmcDU6mEep/L1L3lwDs8mYxqadX3cXoIPYuMr1ZSfa3rRhSPVagbBhvo6DBF
4b2+qZpyPqWi7nd17toPP1i+QsrkbIXKex6btMZRZHbQPFJPjSWWpRiFbIqvjIt3EeotL0kZ8aJy
0vrDT4nu3vQ0d+iiDMl071iOwzG8GYGrE1IonJ0Yi/qqM/yoWU9hUVxFiS6/t/RnWeITZMCX60I6
SYCLDWyPslnEYvLgm6u6GrLhnGubViAdDHwoGRzweW2HxhScQzHS5EzCS0JuOWEvgBzmx4QmUxA7
G2eK5H0PTso4dIFLfkvSS9kffFX13sY0U4qOIvMPXe9mHmWPGKmAVYCFgmYsbrvEb6jWpPdQzoP8
4kZCfeGhTvqDaZPZjeIfRRGLTsqSnrqPZDj1+ZGYXVpSIgb0CDadZC7MM35NyVqO5ZGETOPVw20w
rgIDJcMCbGKNMRIHKD4CTg79phWK+CCuiV8foinAfp71yVMNpSFGvtQqb++0Q7jPihoFQV0ZH8JM
AlDqJt4Zwa6yn8aBpbjwouTZGmwRcUow2i9cbeLvzDkB/6Otdu+wmO+CJpN070mv8p2gvcKWlTFX
Dy5wZb76euJDdMtR2eOp7J0Mm0gUBg1+42bqsOFVzkMrZAWU5efnsU/xsshjHOkL1DiWxUnV/Jtb
AelB22Wx3a6xyWSkX4RveZzfg/h+tnx9L52cjdWNoD438dcm6efbn7//pSHxVzkZy40QHtxeE6Ws
+NSwAHMnNU37S1MaQq8xl/kVP352/Pm7/DjRfn4bYnw5cQrehxjdvx46aXP1cphtkqBC4j66vivD
pYsExNvZ0cWfk/allog68uhbzvYEMgL8AIoHEl4Y2E3OfjLy7kqVur1LY9e/vvxkS2ULeWIgPz0T
FVYu4wujHrdA4rY3IPSLYPPjS/yPGPsXurVLn4Tr9Z/7Mfdxmsb6L72Y31/yRy/GI6vZo+HgKOH8
Li77FyybtoopMMt8lqqhR8Ny6NKe8ZDdXuTb/5aqubRiMAYDCeDy/hBv/wsW/kf743c9ffhR/EM7
5JNZgUOQbfGpCN6gQuEpcD61YgKLKnHIpdzZ9FIPcz2kS9RW13YgIXmMAxt9NeNJJMJmPZTh+BgP
Kfwok4qqEm20MlGpLbTsvfckaswVXkP3LseeuS+Msr3W7vir/s1fzU1//7yfdePGpNrYm4heBRK5
w7JG2QNAjcy8YCVKwbyvQuflY+Xc/umS/sMvZf1QOv/7Gf77W39aKkpla07utC3wj8f0aNrklKZg
61A0FLBfjWI1+5mBd44oVoyI57FHjaAqX69gVqN/Lp16N805RAhjoET2ARi4dXQG64vYuOTXU9Z4
IWSEWDa7aQl1oSC0NBe7Zo7vyj5Z11lMFpygImgroyRwLPP65zQ2pnlFc6G6KSJNWD3u2PveEiFk
DwI4KINj4EVSH0BBFNdO58fXNTFqL1GHhg3EX3FFnrJcT5phSV22oCzeQUOKPeLardFCi8t9eC7h
YIpHeyjGvdvnwzaz2EKDMYw3FOGkioGvJT5Pds9l7IhtlBvJBlkuISKoPNZM9+GMy+TRUcG5m4Zb
8pbqPVTuITOeEXL5xzZL9GFK/C8N2ret45fHerLFaooUp/Q5vKaGjNG1uWyvHCoWiDmwkkGy6j33
FSXBvKJ2YK7gJwerDzgq9NN5xHC9YeDdrjsRWEsjslqkKuO4IWkco1QWn4pgtgh2EjsmsMjtxkMw
TwH+T/KFoS1JA6M+EjxlBrRDAPZtUO+TdE5ltYln2W8LwIZrOZBKnY9QfzVqzjVfLCIWpGTHrZX4
OoQ4jVXIAAttWktLX8e3kGysA0/NAqjMkRxaxP2epAaMxoexN/pbwD8MeLGfL0rVkS05lFjH6fFB
GVhD/vEXNRkYC/AG0dnvQmvdw2G98qOLPD8x142ngj0CBrHFxh/sbbtEUiA5Y1YUxsskVg4hl2W8
6kdrfjDG6oAiYG0Ufb/sI72frdpaZeRDreOWu3l0IGNwACNf0POHBRPC6TiEEZVi3MZb0es3280f
WtqStQ/uo0LN4EfegxBs1qSvL2TGb+mQ97FQab9TFqOwtLLcZe5Ka5mhQkSQV65IMV50vQ+2nasJ
oSbYKucpz5t0WVtE60WIxFYgpZIV6YVARbMEJX6F+8D1km3FrNjMhTgaoc2jNpD+ORKZsyjK1j1O
hJjfI0c1VpPrbsfBvk8Lh4woD6iGniIoD11yUqD8aC65ctWiFF62CWn2kyG3xlAzJDUwXKnwrpMI
OmmMHVFW7ivt3cUMGhfVND60Y3x0ynjZtkzAqVl2OKNXg9tDp3qas+rsVmaDj6q7i6LSe5RVGm9M
11/nontF0hcskZde1ym9AZ0/NAZhMKO/oRH6Dixx3RJOsspcMgkriWWuseyTP6loawLxjZPqNh78
A0HL59ENDwmIwWutKkMuyLBxNyH8aQ5DQANR0ZkOv3su7sdm2jS4F+4MDpgw/3HZYdAb33ucC/Bh
agWFj9n1a0QcPa3XMt6Pc+NwqXx7Wg4dQp8AfNwGiytKq4g4k7GyyMEr43wvU464ZYfGo9apc+sF
HEQzZJXXiai6XWaE0cFiXSSgSzzS/oPowAH6OImhe6iZCW7m1kbrFhpiSzxps8vIyQLsmrviynRH
gT6hq++qQHc3oFTLXUzjFOElkp6M9D/kc1a0bLNaEDAbnMtpOtTSmtaOSh+mPGkpl1v2h9QGxzJf
RBgu2JUpBDd0QbEYsqxPsqLNKzyiewCgpAtZY0OhuQMxg6qTNusF8G8AEAAuHK9d0aOJLhoHyIdx
cIOZ9S4hVWr28FSiFV4R+osndXDnBTPw726Y74iIa7eQzOXSgFa5a/z4BdkXQ/44uHVjK1+aUcAE
vCEMltF6D7EHXZ8uk/wE7O7uF/sYQ5zy0zbm4fuyLceUlvDdyw77J82DV+RDkjezueMJBpmHyp5E
VKaCl2w+d4WOEC1CZab3LefWHSiXCn0lTxccRHEUSVAd/aHFFNIUzypO6lucNj5Ii5qVLzTz/ORA
stilpohXSZ+FO3gR+U6OI1nhUMBWTS4OdSWQppTh91y5+K8xtyx1rW/5HAyYCQ/7+fe9SO1/9nU/
+ZcSO8twGznmznCa4K6pSVOcaGyvCD+dlz9/q4ta5G9v5Qqs7vwHE/QnNYk5EE7E6NzcxZ3LaZeY
vcmxvyLhzFe1Uz7//M0+zbF+lCMe0fH/990+HSmMmLkZiC25c+IevIJjfbF01O2TIfxmxnXFYClt
b4gYjA5eK0FUGkThypTmPvrC9tpPul3ClVwRlLXNVDVukqZrOTjzwIcjzqk45hKmziBgLyTOSk5F
fiOSKF+UKUzEbDT5a2DamOMYV+Nlo0ZDJFbgiH9xdPqn68cZEYkAqmSK3k+GctOwI9NILxlZfnFb
xFrtdIJOI46cX7zRp5Po7z/on9/pUymctmMeAf2ydj3ggZ0d+B/m3PQES8kCPY16U5IG7ejAvvEv
lUIJUnX182t6uWSfbiAqfnDLtBlQPVzMl39+NKGrQyRgH9mpykFlQ3NiqS2ZUrop4ybuDQm8ExL4
L27bf/rif3nbTzW1bFGBiGKwCEN2WAbQ87ipyc5cB6Cea2HAix1PgdHUN9mlynEHBhs//+L/+BG4
yL7CwcG42v+0KGXwoZpSx+bOium2NmyJsdNck4IOFacljSAr1dnxBPWmpb6y6le/n23/o63sHx5d
/8/v/2mV6Aa/IfA6BB2bdV+tJh5PbR5YB10pHmIj/IWJ7XJS+HydlSeIqxEmM3Dn07eNGDLULfKP
nWM1yZU5pAMNR5BjP/9R/+HJ4ff897t8+k6NJawemAYKxHY0F4z4yLDM7XWrVfmLy/dP73T5KgLN
AKfVvy18pd/lM5zn3RwM5Jl75pdMwUaEG/3zb/SPt8mf3+jTmsf5o2txgNo8naX7EQ/tGVWsvfXJ
/1rEU2fdp2EL25SWY3SuLoWyLNvy+hcf4vK7/fXq0SdC3uJ5Qvr0rj6tE0E0DhX8NWtHWn0J2aPu
H0ppm3um5tautMbHovQByfQhgLp+onwj9mLpVmA4XW28Gm6criF/sDtQXYACCPUXNO/ZDa6np6Sm
sffzj2v9/WazhUk+DHTTyyd2Pt0GhkmWg55rPlrYHVGLQzuKAH4WMwhcZczXo6/GddkJ1BYMfcMB
OAeHUGMDQJXy3cmzda/ZOuqebqPOg3VSmATEcqZpDHPCR1t9L0t6lKJiqGNZ9tF0+wouh8vxbPIu
4Mm4XZfMuVZtyRSyzz7Al5sYNyq9FKq3r5qm+b3E+Z9G1S8aVRgsPTQ1Fuv3f25WPXxkr2S75ZRR
Hz9cm/tvRJr9+5V/9KzM33D5KwvwJn+PBgo3ObkN7f/539grpYUbHGURzHb8wiwG/4IH+L8x2nJB
gNiYyEgfYZVtfjdYmsTCkfkEF8PDfykcloj/RteKv/iXZ9DlUzmWqWiRmewVli0/3dRx6sWNRanD
rKy9U4R4XhY5jhUMDze+oYePxJtyCFK+v+sKPS0p4ZtNHylrx0jD2mD0RgDd0xJL8LANzm2jhnZj
zkG+b4kSQhBDBDA6T3WN2NzdY84uNi2xlN9qGRSbORsT5O9j2b41cSAaTjkX/FE9xuoZcUT01JZ5
c10VNYqETrZxgDtFeEd3nL19PAzEJiDL8LNdwumIAJcBunZnGz3ZL8N7EM81vXjvyOyzf1YS5qVT
lHLGs6XimUcKXmQNYmdT0atOKZxtDIpNkTzmGkPWkiyrAbBYNgKwNmzPAMdF5O4ZoSNujsQ2y3wV
GT4q9MCL8+2I6OsRMlr/4gtvnkjdidt96SfBAycWDj1SpCQQxJWKTlNaDzQCjBFzShtZ8RmWTv9U
52TqrdM6FtBlEDr0w3QyJ7PfoVsY3guh9VeD0Nxq0WRNc6Y2xiiBs6dfTpnpgM8brKsW5vFDlLri
2Shy5F7AG/r9VPXElgQXR40Vht+8KeMHD9V4+eCZRUYrn72jFnUKDxwAdsorkcUsSVzm/E11pbMn
DIpZHmM9yYeEeLIQFsqHVCTmWWqfKXHqTtMqKJIwQxpgAQlwFN4nBoVEE5uYmSK8XH0zHEgrE7gZ
pJGwNkZ33RgbOHPC3lyM1cxM2HCSYBl38/DKMp8chskdoIPedkmAAJ7ptdI9rsPL0SqqfRovDTM2
QaaJP9dq5xo6firRwK+INK6OyFOzO8Nw9VJ7I90DAnm3hSaYwGgH6xz5qVhnXhLuEMyLI1c02Euj
wYI7p+JrNc/zIbLD4KbAA3E9JdyodTG4b22ajxthjc0+LWS007n3UJFLhiWlgDjYRTdpOg4MZevy
kWD7YBN2nv0amxfAkCC+IrTqYqMYx8GGa74IUb7o6OKKcpnicZmeGr+n15N3LaWF6wM51GRe1WNy
U0qiPyPnoMpN6M6cbPNsWHTjxcvTYQZycrh0S4aQ2H4xh8QPPAfudWMSYo09T10OzWNyyEhpfW5c
4T0Q7V2kq8ICtbHlH8U0BMcLqiyuoTrISlS7lHvqJPj5kOS1MEnpyceYMaySAJtC2U85HbuToz1r
Z9YVqg4Ql8EicIf4u+izElibZlw6jUHzJjIcczyUnv/g5iaNszZmoQiVwLrJfTLdRED6bpmAK2Bq
AbsZaMPwphyrkFYOIqu70fOAog3Thdrqq/7lAqM9xbE9HCaRO6c0tFAODFY/85eyapX1nXnny8rd
efAv/UVQOv2D54/ysdPusKOxNb35WawfphZH1U6CGnvj/o6/o6m3rAUwJnpv+SSjVzPIwPFXowdC
JUDuf06gT6wnQXjOwkq0VW1Suppb4KywDaFRRtsSXOuZHHfrodcS5nTtyPtUN9ZVbVT4T/hR1A0G
c1OvpMJuho8ztLed6MLzPCTmLfHwwL2GuL1qo1K/J9zCXNXAkk9IytqrLAV9HUD13HkYnY4mYqFT
nuuZvN56yhEJW4E4qqCkn18N4dExe+phL00Z8DsO5UVt4IcykKY3a1dlxprn1z25aatvvToUdzb5
GuWiNJUVHRjbuo9hpoW17KAnvg9zgedei0sDDj36snaqJUb3Q1JNDs88Zwh61vToSS4p0m2sB+yx
aQzjglSLaDf4+UkkNRZM03CMFWVdsoj81tyNnqlvVUIzk+iuYt0IsPM1/1mYw5zfN+BJAVASq2DG
/rlPMBqSDOe9p5YfXw9hkG7wxM1oRNv+GCotd27riLd0hkvc984IUDsAvq8d94gMhWsoQ3UVQC1G
upigdnEpGPNpSmaUoN2whrv4ZjZZsc5Mo95Zdq6+YJHYKK/7Aui53PLoR3szVeuokjjUkrT/RizL
R9KU7lo1Bvx3nLTLvkDiiafpEBt2tXU6B4KxGZ+hWLkrJ1DGrQkihMlFmO9DIzhcDB8IK9QocAcb
0/NE2lAEkTCsb2VgWzjyiCtY17ZcMQCHte2OG01vdwOe7zkTk9xnZcuso47fLpqr7IBuA5AbR4h0
RSohAjT0YuOmDez+zuzt5Jq2eIkSqGxPtZT4qpyv3VjukLnApWowoKBv6WjojibjfXll2u3sgQL0
QLAqCOnk8mDHAqreJUdp5R6Ou3KeCAEjqnAbR4L/2xW23lZWcqjTABJA4EzVtJojZsU4n4HVwtah
C9/X2aueMjLeEcu+WBja/CWKtPg6mdoej5pZiWVuGdVdRStyO1eDh4LB9qgT+rE76ihM9UYi/Fk1
04xXE8Lrh24JAVmzxTvwyqmoKWaMMFuWAxGB4G8b9oFYNsW4mGSTN0tkyeo9L5ru7Kp2OIM6ha6Y
Z97KhYiwIJJuWpLjfV0U3pmvRSJR6EzJg9WICq+j3w7F0gyG8SkIom9QK4eX2VEryp5rJ4JPkDZV
8sqCWN1hIQND3Dra+iGJ5ksVFdGVobxFize/kK1LgIKbjYfEIlwJYy5ZoeAepyWRe8O166XOW4Mn
52vIG9MSbHHakRe80NpwN3h268eCEdIuVNk6Q5x0IAy7u4EfEz6lji4vEG3nO+wqcOy9XW4k2PWc
zmSu412GUnhHYoIDyJtBHIwF4rCxLNr5DXvAsO2ytD+RETsfJAXZUzy76WEE13io0PGurKoS+1I7
LRuS61yhnCywtsjY20c1v5WD/u0du4jYeWHbrEgJCzaNrgCJa9PZYq7ZYl59nBTkHJKnV64zVMvS
qleycVauGAIygQhaJ1YFw91Qf1g2QVVIHhnAjWotmcZjys9XuiVCg8D7lZLTrYHD8YD8wt6n5eTs
YvzRrw7r2bKxKSmcRpPnDQZvU7ZxwQ4j20VSe94tGXfmVRhA6NEIjK9zRHWcfTHbl3iWV31QL1Gh
y1PYd0cpp++m2YCN79mmoKpTV3/rMhxOUB7oc1Nqnfy0sDcgFatjCypoa8woS5qBXcWvzf6hDer2
cbIvzf547DeDOZ5ESO62y9l1RbJnguQWoGozMIoilEUh/Cr9jcVSFi0ta3zhRf0Vh8H5rQYDuA4S
kWzsKMyvBLDtiz3HQ++lOqh/ZRm7jMFSJll4Hnfkt0U01133tuzZywOU+Eey5NOzdNzsNAVzcMvJ
3LvSwG6vGF2n5EqWqUPAiUZWh06svuIcom/BFjsfs0BDabdBfrZGaRKpIdWhqzPnw48C/1rBcl4g
tY7vrbqq8PMrG0lMlccvhqnba5bNbF8huFvhnHnHQuPv3DzJVqGddKfWNr0X227bdY6nFZUkGz11
kZVACZkqkhnr2IpJfAib5jLKmlg9gHWFMx6ijKPTzq9dtTccd7oLkqSZibzsDkXsBqscg/EBJsr0
NABnOI86ei5IcL8RQZm+DMKrdsDXY/JUrC2gkhSZVVJt3FiZa1TJqCMjszjVbsJOVwYh/QYLpzjm
0VXn07VHlOl8ERxl+Jk9fa46Fjzqx+I5Qt/8FZZ2esDNzg1cN/aVZzLUX8xh15E0R875bShRKutO
dWu82+N7MNGRVDH7XuBJ3nlC19S47OOj64bHwq3g2/bhF49kgCXQzouloX/B17ufw3SLH6Dcmzp7
Rb7d37Cj4tC2KHlXwukaAg+NlRBTSZM6wABXDu9xzMgoxah/SOph4rbu+z2DDhOtQpetAf0C6tJp
sBsib+kLKDdllSV7N/uGJdz/FnqltU8uoRqUsGQiDFn9PhnRdMx6hZTZBq68kQOUnkAPYo15otgw
Kufnswf7bDgeQvEorRlCAWSPVFG+CW6YE+lRPSmBLU08CQOeow/lROXjp3cnNBC+iJZMyqf7IIgb
6oUke01Nf+ar4EHR+Ry9cxiT+94h+yMJDAIV/bZ6NIx5uEv72SX6ObfMF8ijxleNRGsD9bfcIZH2
ac76Wekv51Fz6Gk986b2dLsM+mbVeGmhl73vpxuPgZi79Ac05pzk+nhZNlwvx/XT54mhMnfWQHgh
CmEE1h22hAj+P1tKQeKmukTz9LH33afg71v/aiScdBmU7XLsc6KtmONRnopDqsjU0a7+qIZxN4T+
g4dckiymPr6J2RLRIOTTrvHccDPZdbXHidju8Zm0L5Uo+te5NzG6uYECAy79qwJ4wbtBzZQtpi5H
KVk7UClVaCPJ7d1ra87KK3h6+sX1go7ayHH2haCk7SwD1K8/jQbGHlpMZBY4JFwQXocOOM9Z4qsY
9ie0IqhzA2wYSn1C84I68UClTMpGjegQkZEF7lfa7QqzPXGbTyUl0hpYoX8CTZQ9VxhAtxMI9Z2S
1viq8kizdxCCcUMYGeoTO59vwQH0h9SZR/BpDVJVZ0hBtSMtXAf4pvcznYo7X/v1azgF8VbVQ/lc
sr+xxDfW3p1svSatFSFuK0W3qNpSrbvWFCsZVMVt67QKiUnR1x+Q3XqgeAqNTtPbzbXCHL8euolc
KbI2vRf8QRfuhvwepzlsuSi64NuJGbrBIynw7VvxEwsHw3vRdNGKyKXuenRneagDKWFsTPq5w/P7
ns5udoOkh8TUNitOQd07p6yuQd7PF5oFjD7ELLaWzU3qtuWZ4jopLybwaUdMMktNxSZ6Fxa4ohbM
bLJ9qQikh8Ba3yOIwc1ICad3GvDgyucUA0XPRNWa5c2jEigPCouklqlJwyc7wc8T1IGFymDuk/2Q
K7lwGnhRmvLsUFXz8MwkuH/wqUJvOzmwm8yJ9aTlGB/83kwADnbsReSFnZzZgZOQlohkajsxr/OG
liW5ieRPJZmzFwhFMBqjjy/QgCjntbeNqFz4qSVeQVmlZKO78/jFTnFrLSTiSRoPrS2qdegX3dGY
G3NtFbhEFlij5s2E7v6afbx8icagfOrdCoRAaXMw8PBnTsgzzqjAvEflpu6B4QuS7K5HE21IfULq
T4mVkNVY4ZCJ+2dgNmrlMIc7B/YotzWgCYTcQ6peZmgKFA0Cjn3pZUcjdag64wRgsdHZYLSrILlJ
GhVyab1XAD6sYPC5ZppWG1jY/JGE9GiJpLZHnaECuDNAFBm8LfNL78HUXCViRk2sX5kmeVJUhyJt
un4NpUK9GTbni3FOKJf8VNGBh62jW3pWJSOsGFUi35ry1lDjfRwk2XVs44525JgvndG24t9b3v/P
+r//P3pCbbi8P2vr/uDm/a+b+vXbRxP9ubV7Ybrzyj/auvZv3mVOQ2tW0ftE9ventq7wLbQgkItJ
VfRMZo//4uaJ3xAh0mzl8CaxpFm86I+2rrR+82ymIT7EWNu0kTL+d9q6fx1/AhhFJkQMtFAKlKU0
P0OI2xwGft05/bZMWv9+wDl5znn+yDj14/rN8GfwyMBkyl/NP9UPJPq/RzqXd4YpSbnouHxxxRCY
dvOfNBFdg0JpdAjnVTb5RnFtOeWrlgM1QtybcOa60kyjZVwP3XOGr44YXBIdLlg92CBLssaE2oqs
JKmkYZLzElRBTCcJzdaCKIEQiktN5oNoyNhbphrLyW6QZg4hrzPB+5gDXJhFWXjTmzVUC6ud6pxt
ynJftK3H16mQ/pMWiY7WhCv2txNYtXKVMuY6xrSpY8qiAI99b6K+y2033kDm7lfQnI42MZ50ejbT
MKtlM+dvuCGXUWsRyVmYxaoJindCp8yrBrnLLcdv9wvet2rL7Ce5qnVJXmvEgaEgZEEFj0afxURy
hUaxZ8kiHSeYPigS0i3koQ2IW7lvSSJcYV+78aLO3fQjocYULZBUzPwJKA9Z5vCw+LZo9D2DMsmX
d5OuWAGS7KLyL8j08C37nBP87o1w1xGvkGA6dLywrkAxlERXGRcnEkz5hKOpfMUOibfOt3HVUfJE
GZG9Vr3Ng2wz1FTh1YXsTjttq1TdLBtnzvhHhJbJoBnOQ91VVxgb2v0ckE4TZE1H0A66hwI67JLD
PErqEGZOO8TuOoUgsGpGWjOtEyLWhO+zsWPL2dvCVaRoSLBYddcdmAVclIkA6GZstcvOyeUupcdK
fGGo8YOlaus7WbBCCgNbcKiNNaSGIlw0hI7s89ywv5VmH+46m7rXNZRxYkXN9ybFyt00Z026ym1I
LyEEHUI4LskiC0YIFvBCL9LhimaDjRTHUxcFERzJVxAEabEsZ4vrTqQQGRGd7V27U2y+4VvR36hP
aavTWnGIkYyGjm06vRIjTWhm/wLgnPSrfYtnJRS2cSC/rTxEsy6+aLTE/NZJTWdVzC2p0LUzxDPU
PQjrC7IelWLRV8WNJu5QLkTg4L+zoZitJH3Ik92k88VugnAxa7S5BXuVaTyykXevHaOuQCmhJKlU
Psu1Y5i4iWZXedeitiLKhWrqb6VBUIQdRlN4IM6HUoT2r/vSgDYhGkNi9KhcC2FY5RrB3TR4Yn8Z
Z+SXYCuNh6OQ+9TETruIhBfu8G3ZDwWkKcI7masQBuJ1CcEYkz1YmN7K7Gzpon/ywwqPC4OE4R54
lrSOpAfVw9pzaKUepqE1P4qK5DFlafMptaKq27batJE4DYG/sS05Qd1rKhi+i3lyjDuPDs5G+RW+
tcYjtVE6siYIqQKqsbAIRX3oyJXuKNiNI9QgfLX8z1o6YezedXREUGMSorTJZoM6YPqmwvSt0dEV
3dNtKQx7Q94XsuxeZrs+8q2zsqF1VnZ3FbckBXt0Ma78Nk4Xs0nnT3JMWgH+AAZaVqdczc0NAUbf
sBCqBRMsjQADHZdI3PI6Bzy6Iana37iTpq2v3fgG5Vq7HbEvH2nbyXU7jMXbrOp+M2lDncSUhCBw
pgtbsUnH71ojJuOwLeMjWlGM20nioYOcc0zyMDMc882lmXzIZJcd4RohbiT+lzLPbK2VaZIq+VEV
kwl3GbKgvQRapnkujedWh+u8bShWUL49phESyCbv/4u9M9lu3Fiz9avcF4AXEGgCGF6SIEVKVJ+S
MidYylRmoG8DQABPXx/Tp6qO06fsVXdwVw1qYvscLyUtEoxm/3t/e3yIyGNwssuY5aDaTKd1XL+3
bsf6MTSeR6SmTXbwbuR5cmHaeQXKXGQsFc+V4tau0+resoH+bX13dLdYZJJHUEsFUrm19nrDuYmL
jCJVp61qvB1meAUxTY0N5Eq93EGAoulAN8LZEDOXPFlEk1gt1NeQ3PvOqv3wyg0ZrV9AsjTBAU/K
jRCfwrJJcZXSTcIohT/B8ACrubgFBz1s0ZCvxpKqX/qATrpM5bkVQXoaA/8Hu1N2WzdReyj7TpGL
40kZjmCfzZbJO0bffl3pEcgGfHo7C6TiB9bxnJq4AuukBNXHyCThrBmnF8IbAvyk4I5Oj9miiled
EV0qpRt+t1NnPHCPMN0W+0l28IlXTVdty1AinqYppIqiqF5oVl8AZTpY3suk/hiZtd4Ppku+LiXE
sKehq1hm9VqnetdokufMcYI+x1R1kcosxOSYmPwK+mB1t/lof20xke/9aqDXWTjTtQRJa/r6zTJj
W9HhOwicvUPhyh25WNdBzr84GrE/hwxnukw/z+QDLyp17t3KQc4mXoJe4FHFNr+E9UPiMr0E1djv
sCFZ96X2kltjXYrYyfBnobe3hz7bObVHUXSnllipY0XfbjyHXn+dd+xMfj9hkc5opZHpOZrsj04a
nPTCYzyL4xRnxnLM1ijd4pgQVxaQBIBzibUTorzhwG6IwvawHScOywlVWwjQig85Nd517qsX5RJ4
puODByCZWZ6VqzczHIppW1lr+lgZyIG48fYQxGM8cg4la6O4SQ2k5tLSzsbGdvJhlOD6Pk76XA7U
l2SWIzaNMQUXrE5s1JD0h1aitvAJzTFnQXc74K5mZrl+SkoGngIca1wFvLElRePnJpzgcw7tp9nH
oU6vTX+lIx+S/3px/ge9PjTYvQ6sQCHOadrJw4IGWXsUxc6vveAK+IIHTDG6ZxLB17cS3p3hc0eV
GfRW9JOha7kIoGcaqQ59yCTadXuSngO3h2uOCwNE8suHmqIB7EdmLvdB1tKvCUYhjJs6mT9H0i4f
pV4xrkZl8WMwPmIbW87RmaL5NW9LmiuEadA1fZuqZM+MNQXHdvLDTlc6cP0lZPRXinbHNpscrCn0
UcYzJ71XVsTOWajJPqFMmAM18O57xFgRmq0wd6haWLqsto4y3m/ERhVVpEyniZiDArf5pCLHv7bD
yXleujz5Xg4k+ZGzw+rAWCsrWJic5Jhr2z8p3mobiSePYuVaGcMpmhaBbsG/PzQIFFTBC+cFWnq0
8QiTXvKeBviRKNUHgz2bmvUgkg0fQl3dE4u1nnEn51dZOizXuclBQtrL9Ob5urpGBKytzcrx4Rby
G/DlYUSC1BCAocun5AWKfFm+U8VW8TVlRPfYy2h6hA3cch/OwCBxtIUny9F+T2nI8BIujX2bpHV9
Son2HRYBiYjNj2EFqZZAvWVe51FwaJfXvrHM8zRX3tVUZ9ODFRFZ1CJI7t2hCc+lEzrgjkL5ZpWk
kzrVNW+ulxzxs5Es0Oq2D/MA6Imy1riz/CngOfMqTu4poz9WPGcD8z67oYVixeDQ94hdeGg2c5IZ
XFncLDYjqmOJD4RyrA182Oo2iWR6oGenI0pSX1TLBZOJttYjmIELZr52PrnBNBUbQLME35M5UPFq
USxxzxbB/jYqOS0sYOTAqwHGS4n7gYF/He0DtwbeQQ8UqqGXb2UZvedZ62BDd6h9DOvlIKY82Hdd
m35waCljStA0cNGV0gGG50tNc+bcH9tuGj7zpV0frWjgtOmb+lD0vAgdZ+LSMFvEfgUQNYCock//
rbidB3sy740rTPcAAqMrn+DdKokpa2XY0I1c8LbM8PJ5o2tq1gAxThCY5QirBR/DRCqnbfLHypvV
s2md7MeK4n5ANlM0fs+eOozISA8ttVefaTfznkczY1ZdehG9jauK1jjPSHWqyko/zBzkJ6DI7nvn
CU2LA6X3fBxtYB5tDqjfe5cBqZobhJ4qM93j0jusFSsBfA5sg8OqBlRbHToDNX3TD+5ITLey34tE
eiSM7KB/DokP69uk6Tw3hu8n6vhSUhCrKu/JyyyX+hpfkWqNKiX7DbPtJTu2Dg/hbmTAmXNuH+DA
VksAt7Lg2+steUgvM/vhdePkUUD9ZNfeqp5CbmQaRm6ksWBc8hexbJqpVceuGV2Kcub0QJVb+9IS
8XoXXImg/LbdY+97D5lFqApT0q4dwvBaL4q5Kc8hfRKB/U6n2fxF1VF+DDI/e8nXyXpz6HoMY+Ch
3ucgW8xp0jOVIlHYXLjNwYPCeKU2YFGTKy8v426hxoITdXpjhDdfdcMITYm38H2SaoJoZAX3Xtr2
e4ZyB0c38i6jFe6kA+Fcwqn5Y+1Z3jnS7vhzMmZT19miARuKMOjELZfkuunXnhVHJmeVhl9GlX5Y
2AQfGNMk9cZ0fcVqLQaxGYIp+jGGrdymYwWJTwSKtJZIX/owGl/nnG9OadX6NS8VqE0TuGfaKZpT
VnrVA5OpH8ojcISLM3rsOM7ekwbvOF1l7XcPagU76CyuyAoFzyt68mlVth07q55fCgcA/mAV6e2Q
+Pl9g/8xXvpuqOPKafWNSbxL3adqjwGN6A8TAsDObTPQS4B22vuRO+nXbhHeQ4onZL+sEZAbqNJ3
E1rukZHGKxS4jIQUQFqOB5VLHX0ThVtGEmIP6nmFG1LikTHgYovS5Qykc/FGR51gyo+KUVKQ/JYh
yX1JmL8cfMU5jW11eiQsv3zJOIvd1lqt8Yop+DxC83nSnPIYZZe2t18pRj25RLvOycAjPw2s97Jt
xi9Z1tdxsursfYHCQ2VpxJXaqRHNkd6JzU0L366MXWVHH21IvzN7Sjj705YJNlMXvAlrm+bnmgzd
S0nHyMknFP9iNTxXQxpU3ARhbzNOIOyWus69BO11SuQ076xpLJ/N0opzSoPqD282hOKBhornkPPk
rV2x59EkmbgfoSq4YY09Fe+2Gkjxr3SeXlk8aEimJczIjdbFCNep0GrXWF77qk3bQT2PjPNU+MA1
ZS+G95xWcgNvfWSkaqKufoNQk7zP2r6YahXry/XQ9MH9yur3svZ4928oj6ePsgoAPBDkC5N3pWfu
VyQJ3a9TUMOpF9WKrCubd9hbLWK7LV8bWkO3fqWbG8VJLcOws+T8B+XAJuqw3GdwOh8ji9XbCXr/
indyuOudYTqvxaTfx2qcrp2JOcMgwiQemqy8wqG87FeytDdMQ5xNo7L2rZe42jEHWI8wtX0wEnaC
uWqrWeKJHTRN/UEDUGBuofKm/pUV4KTy62hZNuOsnBegRE1KJMNkPybbC/f0CyzxkoNi2SRMrigE
xi7yWnCH3Kkk868GmUFM5JdXnAm8hAu1SAevQgKe+pvFntLPIsqcZ5nXPEAZUTPkn6F5XJpwMAhB
qn7xqu7HUGRdGHdyqd/XPll+NJxBj6lvsQyheO/SqqOgc7Iwv5nsa6EQtpyGVk+5vJfGX3ZkExlA
aJp/5zS3L4exF8bvzaWi8clOIFYraN3XKtdI/aph3BGV/s4KmptipEk9HcNHnQ3eHeik6sZW5IYg
l1SoACYp4CXU9LrghDlmZuFxsBD9TmsFHpxko3vZpiosUDB2IgzKbFUD3zRrvTbjEp4ztaQ7RI/+
4ESJ/TXl8fnaQiVY8a41FT9fdtdBCsN34gZFUaWrH/NF3pMqcw7szczrEosZsHZczGO0kR9KK4Ld
jyh15wv77qIJfbaDxIMc1c7kZwoLGignO1xsNuvVOYUlg9o1+KnaEOmEEZNz8cTUuHrob6veuSYt
X2w48gEQzj544GhQetuCJoo7+jhQ/mdw3tpLg23OeGeH9YMivWThe1kmEe2HYEn2VAcU8OnGpr/2
erTErTcKiqTUJPZD3w6f88W1zzklicMmSMkTDt7kP7jZ2J2pmSq3DZVT96lju2e7tWqEs6iR1+OF
dk5lTn4ScFCvW22315mXhThzMdbVpFrUDvp8/cZsWN8hrg06JvrAkSaUVRF3k7XMmxVqaKy85VvE
5GWnCeJsoYDZHxZz4uPEwP8pYGXaBHIEM9K1K/PJNSz2Kh/Vvvft9e4S1jukQmJXcfIqPJtCtw+r
ZeBajx2O99Qirhg088qwuZSnluLlT4HfsQqahlYH4QZEqhGvyPdgvrnjTiBegnTxGEbbE2cunLfu
wGamm2mjKDTmuudAQxfWp1BTtpEvGGSBycMbs4nzxrkpzYNMBHa8BSKnLoP2ZDU26DSr7r7YxBV2
1IBmu6EiRbXSO8F1ncFY1d1N8H72fUGPhMNsF2Apbpyj9sLqpjRy3pO9buWuTvN22S4hsRHPTfmO
k+Jl6BouyWEsut5h4xHTrVNGw0sQrM4LKTSFi2zJ0w3KFeiYKcgJM5Y1oyUP0/8z8NPK3hO7Mbif
mN/Xe/CndnMN61cgybYNTrsK8WPcpIWyXsk8DqfQToGsTRyigQql+fSItarPGPoH2VMqV3vmPIMh
c4PVyJ93eZeNP3JZrYd1nIMvhViDx9BEjbOXoFK6OM/xme59t2Hdyrs0uqDgAzFu8We4jwOkhALX
aiagRYZR+zp6bv51suxl3QJ3tb2jGfokOK1I/c+Zt9ZvnZvMByuvuzsD5Udhh+qGhwkMF3IbA9L7
dkaIcycPA0ShP/tOBpwxpAwOznP0xWrcdA8sDqIKPaunIRTVSz5c8FU11tz9GKRk5mvKMayF7h36
45jst+Y2yC6hex/nwJPWk9nZybI+I1/6p7AT8t5dAiSGfA5pZB5XWLoaFOYHqgHBbFULRvp2z+jA
Msbydpac+ys05G7dElE3b1kYsEEgoS5nXXkyHtOHrJXjuFN1ED0X2FtuVA8Aqgj6YidKac6JYCe4
wlzbYmKDJ/MVTgxpy3QxmCtMA1lng+rsU+iBV2fTzksZ7TK5WN1Wuyi1u6mBGw5Vrcn3bCPivvQi
/eAuYn1FOJ8fLIw78NscjHTwGg96aN1PLm7iO3A8XpyF1mzvmwyc9FD6+d0wUmsZN3NIFU9bpFiD
gvJaE0+57y1RdEiQTupdd6Fh6uI4JM1oW8DQu2ScsmgisqY3mtkD5H8O1/vUN/nBTjNzh9Mdo7f0
ChrvC96Ih4ZmDAskmVAfiZPCCMs8x3lSyQXQlVGU8JRnjOKNlXCBjkDrsp1SOQudj4uUqVz/tm+c
4RFgoP0oZre+Wyy/zjeM6rvPqwmz22DNO+7yXRic7cGykXHqIa+vMt05n4I0Etd4P2AtVvg0yMiM
6J+YTcFY5YuVfMuKan1vI748MYYj7p6T3c20jq9pDfXN5Rq39lP5ytNGJr8uM3YCVE9zN9hu8m22
yN2ngi8RPtnyVVLjeXQdvZ5pvJAnBvz2QXXVcM3azgY0RPbH4I19uosadj6C/NanwMraB8CrEM7x
C914s4Zf7abjj2H0sCLw2HbEty5kik4b8z3Ik2rXl+OOO0SZbzXY+KvaW+WJZFu1o3C8fPJAwZ0s
UWNpLJbxo847t6VFaPEObWnXV7kHp3kHarB7d1rKTmIKHptHrkio34QkPhWTGz7A8iohW0mIwaLn
Lz3r0KCm7k3piwUYJyzjjkwO1onmozkeeQ+fINrpb+xAVbjJ5Rw9W6vjAkCuepHFFN7eY5weHqFM
+UwPWFvqjTd64EFtre8rV5bXrcMPOQkATCiJ8j4wNWqCvVTjlxVZ7bIhT+IcjpRQJZJbyYaG7/IR
2BPt62mUixY3T7M+mIIRG1YrxiZ2Fjww3KqPZBnTx0H47VYUxt9OU8dVw2t66kScdLOmdOdU0xKc
+DF1x7fb+mocMo/8z7c0mYqYKmrzzpU5vB3lut4vpvroHAjuxYgxIm1oHsmj5RxgTH3KZnc+9I0k
2pFGT0s2iLigP5udEenyqAcbPpw7AwDJcSA+g03jXBFIvjxLq3deyfcag/Uw7yeur0xoRhQOCxvi
UXNs/yLTJrhPbBvCiuea/tHjQM9NoPRJqoQjuxw0jfaUTb5bbYDjDp9VYfobpqvfmr4Ac9/qwb9L
IY6f56DxHgxyxpeaTlDKGZ1Eaa67jG/SkadpttUVqyrJhYxiFWWjKeCDEz/aOpmsDTZSMGBOM1AD
heyOS4pU8lJtfY4I16Ml61eX5kUOnRFHlhSFs3DETD090xYCK077wjxVHyveX2zQVFiatA93trTd
OIS71xxs1/fYTRXt7JnW1ZfATQjvJOsYl8ES/oAYOFxjhMCmz3b/2QYM1uNMKkNrW9gTOLHE5yAr
c+ZW7jpygxFOOl8PAqqoqDqIJUxzkHtb/731vdrDcq2tI2Fankg0kgzYJZgEbXwWuUh2LQjiIaXr
iJkPyNz5OZPG+2jmxXzNOLY+d2Yce2AG5rL+JxckVJSHzWZ1jfnSFcwvN6wK6gWJlKPJWnHHwyPH
YjyNoWQOU2iXjabQ6Xm2bPtr6fphBdeHjD7DFzaupY6CY9JI+5pfinw8e7CheY4W6cXHfQsfE45q
P/itBwlF1C31wOXy2oWFYG6TRnshWvb8uqPkIQnsJtk2ibCSnZbZeh4zoBQcUckzy4hCdmUGAHJ+
schvEcB7tDybiR9+2YbdSmQtIBcnWvxbYsFpv0Fow6uUp+xiGyIJVCUFweh2N5ExvAwlLgrAWUN/
VBV4zqdy6pmjCDoUzCRNQ8eUZR0R2Ssc7f1w+T9mvnS4SjPxiZmtW0IAFGB2q9r3PzDJ1bctE1Ti
5oAm1pLtcpMQDxqO2q6cYgcT17yhN4u4L3LrGWSMDU4AMvOoIqO3HvPBeM7sYmey0ibEPImPwsNt
DBIg2ltJ0adbD49PsvdxEWwjxOHrtbKB59eduYW2N20BVyOSV5TaM6YRMZVADt+sScRWPj94Fsoo
qFZu18PbyCH8tCQ1UEOrtmJdOMNuXrrpu9P6+XnkOHErLquzWuloldKme35qBSZB/mnNfTJTzjjY
bzaYutsBuPKZnJeIG21joMTsBqkO/OdbOrbrQz9N9U0D8YgxOtFeTyTVsXSk/a1sJxmrNuxvqpHg
bbJ2eb9tsznbjRR8fRuUm17B7JPHfm3mK87ryMTNqPzfM9z/32w/hMX/s2D68L25fa++D7/2Tv8P
9AYRw8SWc3Hl/Nepz/N3lb6X78sfU5//8YO/u4Mi8ZvkUuMGGGZxV3jBf7iDwug3zlp4huCEyX/8
m3+4g0Twmw29j2gnt1NXglH4T3eQ/5st4N1h6wn8CLCN/O+4g3Cf48L5J5dOaAdIGK5vM1b0+MMu
tqY/uHQwPIR+JYOrnjOfugKnQ41VCCgWW0mUoSwXZYmGybYE8TAYnzDfhACYMMivVEkn7qcuz6tj
rYOgoJIGxw8CMwOzrU8kszugTbufokG6tILM9l1lWb6+d/06YHU3NAJvPM/LoysWGaYu9hJ27Q0O
RXNcBvrDfF+lDLgSrZ4HRFF7M1mlJkHmMBhzxu46HOX41npkKkmhRTGiApOMOny0V8aK0Lpul4Vb
JW0ZnFTgZvffaGRv523ukkHY8suqGzsfIk2ixFlvfEq+mAFi6eR8WYYHby2rK4mqdteJjNI6PzQ7
5a/u1ZIt2ZXwaNCrrQULfFUuwcOcujh0kSsPs1PMlFmWEQogDH43oljFxfkDfJTDNP3HWwFYvH3h
GoA5hLJGfOAdapDD/TjEzpMtVdwIbPY3QiSZOsGfnh6oQg4WLjONR0NGpvP5kITTRCvVXKpiE7HE
EYFxEtPuFPdxtpwmp4hOOfiaGMdGlvOwYlJb7noVBvUDnjNLUZ7WJf0Vay2tdoCUnPU42popQjLN
kbtr8sSZ4pER+EryIC3fMJ10XGpodRFkegkkg/wVXrElxXkZIgL1wJETDNNBssx9QLdVrPwt5uC6
H50XCOJRv+MUovZNPvyIIsMpgzEx9A9x0/QI6xuXgIJFxu5NBiDeUju5nw3m0aCbmWdoU0Vnt59x
PXTZg5MV9j4gUEhJaMJUnYTJfBi8evhwsTNfNcJKs0M2rZmzKxubM0bQhs8+qUJrs8iGauoq0+ET
+a7lhokVlc0m83fZoEtKs5Zux9wG03NTpwdkpuZky7raWQOzYjsLiTgslLGszvqc1Jmzn7qGNCZT
V4auFlc2x75TcI+KZhieFhwiHEGD4c5STkIr2qygzLmjR1F1j6sGoIIkuAkqk1uTNZc3PgiTHX9W
D7uqrG76jts5souXPfO0jteN7To56c4GYWeJsvyIh2BuN00y7irKU+B54KNS01zcRWEyfdZ8tgnY
hgRcFjUIC07l2RAFWK2Zw3NP0req5Au6f/XQLcDk5suII7LXl4pM0gegrjnuQ9k+VXi2DpJCPt73
fDkE8Oc+y0h7R6oexjO10d+bEcMA8FhRxZw4ARxZeb7nQmQVb601B08z9pICHlMhv8BBd4bY5kBx
nNGm94b6t10mWjcOLDHG/tSNe7uj3HDFFYQhzS+3FTUx9CLl9tbrVXmF+HGyKx2wwlQGg7Y9vmER
w1c0qPJeRUTuBiBPp25Jozvldsk7qSHq4X8u9P+7Lf4dDcFmY4Ts/Ffb4v/tx/r9Gzvjv3LO8uP/
+AP+sT3K3zjNsNXavn3xibLR/Y5EiLzfIobrDm4ix/8dyfnv3llAnnASgjCMnOiyTYawGf7dOxv8
Bj+YEzauPBeSDdvZfwOJ4P3c/f6wO7IHS5+CFky6GFl/xZKMl0Oxm5rxmJGcPftlo99bS0V7beSB
wrHw2KxTP8SlTiKMIfD6wSPM5sQEneRi2RpuCX3UNfXOo6fxra8mLJRMG4oDcKBHFqBdXlTb2kN8
bQW8s2QtJHoi9D6IzRcI6OxMRHcrTWFl4VEg0CGTdZgrr3xjvG/uYH1mRgeWrSfO1BlWb5CT0CUF
1z7J8VYW9Pi1Bds2OQccGQgj5M7TeSsz+ycAqHPWfZp1PkYJ1r/9mk03qR4phy2caY8GLq8id3os
/UG9uQ3J0bjxfPVcyqJ+7Txr2IkRC8RUu0TZrXkYX/qucaGvoTFvQCDEUT81Z29V3q5QSDZa+gyM
+qZmZjB1BG4h4b1ks3dD4uVQ46x+4q6KQXEaGJCbXi2bzoMUWWNiPrWhwXk6lpwfRDQNL1Hk1J/y
0owryEOZfB4gOpwUIbldoFKO3aFjYuoDk899XWcH3lMKGyMhkGYmJ93mQ53CYZGUJrZnjMoEuUIf
K4UXwDenotIjY3h5V+z0tgrz9l6Lun9RedAdqeFIDhCM1Esnx6/LrGYmRTK7NkO05LtU9BVM6kue
TWfVjcItsuldVM9kitKvmR70wSUlefREmRwMN3pSUQlSez+6RDWqR1UKb1cOlzZhO31A/PsmDE7C
gVzUs4vH67ZfyuxqreiBtBaqZELm1ztKxvdZt1q3RYbxj07ptvvE4s/ojUMf+AjN5DBsp3QfjGOy
JfyJj1DSYDAJJ3u2kOheuryqKdJZSVU1iHBbYXAvrwPzwr7y3Gsc3pgXpNQ0TNAvwAhM3svUgY9h
D0W0KRDo0OOixDtlnHMJYOkguVlV2Wx7xhubgOt9xOQ0d2/aqnmKorndw2p32AaXovqZykN+7pj8
sdnNrb/trA4/jhtW9o80o5Qj7lQYIa4wP3+s08QraYmp1FvnYWk8hAxjvrmBpQm8YgMeCG6NWz4z
kJVu703vqLPm6HPGpVajDbLPnhUMV32C8s+FybYfsE70u7kSwdFxuLK7Na52xMVaUK2Co/WZ+f3y
5swq1Buu0kTmhN1wAAwJP9N03RfBBitD5cft5ZQrKgdShVmta7cq5aFbPWpZXIxzzpPoyQty1lw6
tYfo5kavk647qBwwfuMyQpDBsalEdyB1jVt4UyrdZ8duGHz7Lry8L8x0VmYl+7yUafg8pAv+Gt33
+SbhQ3kTg1vEwwLWHTTScdRpvdXYvmP+GO8aJA2wgCKsljvHmJpDq0wn546uG0V/gCR3n88UozgJ
7hyPMTyzQPtHTmQ7rul0Y3omEuDD3KGp9xSbvnMEyNcBLyKZ0VsspemmchEbltXT+6xwoMQo3+Dr
UsHs7dxolE9TZI6opXAf8A9HJ6ukVIRE7tOQh+qWKfUrR4AcOltNeAiEBXU9H07FvYIZ0WxUfWBs
wkx/iJCTa0YsrKb1WZE9PwWXgTE2ausYUMzK4R4Xddl1lKV5FUMnFoUx6G5SnMXMceDvr0kIxR2+
TEgXFBXhVXdTpsS9hO2lH940lIeQGPxrpv36dnIL/2qcBG17ER13oPeZbk+DuisYFjFbH5tHiQp5
29fUQXik02JOLUAtDKdXqAnmiWEZqDM6co7LCEKmk7I/tUGKTTBqkp005Pi8Jv+KAcZ96hqHwVut
pktpVbIPgE5QWDlzAPQiZzMl0ZZy7vHcldh2wFCQjMoXf3ymwvl+avvDBCsGFIjPQavPU32XpFSo
+Ouif0aX0T1otfDFYero3VgmhEekGlvSm1K338cxuy9mh/6rxMGQqrXe1vkg71Du1JsKrXGX8m82
uIPqN3bs9miF7rM38fzjR974VfJROjBUxzq6tzCHfe/zjCe9aa9bBoukEwJsvRHBsx6zsqz19UiN
yrabLT751q22FnUm1gV2gCxEpbdK/P6QuFCf3UzLPd7y4SZPGXjVQ8VpUDRmO0sJXWHx1zeL/+59
nidrnJaAFlz4ReeQwkubdm1c5X7zFCC8nkquuGRXy4koai9jutc9CsRN/dAjOcWOLBVo4Gq9ZY47
epy+jX+VOglxNvDBI0dybvZbMvEkccsOqdZOxPKC6wMpiXnYLZHQlnyhLOIo9f1vuut/tB3pBnsM
u5MJEnefoozH2vGyLVfk6p67WIBhgD4bU7rF16at6z26MsEVBXT53tPMdssJoidPAiuhtuyBWlIA
mIC/2FESgupo2DI7IamuR+JF6rbV+kuHSLj1OYBdJ7m1voBUO/u1xKvtV+eyljEo5ZHh1Iy333Sv
/3TGu//9TPR/6rG66MV6gG71M8/zh7OSj5AAwAEtkOEPeJA/KglEuulPXBp5FFMmZiJuKjpldWRh
hMPPAgFAHka4mBU9GKdxxgZejn6FeYFbq9HEx2FchBmYz9J8ilI3vTj8Kp1vnb7IaHZlnJbFiHnz
vKU6dfnmX84XoT2Fd/ncWWKL4cq9Skx10Xqplj2gqlwKVjM3eM9WNiG/iEKYU+ITAIfxSGpGAT9m
2S6IDmysnIn7hvdWfZmaMZoAD6T9uepG/xzAA99isVkpfDI6jUncM+1qKE7NnVl/c6s8eKJtfWJU
izbXA0M4iK5nQb0s34R9XOsrUt7oxiZPcPCmdfA1arV7K1yFJ9RaWgK7abdsefAw47VRKtanwB+K
z74o23fAr/a4oxXcNeD/Ot4kvyn9W02ZXXqYvUAF/EiH4SVpg/rDSoORWm1/VD+4Zjbd/dLDkZkG
/ZXAwryS+vei4S7EahncFzYt2HG5VvPjtDDb2gRhrp14mQSSvje9zEb4bFGL6NW+yjmlb1weo+4d
QUB6O2+w/NdOYx6L4D6d18At30LoWawIl72wmidCB7Uh0i3CtHtl5bmU0Wr3SUyz9a2HEAApOlSf
pO2OFxy+yt50hnO5sCYscnbG9zGc7FeMu32cZql5gLWdc+aBcsnl2y6uvVT3O3dpXKATrrqb4YJt
ddjrRymr5ZpZr0udgxLbtPbLvWvKN+E29gPTjZOcHQ44l/MCp5rlW/vzEDEZzTzKwn9JdZTo/cf2
54lD/Tx9SIwmfPMuZxJ0H/mBZhfeG7/oH1e1Oq+2mfLvpQ87g9M25uJI0HKOae5KrRMnJsprtkzx
5HGu3MT8TczujxxCGdq+HzqQO0jX4bqnDOOP37mU2Rkdp8t8dPDk5gyBlhzapxf9Dcb1FzLc7y9D
jQjXLrRCSkX++DJMMFtnzO35CGihOAXr1F2MAbsIaOxfryL/8oUk6hHVDlzuwl9eiCq9vFoANR0p
rgYBTmyAupSZFPZrJbnv/w1i80/ap88lyPMhpDr8zQ1/weB2TAXQ2vvxmJqQE91wh/EecNm4gTu9
W8fi91rV/5KH+udfjpcLuJRKvi7unz4saidWxVIwHoPLoqy95gzwm0SMevnrN/HPD4UMJJdV4qMX
pqD/y5tI57Ko02YajxVrfrj02JaXv+F1/qtf5fIitnQlpaO/rvUVyT7bdefxSO6n1Dsq3ekJ8wsD
W7ezv/31r/NHjOzlGSeJBlGdV3Mh+F40+X9WqAUbXeklkohgfbGX+7417hv6gs64lMBL4VQIj3/9
in/67VAjIJL4vGIUCCe8PDf/lFwFRLw4ftcHR2wi3ZakyWskHT4xCVD9r1/pTx/V5ZUEH9Ul7Svc
6JcnMELYXRXw2OMIUparANUP3f/LS7ikiIPoslIEv5BVl9rD0hmp4Jj2uiehE3TcfsO/aX3/l7+H
xy/BEcDzw+CX34PGn3+j7jyW42bSrH0rHf8eCpiEW/ybKpSl9xQ3CJKS4IGEN1c/D6jPkCU2Ofpm
Fj0diuiOpsSsAhKJzPc95zlQGTrV2hFjye490sU+SIzmk+f1vVGAceKxtjTV5hF6e1/KcBLUS2x0
W42uITTRkGnNR9PfvycOvYw5uQUZ0ktkyau73xuxpsjSNNkkkBNHH/15nE/CHw/y3hSjtUMZi7Bg
nZX17VcBqzeFyFXNXRjF2bqYQEaxF25O8vn4/dtDUTcGAE2JyubPwQRwVTQEkZIDv1cGHU2+jsyf
2D+TV+AnI71zf5DHMMeI5uG8NNflXj83jjSLWoPXtxOpK0+cn2WgyPA/m9LvXDzGEbTBdN5/kPje
juNb0RCOctKwBNjXU+snS3iKBhq+Tv3kxffLG8JmhSOlk3WHmiJm/YORQg34X5hNO6uoM3nRTw0N
fXRCzZqeu+gWYZ2o01rp3E9Xhrnv9mY3PY/MwmqhmsBbbx/M9UBMTapkBUpe4dSrnLhcxE7uFX7Q
TRSjRomz8rpER7L6eLK894VnWIFgJ8X0O8QFUFBhFS9bdUcNzMIdFbunJIDo4xZpcXAdV8jdV0TR
KHcfDzt/m8Nv6xIXxqMA8wBUwtvrPLBLdMyJQo0yuuQ4JtmQkTVBBQqdctUdE0BCNVQSRLsQk0Xy
BFG64yeL/nvfnGKvZVqazjvtcDOgSzPqHZqf7Gyg+th5G+8Ht7Pu2Op+BT4onuVcd/34a78zkQmB
ZLdD6ZtOoHtwk/sJFBFA+HFX9m6AT2wu3iYc8zdTkcVXH4/1y2sUoCf0exyGtmPzn4OpXFh9Ucuk
H3eWUdX7KBw3LrlPy3wItSUCkLOPR3v3mzngMEif45qK+Wq/WkTrSLYZZ7pxR7uPCMfC7GSxzkh0
XXdN/MnkeefOOXQI5kbAjFe258/yaiysqZh44eDuBjNYVBC4MTVT2SmWH3+ld1a3N8PMF/jVMLZP
vQBn4YAyNTqhULSUmv/7b4U3QxxcNVQtgw3+cNh17onScsoRzjHpKB9/j3dWlpdmP8cFR2MTd/Dq
GdPG4UVeskqD/IJyZxmnVkmjop7r8l0H8WGgR7kCtpt+MvI7k+LNyAdTMI4UWLghI2utse8UY4tu
9+Pv9s49osJmGgY5LLz6D6cCknW36focGAFAgEXPEdeLKSD8/pbKdQBvcxISNr2hg9sELrwsLa0y
dnWjkJyu+hdTx3vh97/K60EOlkTXiEsRj52xy+1OPIwTcvcJFd0nG7d3VgWX5UcIjccHzO98QV9N
6qDPUfJllr7rnEJZUkket8GgAEhoY2CDPFj/5Fu9Gu/gWTUtWaH1Y7w6gMLWS3WJLS/85En99W1C
7OSMnZnzLylIHdwfhRNxUYWl2DVzUwjVtv+VyDY6RcAw85te6PlVJBwKoPkwVDdhL8Qnx6Nfp+Gc
R0kZYF6RDOIb3l5VihojqVxS7Nq5A9XMvagIkOP4ycX8deFjG8wmCDUl4qJfTmESCGtYkyK6s2Aq
tO1aH8QnV/LXJ5YROEbyjqLjxHP19ovAjM6yKeKLjEGVrvUyWyOal4tIjNUnI/26Kr0d6WAiSqk4
beXkYuebd6hjEdl8crHe/yovEie2phxa334VkdVJB7kLDq9SIhuwj9Agwi1ULz5+bN/7Huxf2ECY
liv0w45xTWIHQeAAz1DytttcFs1VgpXBQ7AHJnfuyuVzfw7zVPjJXvWdSUfZdS5GGTa7/MNaUOKr
IDMnxdhNZoWGqyzr0MsDI3/++Au+Oww7JLb4LrNbP3i4bAAedW4zDJUzQAnDBiPqJ9fw3SHm5YjD
N6/1w1k3VhkB6FUgdk51SpX8aahw/P2Db/FqiIPpFqschBU1Ejjee0igXVvszSC4/HiQd+YCigaH
RWjONPllLgjsVjgcWIdMd71ugq+UeP/B19AtIm+4Ezye2sFCk4Ot7RqrEjt8if2ioiMNsFVdffw1
3nlyOMuxNRcqeylD6G+fHJWuTGKkFPbdwDwNXJw91bHsPrnnnw1ysNI4dU2LNmaQit+Oe+smhK3r
WnH6yRX79Z6QqIOPGRGLo8MkODg72kOtOQE85Z0c23YTuYGzzMA+ZI761PrRelZqrkKHLMmPr+Gv
SzXDUk6gHsfjaRkHN6pW2yyFLMGy4EfuEt8l7DJWUw4HQPw1/YpGmuN9POSvV5QpYaFdcYRO4fZw
PegJSahdskN3xBa4J4NqyRv9RUIwiwk+HurXXQRDuUh4ELpyhDpcW0v4ExEuDthd0lU9JWppV1XW
GlQuk9Lyu/XHw713MbmEmvVSeyQU7u2E9AGS2nRNuIe+Bybd/fbxr5+f/beHUZwbr379wQoX9COa
yIZfn2ZhuqUnIDz49Jf/YBCKciavCZVn6mCQVg3rGF6a2FWAW3VLGgZ4L9r8n7xWX1aAwy9DoAth
RTpiYioZb68VPWs5pLRWdqOUebDASZiciiChNztmyUYqBWHumTkCgkWHAtAn2RizNiXu85w6dUq/
zmzDp3rWsOC6sT+5k+9dajae7NWpwPPqOngsxKQoThDD82lRy9SK/mQ6pAq8XOnf0uqdRM8V6Yk/
mkPp+Rt9+nWR8efwr/xnqtNVm/v5asp5j83jH+FDs8b+//+/64ozdvX4GltJ5/ePf/aXNh3iEM0P
lXcUxa35uPSH+k77onFW0knW5ue25jBt/tSmiy/MWbTnFv+EEuZcq/lTfacTyu2yu2K/SJg2RMzf
Ut+9lKbfzF3KX4KiOIs1andXPVirZZ4oqJy0lmQy0lLbpNFRmTnbrMtSxOnDPfWH2TEVpksapnCk
i+Y7rK+72HHuicpSL/0Su69Z9t+aMbIXSQNHvhksLMKKphBnUuZX4GrrI7sD7AUqMvfQhtUwauML
SyokJ+hdCAgDLRpAvFNbJhi3ozFcjYV5DxGMTIh2vCyE+j2T6TmiFwIlAhNcmhsLjHvKNxEYSFsg
YpmFUj6ERRksTKsbts1I959r6DNq0D1ENYvMVBxXadyFmGgyEnutABySj3FUN8nnKNHu4mXPYVrZ
xlETi2kvFWkdhzk+ugUe6myODBhvfTe4VqPksQ+r+0QlTAjA9DidKLYwcU4PeIaKFlNcO7YLnrn2
MhtjCDeJOJaWNpA3S87T5I+FFwDaBu2sRY2Llm0coOWaWvtDa93TegwsuIyGfYEOgLa8DDGAweYe
axMhI57AEzvGMKQMtf9klIGytQTGSDRm0quskjCpHstKUmlyr6aB9dRY40M1APAyiMompKGrl7qb
8r9yQz61lquc+FZHVi0km0XU9LE3paaABVG1cMuK77HW4EbGWnlWqbG7huAVL9pY0xeaiqcP8gQq
jxAkRe+W1b7MBv3SqadvUvrRsqDMedazs0HYON4LR4bLPuHQAUBDXWS1ekwSTQvjXYTeNCrJMunS
H6gTk61duA9ukyae1fHXqdKOIQh/tHFdpu5RXTIBnCTdqhx0jyI7vY4s69pu6hhfN8agLBiia6Bg
tZfYOoItEHIncRmkl6j0nKWWIWGaEtfA6hTW8CrEjW3E/soOFFKa4vKO+ep+H9ScSHFsmqfAlCvy
D0jE6WR97Sv+NTbklVUMGQzJGsaNSLxO7dxNndNcx//8Nc0HdRs39aVmymGVNBzCEZzXa0xGza0a
kI5iWg6KAPcaPNY5oHHmLM87Udao4uouI0gHDpu7IXw28E9iA60D8RKIwenNRe0iGCt5LqxBrjRT
UUhnSlIQAnqKbjTod2RRyrXFHDxjV9/toTpF2wCwIFaCkOXMrTcTyYItgbjh0kkrhIegai/rWDgb
XYIBUsz6Vgvq4SoD77DvyWkEnwzbrRHWjabG+iaJuuw2jZNoya0C2GmOwLuSmHAwt1WQghaygxeu
lzAb62A/jb2FlAoBGVBKs9K91q++F7KCV4b4f2ENk3sK3GS4CAbb9eQgktXQwyxsamvP1sQ4Uysf
OpRvkori9sSQa2m4GKXTnqnxlLVIgafnZnRxMaPYAilebB01bjBxTtqFnzSQkZQIUT664XWjuiT8
1L4NQSCA+tX0qE5wLSA0DOe0QOwARGhhjPbcXmnvxtq1brB82dsSNsFdqtr+UlHteG12aryJhB3u
aCSOR6VtRjduJMtjYOEIHEJaw5fppCmnblZNm8xN4zsr1+9UeoNrjBHw6khWJjDgXDad/r2TGqTC
3oJGE9U1cWkdBPdoACXlhMocVyGfIrPtv3c4as5safR7dE39tmmcdEmYpLlUbOD/2hTcOSKVp0rl
HPlKpnu2tWgC1V26SKhJmTEKxFolrkIg6YQ9GLGXDQlZsF1oH4k0i8/7yZfHvtbEZwhJtWWhtset
FXVI/JryjtzvdqEXWXXalGOLD78iDSHS9FU2gzi6eIpvOkB167Qfp0s/xF9s4ufQEcF4GCmAVMXt
Be8hhRasX65N1QyeSKubtlqKC3Egl2Uy4OIUet6cFYljeo4zQQHJHWQ5enQ8IDbD1y6KC5MYDrxP
ol1Umg2I27b1hTE4vodZZERchJmLUAq0dI1Smt4Lo0idzzqDgoxMybCH+xwRMIAbrMKR+V3TsK+7
VqotheteZJX1HOnOSLoYVgdkPAChVFwT1DT6OWl6wo3qs7z4Cbk8uX+rioK34vwZ9NQ0VgHB5sui
cfU7B+DeEjszzR1/ck+SJETeqHemIBnCCPonJWiRCsZ5X13r0vlh1vFJ1resvtrW6UNtRV3gDH+5
u0BtaaBfd8IeS3/YrjsnQQuoxJf2oMkTmloxiC7HWpW62a/cKbzFYboxsbl4nFkqwLGK+5V802ld
uvJbMTChrDq97kpUWzHcFy9P1dOpm8h6QB3F2y6+qZtK37WK4i6r+U4DL/TxJiE1dzKWnsbNv+X6
9IQX/qGzyeFYKLjwV6luhyu7xpVNokC0H/zgPApLkgBUDsyBoV9EtGiXo985ywKAr4c9XSyqCeSM
iG1jW3dJdR0YWKunOgBFiyRyawzFo6qwCllZ4pHKvrIa82kES9wL81vW5iZ0V0DPsIx/Hkx+ayf7
/h71zTb2v7fZ/T9kxqSiRbXu3xsxP3Sc/PzHf7lNBMJFhEXU6DkSzaf/vza8Jq1HavqU0FB8sBP+
c7/rfhGzQogDlK5S759Pan/ud60vs1KJYxUqLJ06uvE7+92ftYe/97vgCOkm0Cs7LLAURVWGcaiG
O0eH5eP5Wp9ZAJ2K8azOM+OmL+jOSGBXbEmNcsqwVnT5NZCDcVWRpPGtZb8WH49Fr2m80c1pq8B5
xHcwC2+XBcVnNkBqTyx9aPtsiHXOWirEFS3cmW3m9GcDdjTC55Opv60tI7kccTTj3k4I2TOPZDQ5
JxNiqHPAd6jDS4kiS40N0h3DrincNZ7IWTCpdepZiu1N9Xzb6k9caJW7vrdHyoNxfgTjfFjDeoLU
bLADNnmh8q7o+oWjU5anuBQgsfabWzdWJPlZ5EJW7UyRLICpLxtu6ZwYF6/tAY9A4xSEkYlJLq2e
0PCtY1UK8aKd1nfpJig0NpIAu8zs2IaWtJI2jDmQSPa4r2sOmilvQtgvWCAvE3yBYIoa8ywba+O8
NsLgquxHFvwqWYPDM8GETO1s9tcK8KOZuXRaxTkzG8u8yxVp4DF1oLpgKl2HTV4vAnVsVpQWxnOn
xw6ulNb0qPHrH0wQC95AwjbGcJ+PQEWdzSZFpiUvr+ix7rDqDGnlw6rIKGeohnXewKu9xI+Z3lZw
6PwFTplyN9ktRpsK3dqJZAdAenmmA2Rz9BNzcnP2QlFxVtolNprAfKbUPVwWLHU/0Gm1p66Aa78f
oSsn53lB8YHIkrHqbtJRECEHkp6crYRWwMaFTXUqJ8laaKca5N5l42diutLLSStOYlic+14DJQCT
vMseiBshKGjgZoXIyR32LkYkoT6EU85w9qybVYZgekTdDvNdKpUMif9Ju5Op42svDfZq65gf2uxx
h0Db9mqZ7qMXRa+pkKkMG0NJLvsX3a/zogHmpYkeOHnRBgsKJgRv6QGknLxFvov4N4GYD90kOCUJ
zt1bbZCBMhCOf5HDPr5H9y6+t4XVbvGFcJ5k8yGWhixBNiexnkFjbNkAjS6ZLXBpnIHwF1D7lhkn
JyCzxGnoW+1lELsgOGtDu44yoazLyg8uYXfixzDUKr+aQO1daxPAHKeM0M1PIgVp6/QdYVvCLICh
1/ZxmKRdvsQcZpL4ZxVHWjbTRQRScw+RpX0P3ftHJ1uFr9rWOiEAZgzJKhmHh8oYK6jLQ1tiVQZv
+1irYXcF713c+4NNsgOcG0DsI1rQatk5mfFA6oLWcXbtfX0p63K41sSQH8eWYSSLISfgaTFBaoFx
SWbnSqgzFhX8CqYiY7KeW0DnW6m0TbkyhknneBEBituKoRkfVKdSTntVwpxQct/sFhlnnEtFxOWJ
aO3eUye9+6ay1YyWalM7d5CPQXxDRCQENNLV4F5v+9HHuDpE2ZLJUbExxC341amq7EoOanVDWqpJ
yInwc3c5uo57pMiE0G8e+Lr1AOwNqce2DZ6XpdWjcTKIPnyCvw3+PJdOeVfCU4B4ldj1dNQ30syP
Rmxkck34IhAjP7LafRjrVbKZKsUGuE3KwkLDobo16YLewDAKz8EjOU/FoDVXTmeSLlXYyZBy44Ku
X2bgoXluSu4rOKncQows0VkFnKLX6GUoUwxIWJNlo0bK2RgPrGO2Ss7pYoCf86NpBRCkmpyedFHX
qsmMbXuX0LC8/TqFhvEUKPUIM1h0drrUSgudUxGVwX0+RMgtk9AOdgkVXnjPGURjXFfYj70SuAnp
m13Sgd1Mylsti6d+qeQIalLCl4oF7wD2Y4lDSGOj1EPiJeHUHNVV7J7Fju9eVqGen/YNyZtsyKqv
OWgDY1XheCAImRy4aAWVgyrC5LvxYyWUfgOdP4ZDhvosXoo8dZ/LfEgvLKYmMZBG1nLyJwGtXoLY
gw7AE98gy+aMUnguV1T3Iqdrn/A3QZaJh0gIsrlG3O6ZH1XY3YZRW44RwMLe18YLkjzzhwTPdQaw
HZDaeZcM4babdPPRmsBxr1rkDaeOJaevctAheZRG/WMIVAcHN6SQcomCMLgdeyq7eDs4JmVVFnbw
pNmZc0YCurBuASDtwiBWSBs1wpuqs/T9mBtNtU8gj8QbTpIdGYyV05/mblid2Q6hvWlYTpdWhPug
BzbuL2xNHa4qyp6DBwPX3+GRIiVIG4x0hydKusDamEBLXccvcdZORoN1yOnGjVr2xmM35tUOul5x
qmoJv9ElGGAhqjnGE3MUb/2wrmbqUKkM5woJuwvajf0ziJrmWyBJD6UEgk/fi1rez3i+VfmIe60D
zJg39pJCW+l1ucJxejB7uqBBPN4GeL9BOk+KGy1clxPRwpBhT4JBhyCfTmI2Qh8gCAp8mlPu4qlt
roWZxpon/KFgO5AaebAJFOKNKPOWJ44CvjudD5yt0w73BOWRMZgpmcXEq+a1SUbqaHiskMYRTKwm
O5eAlrtVh/Et2gylGLe5ahfTDO6Vq1GGeBJ4reBaV1N3WsiyCZ6najKOaseh2+WUw8QJPwsSgiUr
pzqq47QEvtr747ifXebBzrHdKlz5AhKsdNk5qMRR3AylW343k97ZqQQD3plmEt66JByQy6YDFOhV
RdsVmmjIOhna3ZhToJmUvP2RaDOS1jcEmD5A/H0Hc1/TdqAwwYQm/K3YVMQ5W6nCswaObBoU/2IJ
F9l8FnZQt1QLpHltd9W0n4Rq7AYKWyV1zFE9TUlr9XQlAaZDnlqxbkmfABQwSR3zmFFdGooZDTzj
eI55YjgEdtzOpwnr8pogrTxbYhMergtp5zv8YDWriz3ZJ3iG0MDUKehz1tHyDvcDqdkOJ+iR6uhE
7dPOzwpXtYk37a10O2h+AyesE0dQ76cjX3e6i6E2zI0sCW2FFKZREQwCcRy2RrEFJ299DbKa6Wn0
cAj9SUuOK43yXAj9EGOVnRkEp1tmeDJWjn5TYPxa9f5AaaZM6n7TJal7xj6leGqGqSXEGCQdNME5
Dw46iMtRPxj3gTakD2PQxVcuJdW5SFhvFUhja3R7xd4lXKOakQ3uP+gd/E9OXP+JvQNAUJTs//1p
6vgxqcPHb/337/JN8+Dnv/t5kLLFFxqKKph7OsL0hl0aOz8PUrb+BXzZC1Vm7nw7gp/8cZLStC+o
VYDaGFTUfprz/zxJ4einDYGgwHZJqRKW6v7OSeqlifv3QcqalZRIIOyZNKCTzeUeNJNNiPFhhZOX
o0RGe6veuCQHHwdZ9YCSs18QlwUTpM/Jfm0hqYBOMm31lq2delzU3b3Rx19bWZ1a1TRuCOtot03Z
nMdBzuppaZFXULfzSlnzzjfT+8apcVKS/NibvNG6cY+qF/d7y0YMw+tS7+NPpJVvm60vX45oJNoz
6B05qh5qkmOStBtMkcIbCA3QqNkn/o+csiuohE+ah4cjCe4k5V7N1fjDo3bQowwUKlldlgnYMgVY
8JwkbeWY8BVPk5/p4V+0+3/fMs69yLQwDvJfdF4F/Z63fUoYnn0GEUbxcqt7tv2SjOcsv2t4FS4q
Kmd+xxExtbrEU0tLejZ08SW66W5hB2W44cTcbKdWbkRkf+VvXROHfkLy5YTHv7rnxXRUWPYjcXrC
lET9WcVTBQN2KY2Q+IK8PB5FQKolAmBWdZVQprbeGfVcgGd7wYY46r3QHx+tbvpaltGDUYJtSRPV
/ORya/O0PLgGlBIQdNFegxelH/S7fBNX9miwNheOswljkm8zAmFk2Kw5Am7c4l5m1qNCZVgP2VlG
PkC+LvuWKuH3V8/7+c8RX3s5XwZ6+0Hoxxq6YWPnnI1lBx+EkjR0ycCketa0hLCXVOA6xb53Akxf
MN6eaZscIU5k45GiFJyuC3O86PzY3uDDTheZq18YbXXFbs4bzHIjAvtxioOHbNTW9G8+aaTrs7fk
9Ye1kXKwCEG5V23bZAl5O3NgPzkK1XSi3NSJ2C6Y17baY09Wr0rFgk9Dv6UtdkQMbKfB2kSlequE
0K1A3S7CISQ3LPY6DcU3iGniwENCaK3rXlafKR9/ubt8TupEOjlePEpIQQ4EaGZQQvCNbMXrovRK
0ude9xmNu7IfznpyJWu/1hZZ3KsLYTU4IavpoSsnhCHVqmW39/Ednq/JwTV7/VkOxe5oQbSU/bjv
+TQ6BqlS7NFwNVNZdvRN/elwL2vS4XiWymwS3ClbP+zk2mwAnSmli8JOl+S/QBYLBwNnm/XMCnFF
VJu+dkYiiruCsNxyzsCCEk0UXPhgj+Rm4/CuV0HPgSp383u/BbgICSGL62u8vckRWK102frusPbN
6MLN8Mw2sbtQjOnYaTisxpZPn1TLqQx1nPn1QgNi0R4hEow5GpmgCAQYAFxsa4KXAVZDvd6ikib+
xyxn1SjVY3ywxqoxpvOPb8TbJdZGG48hkJqQxbtKs3FQvZ28o6ESWd1wI6ZJrCYRrGN5OuB0TbJP
JKnvPCbU3BEgYWtiIFycb0cyiSHEQMczbcT2ERbq7zmsAO63JNDFNQjuqMO7eOivRDntGhrbxqh/
9R2oGV3tP1S+g26x/hYQzpqrybZK9eumqU6GIt18fEHEr1Pz7eecJSOvFMkqOTGBLsuE1AXreNT6
dZ3YUK/i7N7nBc35ueu8UHbRIgRdskiH/KQagHY7ErTtBDUOFrlyauHaWA1DaWyNOOpOqrrKgND3
ydbMHR+gryX25Kklt23PzpzzxGlX9N1CSBDOdL6GhaJzrM5dBrbUDg7qNAK2LMWsPxhBSZN6DKSt
aTe5KO6GJn70Q3boA7DnB5gMtzqBP97EzuFHJjtS3v2ggpdRBke5VUwc3NPbj6/Zr5OI3Y6JUmK2
W8yS57eXLKH10RKC4wKo808b4iHNpqP9YG98qa8/Hkp7b6xZKoIe0KCWfqg4BMNVUvkqOD8QkbJv
2+mOeopxJKsxuA17TczwjYWVjyd18COwo35ZGJhqdZcXbN/QrZ5GkmeM2KzOAZF+8uHmPcLbVQax
qMlTizaFp+lw24d+QstMh9ZhnKX7MVjbpnI0lTefXIH5kTwYBYMEixheShuv0MFOpdKToO2sNFjF
oIedwR62o0lpHmTtZorCwhvr9rIPpHxMS/Mm7scLszZWsUqd0RZ5C8QFGGBZRTldqeGcbOLwmDSx
ZFH59mfq7fc+6Yx1pLUIwAo/8Nt50cSGTzZE5HuOVbCqRNmasKyFGUrSKlSqlVZor1XVP3L05pP3
y6wqe3ONZke6RSAu8CzVNg8XG6qOzVSAnvMyad/6vc0SUy0zt6BxqqMugB+efWYK1N4bE++WDgCM
Nyyq+7ff1s1GVdiJ6Xpu6W8yfaYGU4reSxTGnh6xtc/a5zDpbspQkA9lPeqTHi595QlOQ7AMlaI4
dYb8B00/wkHtZRRffzxvxC/7FPJhLBR48yKMZPfl879a2Aal1ApVbxSvpnccxTBOTH/txzwuZBoR
C5lM6ZFgEkFe+BGb4b6drIe6qIY1NKWvVTkBBrYEvdbuRxyG62xQ10FXEMaRROe9hZQv5CRvwt52
ZfFMrdBZ2YQ4dKSq7Qp+PEnR72NClhbZUHvQd8t1Ytbfx0y9bok/0moIkmO+7mh9iMDvVx1NkE8m
xYvT9M2sQEzGsWXul/Hs4PB/e4fyKGo4bYS2V3f2tZ6ZF5NTbO0cHrVEpLhMXQzKlFxP5BBQ8PT5
fwpzhiin9aoJ6sum6i9FRdFFVXRnGSViOegVL3ibQI5MvbdLYpAyt+7RSlXHQQ00jRbT6JXE9VY9
CRTEYhzbASFFke8/OmYB9j5wrjrD/Uo/40QjLYp4h11Fuk4XIwbrVbIrpnb6RgaDJNOuPK1auKJ8
UE3NztJ0OB7i+DghYIZsJvLMm8ZTDCOYe+ebprFOCiXZlJxBVoNLFDhB6NNa5AaUfKNcFURgLtQe
5E2TDR50xGEdEkRpDATR86O9bsrnvgrOivTentxV1Hz/eDL+8pKlAUpsF94OxH9YnA9WhtbKfRgE
BvsxfVlOW9PedsW2RAZDcO7LSP/bPev/Q91oVJS4HgST99/XULzH7DH/12P+7V+UWd9UUf76x38U
UpBMctBT2ZKxUhL9zJ34o5CifkHNh4ZpVsbOFZG/Cym6+oWfYOrm5KNreLv5LH+2pNUv1OPZCXCM
JJaVd/TvFFJc/WAdx12NNplVFU4GoT6H+3ZZKSW5P5pYaXH0o7WtU5s8TUkyRuyDbFVjyGUjEsQO
5VkU6Bdysr7aFcF17kPYt4g0leAIyc1t0loblOhrTVFWMYjsat/05hKuAyKU7iTs1dtSNzbkU60l
eS3xVCGfI6fTXyEbOtKqpdU6a7rCq7jMj9O42ooy3SWWcWFV5qlpkcNQigvha6eiWJCF9jQE4Xok
tdJJyytHkVfT4INON5YiLLAWq4u0eZrSqzEAoUW90hxQqov+xJbOjm7hsSbFaS6GW0l8rWzyc5a0
lRzHTZpZFIwab9T9a/aDDsovcV1bwZao77PMF3D/QjejU1ttJ4rCVEjTiyYgw0fW8TIyu4emcq/p
mN3P+Q28gAWp4NauVJIVb8tnhTDeUmbHc9Dcq5l3/nN9fX2afzmtv152X24idnKImMwzIuffLruc
IPU6VBWxYms255osMhs0YV+emeN4ZhNWsAhDBI6TvVI4WHXcmY8/wC9beqwBLDWsNyY1Hsxq857y
1ZuP7A7QyHrkr5Sc5p+MjrF6rYmHBGs2miCYQv1M+OR4t/50HpfTLYmVxjFbT2WXWQaBiYvvI/2X
NTt2a4nqKFrbmp+tyIqYu+Zbuq0JbLdA2also7KpBtVlppm3gUYFZoj0sIXTp6vecGl5kPJUFL65
9V1aDwPwPDQRKgds/XmkXbAA3XfREms01RGBhrp2Z5T6ESLbEyduj6BrlXtQOMFP49ZvLZH/Pc3O
v/1b/4l15llszjnh1Vz5RaPuPX6rHl+WydPH4LH61/ax+55GB+vlH7/lj/XS+ELD8e9F0WAX+Ffh
+WeREhk7/j68zX8VnlkvORe4WPKoLZovtcW/l0usU1QmhApTG6mQ9jvL5eHZaJ7n7O3wevFJ8CEf
nMPiuNEHttz+qpdI6OJhQ/jpWqt1LxnEJ8dk7fANzssCoIvmMCDoAN4Pb5+pIFNkIc3aX6GRXXd2
dzlm5Zaj8jovzPXkll8z6pNNf+caa8WezoKMePjQuIeJxbZ4OBrIEEP5uX11995bauY99uul5uVT
GfpsF+Pj8Xp6+6l84h5dKyv9lQxHchPApVp9s+yJr53Tpydq4raSLXmO1w6BabRAvdEX2cIP5MYk
5EGXFx9/IP3lmh98Iiz1gPYNXmG8FQ8+URbaUgGBQlggvaUNkN1dkJviEqaifzaECEykqaRnMu3a
ajFY0z4q6KI1k4lEPunw1YX5g1Ll5gWSvvTIaB0fUz6iUTtfy6EFQZb3D2RSp+wX2QAurCI/sbpF
lPQoSTqiP8yF3s4BMcrKYF3SQ3cxZ9eWxeSVobkkEPBEpeZNy3UtRe7FKfQzhBdtGO0t5bLXi8uJ
tCD0LZ4oO4Qj40qhttW3LlUYfR9Y5JKVBB9a+jZCIFxW9/jIiCilz909KfkR+EWYtr2xl2isdbFN
3Nuu7e66NiGUc6zDpRzsnWg4obU7ZyTXmPBpg1dcVqdw9IKLCaKrHZ8SXLmc1ImE13GV2f7eJGAc
HPHC9dPj0eyvsi7fG4a9pke4tRIittusWZexMxKdTeyIbnvAiZYKwYitqE660FrXxg9S1zxHMGba
I7Pv1gYR77V5xwlqD0JuaefJTktNiL8QJCNg9k1KX7XYVnW/DNKay8MwLpEpZX9ZVOYF93MRgxRo
GyvjQNV5tjks9LjytPIptM9IyjvOp2YRRUD24SyqqsvJkCezc1bUlpZKdJX0xVapTkdprwmueuzQ
3QvxVA7FQ10/I7lbBE5J8KB7VvsYH8bzqMq3yN6WmWOv6fwvA79uT1XXlFdR4z8EdqacwHoVnt0m
Z4qMkclOiM2WAVNLhxd9jqqqeA4glEccf7hoWSfJkRvy9DsHsfBCn4Li0TUixNKGOT80/izC9cOd
3YsrW2v1GysBZ1xTyPzadzmxPMSZb5DcoSaxUjW4zWSSL1MAlYjOchToegJ/ksyVNrtCOtuuAdMT
VVzRhF/k/TBS9pTW8Ghy3NpSEoVSP5RdcBJ2vK+N1jj7L+rOazdubEvDr9I4F3M1FJgDBnOAqaxc
VrBs3xAlS2LOmU8/H6tKtkqW3aebxhwNLxptS94kN3dYe60/oDGtf8j72rgq5SjbZW7+0hY4ps56
gH/9f3SW4BihiOw/aH/p/I/MLHmxwP2wX55tHjaB+3J/fLOB/VZpIZOO7wgqFaiZDeLq37ZK7YhN
T0b8Q4NjTSaCRXFfo1W0I6J8a0jakEmE+P/9aKHI7KJoIHFgRKtGGzRd/oq2+pbh+H1l/oZ2lV6d
PdWQDKWEXdIqbIwIhAP7yAS5Zscihxtlg2VG3J8aQmwuKwWlGrHUjJMEgaBqUuulf9GkPfM3NkF4
zvzK61dNn9UzyYU3mHUBzpBBUYkC+X2dw4kfW/NaTd3TOsU2vrWJDlel4vhfFM1uL23HjR60Pi0/
ABOTnKmQ96YBENbHshS5ThIgUtXYXxD6luCJhFGysABtWJNajdg+LbkX7hrmiDQJkONDjBnL8gKs
mhxg3iXE7kXmpMrSyM2+wUEqtq5hfzkXbWpoCDBLvnZaujJMkFJE0rxOReumwRY2uHZUq8azN5TD
Fpe5c4WMMn/KW4wPdTxEIayol8jCKjOj67VLMzGKkyqMsanFzksFFZQrPhrxdXCPzbKGe6arOOm0
8B3/1E8t/Qwbeswzmjg8kQQPs8II/BwQYNFJyfQnyjUqtMEtz2HjiZLHFfp3EDOMCcYomEnLaqFX
U0Bt7m0sxOKpIwlZsJRhESD53Ci5DfTddNXLEK34wSs0mae4S0YDqMhzp2KLvxV1TDWAH6El4p1P
LrkDSxc1PZAciA9lnrWf1NZ3EdgxiVgCCr1UHDInr2CUiGa5smphSPpkbvNZRO41P84bnNkvlFjo
l9im9Riue+atW2TxhSZ7NZUtMwVEF5l2ek/e2K2XYRiWzQJPUv9EQWkeFZK20o0VprjKlQouapnU
knOb9mb5Ef3mNJzGTqTegNIrPXCHrjqX0zhs54hzIWlPxZr/olbAhwf8cJEEqoCAqZA8YqwjF597
xPK0WZsKKgXruJX0EsZyZFdTMYwrAgQt1NuPgd6V2imobVBLfozZ6bAXSEuvFAZ3vlT6Umimdx67
+NpMvIyi6+CHllWrwNMR1E0iT6c+BWh8Vati/6l2FC3nq+ENM7dwBb+p0iQ7R6FZPoZQaaWrCsBk
hFNMkDSTKAhj/byGo5WSO/O6E70NM+z/skpTPkh9kj2UhV21UCbVLkaFt8kULPiKeA2aOP7SoKpB
FTiXtSfTimIVw+tCt+aWg6MNNqqm2V1m+Cqz9TZolq1Kx5HveiPJP1RmXMxyI4/PcGI09UUXeZo/
U1toO5aLt4wpVoE50fXC3lhNBhI6pufnleQiJ5xHlhbOWzargMARHCVa4v3CyKv82OqNAWKOKQuW
YHE7z5H3w1FdwJ679NtKQgFZTDYKirny2q+dcG7Xg1JGKrfrRAypIqHX0cgTuHtwadBWx9Mryty1
DarqWAlMhL/FCDxpx84pESwBiUbdv6Egb9Ckc+t7Ks8k5Qru9IzKYpYRIT0loSdf5Qpa95NQDPRZ
iJLzTECgmcgAU7M8bwXWpLycIxSdOlObcxWwPQcakxOX5bzqYUoRWJNm1JikGzcU8tMAJK4zaQEZ
r4RSsp461bC7JeQqjqqkaoQbdKtpxXQL7dhhfoiEoZIuL0ulsk+S0su/YktalcAhJeeqE5vUmSiy
Z52adhIfp6VIfNi2ibIUhaKaQvsGeq8AhnZyOZvrsgsqMfaN/lj1XZ98pVHNrQSgYEXp45yHVk8o
R5CQxb4TpKkVLwKglMJMK0Pgpw2uw3AIM8I5wwEg4AcVJNqKLEQED6CgzIbDdIy38AcD5Ym5hCQy
HERSyqci9qnkhwN7Dr/hviVSXIoev5JUJSBwy3K+4L5Q3nciShmIOaPO5XRy8MUpEuOD00tFi25N
5J80iRAueyGKpp1TtjfwYtedW0qf8Y9yP2hePpS2WiNGVl9rcZitm5Wahs6prqcB/a57kN9CGKvI
b6NrFojyXZb3qHZi/kF50hMi1L4xrnSwT1XR1yodv/5qAVm/1+oGLqBQOPPAav3inCW4YhBBd6vy
muhdFlAUnzlKjyYsTm7eRIy85AbfXnMBdUBfg0JUr9U+UY4NvRDWCZSAOS6QTECMKeqbTMAAdOIh
enFMWpvsf1u7N6nk2Z9dXe4hVNogcU0LbZpJUeEuPAljMbqIQVeeKLarr2vygPkkY85ivaCLwbkm
KKDkPVe58IhczYkd+/5lHmZON9PECHKniKgxPgxdMbMrv7zu5NC7JVyv19iqa1+Zu9JacnPrESGa
YpFb+J5OdLmD6CU0qnQnl0nJqhT4x1qm+xDGRGiacFXVaVSaCmnViqpUZUb+MSulO8NoJAKrlUVA
FQTIyikoICTy21Mh5GXZgDPc2TGBxg3RSfS5FirVXZ6JzGNQRSFlLrzBPTjR15hHmzelW8Fw7qpU
puDrNvoC9Qr4MYrcnieJIA1Gzw25MIiU8Y3EXr0AauSvE1V+MoxcKZieXQAu0wzym7YSSgBErYHJ
VaWbxx362Pk0BIn+UQu15DEf0g+koUQb5Jhl+tOqTkq8C9tul2b73TH0/6voeMioELjKVJrR0doi
on6VdH8rm/TH/wxZ+J/l40m7/3iL76mmAYxILud1/Dyk5gHgaUN+C3WCF/HzkJoH44I2wxDOb4GM
L1Lz4F+oTiJNt23yL6kjSFvJmO/xMw++zc0zbiVdlREIfZXZyGCC+o4ObMRubqsuObdupIWzcJXp
ECXYWKCQdF6IxZVyC3/Vwl3Evy0yj6Pqnd0ShdjQU2p1KgbRF8uuYQGsEHaaVMLCMHGTQM3cLqJj
17zvWhW8BQoJlXdXNV9kr5wL6MpDML8G7TVBG/RScfOFImDR84Szabiy9ZtavnAe3Bi4jgZgMOCA
eZ4Qwtn6EyzQaZDLoDc4zaIX7JdEh6J0wQo46xphGiJMGemBD/2aQFOF0iwsiXvzBVx/Z5pU4UXr
folBgetxcy9aMaxQ8QN6Ue7MY6ObaEqXzgtwG2r8tQwvdbNmEamDEmeZYgK/dUDqk/qYNIa8lnz/
2gn7Y0XJF2InrwQ1OglEkER6dKa0sBmKNL0sKo4BxJ+QtYW57ovrEN24NvXZ95TkUYPCMY0z9bOI
+xufaQ5McZ6gSuHbzUItgkWHcEUO1dvHZCYMinMsLdZIzV9gLvE1MPR1m/CsTYcHAcK8mLF1t4nQ
L+TImjuqShKR49jE1cEb6jWt4my0diJMHDIQSmB3vIuMdIjf/glWCKzfqzzeLmMvIrJMYQqM0qux
FdRi0UK6sOZtH93mpZDgflGs21pbsVjOkSDLZqGhE5zGyzC91KJ2CajztIyobHeiwqGiQEnAtq1j
3QtXgSAuvKpZwEexJ5WtrJU6wfhNu0ZKOidPSpykeKdZfCpW6jJP41Opo1JkztmbYAr0H7TQXZkG
bnSSdVHyCdPOe1Jz7UoLPgt084AG83KU6Xz8U/B2yklgZc1gYVicQd6cyS2KFrmwSntxnWv5olbU
dSdaZ7rqnLddNbHaaBm55Y2f2lis6MveOlGlLzpsJogOJ5D4LkQ0wgj9nYxjHOb1FqMyoFYOCOnM
RPAiC5eCnQMTM++jsluFIdL/gy00Mc3A3urP+racY1O0Qdl+kSBHEdHghDJDMRGk7oTl4k6WnQs/
vpHz/BxrolUhNTdx+wUv2fY0hSMC8FYyPme2gqiAG34SfGXuckCAV+BPGl0llWNRvc0fOGBBJMDl
x+kqe0Iwp80sQr7TrMnwN+m/vMg9vJHtlYfC0cEKxNIJjlERSbeLAzf2MNvbJyha5U0MAToJHh10
CWy6z86lLxluvH2dn0hGfpXZwUVf1ZdOkR/7TXvhedg8BUW2KDPjDLiGP/OLFBdbOAByxNpVXhWm
Fc9ceIo+CCo4W38yutWtftzL5yZLDcYMuSqN1R/xm1e58yLNsOSQyO9lRm4ghaKc2AEPDDUPkUgI
lqQdUX02lyXrYuroKyFikcqkakMeu03jZeaG3cQQem2SQ5+YphzuTyUHh1/ZwzLUJ8OuhxedV1+z
sC6VsF17fnWN+dFtrwwMFfnB0WCPw7i3FbOcJYgvTGwv4MY6B+YWOOvEq+UnsSLl4ZSlcKZETclg
THGBS5srt67XjVmdprrtTDw9JkVnE6DoFomKHpuOoL7RpfASh61+UmnpUyz47lxT0pumFJ5wVgnR
Z9efdCG8LnT/E/KOyxw124UmPaUhxutYmloxT+BkmFIjZGNaU7SwPjaRtESsDEGY/L5xhePOg4Qb
NXNAq47YTMXaBZEBLxYcHNolKPa080grz0XBW6Oe7k9SUUYswFoJUhxM3Kq6o5R6m4nYqsfqpz7I
bh2vvcQCpZ/Vw7lEKAGJkdFxxJWGTo/mNivRIRNQ+l9tMb0GAn9SycqMswh2R3i++ebaicXjJG3W
jWrOiPGuI0nmSAKTuhI5kkr4J+GO7Ljigk9/hv3RvIF/rLfeXdhmq5ozDGIoU607F5OzEj+hotMW
pQUGxQABXXzy++uhhBx45sytTq00OPZj+46cqL/sOMdM8UtdZHG0NAOsiJo44mBYPgUu54RSX1ei
Osty/3OGVMrEKvx4JcvoFPeKmgHqMco7PzI+JM5Ak6FEG+dNA4qnXnMmxrMWkLsgP3lmhMO5dafC
NrCF5IF65yKt+ngoZ57FTEPOVMm6zIKV3GsLP8G3s9GvArI+qoyaQk/2OOs1lBSoutpCSWapWqBA
NrOdImZn+gQ6EmGDdhVV1ChQSqAoU0a3iht/cgrtrM2Vj+gGJ6jDfNL67KaNqnLOqD7ObOOpl5VT
u3L1eVMgFBFKDiRLhEIqdI5mOM6Gc03tzwDNTTIdHnVGeGHk4kYtOLrhxnSVKN0myEggBVX5CSoZ
JGlwklOPFHuulrd1b57UBpA1RfTmQnAcyNpHcpqovkgtBRX/Rir0T5VcnYptex+h2QIVNZxJobIS
mnbWiuIaNaVZoNkfoxK+eY4/lmpd6ZVw7gSfe07wCX6tlu1eFLX3ARmiecdoV/30qfeACtNjbWtd
t51yJ2feMin741zKroCN1YH5ZPXil9ahmC+3C6myvvpUFLwIMyBH065s6zHiXGhYc1W4yM2LVLrQ
lMu4usJedZ0LET6ziO8owOHkSembt+CypgFRR9JjvwV3rk7bmew/Bl5HJZsjTvHJIEWouSiwkGgJ
n6BczyT5c+VcG0601E1Y7uoHgfSEU1ASqWSGi3Dui1ftQNZ2+zPRDidGB3+ePcrDfzU3FpoazQMP
Y0QfHyH9Umq+Ur7AHE75VFakXzrmdSB/Mq111OIZGX4QHegArJV3mS0H0wrXXMe7b4pBPuip9eG4
pdZ9qyghedLiHs0OBJ4dslTSQ934ODdbLqc3oKMdqkcTzWpmcoerhpWYxz5WkxNk9JHTcaKPXgdD
rJU79UHIZQlHFnOWkJleNEl/Sk7yxgVKP+t96cYKhM9J192hXbDVK+ptGI51ivGSguDRsVMG4TwO
TaCWelzNEIb+mlT90uyNFdTXiR55+VQ0Cacct70WVPS5chF7Q1EdcPibUicclvJjHebptMIasNeN
+6hGL69xH82uurFinOoyX175fufMkoLQBF9CgMuDB5wsAEOty5tQgbCITD+B+lmSKk+wxKe+tHRK
/URVYdIk+XmAHyLh07mbaVhWl0sT0AHMSsVZ5CosXbXRhFmTWd6s1HJhWqhWOQ8DaJ7/6fYcZo2K
MC3VrHUgD8pVZnXjidGnvHfw901cGH2FfaW40gl9482RTqwncgrSITGMkiIb2jmiAFFXjfTrbXTw
G46jI8AK+7sPhZF5XHpl96F6zLurRyy5y+K5GjH8dGtTdpP8vV/6dUN7lb0/c8odYKgv4qlvD7V9
4l+1EW54seoBCT9JPIIqQpUf/tXu+scfYRI7+x8b+pEqAqlUJTIIw0WBh9Pxiz76WS/8+gV33fnr
3zl4AWZNXA6fwaE6/rI6tT1YHBzYt0/0Yxe8auF7F8gUnZCFxAlqQLcP12EXWAPcDQwEfg3bC0jG
v6ULNg+RFw8e4bn3tTzoAmAHpqwOxI5/pSNetfOiI5Qj4FMkFiBVbi+OZC/GgkndjoFAWW+Av3Pt
xt7//Vh49QKP21l6/DAYBg7YxlF9IGlHYMk1yQRgs7sO+sCwjixdI1U06PgM1w579K76gMrpyE5Q
FL60MZR0314UtCNwV/pAKNp1wrubEYPM0cg+kHVWhYFDzFDYXQcDwZKPTHgZW1Ot7Y/f30DYwoB/
KPb/ZHV8NadeLAoqQGAIBWAH3uwHhTylhZgVXJjnbnpfqyOmZ7tNa2ei93c2SVk7YjpgAqUpuy0A
xMLhwgi8Qmc3/nftjq++3vcVcQDfQ8wZORck+WjY/uG5s+S/ePFhEpCIhhv7fWy8r4+/B9KP7QCF
lDtAF0Cf+zDocAAQJQ0eghDk9pPg/e2M+xBh9KoooaIA3wulujdnAsoM6sBX+7fFiT+dCfuRQB5u
VHwgm0foRSMYze63vV6NBONIkoAtsVbsVsN3tzWylg8C7eM6QUeEG4w9xJ63OsEUCR/QWADuvOuE
d7c3GgjcYVM2thtYFvGJtL5tfa8ODtKRBkIbnXLg2ttre7/3FCvClBg7IRRpNxagCb01FgxjANPL
YADf7+kJlOLIkSARJEmiin3J252gH2EkYRE+vNcJQel3sLgYtypYR5KFkosKYv9FkMDmqEB9UEVs
SbbXu1sSMfQbCE2jXh7hocFPWmdVeXMaWEcQcodS/+6nA8uN+72ntcCCMDyyE2TOjfAgOEDvP/Wr
zREJJrRs4Q7uN8d3ty8MvqBjp4E0iPliTQEb6M2RwFogmtha7RMIg9H5+xoJbFfibwiYUcshTTJA
sl8uBtoRqUS0DaAKbq93NwQwSh6dPwGhA+p9UKIZpMiG66ATTPUIySOSC3TD9np3Q4BgWeTAM3Yq
sB5gB66B5j/MJG7PjbqISPZ7zaINK/XYOUAGSUPGBGbY99TIy6lA5oQE22CQ+l5Hwf7QOPa4wOmZ
rDEcFAAC2+twNJBTxdoLz/XnRNu7mw6kvPXdQ/39HBIBgoj+kgiQ5WAxMEwqLAgOgxd5bxsBoJv9
Q/3915aNI4AwHDPk7ymiF5PA5O1xiCCbvg+b3l1wyDeDtbu1JR0XIBpHBEV4Wg2iLC96gNEPrmnI
qOzXwt1se0eRIazWQYJp1NuzE7DhgWc1DuMB0zhC5ggX0+fS27ub+7u8kTJ6K9SPREYSh+Q3SyoW
IQEoZIM04u56d4vBvh/G1tdIpcOQp4poPH/xg9lgkV/cSheh+7q73tuiuA+Ndt9nxLqoAOLWBlLm
YWxIBxiqPIiy7BfEvzAh/oU14xuAAfnz8GELXfAei7cQDj/7heea/Y8/39frt4VY0L4HvzggGXb3
3tUmhj//8yBXuz0Lv/jh89l4e5/9P9+/4I+3PrjX81s9/+XKe8w3+VfUALaF4v1j7hwMAe67yEOs
883DY+EeFNW3teTvD/Tf/zh43Bfr4S/bz6t489XdhG/dYm8bs32qN6Ee35bcX96iKDbRyyffFT/H
PvnEczf5y2Z3dbSxza42ebeJNy8b3ueeRrfsRT/taWmX6Bx7i5NNFFV//McmSv/rj9NN4QLeOngR
ACQcGsbe5XSTx8CLgsNOGrjUv6FtpkL4quEtiGjsQ/+JovfIMX6+eXC7t6fpLm019vEvHzwEyZ/7
d1jC9nmAsQ2vqwck/x7zvDtofJdxHN947G/uDxve5m7GNny18TdF6W4OkFb7M/HYtq+9IPAOFqz9
OWNswzebyAv/uNg8VC97ZH92G9v4bVkiHvTGPrGvp41t/+6xKP+YPMbOJjx4+l3sPbb18w2LOQtW
eWjWu093jm19WWHDsjmApH0rsI1uOzmYlUO7aBk/d9GIXTN++MbXu/C+Jvd83eMiRE6veG58WAW+
4SfGvscv/eOGmBIfAU5+Y29z7qEDcBgO7ANWDjBjG/+13fPIJf4v6XSNvNegBDZ86ucu2YasO7jU
b+im80082GK/0fhv2MDPHx2iyU13MCv4xCgcDSeJsZ949hi63nMz37tlEJod3fS3+fZzvcqR33XK
jvXgofJ2GMlve2dI5459hanrbsrSK364w3d0zdhbbPcZBHhej87vqdixdzhhK/hp+79hCN08MrWc
1zH+9yza2Of/VwWKRo6lt9ejv8P0/uWDvHWk/VYX/vGg+4ybf+ufHZ7ih9/4Gj5u8n/+LwAAAP//
</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0E72CDA5-7DD6-470D-9B1A-9F36A6F00C9C}">
          <cx:tx>
            <cx:txData>
              <cx:f>_xlchart.v5.6</cx:f>
              <cx:v>average_pollution</cx:v>
            </cx:txData>
          </cx:tx>
          <cx:spPr>
            <a:gradFill>
              <a:gsLst>
                <a:gs pos="0">
                  <a:schemeClr val="accent1">
                    <a:lumMod val="5000"/>
                    <a:lumOff val="95000"/>
                  </a:schemeClr>
                </a:gs>
                <a:gs pos="44000">
                  <a:schemeClr val="accent1">
                    <a:lumMod val="45000"/>
                    <a:lumOff val="55000"/>
                  </a:schemeClr>
                </a:gs>
                <a:gs pos="100000">
                  <a:srgbClr val="B5CAE3"/>
                </a:gs>
                <a:gs pos="52000">
                  <a:schemeClr val="accent1">
                    <a:lumMod val="45000"/>
                    <a:lumOff val="55000"/>
                  </a:schemeClr>
                </a:gs>
                <a:gs pos="100000">
                  <a:schemeClr val="accent1">
                    <a:lumMod val="30000"/>
                    <a:lumOff val="70000"/>
                  </a:schemeClr>
                </a:gs>
              </a:gsLst>
              <a:lin ang="5400000" scaled="1"/>
            </a:gradFill>
          </cx:spPr>
          <cx:dataId val="0"/>
          <cx:layoutPr>
            <cx:geography cultureLanguage="en-US" cultureRegion="US" attribution="Powered by Bing">
              <cx:geoCache provider="{E9337A44-BEBE-4D9F-B70C-5C5E7DAFC167}">
                <cx:binary>1H1Zc9w41uVfcfhhnoYqYgd7ujuiycyk9sWS1xdG2pJJENwBrr9+rizZpWSlLFW2vomRoqMrJCbA
Cxzc7dyL9D+/Df/4lt2smzdDnhXmH9+Gf71NrK3+8ccf5ltyk6/NXq6+NaUpv9u9b2X+R/n9u/p2
88d1s+5VEf+BXUT/+JasG3szvP33P2G2+KY8Lr+trSqLi/amGd/dmDaz5jfPtj56s77OVbFQxjbq
m0X/evve2nUTnTfr6xuTvH1zU1hlx6uxuvnX242Pvn3zx3zCv7z8TQby2fYaxmK+52HCOELu3Q96
+yYri/j+sXT3GOeEYUm8Hz/k56tP1zkM/yHVm2dI9UOm9fV1c2MMrO3Hf/8yfGMh8PT87ZtvZVvY
212MYUP/9faguFbrt2+UKYO7B0F5u4qD0x/L/mNz///9z9kfYCNmf3kA0XzXnnr0F4SCZA3Sxevm
BeEh7p7AHmFU8m3wCL4npMuQYOIOHroJz/NE2o7Nw7EzYIL9VwXMyRoUdG0S28DReSnFQd4eZdiV
hHmPIINc6RFM74Dx2M9X3ynOM2XaDs3G4Bk2J68Lm32Vr8F+Zs+xIX/PshF0Z9m4xFsBEnuYcIwI
l3eP+SZAf0ew7Sj9dYYZVPuvy779x5h1/nOTXsTzgF0j0kPyXkU2PI+H9yQWoFzeds/zpDTbQbkf
NkPiP5evyqD5CgzaCyLB9rjwJEOMbNMUCY9dj3Pq4Z/vvLNhT4qxHYL7YTMI/HevCoJDQEDfOvyf
W/ICCkH2OARi2PsZa8kNhQAYGKeIYH6vLzNf/yyJtiPyYOgMlcPX5U3CNgVPb18QE7zHPcw9dB9f
ed4GJgLtMU+4RMJH7n5+vvpOQ54hz3ZEfg2c4REeviot2V8347p4wagLe3vIk8ijEE49SFMgDibU
xdSljzjzp+XYjsOvBcxw2H9d1uo/xXXSrF8+e0RsTzDGwIO7v87/Q1i8PY8ziph3HwXPssc7sZ4T
+m1HZz5+BtJ/Xll8VVyv83XxBpzKm1P1rfz6kj4egSED546lC27jAUS3YRZB4FPInwjepUh3Fgy2
eC7UmwOTgYzmp6nb5vkexevxyebgQUr/qpL/ZG2tMi+b/mO0hzmX1INM88fPjJ3Bey5FECW7s8gs
SJ4nzXaYNkfPcAmuXhUuZ9fKJC/pgIAQQ8SlFPL+nx7/gTpJukexhLTGvWcFZmn/0+Jsh+TnuBkY
Z6/LDS1uskT9zmz8vQwfyz1OCfFcvp0cE3sIMSogsblDapbhPynNdijuh82QWBy/KrU4uYmBdFmP
L6kZkJ9AQo+IuE/YN0NlD0yZEFwKd3uo/CyJtiPyYOgMlZPXhcoPNn39wmklUMiQNLrgR+43fjOt
FN4edhmBrPPens0s1jNl2o7MxuAZNu+PXpXGHK7zvI0g7omOgErOVfNydowQyOyFx5h7b6g2NUew
PeQKgO/n45kd+yHZm/+1zqv/8+YZsm1HauskM8QOXxdiR+umWNu1fkEbh+ieQC7FlG6NxyANRQAk
8GjbOctnSbQdnwdDZ6gc/edV6dHRTQOO5+WUB7l7FLJLBD/bAjKAhLpAz1B0HyPMIuWnxXkEj/tl
zMF4XQ7nZH2djOvnJOB/MzIDi0YklCXZPR+DNpJOIfewlB4n5B6zGS/wfLG2gzMfPwPp5HXxAifr
QlXtC/obDFaMUE74g5z/QQ7jkT0J5QABZeVfGvWQEniGPI/Bcr+QOR6vK9U/UVPZvGgljOwRF7Yb
eOQNNfnBzXAXe+52+uwZgjwCxM8VzIH48qpcyXlbpOuvL+dKIFKWFANbicUGDhCAgfuQkNLfK8TM
XD0tx3YYfo6boXDu/7cobLbBPOj2uV0hHCcoqeJfqv1A8wXeQxDaECLu2CYXzPZDzf8p8OM9FH9v
off4zWi+87WGtqd18dc2n3MIQKG7adbD85c//M+2+Vw1t9b4BSMYTPYEZS60YW3G/ZAxC4oFNCjc
B5uzzOwZgmyH49fA2cG7evffHrwZMv+zQLxbp2tjoQb785BuI6L/ZtzC95ikBBNwgHc/m4YAPCMk
aRgimzsFmSHyLIm2Y/Jg6AyVd6+r5HfeXrfQOdk048vBgtCe9DDiGHiMLTQ4UBhALGEB9b9fjzfN
1nNE2o7Lw+XMgDn//KrU5Wqdq+x0fd2+KC4u4tA5KjcDF4jvqStc4JXAkT5E4ocMb54SYjsSD8fO
kLh6XQHkpdJavWQnldhjYJAIbPg2qyUBDQFdpNC/c6ceM/7oaXG2A/Jz3AyMy9fFEl3dQDEzftEm
BST2IO3lDDrbNt2Ht+e63m017z6eh8cb2vEcUbZj8WAVMziuwldlpT7eGBv5N4BI9nNzXsCt3/pt
aENwxWZgL8WeJ6B1h/6sWMz8+a0wb54WZjskG4NnoHz8r0P8/6eR1uka4ADq+wUR4XsuRxIi262s
nQdlVA5RFjS33/3M/MhzBNqOyp8jZ5Cc/v/N3M1ypPt7EA8TsY1P/N1bIHgP7ngwV7KfmjA3XEAW
cQGs0FYP8qQ027G4H7Yh+P/wFY+Z2jy44/HrkswCagbLH7drnv30x/Lg4s9s6L1x32q/7pA7uP7X
W8jF8QO4bufY8AobXbZ/DriB3Odfb8G3E5dA5UhAhQ9RSaG7pwerBU+AVAJWCcp+cL2HQG8veP2i
bGwCd34gXsBQUQLSHHobwf6B2TNl++MRvW04gQ5T6ARmBGod3q9bTedlNsZl8Wuf7n9/U7T5eakK
a+CdHJiR6u5zt5JC+gqhIQFqnjLweTAlrLT6tn4HV6fg4+h/1x3PTOHlJKwiRK/SmE6LdkyKw0EI
s+jSoQ27Ov+c6HzwB6CMPyuR58eYsrb2LfwfDQsP8ZOkpPpjmiTqtOgmfoK8QkQHw2QTzze4SVpf
NZx/xFM/ab8vMn4c6aRMfW3r4kB7Iw9j2U0fPcLL71Mp7MdkEnHhQx5oz7hwhnNXxpnvGdcJaF3q
VQ8FhcOh6fC71vT1ETVFeTgiIyrfK+xB3I1iWCDskI8OnzA9qqxJj9LMI8ZXkhZXWkWTe6AVdY7c
FF4UMJp2RZDwjgcJy6P3Q5nWYc4cdsS9svtSq8pmfupIrYJajOpDNEj3fcTG3lu1JIa5STm4AclS
x/hxNuFrL46yzOdJXh42ZohXrOP6dMJpQ/3UtOrYzVNBg6b0jJ+XIvfg3aS5cKpSe37eqvHCUzRd
dbkoTgpJdee7uk20jzuWt2exHdvvKFPOu4hk0eBnKurXFWI58hMn6rRvnLE+TQbNRr92ZV6tIkEd
HsRJpy/MNI4HvGflqh2JSvyi1srXvSarqhXlMWGGHaQIxdMipy5Z5SL19nHLGu0P5HtiM1HDsljq
+EVGm/3U0XXrl57bymCwLqCbtB7W/iRz9cUkqT4YaSGWo3WrlRFIXLLSFauOkOZ6tJlSsBtRG7ZO
Sr5VGvWfke34oVOl8RFLTHnB5Yjf97RoTjTTKQuS0RXOilVu6iyHtityX9M0NoFIOTtsYz7uZ3rw
zpq6qJY100UcsJLmh2NXiGNapP0hs9a9mFgljkjq9EvEW/YlT7rsKi+YvYTu1aTfL3HqXqjJaStf
gkXGfsoG7xSaJpKziruJ8oWW9oQ1khyzWuADFzl49KOobA9aM+HcL3rYUtlwne8jx0svVNz2xNde
NxxHvbnM3Sn64jWFPnQ0pZ9Fk/Mj4YzZfowbDNtUIu+0aWGjfCYKafyqq1kZFEZWBiZJncTnpRHT
CkV9V/jSTOTAdCYefcINXqqxa945JZ9WckyXbq+cBavqL1WVR4uIl/mitp3zoabNEDReeegOrbMS
bVQu2EjPrKb+AFc+VrlnEz9q6McoUcu8xWZVlqLh/iSSY6jm9ddZXn9DTlOf5ry5rJvqu6dMFERE
LzOvtX5VmcBOtD/L63ghWEUDlPLOh9b5Val4m59FLIdTDw5t4KseY10s6txIX9Fh9G1ppnBwR2F9
mrbssOF10LukB4OQJ2ThTTY/loLyJahh977waHHiuEnmN4iUYUZt215YHkWxH5Oskf7kOknvx84g
v7Sp1IVvpXU6OK5x8k0XYBMXYE3wsCzdyXqHchqSJCQtbI4vWOYMq0L2ICQMYq5fkhiC44H0rXPc
M9skQS+FvlakaFctSp2V5CmDY2GHEOWMhm5H3SWNa3SAGjEFXe+6YR7TXPnxFEXvBWxt0NpO+n3F
9ErGXt4sdNJj5btZXC+L1LarMU2nE8uUeynTZvoiUc2Jj1XTHeUYlwdERPo8wjJauWmpvleqj6zv
aIYzf7LuuOpHPSwVcfrBn7AAhSdd+7mimbtfa97HfjdptT9Gql61pY5TPzcCnzTc5T7Rntr36rj5
RHHD4DiMzaKO+niVV6VdZrToLt0MNZ+crNWHIq/HeoFTIULT1hb0ITbnaeq2XUAq2n6NhyJbQpPL
/hSzI6T1eGxdnX1qcGyO4njYbyftXLZVpw/SQup3o6rjM27c6Qw7Og9lUZDzujiulD3Iu248d61S
C6Bmu/eeR7qVqfoCB+kg6oNJV86pawq3OiJwms76qsmO0wQsfKBbDx3SPvsceZ79LBytP9SqLU9g
m/VFrif6xbKC60XduEMV1FkXncVJOx4n3UhTH8eTWaStJcteWi8wTOKTJJ+KadFHrVpSrz3KxokG
ydSx2ne66ahxOql8LwPopl5nq2zKp8tosrgJojzWH6U3kOVYDfYsTyg5FFk+cb/NpiowPE2va520
B6hrAaTcYeoyozGcstt3C6XIuS0UXsW5Hvcxqvg31CdjyKMYTJ/M8RiQIitaP0ODHcCRFs6xMHFZ
+zTOwq4Hd1819QqliK/GSffvEs+w2LdOXIZSSn3gTWMcRjSpAhVF2UenaKf3lkp8PAHJoX0kanxY
0ahugyIh6CB2ybUZXb1wUa+/skTWejmVafV+QF0W+9Af4BYLr27E8VDJ9ARLM0rfgG1lSb4mplBw
jHV6mtImPiOVIbEfTVFM/Lz39Jce7Gka6MQlznKMi/JCUInsQV+r6arEELz5Q5m3h65p+AdT6+79
kKLrpi3LKVSRcXwRZ+RMeCa+Ea2NVwVPbOGPeCD+aCilPu29Yckzgj+kjeiv4DZJv44GocDo4i4V
vtRuQX2Rsuq9GNPsJiOZDlpSZos8Ualf5RZ9TlKM+X6T1uTM1lW/HMCIDrEjl7Jk6eFUse6TF8Vf
vdjsg2rJo1p66TLH3eR3Trxf1OjSnQDnMS37w7GOTlnGa99N6zSQbT8dFGk14kvdgJLst55iR0OR
8suu0JHvmBaHaeHZA5mkEHSwSZuvVZqfliMBoEbcHODKYWGdgjP168ZJF5lKs0XBcH8RR3Cm29EF
15oTb1WBT3lfjmW2QlNTBrJAzXkm6PBeV5Oz4Npjvs4KHlQmo0tRMudKDmI50FH5DXS2X/SG5adN
H0O8R1T6EY0jPuiavF02XVFdF02qw16bYhlDuLU/iML7xEk+nkWIl9edwcOqN1Of+j3n42VDVb3f
phYCE2z2aewmx0nZjivdJfUXrzDT0YBK/l1MDgqqiJ1VuFFHuQPuvsA1+joWY1f6KpU4CobOkMQf
O0cdZXkUU4gk9fA9itz+eBrTWC2G3OGnI2/AkPRD+TXvGrzsHSOP4sixYZ/36pyPEEehOPJWwiK9
mlJRnbSR54SFKvIARZT7tRmucz6Zc1XVp60kdh+5lVmMyIFwwCrti5Hr49oW2h/b/hiCTrVIvYKe
ZR3O9qMKzHrpOnRVER26Qh2PNvnq0fG6Qt6ZiGOzyktb9qDBSrwrq6oiQV25aJXUzhHYxLz1cZYm
V3kNdtUvx6FQgdu3KYQRXj0dCW77FRmt8066I3E/99UkxWEXmSEUvPIA+zKj3yHIKtuQkRx9ACdV
h0Nv0Y1gfVwfTnkNsV8jtXfdtRKh1dSANzK06y+9jIkFndrpxDXOiUYpewfB5HiYemniE9foY9Mo
D6K5Ns19madqDMoYmcjvG0auMo3i/dxYAyGlFy16mx4RVvFTsAh2yeo4P+Yx7ho/j4n6VMGIY5w7
owkgzpxOGytH7VduLT5nEFlflg1ujkFfWQuxlx1XTT12F9qpVe+PUKI4oQ6yrl/xYsLLCCLchWw1
ahYDKrLLCeob9bLqq/hzoZP8mBg9uQHKMTslJUQoWtc49iFYzbGfxLw819gyHpjcRNw3rFdToOsm
npbx5JaOr6Mq+ejqBB01VWVTP3GpcxgLCDFoaw5KneWnnct4trAmP8EdFxcydimBAIwoEaR5kV/L
UaGvcdXKE+5p8blNUHsAbTtO63OudBnkcaKTICqidghoBrcWF0U7FAunrFC9jKZeXpmxSazf6GZc
DlIIX9hSrmjNQk972YKXVaMXTuKhYEyjJgSrte6Utb6H23KRSJqEmazyYFA2THB8jmv2vUZdvB8V
pXMwpJEJdO4cuFWyT5k6ncre8zte5Yssje2l2zfOsnAbFUYsixbajUiQUR06tymGEPk+bMQU9OWq
KCE2BEkOOSu+uyNsiYqdfcwH1wcglA8psvZV5jkLr0w+ek2fBX0SX9lkGn2Uxe8dCDt8SAf7VZPa
M0jni6Ds5QnBpl7krrNPlB1WkIx8dSJyrFm6KBSTweQp8A1u/MWW+Ch2ITVjpsEL2wq+mPp69HWZ
2AOh82mZ96jzGY+mRaRysiBFZwNNW5CzK0zAvb4M+qxZ5RleuNmwzrt6Ydpk33p1sihpcTa1Qp/3
JC+XPHGnE9A9GlYk8hbgepDf92NDfMibyGFamPhdVEkd0qhiQVx37bJ221b7VPHGd6qCrKbcaAhK
nbELB8SiizFiKApkpkcSOF4ra19ktjnmY5uqoM1gf2WTiVAPjvAnQrt96ojoQ4tw+8mkRZXCZZMM
EpbUcnU0mFFUiwl33UXmpnmy5HHlfchoPqwtiaMjw6ee7TdR5UNAwz7FfdXGS+swLw3QBAnOoUuQ
esereMiX0Fw27VeDO/jgONyPcWGyS+vGVe87DeVu6OjMHAohLMSg0jRg8rrqI6X2koxwFF0rr6zV
7AgMjPZzVcn9IavXU6WIX/OeL+2QBh4z3rJCbneDxzbBEJ268jRuidyHHKuwoHJV9nmUkgcDHuvU
L5uo+wKapQLFKlX7eZ6EOR94OIzgqpmCFA4nXnyYTnjYtxJYAl8myFsq3FRHKAabD1bI7T/ETGef
y8xToeK2LZa5MOK9hMCF+jHPs8GPUqIPHrZKbHA338pqbFSc3H8pza9f/31V5vC/H+0Vf/7x9jtt
/vzt5OeX4fz2U+FNeXt7zMw/dMu+/Zrrz+aAW8rrVxPHjEO7+/qcRwi23z7cYN82OMafNPYtRYUQ
UFa/vjHnL+TbBrP56/N33JsnoC2IQTuNJBiumDAC3TJ33BuXcEsV/gRfzQJPMZzKX9wbgVsSwHlz
6PeCqgP9Meiee4PvcuFggaHzDgvoN/Lguv3PdW/gB0Tj/e8PuTcg/sCH3jJ0t2I6QAYKKoD4czcZ
Nw+rjpsM4ibLkizxJyBkPiZg7KCE+msbnj89hZaVh4ReCmnN2A9AuiRN3TTvej658VU8TOX3388P
7OQ28SmUyB7O7+WTBp8Z8aWHmZkuKpR7rp+QlCHfpS64RkpqG61+/7JH9opCleHhywzEymkfF3w5
GCKJL10SNxDbcAl9cr/brNt5tmBBbxf5gP0UXu1WKfCPyxZV9AShnuaXvZu6/HiUthhCR0xgdvOx
rqAz53cvfGxBQOw+fGEl3aoTty/sMk8Mh2XSRm1AwVmo5e9fcAvzthXdvvjBiqSaete2hC0h0Bb9
IR9JhINKG5wcMw1ZyglqdauD2tTFKIBloKheuUXSNfu/f/8jC0QzxGQBaVLZK/BvIjIk4JN3Uw1D
Xwe/nx7dasm29d3y2Q/WVwnwfsyMbNnGcVcHEstQEPS90qQGP1HHfZf77Sic47KPkV62uCxl4Tux
xDnUl3aBcMaYZ/GYdxnrYYeBHgxIU36HAFnttn0U7NLD5ZVgCHo5WrYcRyM+uZCL+VHXpme7iT4z
PZlMFTekYUtNlLpx4UvVjgtH6fYJcB7B/rZbbkN4pweqMWFsmVnRfUB9DWxiNIndDNttK+7D2Zus
T6sKItClLZ1pWrqD0zULXgExuaP4s6OLhxjJMUvB2JS0TYOR84H6dQ2auvj99j9iOvFMN3Ov61na
xiLMM1NH76CSUrcfSD157qGFIFxcgPMg/C5uuOsgPb9TiWe4GTIzbTgdnaI0FSSoJWQ+5wZu4doP
ubXO998v5jGwZ5bMSLd1+4HJcCpRDrwMdRp/UNo0T6BxO88WRSezzfJKTbMWj1FYOnLKV32Dqm6Z
9SNSi1ol1NvxNWTzVBFaRrKvHBFa22K7X/CycJdTgbJhCWRjP+ym12RmNOqyqyMy5DKsIGu9gnQs
OSug/nf1eywe26uZ1ej1IFEPoU6InUEtM9MIchzTsaw/aib18MRWPYb4zHokMq60FJUMm4yOB04+
uWdejJrM//0iHpkez61HpEagFicetkAuDkB+DfQzn8rqCcf42PQz89F2ooRmBs7DLgMEbBbnS9o6
ENHvJv3MeLRQAhizMZUhNZ0GDEY5OMBwjmra8QUzfdaew2oP2NPQQzlUTaHeV/TLJhVTf77bCmYK
LfBIDHIgGfJMoj4Iacz5oGLIg3ebfqZoAnJcqLUwAYkvtWrfTmTwfKgr9+5uKnZbs3/oHwY11hyo
dch0TVzRAwPsqvTTljZP+ebbk7LFIuGZlo1xGrt5DxDX0Vg1izQmQpznzgQlS6gK5Xo5xHgsPmW5
JF/aIu6LJyz5YzEPnileNsSRKKceTGEms+owcUwEhZxJexA1Stun1PqFTacuUAmQLys9TLFYcNqT
8rJzLW9322A0U9Ax4o6Q2onCXDjtgqhehFJk5InzgW63ccv23rbmPcSPdXZQNa69kLhAPi8nFHXA
/0XTlO1XHhHjWWzy8nvl0D7fp5Ms2OlACC5OsJAy/SQ1ZuwJUR4xFWimallDOBqHVISNU/VhbBHN
oJYo4+udNAHNFK1FDZcpdFqEcTXIzwzczyl0NuS72Tl0u6gHAXJN4iJ1HOGFLINMJmiRzCe/Vc1o
njgGj6jBbXr+8AVG1SPDQyNDO/YRPpC0adyvQ4VAJRKcuKVfqLbKfTwBDfStyieDd/M/aKbgUADO
AOWGh1xGwHZXNTY5MOnU2dHE/jiZD7ZuohN0M/BGLNuaoSUfu3gx8dJZ7Ab7TIt5BDWwtB4mqI/G
NpwKkfq8qdInjMQjZxbagjZQgR7wxBkglgxTrPIAW5QuorHEux0qd6abkJaUEikoqAGlWvhugj4W
MX0q0ntM9JnrRLwq6JDFUxiL0Z60Y+GC/6wTlO52btyZOidQs61IM06hE+XeAe4GvYiIpOFOsLoz
bSZVxyqrYXYbYRr0RBjf5EjtKPtMm2WBJ9kJgNWxOAk0aTtgUwXdzdC5M1VOXadx+wi6LWqkspXx
oGGmY3Ra/X5nbndgi0G//Qqkh4aiiFgyTcjpw95hN5AX6m5Fra6K0PaC77iCmU8mneiKVEc9dGzw
5p1ny3SJaKl3y5fdmcraAmKVfuJ9WFLGD6TH2kU6FruZG7jvt7k/yOZZJKe0DWMopx6pLBcn1ZDt
JDp8ecjm5OBJI60RsWFdphEKGoahTQp6wpKdrBn2ZkrLoL1DOxPwMFWhhkNtY3vcQqfATkqFvZnK
Aj/qdAiKv6umjXtzSaDhLzuDliue7HRu8G2D5cOzqZHq6riDrp8hhhqUrtjn0RuLJw7+doMG9zo2
J4fuOE2ljLplnSXIJ1Cg92vPa3cUfaa0pEopjlLZwc47nxsMAVjhDdGOsM50Fur8jeMYfi86xTW0
aHR8V9Hn2spk1EJBpVt6PZDG+HZ2s/vGzLRVu10VZQZmH1IvCVqpb8ukON1t2+VMWxPKZOliF2an
+KZWNFvFKt6NeoI+2s0To+HfPpAqhsm9qc3DTHgNpEZ82Ck2wHKmq4OFHrFs1N2S2aj3oSUH+6iK
7E4uCsuZruZJhYuSuO0SWn8Lv0/UTZtOaMddn+mpmRpblUnfLnOdUJ9T9tmBRpEdJ5/pqRuxhoyJ
Y5eihvYkM6i1aSez4+QzNa2NN6QQCbfLFDpHfZ6qzG8bLHacHW8eGAHtq7FyPBDda9GJgfLIeQR9
TnBT9e9T3HCbdnP2oaW4oDBzOCH4lzf8qZCcLRzrSLPjmZmpKq4HL2+ruAtHmhdQ1yYVC6se2287
yS9muopUhJtyyMGzRiY79FKDFkan43K32WfK2kL5m8Qja0PrkS8oxReGkovdpp5rqhnTfByh50gl
zimYx88jFrvxa1jM9NRTKheoEDZM+0Qu2oRdlToqdwNUzPS00MZpPNm2oaOsCrJUHAtcu7sddjHT
Uyjf9pUZJDSTZMO1GtFHzPK7LyL4myw5FjMtlaqPHfDXYwjTGgsdsibh0BZI4t1Mr5jpaRcz6Nun
jQ3hXqj7iVqwA75RE9ot0hAzRW3rDLsZdJ6HedlMi3IQXxNVRTtu+0xJI6lq0akG+sHGZgzyvALR
9VOV11vs/pocwBWXTRPjFZyqysltCDdivBNpYnSSOVH1cSc94jMVxRbbxjYKjmMSQQta3n8SUu0G
KZ/p6ERLL40S3YYN64iP5PA5q+X5bnLPdJT2dOgVgbmd1FzRdjxh1JzsNvVMQ8seOrKhh8cu3chx
AieNjtXk7sYPwJd5baKJUFVBIyZ2lvDvFJzlo/gsmzHbzbT8uMH0gJVxEojTmxL2JEuKizIuVxH0
Je22JzPtpFU/kgFI72U5dftNj48o282D8pliViOz0FwHuR3P42NZDmHRRDvVQTGfqaXK7JC0LQhd
5e+nrg1S8WGn3WAzlcy8tKkmDSDSRH9tBu9CTnw3O8Vm+tjWnR7GnttwNCm6mkYLLcstMYvdBJ9p
JCkiaIdWng2NA7V+XOh9L/L+L2dfsmQnznX7RERIAgRMgXPI3mlnuilPiLKrjACJRiAJ8fR35Tcq
85fLN5imw0pSzdbW3qv5cm7sw4nsZbvEYOEFQIchuw0I/zMCNe9chI0PZxIbe54lwZUsWr7l8RIB
4Zgl9tzBiQ+HMl1sskaxDS4zf9FjmaKKfW5ODpemaMQczcKvlUmBtnDhMuUgpbyeG/xwJh0a5N4P
9XKhYrpxEs33OezWkzvlcCy1MaQPJAZPZfwcmul7G3l9clYO5xJQMk8A618uWoXPMcYGQ+3k2EdQ
F3VtEoYbRdmYheTBpE13N0cbPzcrR0iXAIhbIp/FRolBQNlJ91FycS7BOiK4tsxErs9w8jeAz7uC
RCChlQwZUHsutBwhXJNTUY1ezVo10fRn4OxnNB8+ntqKb5YW/ywSgaZINA8xL8Y0cTkboGRhNJKc
yyPeiMH/HF0Lm6AeveHDt+3ZjORus/PJExodTminEhIlIlyqtA8fJQCHF4C/2ckZP5xQ02hgI41d
K6Br30eBLDotziUpR/iTjoPBN6FaKsZiVjhFdUGj7se55TwcUI+OwpKqdQECgP/RLNtdm8Qvp4Y+
Ip82vdZ9ygJdeSpdLsdkvg6qOwddgPbVzztljN2QWeBrKrSQ9nLYx6ckXM715Vl4uDwN2DXgKDhd
jcCnyHwxOrgPLPEfzs3M4f50QYioCMJDxaz/a0EGty3pt3NDH47niotHTODCVj1vPmzTdEuUOrcP
j+AjW6c970BwrnY7i4t1DSsDOXw/992Hw9nuUb3orV+qDPS6PvJPKv1d2vn2p//Lq+oIM3IB6sF2
SnQllI1NrhPePc582nLXMeOLc99/uETBq96Gfox1JdvwqxTR52Dqz13+4eGIboAkSp4A/s+YXW7s
omlObXSuVceOCKOGibjVIcOHR/SzsgEIxcH06dSksMMZFds89ZqIpYpZG7nLHhof5UMqRX/ukn5T
wPzndRGJpklNKrElt+B9q9hrO598i7PDGZUtCMtsxdC1z96vpH1Xh/xcG4odzqhMfa1m63UV1opV
QcrW97Rx7SkoLjsCKlkCApVtsRNrAiqQ13MVRicRXYwdjqnawP3bFqGrwU4kJza5zq45WR0+gpVW
HRkTZZhyhMd769m9jLdzZ+gIU8pcI00H1naVgAycJ7u/zzSEHs5t88MBzbBLyMZ6XdHRPod0ftBk
PffdR3iRbtGd4C6Yq4Wnn1uq38t+PveIO0KL6i1SfTN1uuKYmRyUdpfPXqXn4uER8r6G3Rx0Yzaj
byPmQrP+vQmyj6fm+whFIgTvrCEmc9W0oQIzFoWKiyEBPzkxh+PZgaG5287j3GRegWrM+Qew1feT
Kxr9HLJsB8ocwHBztWeaFXSJnnCTnuyeH2FIJhhArd5GbJcxi0iPWOv7ReRpZvtzNZxj939GHSsN
jJqqUHfp1wSVvhvTK3tzZmUhsvXz5Kwk2PwexlCs4CzLOfrReeCD5HJmdHbESgH7SzJILmDfNMIl
xYDCX1XX0XyyB3KESvnemFSreqrSYOlnCFtM6ofJEnfywfs/KOQ/in4g3RJwI4Op0sIvpWo4xIIW
EV9Pzc4RLAXVEQj4WDJVBpNfEA7QOmxwT8b2I1hqlUAPLuEwVUuUNGtOd9b/2YOP3ZyLweSQCWzQ
UtJuw9yMogPFfVUfN0nP3ddHrJRko1NBYjDvQzrd+IUsVydHcWrPQ3305z1vQxv6Sbqp6up4/0zG
urmBO9TUn5yYQ7wJEeNj5rGs2VDPC2Rt0hCk3nqElMK5fXNICdBI7Mdhspj5cHG3WqcfxSxP9hWO
cCkQjRkAzHqqEnBg22Z57/r15dx3HzL2pvYulBCUqSC58HUYHYSi4J92alLAqfx5UbUP0KOXCGSx
9SaP6XTXD79DMSVvecX/fdDQI8xobjfA61I2VhDQamoIAA0dDmzSbn3RqKzpb9Tk3YtRi7wNlzDg
1SrEHL+C4pbMz9D5XPRLlih+06MvOd50/QCdhkS2KMY325wSl+9RN+uPbmaBKYifh/7PUYhgLjgS
S1bSGLX2SzKZzZQSUia+4OhSb7dmDtKuYskmott67JwvKEE14UsAZK+/0rBbkjJMNozpZLvu12bO
xAK2HdvNFao9214uVoXD1y2Jovp5jXjQfVtoPM9VurPMVnrD31tO6x5fOmJBVh8SRvuC+6QxNw0d
m+yBpwOIW2Te2QtLM5dbxvXt1C56r8iYpRD+UdJGpdVRE19s4iKUsKWwUdHISY3IZ7PMF6luwwQS
ZK2m926ou+xWhnSNqh2z7Yo47O3tvgfqqZd4W1dAgIJoD6GAen+RtBuTU1kIPUJrtGqstZMdqz5t
zCedzjtqqEO6ntugR3DNPLQr4PPZWGWo5eUx6x7E3pwjxdAjtoZg5uIoncbKj1OtypG4rtpm0p5L
LukRXUOHlu5B2E0Vb1S8XdgCJZ48CeJ+Ls/EBpoeYvKqZlcHYoXuTyR/uCm6i4Pld2zNt8D7L6c3
PQTkyThtZ5+MlSAZ4DvrkmyyCLOO/Tj37Yd4DJ2lHWpWbKrknO1pnoxziNYm1LzOtcBpyn6ObW4a
JCVbgxSQ0Cg3iesubdueTQEP7261RYb3EBKqeCygIKECaEyF2bldf0Q4hlHt8YCSUyW4+ruO+pc6
ac+d1yO+0aIDuUmG745NXS2ZvIMCxamiOM0OKxpbILIoKqcV4LKQUQiyHvpZdDw5J4fl1KQJeY9m
ddWwrsu3fv7BO/16ai9mhzu2A60bMoNkrIw30xOYg+3NGK7qVOZEs8O7W/CWmIHxpWp0Hz1EeLeB
Vm3WP059+xHvNSWu7qDLNqIaseoCiDJIPAWOVOdGP3y7I+Ayx+0wgokq5R0PbbzmfNb8HL4fnkg/
H1KImDQAMo3YjoNJ7sQQkq940/pTpWCaHNKbZFMzFFeQ86GUtd3WEfQqE7Im56JvcsjlWSgh5/V2
SrtWNcXiZggMrUqd2+9HyBfVdIMeUDpWgR/CvwXQ5n/vyqhzyE+Yif088TELhw6yOlMF80QbQMh1
oAWpnYt/0zv8BfGNHoFf4IPWNZfpUO2Shvp16ls7FnUysKl0yxi8ghH2FASZ7EpkcX1WNBkedFcR
xPF4bvX54U90UIEbBqWHqtVb8E11LvyuA9wCp07GETazdNEAeSCqKqRATwkUA+Xc/EbZ4hdX7xE1
02zounA9DtWyMXFH34Qwm3Z05440PwRS1/M2tX2oqrBPxybv0nS+E4kZRHFqYo6wPPCXOTEd0n7n
Z5EWgeqg+6HEMMlTFQB6xOVxEu54br1lJvVK63vVQtyn8jOEak/+BYfrYCdGgwnMhgoWey3Ec13n
oP3bR/bk/f6/F9M/KiR82bEtGX6BNwxo8d18Bmni+6npP4Lz5Kr8mpl9qCYNfautCX/sa3zyw4/Y
vGbe6bL0iaosia6S9XeMLaeqF3D6/DkgqSAgDcQ5wTCKLKTJgggdHrd/ODcph2xtFVI3FJK7VW10
eoHcFGQ54/ZkqnwEjEXZNoZ8IKpK4qEr5iy96SPqz90DR8iYnoYGyoXtUGUQOIYYn4qKZO3s+/+e
mLdY+C9Z/hE3lrneW0dxv8s9mpH6kKXJLpLQEXJnyG6Hc8n+EUOWel5D3hwCpcSE65SLeO3e1phk
47m7+M0a558dNhW0y2yzFtE4Zi9mJR8aWp8L9G9S7/8cGuoPa0o0vh0VqrhsNUr5u6HDueU9wsgG
hN+gByrwQhNdf7A+mF4GEZ9jM+E1+/O3y3aghrBFvgWD9P2kwrhaoZ93ctIPCT90RRWp1SDRDEdV
YpzT9wEELk9ODPv5041fB298K4EQgIRTAfLh/McuIel+cvxDkIdiTF1Pq5bVrpNvqB09qkR8/u9D
9Yv7+6gSFlmCbjUYgiCtjnUHbVFj/3bhfE6ugh4BZS3qCIOo36Z9Smv0Npb0VvHYnNvuR0AZFNTN
tmt8fN0IlJ0og5R6v50MlUdIWcb3xMcL6m8U6qQeYo7AIxTdMHT23CP0CClLrasnZLayooL7Eqqc
5HkEn+/DqZU9oso8b/HSd3NQNrTZxruOUPLE2BSb33x9+It4fASW8ShkG+cGWwfy9urdTOlgbtre
zvqKh5hh1ziL+FLOsdzGh8DjVfAwJR1cHhgNo6vhbL9NosDHebbXBhJeHkLZ7yCQv7FCzbNvi70R
9f5trH1rrsOELLMwcbd9D1UU3dupW+98K+w1rI3DEBCpEDlRbbS/Cgp+y/v+TUjidWihZw+50iTa
8a/aFYIA+fnUTSKA9UAbLS30O+vRnstojoA44Bpn9kZIvjQ17Z4s1E8fWMsgmn9uTQ+BZoTe+hgR
21dsI39DRfZ9Rpvnc0MfYgzemh7qxK6vwh04W8miWzYuv1O6eLt//uXqjg5Pc2MC1ezL1lfzBDGN
W73s0pWZB+qhdEhVm1uecSnOVRmOIDk6ZzGPbAwB2Cngl6h38rpPkG89NU9HkJzwtcEbEdLJdoxE
GdT757Vjv5unXxypI0iOkqY1vTZ9xaVpX4Cqjt6lotn+hNJ48JsKz69+xSFFIHWWNGyCbvqyhT0v
xTrruc2tRrH9tnVgtP3mUf2Li+UoJrN1ZDZLOGblqqJ2uzLmPkJ6F+r0/70Mv9hR/wtK/3iWAP3Q
GHjKNJemXfv+auINArddIC+t2lNWADB+snp6xOg1AqWZWkusycAC4Oj4Z8S5k/djeEhLAuiZoM4w
9BVFx2wN3XUN6W/i/68W+hArkhBQ0R0U37Jv5mS9zeQSX8c0Q2ueN1aSU+AF+iZw+s+MM8bYvG2T
ACogEBIElb75ksGt5Fy8O+L0Fp/Nbet1VyVJvF4B6U7zWtCTr/8jTs+2KLmHhoqqjVLIoVuvyjRr
zxVGjkA9wicqZQI9amrbO0hS59HIz835EaIHWXW5jCuG3vfoUmfzVbXsXMHlCNHzEEJrl6yHinbL
7pM4uJ/5ySLhEaIH1CJc+Xhbl1Pn5rtuWdYqiMOX/w4Hv4o2bz//Rzio40RYHwbY7LRZLjCdiHKf
yeg3weZXox9OKcl6XcckaKukXaZ7gGo/z40/pz1LjxC9hidNYJlpK+mZvJpsHW7ILM8hXekRpRd4
aHdHCtrobdfN5STShyDRy+XUrB+hdGLM1hn+LJCDtzN6t2PV6fHcJX6E0nmxbY1qkEjJ1bT5YAZS
7DL+TWj8xXoekXQW6PwdDD/s8gXmDUCNFROHovC5STlcsDtEeha7Ti1YS8oXQzPBDaXWQ3YOkEaP
sl6Z8uBc9HEGotW4szyVtb4ft749x4OEY9vPR8nwoR6SGRr/yu3oXb0HCuA3M/O/If4lDTxi6SK+
o+M0NKKiPgjtPWkVTEuAkvT0FUpJY9XG2R7myWxVfOGoJ7tihjS7hYTlxP11NhmZL/tEG/anSmJm
qzqFhcG5CvwRybYFM4Xuxvr2XNJrc9uGJDUXscBGpDy3Lw435dC2K5wuRVJuWnBEEN8ZeMHFnIbn
3h5HLJtee7PbejIXM4rpotLIlVMWnSt5HqFsyKnicAphsULfdL9cPIOpHSWn8NX0iGSbEhst9YrB
YULU53KJ5nyU7BxOjh5xbJEwYMObwVxYR6cihG9IjorEt1OregSyjX0Kp8ywXi+WCZiOBAEIXFtE
zl08RyBbA6wp3DzC9TICWZOPvW6eZBKun859++GkRw7eLpTP6yWAz00R9XsDW7f45MQc7sxWOzqi
EbteICLJnge19d842ZNzecoRxLbHws2rsctlGLgsIC0NRZioPqd6QsnhqMpsDfcwjZdLm2z6Gtcr
BMADeCCdm/bDYzh0LNxlvy6X0CkBxNX6Cnr1dmpw2IAforebIZmV+OXiE7rnPel1kfTnkgk4WP88
eNwbHoQzZn1XkGtxq/9BNAzxzkwLOULwgn1Scy1Dc2nAnikzJ0SBeHyueU+OSl87aBB1a5H5JBP7
tqjwRQl2jl5NjhAYoVBSHmE+d2mJJvk2sfpS14DR/fe8/Ps7jhxRMJLCDqgfw/TKaxnbZ2FUq66e
MxjBRHrCLfjfv+bfcyJyRMTUNqwj2uGPiFkalJbFTTFs5hwihsDR4qf8fBJ1sq4cozfN0JZwLwT8
Y/R/nfv0w3HtO4QD4Bn1ZdomX7Rq7spF1acuPnJExGRTRFYVx/pie2OvSqQsh8LwfurmI0dIolch
57t2+gKTIbihLf3HHbZW55b0CEjchYr2EbWey5SKpIBfTFcAknoOOk+OiMQhgXFmktbTJVCBLrp9
GvJwgl/WqTU94hHrKJIaXp7TpV1nUeyxkkUKaflTuRjcrn/ejoZ6lJx1k167bthfdzJtnzoy/E7r
/RdH6QhHrEPnqAFY+RJrCj7KW8IxMfq7GuGvRj9crBGlKFd7OKlFAUrnNvg+yuH13KQfTmmP52MN
g4vkCp2vWsKyEzDZVWzLl3PDH84plWM47kRncNZVA4CI3cbFA6dySM+d1fRws05LapDFT9k1W2je
ZexOknOZGDmCvyDENa+eYWgV4fp7a8wP55Cx5Ij8goFCW4tkzuC4Bemj3tGoiETqzl2rR+RXR6RY
dz9GJVS4bgY9PRN+Tk2QHGFfJAa6JVQqgr+bgzVkAO/j9v2prfJ/IF+QERI6HKKSwcWXVtEkwbsW
TpmP58Z/O1z/qBcNE507acbkGo10g8Z5tER3b1S93+kJJhjn/750yRFY1Ab9FKWu5vCwDZabtYZv
4tMCE7gGboAzPMsbtTvxuO71/8fj+n8923/7pYfjm3hWD7abJZ6tmxu2At7dkk2Xvsepk1dRbzBs
nEcFPxm4886427fO6yG5HeUEC/ErHtZdr3K599bfitoH9Z9h6AC7G+CRPPZ52PnduRxJzjQ/9Jym
06Ndakf57RZEydznepcNPChJmLVwVtVrMiERGjmW7s0bcmz+nLRQhuZRn7TqNtx7yD2XHg/6pCn9
bJ0u4C3XbS+QkHO2zeMeHjyQ+fbttgw5zUzAYanpod3e39Cp59CmVygqrioHrwDewFBATcbh48QU
HjJd0qU/1KTwYw37eFty4M7hfocZ6gtrYX1c7d5scF3qCYxh/4SLKUkM3P3wGnB5nPJG/DG0UZ99
V42BEw+InPuoVQ61r85/eUOL3Uy78ls+QDRqKZxrF9qXCYiT9WVHy4ZdAlZvS1HDR7nLCsudj1UJ
I9aY3NPU8uzaxmZX4FbNo7+BjP9QwB/T8kdYGbdpSdrQhYVIYEk9bKlKS9irD22+zQ2fB+A3u1E0
5ZrhvZ8UqJBszYgvmwcNF1nGE/BGLNwQowRpI2IJh2stVmuExaFOkdnlGQ2kKo0a2Nd5Vbx0ft+S
76bdPVxQ9RjDQ15DgPOTmFmSPIVrHYYPey1S05RyB0clumbOUCgi7Dwx8hEMjRTrNbUwJB2KhuwZ
DIQJVI2RjSky7v2N5+Hmvs1wax+bYrSo1t4mIDtmr3RL4AVYyOHNvr1JgzcZSGnk4AKwWHbAFKGg
kxi4E8IWFUn2LYtRSGO3vB9Skfcw/LvyXsCGkW9OaVRTfLDYt8zSLvfELP3FacSoJz42pnvdNtYM
KbbDyMy1gwP9BntQETGoxAovS7xrRPpHuobDeJ9tOx5+IiZm0/DMXlFtz7M0ThgyqHUNwxCWgGHY
vac9/NevEFjpt/uBOYqyM1mhrbajzbzaBvwn4he+AlLIIbJGpPnGZADOjLZJNL0ksaJpKeol7r7h
7ZPCwRiQqdGWC+xRl6fekIa/Ap41q2vnE9CEspGM8d0eB6x/oML1+1/tIEcTlZEOxuhpxqEVl2ES
sMOdFO3mzyJQKWEIb33D4zxRUTY9Edgd0m9RV9cp7ORhBd5Uzlkb38FBMxq/dI77uIDmPQEbvXEh
zSDtDPvQ7/Xqmr7J+7lPv8Uhn6fPYJfvokD7B3cX8O6jfwSOdUnxn8cg+j522u63ik3ev8LglMI+
FybX6nsXYZvfND3bn9aMNFfC5rR7l2r4YV5I2k7iAwypt/3ZAejOAnSioRuQlm9KxPx2cesw/OjR
WhH3HZ9DX41jJ+tqZhnV92bOErhzR2HE/kg5i7K/qOvrJ1DIgzv0efbvgPirvHNxUzYQCArKrd1T
dweTB7vfQDwo/AKrxSgrJwm24PvECzk8wYq3pbdubI2/BLPotpvMa8JhZrv15DPhdV9/EHPWTMUE
01toInYErr95pvhi7+y+xPoR7uIruQ0nPsmPcNaox3cmzhJxJaIfkxL+khax08WpFlfgp6l+nDPL
v0toAgxFjZKheyc2ohFKxLi5C4/HVTclQTvJ3vcdBI6vdWMm0AyCxDavIl2y6FbBtpfnax1o/k2I
rJsK2GL2MIeF1XJNYA4UhdvtIuGGW66OkQDesAOjMMbd3fRHCD/RzJYxaSjkDDd8RRs0i867LYCn
8vAmyZND0G7vn2YHYtolnrT7yoh3HP5nzQBdTlhB8EekS83fNY4wTGalYKrgysXjZz+HcQyBI6Ug
eQbv931vb90Kpumrhz+drnMxr8mGeL9PbhxhF4prGmbESW+X7z1d1+aDFXt2D7M3jVuhh2RN9kFi
qLfVnFajL3HG0Y+8DI6pOAeJcogrmdGsv1jbhNLnDV3T/d5tS4PSxQb/p+yG1B6JIuhsQtwu8EIL
8l23bfDC4x5OrSLiJigXYmlWJn7fu0+a7GF3Y9fdZZVRY1CXs2O1fwhhsfVM6NK1LygfMf/mJivX
7Arp+Ga9y3o8Y5486mKwxu1bXHprXcczUMeR2B5g+Nn1xbhruhbRpJMA5AW91DAUJthG9ANs7BWo
QUO0rs/tRhJ2M6Kx2z2NkLuDxSis42FzA3HxfHY6o7c0zJb1XbzMwfAna7dUPsB5HK7l+SCUFH+F
Mt2xHRR025bL2KSthT/7vnWXWPXR8pHD/bq+W5q2C2/BRuXy0cDwmCKXMETyEoZGYf33Dr1kCJsv
ootvlrFtGiBtQUfBRkkhpnQnutVPN3AID4FgZUC0kssywfowt6sf2MsQZOmdVTL7lLIeBV/IpMf1
a0SFDH4Aav/yBvO+gZQK89fV6+QF8M/tx7jMxJU0wAVY2G7of0xgeX1SoGHENxzhmeY2m+FUT93w
uddRV0IOuf2AVw00knYSwJBQ6l0lRbYxbH1FYNjwZKfNwmkcyRqMltHXuzZrwEoH02wGVc/3PBms
e5Q781HZtt0Sv6hsToOrGIOpENvIYLe9EmwDBbtgYuJ9+ao7hmdZ2kFIpVjxFnzsVvA+n0UENcUS
MKf63uEHj3sjm7JF7oTaAuvDrYQtvf/Sa92shQLFxz9AEjD8U2i95VHHH4Xqya1dliCEj+w+hbcz
EFg3WZJGsJRWEIMRGU79K6E4i3BWDiz2g4wLxnDvk6xrhxJRZ5mf9sCkF5tmQ2FI/TB1gfoIzV77
LjEI8WUs4TzczuP3nYg596puv8JbpXuInIfauVvQErnpufYRMo51G31JYJW9fp5pA/ooEq09hnzh
CsVBaPX12Af56ILolcErhpWtm+jwPbUh4n0ADtP91C3ATncADTf3Wbhu9gfwNWubZ2iD7iUJmI3v
02Tdt7+SQblrY1dAl3MBgf536bxyUcxbIKb3QiIYfg1HVed6CaZQFKr3BooqMGGXY97rZGrudkZX
XQJztJrKLVw9OoVk8MewJs/huitaDh1tFKZKgJYOE+i5fmbTVG9XACOH4QMwa2v3AgEC/iBIW9tK
zd77pwQKCFOpN3TObyNI5dhcGeZYHm7zLL6YQTfkaytC+64L2fw8wctc5A4S7ItFE2Lf+PeRtjN9
WeGYGHwJ0QoLPkewHYYKAZziYrBoI8ljXySttqxoJjjQ3ol218U8mwT1bm5MXSR7bK/parquwuNk
nx4dQCvPGS7bROcWtvJl1sRPLFND4RNYGuoasDzEb5MHnakBPxamYHpPLhvP2luv2qJ2wx8Kll95
srXu1gFH143DZ6DxfOHDMSqYiHoOcRMHuwQ9ZhLXFwhdaVcTiLQZXzYympDZLxO8+mxGH9phDXwp
tCA3sQP+1tdoikYDXy8UvN9CSj3nbRhDfEHz4SOy3q+8j98ZCmMGuuKIRv4Nia3YhvyTf2na7NGG
WTHOFCeDUlKJXtqh2LsO3aOARC9UufkWJmC9zmknw6qPpqwwoPo9L0Smd0GXDLogzfiEd8ZqKyaT
mFusGVHz0yRmAaUMCinY65R1cnwM1eQC3BVQKbjPeBOW3TjD6TumbWTfUTiPQ9AZnfXsNUoHJ65W
wnrpeWYi/JIusA0ql6hGbSltg5U/+WGqkyvRnWPv0NAMhw/Lyvd3cSQlrSY5jsGWL2/liyFCxAX0
HxjItLJ0wttkH5rsvkbInLYijaLm2QP6FBQbx+n9sOxuhrYHeNXMFZDJrPsiyWg7vesX1DAxeY2c
L6EHb1tewcWll7QOh6HUpGZTQVsh6WNkpjenYL68JdcpoLuiKbLUxqxUZibUYBBwxge1JpcOPuBj
nO8KFMHXCVTe8FOz8PFBDwZpfSGaLihoB+lBbN10s3niOIIEM9CnuGm4m5BUJhvBW7BZ0cmFJIl2
8FgKo2C9bfEx5L0ZcTALFvO57L0wA3zFcZ/8ERPt7JUlvaTwwNEQ16NRG6alT6T4ntm4yZeQ7leT
mu3LMNSC4ckT193yZIDWQ8TTSOnbu7CdHHr/tX+X+jfj3V3v4f2Spj25pHBO2pC+IdUt9R6F8Scn
bdDc9nyI11cja2o/DNrQAr25mX31sna2iLc2KKdefMw2Y3I7BX/7HnSiEZ2eXG+duBHrBHGUCLx+
JHthse9rNuUJHuQzYL/9y6oJu2E9c9U2muziVBLe92GWfZZIqIrNd98aCFm/oyhpPQvKeAObgvUl
dvZuHHEz3KWu8X/RqaOf5iFOxQ1rBegFe7fs2eMcMP1MHPSHIX8fP0I51OQp91AiMWSvkLbMnxqU
nPSzDSYAzNctKUwAyEUdxJ/SdFhyP6aPaENCYwCmuKHOF9LcI8TZW69T9hHRvbn0rOMwT1fbCnAM
zE5Y7IKicXCAKHscHcyPcYgZdXvTmqS5YGPAMIw3/m7n6V9p2qzvIxZFd5z02HCh1EVL+HsZa/WR
7nJ7l/Kpe9+QaQHSyci+n/ONtJlb8gbvN3/1MCz0N9yy5hOn23S3dj7Nym6YeaF2s2/XQXfxnQcg
N/rogjR5aaQLYTTA1iEJbmqVWCfzGmclhfCDF+Svdq39+jGOOfe5bdWWApxMrfNl+yamcyv9tkMI
KNXUT/CKnucFu2xrw7ErG25pcGdpBJ41GPuO3GlB6+xpCbZlvVooV5BPO5eMF5mP7HpvoiluvuIt
pmaYZrCA3Uzt1EYP3WYl/IWbwSK00kmnn0IjJ/JuDk04XSDe4Qfo+Sxc3I6BzeQfAU4mTNhi38Zt
SZZOrLmJWzyustUkbaElsm6X12EQhv+Pui9pjtxIs/wrZbpD43D4BrNWHQBEMDbuSzJ5gTG5YF/d
HYDj1/eLLHVPi1aqmpHNZUw6KMXkEkHA8X1vrSPHnS3eFsWD4TQt3bT+QM3ajAE/N4rj6V3jRuZ9
VMKLVW6QC5XSi1HVRXm7+ECzNl3LgmZrJA6+BDt6JvfDWVC6GWRDg2v4lUp+hCI88BM/XHi49+FI
Wz4LPEWba6uN6knswmzKD3rQARERYmYU5r+1pLW7BdgjKXAdiJDXo9a1xkmUtxIzVN/g1r+vAL/M
3ytehXvWgfQNdDPL774OKu+lgWQAwM/ScfRuglbJY1wdmPyj1E4VGmBGuyRTk43qm0BKhXlSc07U
s9ZDSMuEy8HDsJK23JvuxbyWSxZ5lMoAU046NnGYBjW90qta3CdDgEX9PhYwCm5UifLKO1fnS4gI
Dd6NN2gt59WyaSfkFV+EhUe7G4H7E2cwCcbzgIB6JAn4O2+RGLErA5LPu6DKK9IkbB2XsYtqIUSG
YoMOGzXWl3KIHYZUDNaYe8x8WxqMiPNFWGXV+FRrr5u2XemZcK91aDl+Y2s4j8lA62V6qUIOP6nI
q1C/mLkapm2fkcaLw8r6x2LIUhEPkHaYkytLluFXIgvYWzV4o3jspwEb1iAQMvRkVxYqZE8M6anL
6HAxp4u6GwLqjI4MX9f+2tV1HY1oiI3gt8tsgMY8VXZbNyuMLxlKde1+DTQghzy0MtJmxvwcGWtm
fSv9WeafE8p61GatCMkTMSPOq4syjdaU3Soa/sOhm7Eoo6DzwvSAgnEmWKzrtfSwXDniXSwrruAL
SbkvDwZPlvI1XIs8cS2CT647qsdN4Q2rhUrAS709lrXAxATIOE5FZYY0RmBY8BhMBpLHac6zfh/m
58cT3i3jI6+464oYz8C+eeIgpci2zPPWJL3Hi3kzLbDmAMbwYF1cZe4XV6qcCSCgwlVXcDbYfZ0W
osUdmdpDRwDdXYY0M3SPebt+UWXezVdtNeuDGWRb54lybok5x8EBcDFLXxDkgmUka3CaFuVYXRpD
QpgjEOI172up8rhfHZp24Gciu0KOQX05mEDXl2Nq9dH2fVe+0nFR1aZT1fgAGCXYNF6AKQw/j1B7
t0o2xvXC5ieOeJ2PEVHwJMoRKFPgIsagE9WzbLYBis5tPGBX7WIFqn5C2aNawFfg3NQYR8clri0w
kBjRS+ESw8PlssjPcfEOrqJ13EP6BdE5EnPoZRe2BoCh8dawOch54vnzMk/DeloZHnaPCK7p6KkR
hS10bIKpL46dgjAMoYDLkhBRdhZt5eyaovk9mTq5lIjkSFHY3GKokLd+HgCOSTX2/EigzPGwlqm3
QNE61GtSgUTHlJAa2OLe0hZlM3taAUKMUsSeqI/OAFbDowyLC8omFwINxWpwvF16KuzMPeg2Op5m
BBlg7p3RUnrFLDKaYqXGfr5uwIb+YCs225c24yb/lncZ3HKV6fsaQsCGPTQ0xHaDzl4sARVKUoAB
oQwSZ9/Uf8sLoB7AmPW20tb5Ec6IJS2iFVg0Tyop8rw+ulkCOIlgMPNfRt23QdwBWpmuXZ+t8y3p
B08+z+nQ2ms7FWFxUHmIlWbT2LQq9lOWL36O85byz2rGTPtSuWxups0a9ojJrrphfQRz0ED9NgFi
apZowSN+3C2lnnFn0+GJBnmwBcnjH5GugAeJ4sg4j9pZWPmI+2GuN2Fuciwtym+X06xsW32fG6Ax
EXZYyy59j4r2oy/DsEqqLh3pg0fXZrpyRJXTVdqh4u1WAVKlP4Eke9XrIGg/eatDuVv8rCYxY0jK
PuFBluFhnS2czkkq5KL6GCVZEObGqw/1y/2EWCNyEIhoIkdcWLI6WBGwHp19ZGkvwx4AayT6YEbQ
eZ+PH4QHRX5F17SFoCglVbtD4rxHb2B4lKKLUd+0ziBuWtdvUbw4j1tI1PomBh3C7Y92brSHZsPV
qL1XAwJ5JnUzYIEQmBwTfwz7ErsL5tnmygL4q2I4F4y2EdJ8fHokgnJM7dx47a6AQGL6MVMXarwq
kZqLOSvUnIy876tNHQRqSCiqZEwVDWPj8i0GqRobAUP2GFST9bnXCzVnXVLmRbgcUgOuMYbBIwt5
gggFohGInjYgosFhdtlBTEuw4mg2PdvhnOxAsw94hEUAUP0qgtNzLZOhaW29ZYv1hw9Z8Kr2MCL5
zAQoqkUMzmdfNTWMWBWoLaPjqcHjkMVePYYXgvbULfvKV4F6siMqWE7na27p8cILVrK49Jegu+ay
qJdvHl5N6EU5lr3Obs8x1JjvJ7VO7MqeV5Nj6nXVgmcMhK5rVLo0y65d42vMZKMNBJnAKQFnkjFI
Ej6biOgmbN8KhyMbojwnG/IxmskbthbpEpgLcZtj90fNTDcedNhZdc3zcsrwRFTl+l7loBFeynLu
qi3LWOthDx76oEXLsRiLW4apBo8GdBUyvu1xtA8fec/4rCLjh4hZniWz6sEHplagtwXAvfkRIoe1
euo923k3XQam5nYKy0HD8+5UTWM5DQgkht+tH+t93oCwwkXC+mA7Ssx3YoMCRDscYd3L+ByvIH+6
BkmOoyxkQrgw6jj3oIBOGCKUOFWWMX3f1mU1HmQWzN3es2ghfwkIwXou2kXALtM1no1qSWfv1BHE
69x6Vtvi2VtRKBiHGADajbONGq8KbWAhaTiR08NaQ4sYK6LBzhRB3SKkaMw886aE7tOHANhQTFsU
E5TTevBWFGOPSYBQv3o/91ngIowZ5Rr7cjF257o2DHYj4PH5oq7ESp783HB+KCpQeHFPGjD3GxiB
yYjdrgVCD9xeL9zbDiOlNg5EU3oR7rlL0eszFNVyBCxsiQ9N9LAtPB9EjWjBzbioRjeaityw9DwZ
c8nZziw2XHc9WzzSIouNzjaMqiBDyRmWL788cX/U+olrxKF/yIzZ5kQAasttzXMb3s8zOJWkzgDv
wVYIJdlN0ba1OKZZ3Vb3s8Ibc3RUVfpALLpwAFRAWo6ucLfym9LKJjss5RhWj5hngSIBMRSuGIAo
qAZQM0O4WkFii5u592KkRwjXJyDwpAq3FXR85+xh+R3xfUT7cRgi/bHZNOBwtN3LZh7xxhpZ9uPN
MuJNA9mJKwF14VSG7j7A2w7bUsjzan0E7QFga8KdvA3XVZ6wKwjvSL0UCGIkCGLn6Jl/U/SClEL0
F1UpB35a6w6WaZ+6znyfCxsCuqsswie2Bg3TLo/8GRgsyEkKtRQZtJqQbjc2+qWZmKI3HRJCNN2e
M1p9rG4LR226GtdwKuOwmecqcc14roIzWlzxMWXtnsGCO++GtrdBkk2ub09UI2AmWtKK+Hu29jw4
edr3vS1oRVMktcpCzNX9oHsgY0FTBK+LRDP7MV2zcrkDoMwMkPI8Hdf3oOVB9qOvOlLvSQB34p4U
sxsuYfQfzUONFOn8sWs5W04+87T7dAMv+1Mx2UZuVssVsI8Q9HQEjs6CDim0hj5vMOzSkkbPsXHo
+tyP+BHKxK6UVjHk7AI0N2NnReyktiHEyFf1hDLfRzJXmb4czeq3B4mmOkwEQLxT2BNC49C2riUr
fwA08YA8ceX1GuggRrBYt7jOmw14pApAA47Q8x4znyeR0BunIHae54+4TdQwwuHQ8/N7F/ZY07MI
oG14reVUe0gIKGTxbs9PxndpgbPB/s2z/dCFGEIITrr6PhhHamzMMiD3Y2RrhgyGOUC1kwQUSpKA
cg+CmCAb0iuaSzNvcX4ivXCq22L6MOXSL6dulQ3/hilAsCUqh9IeHLDI5ZuSTT9d43GdBTuNOSVq
kJMyRKjvyZakDYDN42ELyvEGU3EoDzqHN+AKrEYDizoKC1as7kOFrZyjapJx82qtN6gIXh06A87s
KwAW45DfQdjgZ8k0oUb5roQWEQ9EtGIgbTGcVBo+yZ6E0Ia3BAwUEK50HDoTFbDQsahTYP6DGGz1
aD+wKGeAw7CQEvOKbWwtvEgYaB/KiON4NWuU1R38GRFi5fs52y4wdKLOp12YyL/DEw1QOrIzameG
iwa7RlHG84DE7/mARXjhfjIGOcQXyV/TuHyRWwnH2qZrdb0h4XPJHsT0l0Tp5GsiDK+DadHYzTdB
caew8xT8r1lPyNc8mA5pb2FaSLnFU4pgVQ0ncqlxWP67Svk/CXoiXzNhsHBTAyUX5m4PN8GQd4U5
NrPXIUNNQ9UCOGwqEacvw4HeLBoAUYwaXI/EQGWxc/zrX8vZB/RPVDpfw2OyBRhb4Y1y26EFtE4K
mEEuIbobYoxLYOzAtql/49D/ExGSOP8E/0PkNA7aaRYEYgsj/SDvjetSm/QZxky4rrGJAQHPvRpD
4eLaf+Mu/hNx4tccqxK6KhzmlG+FQpeFQVzLZgCi9W9e0J999S+qrR5NeFrmIYfiovlRjf7TrPr0
rwlOvwZZYUoemj5L+RY0F+b10e0LWwd/8Yt/UWYZ3zdtZwXfAunaQPAIeNUHvvGvL6g/e1e+3Ofp
Ag6Dh4XYZsTTeKROKfZuPHz/2lf/oqmkVR9AVYP3BZsaMm1NiHbGtbv/11/8T67Qr5E+YgRR0y8l
LpdchvRdt0Uzx0Q4ij4eRZs+6i1UzDuYg3j/l2rtyNd4n1xls0TWCd+iRpR/Y8Oor0of6My/fkE/
XXj/5O7+Gu4jSxeIyWVs26gwB84Vtm4GhIt/PpxvxBPD4Iv/0zK/FRdFXz6Ua/Hg40rju1QXNseq
kOUbtBq+L1OQ9zQyEhPRP366//WHGlL99//An9+63o1Flpsvf/z7Q9fg3/84f85//50/fsbfLz66
q9fmQ3/9S3/4HHzd379v8mpe//CHDcZi427tx+juPrStzc+vn31057/5f/rBv338/CoPrv/47ZfX
9wY0NXaOsXgzv/z+of37b7/4gp5dnP9dOnz+Dr9/+PwSfvvl+Dq2+H/V6z/5rI9XbX77RapfOadC
wRsSovvoZxvx/PHzI+xX2C44UACf4IJBbMkvf2vRF5rj+6pfGQdyRTDB+lLKczqA7uzPD/m/nhUH
YYiPMPwHHjb/9fpv/nGl/ONXgvfj9z//rbXNTQcuVP/2y9m387+vJ8kEB9YAuisQIb4SUuL/eJYL
zb0eN5/ZYC/Btu6uQfB9+qrdTqZCCoW5nbrqc2Dm36n71c/wwz98Z0iMoE73FRGc47V8ObuynAer
WGu7EWk4IuFVkggbJoMujk9+tqcE0daYlZiAc7Pw1rtF90u9r6HSuSp83X8yHgLPBB+/iKiFXe65
U647lpTRLhoKjLtJlvGwxM7u1A2rBxBVlkz5NuApjSEC7qAynOTBywxOOHCZKxShKRJKXAavjRiv
0UMiEhEEbyXJ2sRWEPWHgR8bLwfUPrR3rjkjZhnZCI+SI+TsJGLLWN6h5w6c74LbDAoxz7+pM7+6
kugXlpFdyvkqUOVDFip8v9QtGr1yorl1vNtUfXkqkbx9WfV4K5Zw9dc4XQikoEWFnRzSqKKKm26Y
3gLhsUcjNWSg2vrZdYG+9RNvGw6+1aURBcDZwBngwHOCaomCusyeitkP7xAKvmzSNe9BpHcX/kzt
LaB3lqTALZ4N0mWzGOoWD5KdKujiYPLU9YyJ+zNdKNJs2w5nSJyVJnw3/azpBsosL8rGkDwuZNX4
T6jlRIJ26fxOA9GvcRq5qo1rmpVIP6zcfKGIyo+oAJyPM6rSThRmjDjwuLhaioZdkwLQ+oZWjt8M
XiVjwTQ5FXqxse2X9mbJzkgxZg4DPHOQ5iBk04YRtBTtRcfscppKZZCemSJNaSzDbYnk8mO7TP3j
0CoJjLnXXpZIdFY8UUjOwNN5yotkhQUInuop7G4yhAKXyJavGkBnzpo0mdqhiZnuQxNNEETuAGEX
fdzlZH0CLQQXXITacmMwY/kAtHv0BV3j781DROfW/+Ce5GST2andTNyEN7mYsV8T8L48tucAWe6D
mMaqywQUdF05XWQTgSJaExpcMASE9EmHxLUn7ia5btYSEXKJmNo0ShejAEKPGjHAnezdPm20PPOW
vL+0NjcvQ0txIVUDec5Il3+kRvZveGeKO1214TVs3i2wPle7dlMwmz9jokfKEXDxbEvLFq0DgvjT
jaAW32Wlub9D6EdoYldL9oKMbX0QaymWOEXxYhoVU5m3SR74boORj25LXbt72q3BXesrMNGzTyG6
KZszZoa1fHkbGikQupnN/e2U+uGLVl3+bSzw7m2YGrvLsK4rH5EZmXiakJAVSdTFLtgDi+W16Yx+
nLOwphFtR/E6FOXQRr30qsT3R8FjUZcjiQd/8D88Xfj3YMibp4mXEFwtgXwG6kihXwpqqDTpHJCH
DJwbMFN/qnpYL3hzj7YFttHOQoaSDVnfRCk4aJ3owDbBtsgV1G1irD0/EQviSLIchOAmJ1Rd+Plk
IRXOVojFkJa3wxo6TVCQ5OMdtAUDyP+M1Me1qpAo07kUpwhCJLM5aurZA9DudANLj6qe4NvALERI
V55RNdm9EQK8KhE8aHbrcN7SfehMQBdPqHK02DwmqHUaIHd9qcobDyq8Gwrxg43HEEKVeG39+bbo
VPCEXymPul5g3BKqF5sUAav3YNTyhPVQefGAN7e1X5Swwmshol4swzO4xg4KFRxD32fCxAsO87O2
oG+9PNKgannMVOOF8TBB4w/wpcee76lmWSPc5CaIQfu7vdebg82EgyJLlSEEHFOLY2GCSLFLKm+d
rqDTnJ9qiFfWeGV1qcHChLTfERrS74XRE48zy3m/Ib4H68bsSHkJyYK98bjqH5VbODCLdJJqA30R
e56btX8fsnWskya3ONILAtVVbCB7WeO+zlceZWp02d5PPSojNJNWV03bkPymQ/xmvmEiDA7dBKX+
ha4hWj04gJgZeEcfd9fYNQWEikPpvc7puKSxy1K4P1ukc211q2G0mQGrbFkAH0gy9ysE9NDDeCzG
hTNOyQC4OUNki9dAkzkTlMOmHTAGSKM1/ooPdi5aRmVPIGHQZwRB6SEEhxP3VKWXuJLGFwQV+5ce
lGdPthwbCB2n6riWQNnwnBP1TuQOT9Cqte4bTCc49CDBnK+YqVQLbQdO6rWFyC6CjGQYooAz+d61
QtwvZ6CnYAShLHNPKmhIrBw/nZ3yW/AifR4XbQkrOgnnK9XM/hYvdIqRZdl8a7tsPGRI0S1Q5IzH
TobspCoS7XpsKLI10MWij9A0B5sAP/krtKFXds7TyErCXbRi/PqB3ai+Qiy1njcANsEWVAhfKGIk
ykmySzNHZqCBKn0lmZNDZAVyME6dcLUPucmUfyNQV+EXfRYSxGpZII3ErgglR5q7Z9iIxAOO3x7A
JRUXGVncd9RE+idBswVyYmjAvzd2CQGn61WKKCNizSAAlcBKKaiJMNIOEvNYALx7mS03N0x6IJSW
lN4QqflH4KBCUWmxPnLcSG+h8FIWGyKK7dLVF5QVro9VZ0C3jbUZ39diAoPIBy05UFYPfCF+afS2
YIO97zrf7hFUWdWnYZrkd27z/HOtUBYe+/kwAQWtK3BTtsyhIY6QYI8ktXVh0wCzQaqend+LVzxd
ilvh+/mCYwtK/SWiFrqspDO9ZwhCGCt5DU1yN8TQU7IFLC9UALEXjCyBioEnS1Br3ATQFy/aK1+h
fk+vuqn7NjVjnqABfEny0ocCpdEgiTAYDGtsjSeno8uZuBdrcE7WcLyGQCZl5bbP0fKTNHgn/CZ1
48YCaYQ2mKq3gZrg2OYCcOci/WyM0y7Uu8HzxMkyH0B0OjxWS8B+qIqG9U4SXGabkGoIkn2KISFi
VppPhdoRCHythI+DQcx/B1w7S7cWLT0OgY1ZqpN8sSXuzsBCKzxD2IWLZoJVCIaAsoIWzS5ed7Ro
aPwG5SyuqMZvWwxCNcNDn+CxN9YEUgW1oqskwgPe/xyrNO1wTtfZczG20xp7li3XsCpomhDYeTYg
57MGUgzpB6dqadyhGArvR1qMIAsKzhClXI2KxD2vzMvZ8g4iwRbeS+aJTsRoRS1flznAKRDSBvJ0
dGf492gyYmyXTSDc8aBa58e5AkwIFFYHeu/goQkjXAJzGldl6bJLGI6COwLJvdrWM7jCqIDfZYxt
0A57I6h8b1KswQtLYxVWdTIOkDAGxhdbPrH827xQFXFvxcQ2IhIrqhrdQXkBXRdsR1j+UU20liCk
vDfnZ/13wuPW8DaG/IHCGYkSi8yoZssKz0UQmcMYtfb4Zn1GryHgy3A88DxpgolEHnfISVygxYaU
pIxcqdht2XseVGqt2kJYUW9kmDI8cqf0xqWIRMehpNYtarveYNXxv+FKDD4BkJebEYQY7rBOhjfS
juOpzBcwSa6s5d3qu6LbEBPm9x6KGS6pnfH+4aZ4gi4BxxXIT8REK126bylT+kFjOyNJsfLFJVCS
QS8JMZb9DDENvrF8agVwW503cRekRMcNtpvPQOlpjFcvzx9Y7yBe7DRll7MGM1VA6V3GEJsvNqqK
uc0T37r5s/DkkvTr0NzPgPxN1LdIV0nAVUrgN4ixwVBpzEJ3Fm4K0FSonj8wXIgYemsYxmaHJy2p
8hxCC+aCHI+xdqivgI7ZJqlA+ZM9H+txk/miuO+rwbvrHIxrq4R3Dhr1VaF0Z5Sbmao57sIyQKXM
YGcS1a3wDlWdgoBfHPASXMQifOjSCQqJIHWYBPGgrIckG6cark8fvHCUrSIHZ4fYP514zOGtlax7
9NEAsO0LUomNrXpyhPIxnzawgoQ6zriuv0HCE+oDqML8o5LZmEewLmIqapGl24DfBucLhxDtnogN
6odZE/VOm6zbzRCw9HsLXuy5xWYMHQ+a7V5L1mVkizWWX8+uArcQeG0dooqE+EfowTAehoBGRrzL
SkHWMacMhwPzKSS+XTfcjmoup9g0uAyjsVgxYFsPa45mI7mhEhrqY63A8W7dyMgD5L1BBM3uRwv9
oIygSsrhrfJlKqKp8cpsx0XmH2A64VedgTcP0jeIjw4F3FIHZDXhgktx5+9NyccbDTVJBX6ZwRaI
7vUlmpa+vCgoI/tZZbyPva58F1KTMQokpBHYkvmtKNujr1YSzUMHDxS8TktePeaQMsG154tNF8wX
rWb1RdF5JqGINIpmKq41boDrwkvVxgnTx7JmBHsDxo+xgzstctJUGwvvepSuRZnktoYqeJrJFjRH
cdEOfns7M9PcNG7sEuNjagygqh1TfBvH6lPX+sXGg9ILlgX42txSiusg5HqLnJadxYMN3ql5k+lq
vmnFSJ5I21DkwpASBPCov7XpBD9DQcXdJJTaQNfgtrxdrmXuLXNCuRW7ji3hPpVor8B8QrMJJ1RI
kjAdiqPvV0iwGQu1bsgIY1WuuvCwTuPM4i4NU2hiVfuhtLxAXZb+7F1e3WQTnEZmasPvYMHVQeY0
eEZ3Wfau8ACNJd4gO9YgagyzZID9MM35Bl+x8m5WEUgZL6CPMPHmun9oRkN2FB470FvgtR6CJveO
ddpCrYv2vx3UNdNjDx7nJYUqFlpV4rzPycpWvwQV1iAMAAV4zjZV0MyOZTUrnKRQo5sCoisAxX39
7sFdcHJ+jslyykM8wMrFJ5gGelfN2xr0fFRBGY3AVqbKra8Gi8zKecKOQ+BhiW3hdynWTEwKSXV+
ZvaqLzgCFVA+GakZNtwEM5I+IGEdx47Bj/YdcRrrlCy2SEmyLB4uCmQ5r3zHG6wJUAQGcADTTrMK
ul2I0KKg9cWLgZTyo+cFTcE1h5VLlFbhPpzCJdxBFa6zOGhzDNHocRMfCn6ppACSc9Sznq9cuawy
hjwPg6lFNsMbzIqmi1g2FCgKZt3O2CC4Y4ZMDaycBEcigtTnJAP76kA/alg7iwaRyhdFkWI5L+t2
opGYKDnZse93tZkwPRkF6H0LvsW8Gbcqc/ET9Pt/jXxeFm9jp7tP8xX6/ANa+v8TPsrIOTzzz/HR
XdG8vuWv9d9uxtf3D53/ASb9xyf/DpOGvxIEZgQSSx1T2CWBRP4Ok/JfAY3iSEbgFUM9zvkjv8Ok
QfAr5dyHhRpSBUrpmYr6HSYNyK+4F4UKA+EDLz1/6P8CJqXBH2k1ycgZc/UJZz5QXJ+yL2wIlTDA
oJtBgcVNASVL7cAmh14X9Z4b3qBcGqHTzcOneeDqQniwHTQsNQkqt9I9RXrzOxnXdge3IU06aq5t
EzYXrDHlSz1W4OxWAUx+MdXwNhgCOQVEzHE9u+zKS/VyB8zf20KXnOHGL7BIYApzF0uu5d0/pKK4
2dlbWndw8qEhEFYRD1E+ob0sSlYfGTjoxMLOtx9WJCKLAhmWEFlviz68hmth2PXwVT+LbAjfq7PA
Osqhzb4YvdRucW/D6V2X9fKeFSx9+Sk1hWuLJlwsELlpVGtyFroLR8m5qmWwSUbry9AV6hoYy7xx
tOx2gMv8ZACkgqcWg5bU6vVmhr96E5YLRkxk1biLFLIfaCJxAz9Oa9d9YGyG1ZN4wWFQ9mHVJPxG
V61uAjkwaKT4VOBd7RB/qorunCsN7bLcpDnkMPCWAUj7KXY1Ha2eIXokh0At5tBW9G1Mm+kSqsXi
BIJUbwup9D2CBPI9LCwyRuwyhGoZcgR+AH3zvtE0U8eh0OyUKZ3+gGqgz7AbcRzieJBeNk5Nz11J
m0v8wvE6uYH76mxV54RdzTxFxp9UvIsdiqM2KVGfC6vaRIgcPoga0Q2Hoeohbq6DN5ipGoxntbLb
ArnhqIgUDG+U196zhpbbek3DBD558jzBmwntdD3sQj51SW8r/zLIc73rKeQ+cwAjDRhStBxmhkcT
nAH92WxdHrmXPkEVAx9e4TcPjNQANDWwJLPmwffF9dXOUtXFE5PNNcylpYxHlc84Rg0GHDo3iUz1
Zq4kBWwmxk3D8w+KtwToX9vzK9+fyr2FQAK/dHLqDWlOSCwI33nPsscFcD4E0kHz5BZaQzuaioe5
bQeA3Es4nKCIRM1kT+itHgIop7zQOyd/MIQisNH275rp6xBG9Ni3Wb+1fUmv1sDBuj6L5Spfagtn
EcVVC5SnfkQuMR2SRaCz0mvwnkENQxIPk9cLspy6o6dUf4dKZHlci15BRH4erpbyfWA6Ej6E3r2T
8qnqF5j7Gj5Fo5cd+ejKZOZVfgHZbPvoKxde5Xh1JoakH0MHkiowwOZldmWAH90Eq88SkwcBxiof
iQWQsY7kQgczhpaUuNi6EjNGw+FXXGGhikPuDTuPj2w7LlC7LGN1s9ruTfvLQVUptnMYUykx3nbs
5ssGQpMdZDewsxDxkP8M4W9hym+BUcIII7zkf5zV/4QdQl3nF37IDygoqpAFHEwLTuAvx57zDCNY
pcmFz7P7EOYR2VTBvaeWF4IB7qebLeYyG05ytDKLsZPOW4VJFm8JalskBLd89Dd8zQEjYsBcLhBq
DuVpWU8fVWDhK2/gfJHDvGMgd4bgP7k7r93IlTTrPhEPaCPIy0mmz5RJuZJ0Q0ilKjLoTdA+/b+y
TmP6mMY0Gpibf24aaNSRyVQyzP72XntpOFz07btPrKVK2oZOtO5o57YfZpn63jQTYwlCqfcT9c0H
ywyadT7n/TGwuuRoNzBjwo6igE3WZs6hHFpHhGZm6g0DDZvwYZauBwHBwgum4p42xOAd63r5Pg+Y
QkaRl5924fS3Hk6O25xryTYZ6baq9ChfK6ONDqJwuIoWanjg/8ptu+BsTC0nOXJWXtZBoIkZ0EKx
G/t62VVidM7cseZDjGhsEBDQERFgO36cMUdxjVviLuTXHkMHKWKbuYG1494g8OPlyyZ3MuxfCQvF
hrB2+6JtXDyxE9QvjIhQDQFb/BRUZK+vlPJTP6KZYkRM8XLmsQj7zvZeDO3Zd9zIjUcH69z+moVl
gfXN6keTVtOLMCrx4uGKvE+ihnRJ5g1Hk7jq3iFldI4as93bA4l/jJJ6SPy1ZHBJpqObNPdwa7rY
4zheprHIboex7JsVblq1S9yh5C9CIIZS9vaxt/Mg5PBY7ZLKsj9xnkZcKN0qCKP8OdG0kYVUxIKD
1bRBvRdmPd4sjq3PC7fwnYln/FTGOE8LP3O2vsjVWXozeaJW+lhYLey6q7ggp2C2Q32W9RjddcZY
k6weZbPD1z1zZhX52nOdctO2Y78JhiW7R3+sbgRumXXS4dUtYqc+TkIGl8TiUcqbiD1bHgzwj9SP
3c128pgzIWjGvNgZ8XwzdcLYpb4cudRIvNo8r931wY0Fj3B0fZid2EouxWIYP/3rYz5cH3icy+i9
GNBdTBUrzFPejvkeq0P/a6Vwr4tGf10+2utCArKBsFKu7GWj0SMYL10Xnfm6/EzXhai13elYjhUL
T2038ys3KCSTcWZZs6rmYZBNdYKM0b97ozDXVS4lOntrb4tfq2N6XSjldcm0ckuDO7kupE2cKWMv
7aVUof61DptBzeU2MGbC25nVyKcZSMhdB8QiWk/XxV21iaNXfmVl3o47ens0hrredtfNokfKX6e/
tpGyjv3PsU491ks+0w6LtapPNUqGuap10eyrKBt3QGDIorS/9rXF7PjDIm+hOXoABCzIRmQpO/5E
3KfYOufrLmqwnS7XfdX/tcMSG05D6ji8NXQV99bkDBUFCT3IxXVcGOVcLCOjn05FbtVrUthUITIx
XemSXmCgFskaeHN6SPveJuLmJy549cCFkVNB0AzIBt54dpceHIgtN2lc2EQwhHurO0THcraignx4
0m3tpA1+NEuNySsfve8Edod71c3q2QBg/xgxwOoghPTyoDFIMV1viY8UpqvuhBVg81YEum8hYfb7
1miyGw42M+OEq3d3xQHX4/pdJ8caYfdW9wMzonqU7efUDq+mqOt14BvzVTw3vW0BHWhHPDZ5kjEv
POXofGiNmmFTkorhOn1Gd6w7D1U+c417b6mcAyK9+1iklbifINKESPB8PuDqPNVVjzu34nJ9cAyV
gjdQSVmuksEnl2jVfZgHJDkwTJfxRgxjsOd0RcYlWPrvlGcxQNNLphif8KBtxxFO0YoUGkp+bPE2
Inl5uIB5x0kKCXWEVZSdxtY3jkEzjPsinaZjKg18NK5qIahwS7+o2DDfrMm/X2I9PRHrLMKpMtAi
ykgdE9rZJt40X1zA1WTvqcPMdMF+gYjVFvoz9ob4vSYosTGlS64EetmO/+STIuRow2/kbXRRihNE
Nj78htT5pqIN+WI0eQPcKueuWXkchVDhhHuveBlRlpahxyzXZ7S2qtLlB4ktwta6UiTuLOWQ4CWb
tfUBDjJjs83Xqsvc4zB3/Q3xEKaMjGk2o8LqSTs11TV2kvECSr/ZYNeYNrRoiFUeiGNguj+LMfic
aVrbsYHl3BKIthxk6/k87XjhV2XaxA9JAb6GlYfTJX7mF3KEa5FVxYvl1var21j9fiDz+W30vPRb
hLr0I+N5XwdG2l3JI+9lYL44Ihf5Kk09cfDc6sYW410aEFmcfs3ip0lsMgQLxKw86VBXByYopOAr
YZ7a2q0PpAnZd6PMOxK6dfaLrtON1XrzmzL4nOLrsE8ItFgGExF9t6ED7WJ6x8eQ4Adn2wU86Gqc
+iUEAvPFNDui9q0xtsKa7TPVY+pUQ4CZT31pVA8CxP1TwiF+ClU16R+McTkzOfiYz8QgWW1gs6SP
ZT0K5NOx40UVWbGVqVvv2srxOB9iBuVJ9IRa46IQfNdBfeRqcBns1+3RVjjhU7/jtTPqPoxkD08M
VDVRNcTelbo2g7icye8y0SVg8BjTjzRi7OoID7KNNr/CyTAfpiCwdwrpk4RxLl8LpjoKI8Yc3JAn
Qe2qnWrrWL18Txpl7eyBRGIEGbhnOEyUatXOpuAuBvlkVVfdIc27tyDqbxZpgplQDOasyPoghyLv
ggZUhayfmPS40FGwbz3YcTsXu1Gp5StlILZyEv+l0JT0GT17+2KX1npELsOb0RDKTpxpR3YgBSCS
my86nhoPnwpLcdMOLUvSoNexa9eXGpszTCR4r8Ya0KJ+4o6+PImaXGCYmUzhCMScUanrYVXxmu/z
srIZ2uJdMKJY3DhubF/6EXT5Gm8RDamBDIxHj6363rHK8aebfUbdsi7HGnePHS+JuDMwHu9blXEs
MsobEkEr12zEuu1yeBXEUnbYXhpWEebhHuMrsiVfsyBFtA2I/I8rY84ZUwTSWtdDdNZjutxyIDxp
e7glu//qZ+/V8jBDJrBdba3wT6Q/Uy++zbKiZOZQmxfpRc0bny82LzHru3GR8Smn0vPVHIYxhsjD
VTw02Gd3AU/02+J147MoAueN4Jf3TYCVYjLYuYfOMNMjOwGISlwIoc9IjURFXmxK8DNhmsYH3aag
SkjhYBjqk4tKa/EwM7d79xJcQ4YfFwcQAkibKWFVWWZevico6C3sp3KiK4VTb11WFiE+Stj2sesV
h1zNzQYOLwN2I5gebcbiO8+olt3V0rGdZJXu3crjNpdwkgU+MG8GZU17zpAk0t3Kh5DXOmZ07+Vl
fWBcOW3jvHcJ6FvJcwtZYTdgNcJx0Dd7322DfZznuBQrhRyPjthv+R3sdQOdcDPUOn1thpnhp56g
EGDNfIhLFtFVVxnLFvfMxGA3aXYIu8+5MdfHDH7TLovIOrZZAoNBplx8yek+BS25uqWvKSFjzSB2
NeewUVUFrEvnxsgUsst4ArPSZMGGhktupOfJ4lepQh0UfMWgKROeo9J5mUsyoYa7yO91XDr7BLLH
LnIKjB9azDwqqtjTVsrvXJJUwNaSQuSqWM3GsRnDOPPWc59FJ4hA0U1JMWIZJJ8e6kSamYe44iuS
6NQWUbayGWteQfqvGpA+IL7R3OTeMh+RufDQtMEDl9OQmefIewvbfMVEubhJMht0zzjINZflZaMm
L+GapCQXVD/LTwkEOd6CCJ5YW1lfSz+gxIPZ+JlE47Qi86wOvjMbYWNEVs0sR1dH2uayLzuvsiuM
sL1mHezowSXzf1Ny0L7nrqJPjFT7gzkTwlp5onNeUsNlUBKr+q0gBMOAPsdudx1webJO9/Vo+nvT
oazQHdrmXDplt+/UGOLcCs0plfkKcNqyXWQKdlNbzrPmunavjTRZlYMkRl0gACSBuaKsikhump0q
2ztO3X4m9AmfKnjrmj5MASQ+2OUQ7NJRpi+CUe2hyfL8fAXE9Whx3iEa0/vYEeM/fPX/2xLv/0fi
7dU/+gc94G/e1v/quo/ij4Lt71/wu14biN/MqzjgI8oKrkf/1Gv94DfpMW9AonJN1P4/6LW2/C0Q
EmOrxEDmENH8p15ru79ZduAFvmBnQAa2rP9ErxW/7KP/tJf6Lt7ZgJ+EWktekp/1FxRzdX20EuSI
fZQsTNJNgE7WprciJ92ZVU9Fhl8t+b3PcCfBi+H4GJLiWUtGrynWm0TLoQPxYsp2vVQaxwsHHuYm
hddX+8noI7WrZtfY+0E7bGzKTq4ubFAYRinV0fVATa7i3s9DN0CoFJyMU4SMe1eV9gUIj7iN7Znl
ycYDibVSHbo4mm5623303boLeQfnnVlb7bpCKr5JO7kllwXGi+JunLxHWRShrPt+zZq2hGIeypWt
CSyAD662EsfK2s16e+N4/QzLKLiJYsO6HYwu3sFVfGdYp0gS5v46JQMactsKtpXnfNWB7YUjNLyy
yPxdVitypx2bSj9F8yGtK31ZgmA8crhPvoJGDGE+W92xtPQHSimPvjTbbdrX+LPA/N34SvzAkmXd
6mZiReq9LeabHN6YcSsadoZ0+Qya5GBAPdJF9G1qnBMOjLMr07We+2PhWjuVmGWC1db4zgY0bqPJ
+crzete5+CAoRN33+VyFmPi4z2Cmq1S6bLyMHihGxTiArfRbnnjTRkv5KlLznLYWuUC5ZuIEB6af
mk0QN/BPe2M4WVdKid1Yx6Ko0LI5kE6GUATS9H3W1tCSlqkrNi73vj3ux09MPziOWmFeFkfYd3Pv
2Vzw3f696OxiXsEMi7/bkQA5mE58h94xdpwZ3e9t2xu7HJn0rihieXImMf9sAzTjHtZQsyLIuJyy
uhjPbZLdmVatfrrtWGFxBgdjxQbQJrbIlady/VXDOwixrz5gUjpyrcY7iM04Xy1G68AvGKP9nPv3
cCCD9SiWBz+pLpk0ETBGeb8UsLe8IVfEkrWo8BJgZwqGqlkrb/6eU4W59Y38HSlsuOmkOBh2zsB5
sLvsQUpAILJu0tNkQhxphL910nrclNfEN1Xw80ljMQIZ4T3ouOuss5T4KwFilFazLgFSO2GBu7bf
0gzbKwLdY2xg88hFs0oHXuw6r12eu1T0wXjdrAtO10tUmLtMXRVOw0jth9b3AYOl7M3DGuNHma1z
wQUv7IcGQbI2idJtOgklghqzRIlQMgGV64hpBC0BqYU9Dlk9wc6MkSE+G64q9L63glqHiZ115IEz
V9XfjCwF1cjz7ONdzQqIBCvAcn5oD37JiZGj+LzHFdTOp6hJcjTPycM/FJdt6z/SzO5VB45lRkWQ
XS0BPzclXWR2xOqxgxipgFQW/UrSBn68AVtTFSHWXw+hjGGIzR2zGcVG26ZKtlFh+N1XZQ9X24nl
c12BiFqxa9JH+W5yE/pWjjwxgU6j+zZu/Xmdwqxo8BROSbWP7BGfBtxAIG0inXAgeFUee2tIV7xZ
MgOhMLibnl/jOUtNnhDt8ygoaHIcyYrHjjnCD8gPcL45Go7kx1NlZfeiSot0u/Ru6W8KPXTxbZKV
/PVdFAo8zJOtN3aUtYALBYCN9RwbWBuKHlfUQTStzr83LUeqbSChvoY2fIsOYcxaPkpOvWHDofch
KBdzc3WSIQ7UGaaDYuCF1onssTxNrbdqBgAi1XLEfW+/Z0IlN2Xg6o+RPJS7ApvT3PQE4dAp/CU9
FJNYPnwPYlTSwcsR3VOq5VOip1e/TKd1Vzbzm++NzRZ2dH5xUvAceKHJBZSlfnSlrLbD0PlvEGow
qzjaXd4tc/mCTxGtW7MvXwCirusAUapD2S1aCEyC79uS4TQtlIceCklx1u2QcXMnVPFjHGZUCxET
EVzlvtHczW1ubYxkivodtmjNjBDG3LixiYCPJ1ZtjNDuRH4RiOljWsjceYCAOkRbpD2fWX0nTp1d
kpeY8SNMD16uSKLnbkM01cwzFExpJV9ImjAaRtx7sGBaVz2hb+rhPWaU0R4XiMnLNhlUJ0BmXseM
4C6zcfqckjTCas5nGe9cLILQjutla0VdGrZTN9xrPas71yjxTTrTdOM7ZApABRyiRKQXn8z3FpxO
+WwspjzD35zeiNtzfaT3HEMDdQNPdLbOlxkWUn6PB7/6LOG47vtsGQ/RUEiEc/rOPgS03IvRBVcl
TAd3ky5g0mkr9T9j2++/5cgnzbpFLhTcU6CShJF2/J9+vjTneu7Hn9itxz5UQSXzp85oSJNL4+pp
c8CfbCTwnPyn8gVzFQ605m0G5+MB34r4RogTT86gbLkN3FnkZ6vEyW2U8JCNMmifqripMQuBi/1h
S7/6OUhjfB0bu6/XjZsEuLYLwEtWqjO1UtPS3JEJdW5i6ErFTQ7L/clInaY4lzUcnT2oY1dQPGoM
6SYwE/9VVjHj17QLGJvUUWUfhZW5XwwfhovIbP/JrMr8XCqNO6jVkXym2sJ7X3p2EDWzqjKrmeNX
MRjmxUYOh8A159MNRPJh7dtS7KMxcDbwNa1TEtv6MLh2Nqxil7SLhyHMYI2o2ozLb1s0XBtnF3xK
sHTPzGyN26hsC2rcYg7lKxHnS3tD/zxZ1iUuSnwuQwMRtzV/sUCXGXJ8zqWj0xPtzYvjdN6lTYf8
tehiPnRVHDvDphiGyFnb1MimxwCb1XLwIxIYBxLXRrtn2MT+1zANKC+AA435zhNQ+C4GHOx5NVUp
Di0Do7UPp0/CNqgTXjqXs6sZuTCykfGgj1FoR1rFi8FGIiaEQzkOF8uOVHx0a3TJ85imC7F3jDs+
4NbqIagmAv+woOb+AauRV78A8wknRH1MJsBX7MAxN1xdhxWA3yAcyf3cZNLyd5hJg6doKsQF/sIY
44Zl3cdOr/bcMB0mtz7+P1vZe/az4o7WpmLvyw4co5vg/JyHKl8jxy3nDk/idVrgGCfldPwV6ryp
0QgwHMJZg9iOU48y+N4xb7t5VGs0zAeTBz5sOxVtNLejVZfXw6tvgfkoUhU/p12jwwzQhrkyaxE/
uV6cxBtON1AujWo6LLPf1Oe2Yi62c1w3DfYCOZg/a609J4zSxNX3tp2bdziqnJvcSJxnd9RTs8uV
gQO1AvA7EbUXIqOOMy0OBjTI55mqUv7MBPMx8c59/zg56VgfrNnPjom9xF9scyyWEeMvXHAjmKV9
rkzkWO4fH7VVBKeZgfX94lb3jbSmHXlGC0n0OjovF+9ctbUPMsM7NQuKdmnrp1ioDOGhBIhreMsH
G0b6GEs7/0KeGnZN1lgNwB0jO+CtikBCu7L5gjDNEQwN5AAPaNzn2ITVtp4S+Ut6TrEMd7SLN440
eyAlbAS7EdRzdOMlOth1IBkDRMtpuUOtgKKq5+o7BJHvGvmPIZelCuY/JkieLZbGgPLWvMAu94fL
2b8Y1v55VPv3G89fYtnO1JdmVekJgl3eaNz9XXssmTU+/ec/xnedQDB4kEQH/xLcHRY6VqLIGA90
mI1XyG6cYvpu3H9XknYt/frzBe7697UIkpvcCLnP/TmZaAWGrf0ACWKhY+8jve7wjPW5EcSwbZJw
MjL1Ix+I8a5cjaf837yZ9p/9Ptd307KIfkj4c5Lb7V9fpgJKb9Stow8uyaQtEw/9aPuF2LrXw8GA
lHzxG6eBbuXOb9lcTWuGEa8kJJ4WThfur2MGZAiGGpxqsJTulukema06CAdkzNHE4/oLhSjJy4wq
v+tg72V4MrHb1ZDbWpot/k0V1N9fEDdhU3JlB1djk/v88/u5OATKgPrXhwWoCDo7Q5maUJtCgerF
ELDHx7nvHP7nD8vff6hjCtO1LJ+TqZB/rTFsI0jJA5BAfmi8nB3pcJbWb2YbH5WcG0K1/+0s+xcP
wJ+bzK5/Mn4YQ39eIN/Jdf+aKA0cu8z9Qh9G+Bkbr7W/pszYFuak/82r+vuT5vCx9Ijs4jDDGnH9
9z8AEOyis2hfVSUOzQIvl2vVERtnaXn9v8EdWP/i/buaL0ghX0dD3l87fBjKuqm3ePlBu5Y4JT1H
iqifkviM+uH0a2I7dreDSMg9r07G7i4be8e9J0gUshElX1DVOf3V1gATvu2jZT/9Oh+2v86K//Ob
/7f3xKJiOCDkzKfLk95f++tjMIG6rZAacaab8lD7vb6fqonL0n/8c0gpe54XXJUk55qZ/uN7LxpQ
43HcJwcovLJft9Km+C2O8vz3Euz/bbnv/56jMxDXyrX/fu7+pgrefHwl88e/9HP+/qW/64O+/Zvv
+a6QlskH15Q+zqF/xt6xbF6z7dc0/LWw+x92Tlv85vMFgR+gHDIluXY1/sPOaVu/4Xmz+aMLErq+
Q0fkf2DnRFnkW/1he/llZhKCfBnZd4kP1bs+eX94hpXFHGTJlm57dZC50Oav9cFdm9whMpgviaet
bz7nTYYOi8zPiqSXdfTLWh/8UTFRdG111zZM/nCGzO6XpzJW/hL88o7qJVucsYD3yUtMGfS8MozK
fxmi1F7ZtW2vJ8MxV/DCH+DsT8/Sq7xQJ/1wV5dAfFNcYEQVxieOm8VTvJTlV+9J5641i3Rvu7VP
9HZJDmAU+/sim3KqLqSHK6rLdVGHTWIsBB1nvUtwyphkcwji+SbA4LDt/fkS9NEwr2DC59XRbpsH
oG3F8jAEHQYAkSzFY20Cx6PdoB0eC6sqcNK7IwncAJ2diLJrJ8PBjnPuXg6NwF+G4fczDLSSrLdT
sKWd+4nejCP0KSmJh7t2e5khVn25rVupXRxM2fBiWHHwVVEK8blYWFj2dhs0BTKdk5EtHw2xVUFA
dNPghlPceb4sx+NieMNPLji6Iu5QNO+53VtPlbALZvqRf7FdzN8c3g8JcX3jWIPuN3c0oohPEBbu
cHAELItVA30pRhmgLXaVTOiUYmgrUIexC5fecomDBbP5BMFQvfW5G38BK+OUbXbytpBcpzadT6Nt
lIyxG3pFPZ4kseZdSfDKX2VeW+x4V1zwAB6kc8hSQwCEoF723pAxH7J0fHZyQp/vCx+OB07GBm57
szSPBhOcFe4FRlYLseZVTdUOIxAnVmHdF+0KO1eyJrslCIlktk0d2gizoE5jStGy733Bp2UqG6Di
qqgIx6s4fcQ7B64cyxuoNV432UnBtXax4Ba7U/Vhgv9ccYR2fsZ54X/DZ8mH3DIZlb0nNSFIcthD
KPvp06G4mtDyYOzTiWqbAOEYbNuiExTbQJ2ELh5qJ1UoaW1y9rzZu0jmAm9tm6ubmGCW2OTzkuwa
LX0s/TYWicw08tcBWBcNAbaHk0yoeIpD6dr0I/SovfRo4DUmoZRwvzp2Jcqp9PEEruY87s5jNCj4
2+XDlYO7UZXlNjs31faKpMNT7rrDW+tKpk010ZUQQ42XhMg2gBv8ikZv2liK5cMjEpx86wnFq1Bx
ugdSgFCBFdUyxvFgSo2UPPYL1+4KkF55sABjxitMAslrN6qpISIY62pbEWedzg3CFr7c7DoDNH3b
SehfEXYTJsZocaJTliRF3Yo3Z5FYfZBPIMTsoqJ3v9El1Bi3ntslLYVdKum30xWWsUb9tOcQM5Pj
bcd5ms11OvGHXmGv9jKedZqmplu3kXF/g+cLyxMtYGbxCJbTLR8o9+MCP8vIGr8B8+UybMo8o2gi
NrD2KrDUoMjmYOFTtmBX1onSTygf3gE0Sdw8Zl01++CMdZBeBar6PGB34cH2auw382LlLy2/qB2i
v2c/8lEH7caJohaYDiEzcx17MsfRaC6EXzoat0DTMm4Z1sWSo3LD62VqONJTl9ZZd+CTicujRldZ
WUHrXojwlbdl6XlfwphKe+/iB1DH3vXaTyfIW4OmK3LnBHGmASZIoFgkJvu5FK713AC24zabwRzM
M5cIFrjaOEx85qjSw0YeLlYAWy3ysIWvGCAnesUCKbuwT/umCnmJxZo+g8jgH6n6WOVTxog3Ldvx
bRhK/2YAlvCtAsBDNtob59t+tLMjAgVEDOIl04Z1KKYkqAvGvbD0eENTTHAfGQSSKa5IwFAYYrpA
qp9DNynth2IoEzccAXMA2yjj6hARs+1AR0yU6zSzOmk9gmk22uYJP6Lzjcv0uLVa0oRLGQjSbyPp
uIItstgAmsRoFQ85DA2bjh2Uo3ghIrP0O3PugzMzGyPEVeAQOq0Kahbcsr4zdNV/EJqe3tVouS9d
YmUHwcSY7oghemC3VP6usWT3VFnp9NmQRPoC6zE+jS1FKYNXPgYsSxiUGgmRMxmqx7R3yW92UEWO
DX52c0fuPN5j2nPWSPTebmDWrELP1ZADvTRA0fa5tsH7z8VbjHuhWfcE509MdPyfTCH6ValoAjGj
wNynWhfvUhZgOyrPtEeIAL2zyQdmV0S3q31RDBXOTqAqHt5xhj5M6tLtbPGCoZkQSKqUce6jlOIW
u8SrdqYXd6nJOi/Vc5OPOdO+CW2GAXTtHmq3p/gqS2KN+Oq73mo2tXr3DMO9DP3s3KRNFtyV8IqJ
Agv/O1tze8bB2b2lA2iG6+W/PtZTFp8KCxvdqplZqDxnah8KRQiCMNkQ3PG76HdMXOZLZnXEA3t8
5A+2ZBCmvLnWV+bwtpPpD+Hb+bOQS7oZo0LpW/565Zu5mMt6gui7S1vt7SqbHiJV1V+wQZb7BKfv
LSeXiUK5siAODlmlCQzFOZmGilVp0WCVBdXA8yYnZ22ZSsB1vibJij6YL1ZPT/YjvlTjaLtV+25b
JR8wIKULkdSqgUyKtWAYcWZ0+lM0g/vORHK4TBjTnIOXlNkrGO8rPNfVjBvM1C0/q7HT36HbM53s
pqo1jh3FGCjUxP7S7RAPVC+5M+lqx8vlscYinawAQvC/cwL2MeS7sZiZhpQDKUWFx85u+McMZNfF
TXFweGPHyswf13qB5lJqrLI+eHm+usDiE8MAqOnP2AFT1j+9KqAYBm2KHcxJ+p+wfIcDFs36PIpW
Hj1D1ZesorJg1XEtTdZePqTPOQ6yXdIU3UkllJvRyYYJD3IuGfRW5eSP8biEgejYbMhFDh2F6AO/
4ZDwj1fPUbBv06IjBk+n2UcTlKm7aSZn/lBgz77rbpJwRrqB2XAMvS1Z2aBOs3uLKMCJPzxOOJsv
LyGj4+5fFbIr78BVLg8cTBMqyYjZYIn0Ywgxfc5kmu8Z7+wgrd5B8NO04znluCW9pywcioRAtNfU
b2WlRRwqyjk/gOx4JzeK6OLs+24zRC0ISd+lQyqm/oaCM4ucquRX2sSsmfSLYBz/pv24ob+pauaV
U0nvViXeYKwgQ4uHpJqnK7WifKoCbN+rtq3IwF5ZxWQ7VHcoyR45G9uNq3tWffDKrWREwWGnqmGd
RPFzZOXXdWdkmezsAKtOEVCq10YcmtZzxSwqdKa5efdVylbjI0TfIUt7LgmYqf/QumIumaRdFRZN
lt05yqYyUY4FbekQMeDOW7mcbnRr9SQEGOU/x4sOnoKmzvyQmwBIqZkOIcjoJdFHObmvtLEPyWM2
9cE9Qr6Tb1hgfLhHBtvHFYcC7YOd+b6MZ+9ITVRkkkHU/t6pHAOBlegqhXC8Z3sKRYadpzUBE89q
5UUhJ1OmSYvco2DXWSPC9i/JotWjA933nsQX57YERMQlx1E1bM0AIxlHEoRuTvYD4GGmluJxEIG6
g4dMPQrxDNRwp8loFJ2ch6Zmod4LhwqTlQKttPEGz/hixUu37M9ia89++oOcbr3mKOQ9E9CsrG1n
GuLBJCOGCQ76RRgkjgoJrbUUCM4QUBJRybdMDst9YbbGJ1Dh9NGck1ad7E4Xp3KY5U+cIqo+k2qo
IszaXvHluJN+WcZp3tO4OZwkyWe1dkG7piHU57RkmtXOlJ+UrEL7pinEfgar8kx/Sz5scsJJO1N7
cDRxRYVyVox4G4ySG2vu2z4sbW78VNeNSejmjAYXP4KznKQ1xUCzbOQ6AS6wZaJSn3UF4nhtxKrd
jGWsTgwtzINV9K+TScdrFFdqvYD05hexm/eIKkwuU4JMQOL4B0WIhb0rdi9qlEDScJ5i9ZtHpuYs
XkTNkxc7w1hAqRKWX40Yb3fBz0q6+0447WGKo3jT+BrUOcO9Hc0g1S6C0fUjguNzB6mM9W/Gerui
zYfpinZ3VUH0AVKAS0XxNGAUYSR2P4GhPjRp3W2tGZ671WFcpP+w/z7SAXBhkhX5YTRwNCKUXj2R
lI3hZI7dfsyD+J3jTEfQP3mg05N7Z88vSjUDQeorXVYOVURohExMHbTXeU7fnWFlsFOTbVqPavzO
7UEfqBbEXMBOTNthOeqvrCnNcZOOuX/I08R/Txui5tQkCH0kUmUwqJ/bUwvlg8NixjyHUM7H4jdf
S21wtiJBcN1OuY3VSUmsZm5bGDv2suMKFG8HCglI9IKxuAmUV25gazthU1I718ZkpVU0iYsuzJlW
OLoaT6LJ9Nmsk/owGxgT1r7XmndIZnGI9C3OThU98bG/CDc+DVP/AnHfheKSMen2cqjhGbCbzhoD
8PPXhtcsTrm4LWlyQ0NImYXp/2PvzJbiVrZ1/SrrBbQiM9VfnlJ1QIHBxhj7RmFsoybV99LT7081
997HYAfEOtfnYkV4TRtKJaVGjvzH38x99oBlTPyFzFQfRnLu9Gyw9WdHdNP3pNLTrYMNM35NTpde
E/rkHh01WhdlaPvmQUytRXlD3/zVUeKDrtrmA2mLYATtyjkwCSYuerj0IjP7b3SdYQCZ035sGeo8
VUt7ncdZfdVmab6tJbbZlBi8pTFlEU8R7UaAfQlBKP3sXdPoLVcDHio3CKv6T3nMZ+Pqb+PzRiZt
nZHRxRKFHJcvubopUcjcdy69+Ux4J+PpzOi+omG3Lzuphl3BoH7TzWb75BUYgmW+O13Zfjh+CiMc
eYXXiT38enY3x7H2psGU1IOLQAJkFUVQMkhnFTu6kduM1Vgz16thqpe9zHe1UaOpI/+sQNGiXAQh
o6wJeuXUxmnYMKtvXU7ztI2Nfnh2M0zL0C9MHoHTzME5mXQqJvewSn42ykA6pLN8OmJzWXybogZ4
ojcVbmSukVbRbZ5W4iFMhpL2W2OOmJrqm4oN54NKM/mzTddptrYYwuAEKs2LntPN3kF4JTbuMiUP
up5GG6YtQ7pPKMyL4jhBFtpVEe4JJAfXy+MQ48PtggBdMH1Xa4ipWdzCwFHOcQVIvke2IXeDXlzo
s8MEW8q00JoEHYF1n2Q7i003DlbA/lJ9ijO3+04aLQWglflR2QlJj2V8ZbZtV+yyPtJbMYKzcK7L
sB0LS/u+dufu2BaIpa6jCRoW6vombXaqVYt7QH1pGntzMqCLeyNuKg9pnSjSWdk1TVxZsrVljE7j
WO2TsYF9rDu/x42QPFmoN4MvniHR9DceFOMvYspdl7xHM8TBBA/4x6RImksQnAJFQ1pju6JwZbw0
XPg49yNG1Z+KTg5Itiao51dlPOlpu8RzvktGYwyY1fKSm+5XP69zf1dzfGPKKEyXipQIlHDSXq45
dDbfmAAvJXIRvArwMB8DjmbGfeWF3slwljaghUSm3JfDN165pCEtEZz+qu7z9AMMP+tHhqLkC8gM
NjPsR3TSlX0odFbd2H6FWLuJkMIlfmSeUCzLvfTj7GdqVEZ4JKeBoCIRNzj7yQX7lY32c9gmsllT
rs1KIYJzqnG11E5Qq6WasSzHwj4Cj8jwV9p4WKDhjtIW/bipUNzYgdnitAFTvLfzTWJNvO7kaM2w
6kXe4U3OSSxFmMVM6zC4g9g22iagzmqq/tEM67VVbksYaEmbZcQdc0TGFDLrP8ALIdY5yaFAB3HO
wtywT2vnssam4XtkwHJpeuLCA40nCh0OW9Ts4pGysRBcXo5+5TwRdVd9cXLpPS5OUUwYOcbGbell
5hy0Fl445OC1896bO1rYJOubCzrxbD8slc6CcO6JyMnR8DKTTrsKyyAMcL9Z9Uyqu9M7N1hgQG9W
RU6iaYeZ2NZOPPuHA/5hbAnk0leOlemCKq+8x7Q1UN5Khxl1WjvmLaEQ5jHLsYBgBZvZx8JA7TyG
JiZGccPZI1B+RG42dn/FSeLnTgRXTa4etkKQtndDXiIbDVVuDNhNdGFeXaQ+kUW7nuTqgx5cfOIh
g01fB4cDFt/Eax/62cW6z8EJjG/trh5gipQSXND8GQBtwPPpe5/F8t4jFWnYWZ3n0CfgLH9FGDOM
KjRFRCHhug1uQe6q3M+RFEZAPAHEGt/tly9p0XPoYnk63lZHk2sTVi8mPKRwtzsQl+5cAoi4CSxT
s8CXU2Q/8Z1UMJpmDEwzGIQoQVq3cT4kfdQ9QPxKv9SjGIgJmEOsFMfFwz1KG5gSsMRIIArI8C4u
uznEJB55xRqqNET+fZ40nOYnRfmZHZk+hfNIukqvVE0sUuElkFahHbJAtZ3LC2+qm+IQwTgzr8Z8
6Bdioohzb+y++Zw5CqqCTpAZbbQC0tskHZmM2CGCPXIWMDSRvg1ETVg0ZkRcQuJeTaoBK0381LtB
lIT23KV+UrDTqM7gDBgmRLsC35OtXXQYgmSFBLBB8FcLeH5DdZPm2TQC0urpqxOmqLrcuv/Km9So
UyMExKkqavtTJRQ2h6Phmv7WMNvoJ2S4NN5Pqk9p9khmqgO2JerKVExZ/jk1B+ty8cuFYIq+I8Jl
ZJu0NobjjwfLwRTSUC3WU0Ml5tNcQFpbT5FGFFTNRIg8yRVZuiMId7nDBEZXB/wuC6yXmHhua8E7
j4zCCq/HyQjHoCGmZAdHEUO7UZMRsNHC76wNVdUcNngm7g0cAfvTPNoF4c0IzhYotiS3kPgnAJOg
Yq5M1Nj3iItDQLjJ2Nk4gjlzQYp5CsfZQwvnHEpYWrSnYwRYNJdccGRMbXgNF86GL5bL50Eb3sfG
cyXIIykcG8uANLAVUBo1r3EGrcLIqqbYtZTNCApbbdxFHDW8B2iBMzrXAWGKl5J44Y1yMPYc6y2Y
qpA/v2U0ZPYuTVTyERSXGA8a13obj27yUWONesTDIx726Nvchyrpq6tlHqKHNI/ppDE5S2+zOnus
iIDelZj16wvcIUDcV0VmVHdDuIWJTOi04jhTJtV8n6LLNbaEl0NzwSq1m69WRjLJsF6W33CGnLwj
ql2wbD34P2jmmieRevnnBYZoEpQ42OKWZMSXhmTYFHRQiGCUhb25MR0He6I4s35Jox73oBbmfgJQ
uALSIV4IWvVtK2a1OnaVpiSabVyOJgv3Y1eP1UeEX7wBqSY2LFaR+oRbPjW7w3LmXuOCPF3FdV/t
ieTwov0yugOZwkYLEiWr1ln2oYXN6dFj+eJDWw4muCW8yxQr8UzP+2WRw3KqmI86R2h0JuOZuPMs
DIKVvOjm+FNcWw4SKDl/F2GyMw0LhwiBtMarl2z8wUAGt0C/Vo/0ZJPN3pbGzicUoIAWpfYwymyg
BBGj4t3Ti2KWKbAaNwLBKMqgbavrL0z4y2d44vSiZgMOEHityH+hjPV04Jk4XhbOBNhf9wmMMTWZ
Gyun0NNRNk5+OA8d//989h1HcteXyAnMtya0/6f4+T3/Xvzre/HzXzfJj/Lpe/Ovizbj/7a/qzn+
9zf9t6DD/LdPmIjvMJtFfoEz+f8MbH31byVwCIcLA+UHEgKj3P+e2Erz3/yXdSxrWZYrGFH878TW
QQViYeNDIbEVpAznPxJ0rK7rv89rYYpKF36HKbkyQTbdKyMK4jSJD02m5hCPOboqO38qKrIH8QBq
NyTvVFjoZM+dgwHU4uunUmLd52O/jU8Xm11ScsohdHYb0tdjBJE8DCUJOL/d5L/QT16lf7jrJTKY
BhlyMDFCyvLqEhmJ2kLqqEF9G0ISRee6i+KaxMrYPw11/Z1x743T9ts2UkTtOEB8/08XADdLcatc
7H1fzrRBIipvxFP7EKIn2ZjLRAC9zKhosAHjulJBD+C36X3seKlCm1RyHW9fwksKzj+3ABt5IbG1
d4S3Sn9+n6q3FsBblmf1oekjxsbSve9jcMK6eIfMZK2/6P+yw/7ngxw+xnIRz5qvvqqzcISecTI9
FBiUHruo8/duVz0CVft7uqYkwCu7DGp0a5C1RgCkUBQnY1J3NvK8EwJ5g/Joht9J7Bt3zaTER1NL
9gpW3wFDygZnZaQgOJHpnVHRMmptuYhviLFq+qFDAxFRrHt1Cyadsf64kXPtfG1DRltN622JbA8v
o8LwGHRW8wEdTXw9h58BH1it+cJwxbP31jRON1OL3z6h6bt2yJ5wQGS00YQ3i+f/gvD/kcnhl7ef
0Eta3XrjeCWEJ4R0LEEfvz7B33gP7lKILEpq5J8mdoAJjrgpiVCINrsgBMhgSBX5G5f59f7tz1Xr
6n/5xCybrdP1oKCdy8jLD84r361a30sPGGji2tBl6QWz3e6oIEVgbdK2mGotQ1A2yr7CaLDCZDjF
qtAreKCoendZHJG/jWOO7fJOmVJpDABdb1NCwDhkaYgmG2cxIq6MQu3eufaVOfbq2h3puRgfCGel
sb1a1qL3LSDOODv4QBHb2gA7j2JdYZHvf8zGHvN+nAIOiCbzG5jcF4OJFFNHl33GZC/MnYt/CpA1
IbQ6OTgtbLyWRsM3+NLMG/DEyMBb0dD8ePu6/3zWlqNMuH6KggSFkl3j92fdqcRgqsdlj8iCNiTW
8sGCjMzzjW4cjF/rvvORvWbqvffzLzdMWWj/CHfANO3MvvltlfUqR24DjeMQ4jIVDOhLNj5nne3b
3+8l52xdy5YDRdT3PMGXo+C8/H5FVoF01Fl2iGe3OHCa0JeY1j69/SGetf6a10+fgTP+cq6EDqpe
Pf0yb1xmC0PGyC17xoUSvazT+gWMP5NDjMVL7hsje8vQdbtCLvoyt7NnGVnLXcUEzy76mH1n9gPJ
CDDIO9vYxUskjlnLItfpqIJGGAkQjndvOMa8F457wzCouUiQPmyBiNLNIDN/b5ArCsog1A7zRrBF
6pstJxUkzPnomPlnbWzLk3C5tLTPVn9Mft6qcW6dF+gHauFPYKbwOeAlbcC2/H3RG0hkfIwdlWof
ps5rAXRG3Ae69Clfkic7Ne/yagkvQ9JVN5aZPjcKBWQLEZEMt+JoTD7KK0f4+6xMnhucqDfIbnA9
MOFN03ez4CTru4haFQxV9uQMrEFLR59xSUHsnfn3uOazAjvNdZt3ReIbxzEeEC+q7lES0BpgM+QH
kIjaL9VkIxOCMIMtZaECbfFhmZ9a36WYKcsKkD8bk6cWyHBr1rUK8CKvg0TZ34qG3MYIrubHoUQK
kCYLG/HiID3L0mcZ86WHqPO2ec71Rl33sVH6l6PZPbGrPEUjwvHBo3Dj69TuYANISBkLguzGeHRF
1W6tkAkFIxNvC3EtDHpYHRjL4Sus7eTJtHgcdu2gdmvZgbMZwDW38pOdVZ9S6d/XLWrOum86IoQ9
XI8gubKxgA1m+NjC/W8+OgmwZF71H2gwDqFbPDWibS7anuRvg5HOzp94mvlMsWzq1MHV3NnXdfaM
PAUbzHq44ux0teT6Gbdv/zCR3YWDA1+0HXPOyeZ1aLICEbV5WyXcG43MBFIJe4A2Lb1V6+mbRA9s
T9Ytc+bgFWjJR82DfjYigxXLk4XY/2wzaoHgU9sPgyYjAeMmVKkWAvopjJ5BplkEMdWaNERva8Tl
aXIhIZMfngTZkj9BvMg+kJKJ1zqpI59ale0B4Z8cU5THeBbA/KF7L7qM70h7enJS9K3nB0NncNM6
TbfTks3jvHbnkWUjkLOuWCeOGXHy5IX0jHZk3ple5h+6OXvyBCJ5zQqXHa/GeeE2uNPjvzztmf8V
O5k7uBp695gjki1eC/3PK5CzwqQ079quabf2QPNpIR65LiYeFrHSdBur+UuZI9n0YlaQKXn8LcaQ
AM3QqRQyvtMosLmWYwjFy2PRll3ydL5wLpcupi8WQGv2NHjOzRX2t+0X1JD+vu8E9bqaeNXcuCLr
2q93ycCzc2df7whEuZAO/kK4G+DIDIcnSKfhVI4lmiZ85PZTh9Ihp4AZ7VqwXJuf4XuwdPU/DzgX
9p3K6sey4r1ypvS5drjqsE6fzuWid/Vzh/UMBupUgiKF9U+kHAaCGTtI5TDZb2TXwmjgJnIYoB/i
sIq7ne9uBlsePVulp4wx0lbXVCUKld45S/Voq/J03p18wSoWEXfAllZ4CV3sGc+L8BbuxD6nSQoS
Z7F2TVtUe3uCRDn7PwtgvI2JInNLnmu7advkM5A5Jc/g9w7UWu2U3JDJPjRu9tTRX63lbC64EXHm
3JyLUm9TXsCqH1MUWNsE6FKVznKsM1gG2M4fEsmrgjvNE+JVPH4wnMa5kYd7Pk3Ea8PiYPGzW7cd
ZqQ3528I5Pq8vhKgTHfrVgCv9a6ruLDzM6iUf5PkZP8KIqE3ejx5UUpyT7EuG0gXm1DZ+a6UzSMs
Cnmym/RZV1G2g4aqERuyGM+VzsPNBzWjd098BBXVWYwd1WT80ALYQgzi/U15M3ejsfBTzPWPmW7D
y259OoBR8AOWklktuSIEA/KfqmW6PFdijEloxJACMPzz2DPQhG3xy713s6rGPi4qHK7Em/Ytcxm6
GB5AD5JDUGqP46LOk5vSF5ohXMX201IRWMP8+nVfMTUX1a7Ns3bsO4ndEnyH+WCGq5x75kauK2xa
+JdxRZtOpQFs5lGNJYuu8Sk8WcWyygeqjzfwaEyfhmJ9um3aMJfgDXdjqj6noOJA/MfA0Y9Twbn+
Zmt1RKhbMAWQJjK2sjzWadvt1j2u8fmAKGZV2z0vkLvok+Nw1YrBVZBWUm/P7TDWIRkJFY2+NsJs
/iziujy62PdgqENzJSb9dF4rRZc/pV78XCzTfSjSmQ2jIRx24Favu03oUxd1xysQNp2+nlyUUo7h
kB01kGkDYAwGp5J+01dFvWfgTliI0yQ3I27qW1uu/bnt7pmdxsesKtnw5q6+oUrWV4kVo1UZiWJl
9u5sJjOetj0Wc3vdj96uLBEdpTVwY9mO5MTBpBPHhniS1ecU5gemf8l+kLj1dF6CosAFeUum5Lms
y0eMyzvyLOr8h+Hr5ZMJNfNKFAx2ogoxalFHB845CdI9KR+RghAtn5MrpF0TBAwG4BaLfYEhTL23
F45JQwnpa6Orobxo7Ni9lT0WLOMywyscVw7ejLG5tx7gNAGWjGKbG1PG1h7YXl5iePjUGxnugi4I
Hbi8if4fCrcexXK1NLxO5HQ/eesxr3RRDceoWLFNJUPXtsf46JPuekOqqN5OKyVtLDMm+lYughao
ejNlMHuHCqw8zhlNQJQk/kk1v9KFhq0b7Goj6yKDRVohbnati86vHzM/d+G/4MozmA7UPxMCgPZM
/J9kkwa474Z8PPgbZCCMsSWOM/FKj0yk7PdNb19mTLCiLBrx4GriY1574XYkuYTpqPOjcpmwR/MP
phKcImVM0TLIHCg9YH+j7uDsqoS5oyb0EVEMxrNWqQRnOCSwKjGRFuLMgvOj2A2RtaV5vjVGFPSA
0GxH/T6CGr3DSeiHEcXXxthcEXWM5/YwfpZivMSIz8NZN8dizDd+VQ6Lz4X2uENGqgD2je843eIf
UTM67RbrLtKwF9JGnBrD1NsCnjdD775lRiaNY42Pw7adYKd768lnIedsIxbKEnFTz3Iq/X28Mjxk
SKUpi3j+jL6a4GqsCIMxYweyCid8HpnYBgCT2UNRE7xsLTjh4j/LfWlxPwTiyHXdwMnzLcpb0e8Y
xHcHXdIEowRf9qOmYxKc4fQmhSoJUs77bRn6ZAr2uYjiIKTd7QxG6Ie+avip9UTPsJByYPKakorc
ssnIOyaC8BcKktianHVbrkuUA/PBGscnf+jxzSiGO/x4jF3I3BChMJQyjKKe1+scPHEnQR8OLVaz
BHXys4j2n3oZP2m7fBR4dgSDLe7aBT5lJ6DhjHE7XRLnUmJui9alcqNb5n4omiUGqX29FwNksVao
5nNv6K8pe1rUuYdazf4ldD1zo8ZUX6cjV+PRVW1av6O7Xsvp0uXLte7Z8Qavq/aj7d2biX6q5vxE
gzHdLmj76ALN66qhrzGkz6CN2CPcknGHVCPuxVP+yScKeVA4MnUq47sCHt/gUBLfikZWXxPBvS9o
k3dSuxeZxQqrMlZDDxWZBot7Su4V99lyPfgVRXMVGcl4n0MkZmDFclMreJVg8D5CyQxmj7oWtvQ5
uo6nG8MwFbJjfy3SOaeVYUABarfdwpelx1TLwBgyQeNWNuWR/L1DKPr2QvrpM7lVzxG7fdOwDwHM
32BFL7bnHb2bOISt7U69rtWIZXITWjanPHoCDtdql+KhtDO4YFxM2DMLXJ1zGNbm3TIBELmOrbd9
1DyWOVsPavPxAwOpcoOAkoeNEOPQMay7nEEmVznFhGNcpz/WPQS5XKD9j8TAYAq+cMaJHtYEa7Lp
yoJocJM2ypo9WG++PEWwqCC/sobhJy2YdLjxzyaZkBe7/ALP70kWwrAx6A1Wk4/LxPdsbPktTf4M
f1Q85eFQnDJ2vfPq57yJ8iJNLjmsPgNC8K0y56MHTZIsyzvYyRz1QnautDJ+rUCVbS31sY/84dqu
eSKzXvfAiPXZ408RwIhbi0JU3TVwUNnM/CpAK54GSsQ3c0IZA4zUu9xVDCvt7tKAXUrFrXCjWZad
VfPxuJbQr1o0WImhPmTNkGOO4uKrgxXvFpsXf89qZ4vreURDYd2d915/4j2NrfD+7YP/n4iz5TjC
RQWKAhTDoldIWa96aEXlqA/WepvWIxUUDpoMLHB3jQ0jLGL9vf2RZ+Xga6jB8SADSQT4AneMl4jG
kMIBiNJZH+BJcfYnRWwDefCxrsAhIfrjn2VIzY1jYXVLhmGDwkxl1NWDXSNXqu6Fl0jKBmfrtbPp
XWHsEPHe6yG6FWpaAhNHhaPKmp6pHF7b1TjcOsyftsrr6Lm76PMZOz0fy9C3/Ey6PH52pm4I7M65
kwyVt6PRyZPCXOTSqab8xLibHnJY+2CXYxfkjoQjGm7LRmfT7hmCWJf13AfLxvvYe9AswuaqaGuf
1Pe18YxxyUTtgEtv5IUXWsrpP0flGUKYzCZc0EdUka9AsDRL4pzYIQ3pimOs547hZdsDgjiKPi/X
9kNyrvWMDgLd84ZL4gXfeax/weHWHAI4KMwS1wHGy6dqelCxEqX7Q+pCzICkEx/hoLPxkTW40UYK
scEZRIAlj/kOQvbKBusMkYEY+Ai2TWoU8NXLj6aYyB5tWn/waviBNvsI6i5DfkxGImOspaq+9SIN
Madfyk1pp7flkA+f/EodZnLSHt9e3etnvVrc4KMYiTOeEJLG++W1mEUnOG5icdKGprfLatQmdcSf
ZFbeT22DHR/CGTwfm+yYREN+fPvT/wIWMifgAnxsx9ZR1stPz/mGZlcY3aH2aMY0gE5QcKB4Z7n9
pWiAMiOTsD1wzz/GVOymymZKRjaCTKygX0jRbdLpmzG3N62ffZ07Jvlvfy/5ty9mQifE90ihDHNf
fTEIBxFtSd4doiRtr8IOwDzprOaC9xMoZ/TuY7ZPjJFAz5QTPeVTNh+GCSdAOG249w7JzyV7ePua
XsqW/1l1zBEdW7DyAIFflc7KyJrEFxULXqffysqef/3T/OqUHi+b6nc0wWczt5crCzG261qg/qt2
1H0FBPfKNZyw0O3BS9ybBp3ytjCgjuI1ngSCrnkjB+c7yZKfK4EXpnDxrCQxcUhGTNf0z84jJW2x
k+X67buwTmVfLXjbZhpus9R5zxBxv1xy2PdWc+RGUHz8AZwmo3l2at57pG5smZgy92V9igHJvpjd
ap1d8oiMGF/VxCgfZTMBTNHHbbJKqU1SFlAAHfNmxLQCf8T0h9Me7U7Ar7NoQTr3wmzNOxQAz30U
V9ia9+nO6CLosyA1Lqm5cA+ZLa1TR03CFoqyLA3WAJKgNdeztRBqA2srR3lj5NwaoKx1bHfeZdJF
NBdv3xv1571ZJ8k2AL5DlDVS3Jf3xpfD1HEwrA4Y08NIttFsuV0EhXlEvVC52JTMkNCBDsg0IcFH
nL8m0Cp0b1Rbs+cC1YZsOyhm9WUlegT/ginRsPbNuDgt+zaPFpIyc71pPJDQKH93t8aS8PXzdW1P
qNUCwGEoLdbv+PuUY+goug3NJk0p1EkcuLdgaqSwu81jr6ANxU5+Qsze7GSKVbSRJftmxJn87Vu5
vkwvFz+ySsK9lFpV1e7rZJo8XcwKQmdNeEVzqUZujGIlJMXgvPNB6s9Kw+gQIwf89YnDwfzj5fdl
CoJYDduiQ1iACqY0IRK3wX3tdsVzRkbL1nVBpZIVXcbEqySWG2KYQl8UkLqCHU8Vw16OnpKReZOb
c97THAG5v3pXrmfGgsM7+PYJsRvAKa5uR4yZjXdmeX97aAzwGIDariCY/fXkGMsraDio1Q5xm8ut
yiyiA4upCvKWrnPKMQY0x/7nel6aNfBTX8fPc+69U7H+LJAutAjmiaYyrT+3CVjZrVtJWR2EVf4y
/bkOuA18WNaoYJzf+zT15wSLCHn09Mx9TYkW//XOW8rOE46qmF+O0V5X5bxdx5JLq0gSwQEKAJeG
ellVKsqzog/5Uj6WU6mvnZzm3hLRU+XJ+RpHseU4cPCGO605meec7MknGq5Tc/zw9qL+cx/liu11
UOw6VPTXRILGnty8JW7ngLoBr80WcZyB9G7XC85PQNlwAkX2ztDyL903n8aKwDlUULZfv0kZrcNY
1gqNRgqwWZemxUF8UqeU/LljnHfgqRF+4FL3Fy3w1BWGI3dnzBC83dhhK0x0JCnph5BB0bbTQwsQ
aspLoBW5r2ktKwz0afU4dpt290jWAmj6iokUuNlvFeNnuLJrNUts8Np1/GKpPrnTnKgIfjfjo7W4
eKXrljxebJWyWi0bSaQNYi2HnG6GDvvYXTtrjL0O9jqhJO+BjA5wkvNso1xj/5i5/VhPwk7S8XGT
YEIRfjMN5AQQ3UcoZizDtx/lX8uGA49bcnPJELZedwMeia2NRdmI5i6+RbMDKMBZYq8QhW4Alkv2
QA65ia+egM1Bs20edDHizjkiJduRGTheujMY0bnW52pkNDonFZhpW9nbrlNfz6NNq5I+nJ+8IVmy
MW/QAr03b/6zgfWorzSvME5WV4tX9b6JLEawjdseCpfNGFe/Ypu76ytBNOgV1mJ54HtL/tXyMJxE
IK7f2TOtP+uvpyzkLnBe4BrJ1/we35u0P05FeRAZU7RSNROSA/B+LwMJN2vfeigqsrATM9YXsIDF
VlvskBN0Tooyf7J1gdpWuPk2Wlim7F1MlFwGQFirfxOyv8TI6BGXPeiR6/wBaEMSkMjwOt3FYdw8
2tU6DbAB2VNAyYPIV4xvWuHcpUrumnq0HkRmQzn0T82AKMZ2FpuQJaoK8ZrP/I+hR2aIX1abZofC
g2CjXcaN7yy3PzsLT9F9e9L3sQSynfUu/rYrYwOqi3RVWtUMKc4DgtxaR8KSiVCF+HK3dBmxC3q5
mAgH2mCeA+6TPDA8wJNsHcMsooc41RBqwG59l631rXbuLaQmzMWrrwUT/W00M4twRT4f3r76P+se
3kx0FLz3gjPj6zNS3yEMywFeDoZnHWTIfHEtFXoGjjyjUVmYv1P1/mieXdYU/SmHMkzT2djXS/rt
fsUShmujwTmAtqsNMmR3k6yT+/Mspj0/3p6h0EB9gckBaQTZEXPOrvZQgU79rqkbvbMhs2ygarxX
PF5vlOeLs+lred9W1tD6979dHKLwFAVPoXEDhkfQNVwDHqNMAXhO2XpX3r79f/m49RWHqWTiGa3+
2HZ0ZbcMIvVhtNdV6+anmbBeCg1rh7Pje3iP93qt4p9mUVFgdEJkw6v61VqNm4FpI7YKhziO7ZNP
7gS1sHG3k+XvGTX5MVRxOpKkQN+AJ5V9TGy8faU0ihurtNwvo5X7t+nQI/jsP7QOeSFo8KB0j4Rg
jbyjW6COlgTbioQFIktICCgSvNmJkAqHnOnm0hV7ZNSA8UNDhq1h3CXA4eTgFJKoz7beGqXKtymx
aUfOMFZMKG0ybq2I2HCE1IifwnEPIlnvmqi2DjnKwUu4HAYTFf0BlRNWKdDBDq4yuYeopk9ObaSw
1XX0oeCcvF8GY1jjI7xtH/MXsTKe5Mq2k2ONjSiN2j7PwnTrxpzUwnIYgA1tBSKIxgyfkpDBr87x
w7apBxCU/XTr5HWxLyoL74i0Qa+eY54BZBWaB9OtvaOfcA1GFUbgu58Q6nyI4kQRJURIvecYC1jM
Ir/12GIeOlfb77xo5utG3VUeTRj5lhyIoeF5r8A9PDYa38jY5WFQeGsgF9PrDNZI0Qom2/RSuEGK
D1WN7DysRouks9naoa/iAZbawrO1Q+6b9vT1boNPdpLFPzKVEo0F9RCd0ohHDAtoNxsk83gUyK1V
NMWeIYIVrKjE3jMX434uR+vkr78+LbsPXazubRe2yTg5MEls7BX6Ji+OKm29d9Cf15sXtD9eKN5g
+hgKjXi11KmceJwhYd/HDVm38bwBInrn7X1dPM8f4cIwtIm/k7Z4dYM5hdkAAZEHYSBFGE+ERYAc
kWNGhbyj7cyae2O8dyp63RTwodROi+aG8wRl41WFwluFbI+YPLi6RO7I8KsJqkXUjN20hDDASM/A
ivGibEQYWJ1u34G15OveHiHL2iArGnjATRCXlxVyrnPMCvLS3fdOhRpjSlueNlqaNF0/EB3qRUUy
3YFqdw/soA84OQ2f366aZwbc70fQ8zWAVyvOMpB+V4L471Wa1wYftgbvJly6je0w1+0xt5C3Llq0
ywZzFz9IctF+n8QS3nAjrRtMiMJt0Snvk6HdZRsPbhO0o5Xu+3zxHkWruJV1S3cXV/tcx83HcZ7b
CxvXgIuqi91TjdJhzXyrH0iHiValCe5Eo9/dmi62hvFgZO80X/Z6uH3xHWlgGQhgIWWCIrM3v/yO
M1k1Vs0Wuu95q06j2Ux7UUUy8IdyuDx/Cb+Ps1uEN+6pjfkLBo9h4K+mHcRApXgzWcvWBIsIzDiM
jj6xgITqpQbvtWgvpkU9E+DXHvHkh0Lmob5OIvMODyxzVzXJcInrV3vMaqeBAbCQMDu5A1PtdmfY
KQkci1PvMuwxYfiU64y9wPewUsu2CYkzrWKU8OhQbiZ+cl85AxSLOPo4GxhiO+GY3c5L9bA0qUkR
6i/tsediMVxFdRMP1ypxu0ejLH6+vWRe5+l6mK5JEHE4lS5QMMG+L29n5fthsnBu2ke6ATvpjSYg
2OWUROMnYhzDwOwtuV86ibrFmcNAgXgFqV15R+2hljES0CvNfJn0MV6ztCBMGhcs8b2eU5fxsr9c
8Vuc07AaykyGhYC3wwGHm+4ctBh+LOQ+XXHKE4HooOzZXYu3qyK6NW9UExhO+UC6QL9H6nWPn3Gz
1UvzH3c264FIuhbILS/wH53NPCUxgzZuwJDZz1Dmvdv1gTcEnOIkHA3vYJHuH+V3NbkzoVkBR+KG
95qRm/cALqLvKBNwgrCIb/1H2FHxVbUUMiDMa9qT75PeIOCLrxRJsRtGpDXDEInnzFDThnr4+zKf
+jL44Qlx2XWIMcVeQlWZnMs5SsttPbM4hxTeJv82qGhstgiOw6BJqYFqZEnSez6Xbb3cqRJGmqyX
4Zcsy/aI5kkyi5qKU9oKwsUiM9rH8Lo/j0PWfGRqjWEuyrG7ihCrwFKQDbQlwWmcpd6hdR2uYST5
F4wV7zpEHkfyx1n+C/nHuVO4pwaJwPUoqC1tpTW+HVwOM7hs7SaHzzYeXtt2oFYaRNrl2My46b6s
O5YS4TQ3SpQCLW0hvpkh+nCYuMxk47g09n6Tg50OkbGvuZGb2JXOLgbQoI0CJFve2dr+aEwtBDku
gMJKql5L/cvXpXWcTOcR1M7/4u3MduRG0iz9Ko25Z4GbGUlgei7cSd8j3GNVKG+IkBQijftOI59+
Ps+pHnRlNVA9N4O6qcyUFAoP0uxfzvmOD++IF4HPr2sEJ2yNxwuGYPYvuqh7EsxfjjuLiRD3CSgp
rhfrL8ddpoZF8n2InTVRWpKy7Pxha5KEKak4oPrRt4kx8of9gLkRCkBpIBNr0zOoc/+wkKAQZime
8ZJM6jeV3MVHiksB3qLAIy0yY2fPDcem5MPvkG7CX+QEW3DhbS3lZ9vR9K1o6cY9BBoLpYv7Mk/O
h2tYpMgG3kucql904hDEWGWe8Y56hwRJ0UNSKf820O0AHPdJ+JgKhkVV2oTlrIe9ZHK1d1lI71ib
cwxPfEkdFM6/mDD+84+KFR+KdEosGnXx1y5d5tjdjLUWmC1LCpCGr4dsLjiiOfIP6Sraf/H1rH8u
LGnbBI+FRcPLqjr4SwniI29rAZO4O3RMTqQWlKEQeeUFey6IwtVMzzpwVZSAf2nqsTt0PT8QmbdO
VJd8vN5MGpw7e/EWVki2DUYuKnPiLTFrt0OUYA37puVbUbKGZtVzXIvqfrmLuOPmUcVNVPXncv9B
JXhMUVzzvkqr+ES/2EaZRBWaAeIi+dKB2uhz2a3SfyimNN+xZfjdwmYK11n8Jvj20075uxuwNXaL
H69n5lp2ZI2awUrdkRTAMWEZnPx/Xq1NTqnV+Un6gaLMiYISwT0pxQ4aEQ6iAATFPuXthUJQmOd5
cId9Le+3aZkjBm+oS4DrctWWsA/M+zG32By9XTkuP6qVJyifOCLWlgc07zrytWdqdkKIwYflTfuu
FGhhPjdwZB1/oYaMiJCJCzHABtGe69Lqv//XgqMCugz5zR7+7A0QrTEcbZI0NHt+8hr4E7LU7o+u
yj3OGU5aRRzNUQ965UPU/TEdTP/BatmmjwX/GAyJfyALdXwgxISfU0IFUcXBEPY14m8038O+S/ru
UVmoiKohrnnz+DYNYWVkAK0rbCyrj3AGyz0epeAIepHPrhD+vljlm1y8nyV6XeAarn3kYJsueGqc
iMOfp1gsMOrbgpJFUUb/eVIGko8PpSlfAexm2ARUOkBS2GgHzkDTzo/jz8Lh/5vv8/6FftasQlSC
rPd//c+/f+E75vYf/iG6JycuT+NXtzx/9UT9/Adu9v4r/7v/8d++/vxT/oWl02J79J+qp38i7uLn
TLv/mrj75+/8O3DX/RsaI4Tb0Awtl4U/3c/fgbtYMWk5HVJkHZ/R4X2I8h/+zeBvlgT4yzSRYAJP
/F/3pmX/jdM/uNsYmaDh3/x/wu3+pUehbMYFKgMmcj6LcZbj/3h7Sbhyk0UGLqLHZO5f0tH3X1fP
qIBQ1YG8AoXy+9Agu3hXmTBtXHPIomIgpuY/fWy3/1Os/1s1wnNR1dD/+/+guPzLwIVRCw60gLBS
lrLS4YT+x7+JKSapjIXXGx1W/577cJ9iGcTHKSnt1zFXwUVzg9+H4GVcMxOvxwOWAVQhMFAP/Cu1
Q4BT7+s8Le9xjCbqFqIVN4VUiuCpWNxMqAtHhK52SLjJyBQa+ckma5HbQ/y0n9IemKVq7eropyWV
ZmvgJNFJEUcGMzj2At5y7yGrbWqO8wcXn2fvBskuO0MUe5ZjLrBV2hNkIn79splHbR27WOrPGtsb
SEv3kfeZXDKZkVi00vN+srcsHoRTxGyN24K3VaMW1nLgOF+AvDrD+svKO/HKyDsg1MyZTkM+9zdV
5AizszRHoJPM9Y/B8/sjoPjuSgYEUlwCvUOZ+uOO9c1wS6SDwLWyl8jMHGStzUErsFblKJO3xQ3A
D2UAlrbA8+WHNcaEIUjTfkvnwNgR7+Mcs8qBGobf/YKc0tjxS8y99mIZ1nPaHXqKo0uC/+k4+Xf0
ylLsqiVZiFhpx/MyGOpxVG4S0Q02kTe2dr4dkaftFm8WUTy4QAuEHF5Fa5KSTCETsiwlE6eaxYcH
NyzqCBWP8LObh6Z3Vr619rbmy7IppTE/JFwXryNFzjfij6ZdJroYDjOLlK62VdTW3BnO2k2/2jLz
I/RE1ZNb+iyuY2mMD3PDNoKynjhpadObzw9uSkJmZZz9NiVeiJixHRvrq+eAhIFhSte4mmpvgwTZ
AAKEaZfj2cmdZcDdIJvQTZfiILlgqnjN0duVQBr6G1FaRASzm914oDTDuezUAaxFGjZD1z5S8w4f
ihynfdUP9RbEFqv1yjB+eGurEYZWy2MpSJUKZp4nxWO1c8c+Z1fVl/f/J38lHQkXs26Sb6tt2Hc5
6LQ8JEjN+Zq19WRqx7qN5aSvZgN9um0mHc7sAzZo46+qKDr01OO6b5JheCoKIfdFwUVNwmQWtSv7
sNKR9XaSq7rli6quzCkS3F9KRNWYyWPa2gwRU5KMqMHRx2LyPdRz07wXlUNqsWKtXsG4j6qg/O3M
ZJnA8ipf47tmkJWRF/Jn1FvczvJASvF60akGziWYh1RVgssMlTe6p9Ijo8UIAqaYpr/VOm5CNDXq
0A0Eu+fJYuo9JTYyktzvxG50BBjNFfrVIwGjMjQa7eFuKpfygO3OOS0pdLWRdLer6g3nedLAgSua
72Zd9wwLxINPZsQ+K0ANupO0HhI/vQYcMhGr16s5ltsihQCbmNV4nixH/VzqLmV5osdtUAzV1grW
+LJYs3ldPaf9SDj1D85YyFOHDPahmt3huFaT2EHOlFfYJWDzRhE/J5XrfNqNr04yG8RhmMfxZ4eW
4pmTGYqbd4d+tnT+lpcxtUhY/LIsISdxA/1O5keAqFvNw0/gtTeOy16sbTmHaZIReNc37biLwSDv
WDr6zWM1mWzGxi7JHsa5ScK0owTOEvivae1DvCMUIsXw0nlDaLemUwAym0iSRzkhIb3E7w4YyqtL
9vi6tUVQw3cGkdViIIWI+B1g0fhkYNIhUBQf3HvfNiuWtDi5Svq5E5ffhKUtXZh4kKLYL2N1mpcy
/d5YFfNjP+l4rxkPQXF0gny3NiABEZYH2rmkTS5O7AZiN3Ka4GvJZZ4cm6pikj4O1ckvevHhqmA4
rFmNKAXxB0oP9jj7yvX0uoFq3/xWNWl9JDt3w2+vZ+8aT+vwUVrBeGhkfa1S4xtksf5Q3XWRSDoE
JEhFjhLS6KCEyRMMvP+r+73wchnAvknqD7fsimOQLXwBc/ZIN1X+dinL6pgS8wcm3Y51vx3auLhZ
6TxZe4y3rj7KbJkAAJexhZPREP34bGWl+5I0sOx2UCybz55X4TOO7eq9LlLjoU0k0SpxzQUdWR1f
rQzW+a3JoMZxScXuezJNH3kZGOfFFzo+my7xWVLOq2R4ohijKAckm7w//0nTOZDlfazswLr7rVaL
/E14t3jmKuz9I8GtRfY09H19HDxLvYyMpl5SqnzJjq61xeNUBu3vpOxJV0qVJ78RueUAL/GXIyop
QT7jJM+kXvpfuC+YD8W2mR0M3xKXOHN1ijlibl/sVEhceXyqeV54+8lCaen2Riuf81i232li22eX
0/plKdv2kIEX3CVwGcSuyVNfbgLX1w/OGjsHV6gkwqs4AL0jaHqYZg9osln41571XHaa8mcjmPxz
xsgcL2CeRGZexxiHArM1v9VBp77PIhttYNEKvlpZJAMtWj2KPyQWouqarW1WR4OqVowZhU8csGXQ
Ya1Al3ELADU2LCN5SkFPfxRdY705oO9e4ByXp8DqxY7NSn2NCyMBhh2kR6qavNngoex6aq05C5HW
s2HRat63ZImemUf5tEa+8QTKst5b7YgKcl7rL09pFgQsgBYC3uLprdNWlYWkqlUwmDD7PC45USfR
ilEH+0A6EYSVlDX8PYt+BvTvMe5rjZkIAWfdLem3xC77B89JSsYqNIYV4+AtOYH2dp24P8sMwhGA
nmNaEpk0DgU53m2AU9wxS4NazN9DRQOkTxRp2fdbTKmDPjfAm1z43IgCDh5ZmfOJlic9Uc7U9G5W
lr5SNrCnxZwMG7Hhft8HmWfd8pZpDMsvHoW1RvCZdU73zO/aiQxpSccaf9mS6RVKhIHnOemXCIBV
UrKW6fqPJpag8TKxHK3MHnaEGiZcRw7O6VYAxbE8LO71mlyndRG7weUZddPOv0gDoi8CcVLf3E3j
fqXmUXfVB3F4n7HwNpmTn2zvgw2VgyV4YlDiaqNHnF/Xu8ESjcY6sUzfjHRpb0gps8jJY2xLjO79
x5oJMbnd5j2kvc+DPTnxWQhxqthnsXDv3m65F6byaUfl1D7W9EFbX4zWBqdVE+nYtJZbr027PtX1
Kh5kUE63VKQGoDOsXWfEwvnrNMbphpgvcy+mvjhmPcpguJxOHxEEu3xNdll426Ses2/+3dmE2DJT
YUBQrUMkvCMbJpg4epku+LaONPst4rIFcQu0v8JLj36v1TYDoNdv47gE2a5BZq41dngJcuxSeaP5
iJOjtalv83ddp459ghgNOm62vPgQxHFbHDKMVRcCRkaMWasA+07YtJywmGCYsH6MfeLc3NlmQN6x
iHzhtEkFD+5IMl+qFbmNQ4zLIp5O2BIvHWsph0jMiKLnrkiswCMyXEe7VhifK1zDfj/JwTixjP5s
HSO44m9PDSyudvE1Vl5yzTkVuf2HMtl02r0ruZZ4QX5hVg9eoajejMl8b4AB37jg2nNtzu4Za9Ww
I0CZdHRt80zoOv5N4mWBldnxrhrFOAW0R0xqPXtsE1RjvAM/5AxZ2J3obUBeCDG9ZY+LXbTP6yzd
GLmk7TxihGPfEqz6U2RF/LRwiu9h1GMiHwRlmVUV27HovzqXoGOZmC3zQ6vh5kxiis7Vwmc4P8Yd
RYGanTOI/zLCkeBFkzTrt4ZVWCS5aFCltllUqth7WNIifQcw/tjactj1ed3vi9rusZjT3Fw6kYD7
yzvSyqVdjIeaHiNkEG9jyBLLk6uBirpFxY4T5Lldfhmxf0WjV29yizyIVufmTqXVTBAgSvGO7VZ9
R/5Ia1ivBdTgn0Rpjtea6mszUAVcUsSfB+knSIasH6gaoPIO7i4nXcQElXmAiZXSS61zuICl3Flc
SAnu/wWznEqSg1Rw+slM3dTpUSvQzotkfpyccYrLB6S81hlMXgc4y8FMtzaiYbczGZSM5S9/bhNr
00/za8PLtHMRcWylv2AtI2oLG+CUPyULFW2MjOjsD6P75Fqlf5rMZorA1gehh4tyH/O2n+ERanyl
dWdRgla4xsdCYPPm0TA00Si10Ie4kGwyOnXy82FvpnNo3eEB3j1HEc9UJQgotkhQiIEebqEf6HOH
ESlcJHcTSrF6PFpeaeEzz7C+uqLrtmXeuSTmahCG7YE9F1mA7uQzDkfnksisOMZryfk3Tfyo46Y2
mPIgpWGDYJAe2QYfpmhchP2L9a1DxLQN2qQAh7+OIfDJhKRA4UZiDqbDOmX2H6xFnW/gF5tnKuDs
OEBqfc+ruD46VUOm8TSK53xtc85K4ac4AAkYwbgIlLds18ikaPsJJIsW2iKABJ9R/ctJW3it7gDQ
Mzv3ZSxCzOM/TM3dB89yNXKxHZXx2rJnOtsLG/RmDti1LYV3hAwYPMxyDl586Py4F9sM+RMF7HSf
KvYOe3ThNZd7hjGz6TqUJsHObLRC1D/P2aRz6oSq+7Rk5YYlSKEtAYDGsXfsg85X42Q6qoyIfx4e
B/zKJ9RWz6JO0UUQ6WK73WNtf2tNwr9zMyJ1ZGcP8nueztdqNq1DnuoXHwRoYpTPS9kd4hw6btVD
fIytekK93X3rkuADbkVoT+qzY7BBEDWJCsAX0ud72u8hGCQH++xUFzefbZ7jrj4Gfn4mHKU8Jdpd
z7JLAWEIvzjcc7/dJSdxOkuLA8AkdZyHItk70/hiOvhM/aWCsVDQ4CHcILkX8748moLmihi+/KeD
V/+Sj162EjZSyTBD1EGRbhxS+LuhIBmACKAy3sHjjs+6wOZukJ9wCCw6feKMM4/tnx2DUPXCtfen
Y1fkxV7BNRjZK5C9vTplGzWWEm9N4wF9dj3nDY8tkELcfEEk7IWLMS9L7M85XM+R/A1yx9deNe/G
HBSh79CirBKhEsuh5pzW5vTSeOUtF+YmWwS/frqvcLLTULZflRZkmrJJgu/pm1XEAX8ysRm2nVXu
GDGBFfXzeNs6GrMiOdAPq21NofRs86fD97dJ6jEftl6l3Q88j+1xQkRzI6JR7GJzssLKwx2VFPBK
W23u5DRsR+eOA7DqD0ca5jNxUWSv2JpsBsAMnr3xDdntBuHb+xmN6WaeTT56wOZbb5oDfP4GYPKm
E3A8QYfLRs4XDyz4BUvyQ6LIt1mtL7awKUEd3ikIXpC+kejs3BZVHEsAFHMyfi1JJ3Gys7kLHbsl
SULIpD30sG93XJvGdhZ367VtmFFtlPPjmE8WXbahDtxchNeKA7Eh4exO4QyTfkMffvD9mhfKKyNu
2y85249GJYJ975GLZFhnwZb7DgvdtdP0nZl4wrLBcfJjy3Xw0kF1eXTi9Pvo4ATuauPdUYG4lkSq
fxrCaQ78dwTmlC2wW9uj09KNUaIYLzpwHmqnJX8UcatXN/LS2l0MMc5mT8CHJO+MEsdB+23Azgz9
xXov0SCHmWQ1v3bpjhp62zX5dqmHrxElwmbiaoaYAX0Ty2y3WUrJrsImMEsdieDapnP5Ct+F8lLM
wHjAzuKL9nYl2BSGG/uiWj5IlHV5e6Ciqjk2sc+6xfBCk93vkJ8/ZOQaocwebjifKPUcld7S3nnL
aoTzhHUQ+F2AH7EtJkaY8saN06sdYbKwAJRdMMqz3EeNfCckV6ViWQEaVYBpsHszkiS5sqOxppOb
k75snptZKV7H6uVOQx2n6hQHfXBQ/QgPJ9AdcrExCMfaInqsrfVHUA2nbAVrXNBwbMpGHyTkyP1A
hANkasJnj0CdRsAP0jpiUbcPeW9NN/a6yR+oX5AqeM4nLf+rA8V0vtkNNsD2l8ec65V8qPpoUfoe
UyZDBMhPkJ2RZVYSCqapPf/g2uxVqnm8JiXjlnGsm3fHytZDDpMd8rHhEwXQ4CVH0N+FbUNeke3d
6aMMwnZEosiXNZ0RdporkcfrPaIms2V7lKBjQsKYVFgF+mJ4ZbUJ5kzzgzKTfUMYcITxYYEB3zjq
bRLafeQ5i+wR+quM+0sWu+umzkymXsc1s/2I39t/9L1rHNHGKIiiJtJ6c/V+Ak3qD1MwvwRx9oIq
I90j9mj2XdDk70bF5LsV3W10yPbIlKnuOyuEQrFBRj33PHUywRqk7bpU4c2zNKdps1InAO53k41p
tNURDjN5b/P8XdQT/hlO8SNpWu4DfKg8THDSMSLGqgH3PeFndpi141+QxmBKYS7UeHA/+HUkJk9h
WqVMqFrxy2PUBft3sW8VUfFPWZ+0Fvwp5uGBCYwgZitHBFnyLV9Ffun9ujpVjtRN1KssVhuMAARV
xYvO9nOe5jDMZ7bDOUFWNZUmBVU+hghxpxCcEVacDqsI3BRYPNYDJMMpuUxyOVesht9jG6BC1tB6
RL1hWa+kQZJBZ/s5CVjsk7OL7inJvLixDtNsmWftocrflFW5pgQiQ8/CCarOcdK3LOx6JzJtNVzo
5e13xaLraA2y/d2nDaVj7PaXuaNhqsjke7IrkVzRfjj4eboM+TBQpK0lW4tkpZGbd2pKcTGnIewo
/gD73LHvTCkuQSfsF+hSyQlFqv3KwV9dR+mk+ylpB+j+Xdvu7awkLVabpS02hDhrGONtw9UHgnpx
2+mOiCIZeFsvdvrpS86LDUrP/A3kwcMY4EL3lrm6ZS2YZ0u7X4QjOT9Yp9ZpiOYw/hUXqnylDPme
BezX27x7wmDyagf5ncfPwGtc58OwLuDGqJ3P5JfwuAoGX8RpTwdSYqrPRijv4Dcuq8wkhhlRY1xM
GA8idM7XG4JoMqnMAuz24vmMzXKiHWLTZUAnIQzf1We1yppHP3fGbdNqIPTp8DYtKXHadvdNWW27
7RSC09wW8hF6sUJ91Ld/uIkPfNaMvXkPVhc67eg66aYRNDZJ/EqodnCEdUu5g5lI+uNZqyzjwNPZ
abG934ryf+NkJegsRlCcBFrcFcp+8Eq8MpdJvwIpGQd4j+Aib6O33mQig6fUu0cKTAXI0MH+WQHo
2HSCVHZdUht3uKnOfbYYn5NMSCurgz+CwfIPsiEYjirJhXxFYFgVODBxyY7KjnqyrQO3Lq2xfVJU
TW9EDIhH2+LxqzwDCqD2jQON3RxRvD8Nd+ehZjG1w+N2sSjUe3+Y9s7KVDKa7LU/5n1lPE4Lnn5+
Hq8p1py7zJX1SkdgBxkGE/vjjBF+xzePsn+wnKuxtuYFfuq68WORnSxygTZEWwRMhmR+Hir9bN2z
XCC5eKTikGRJzvrLogf3TLDxC9tvMpvEvOsmL4j0ULxCtX5chtXErAJlTNsZMUJrbnneVozAXGTV
DTubCoezkNGoGw2wL8CQExh/BqYzpEwBOpeHGbsMLxAHMiFvzdsSGPJXTUwcquI02FJYEPIe3LWR
PIbh4jd1SkudN7uGY/FhSPv41q3reloG9AJ+APIEdsibSEjz6DNclG7wKTPrXOjk4jPt3ruipxRc
nKeAuojQphEgGqHoZfe+jNmHmGoGrX2TbhFqboz8CeNSGq4sWF46Ary2tlEXz/DGunPb10NIyk76
DrRKHvJupqTRfR0OePKT1fLCNm3cyPMbY18OAYSIJ82uidDDNDtlvGufpY5VvC28hrIbmYq1GQVv
AOqIizXa7MXIrDMjvxlOyeSChbK6I0qHmqRx5BR7f2ElOGJUQOzrEZATo4Em1VC4JiNHCfcIxik/
Rr+0380WtTgFEFkUvi6qHxazBt6fEagWf2h2qvzlbfAZURWGvas53x6Cpci8rYGw7eeaU5hxH85k
26zTMWmqewZmN5gfQnXGK32/c1l5lN91BUVbM2NPMeyl/ZVzoW/5rt3iD6mD6WfqDfR1DA2CiaVQ
nov1DFpD5Uxv3fEdbZ26TobmNV5yfgjsmOb0MV5n5A/kHlFmFs09v9GSaB10vXJcdeb0fTY98Tam
cG/2hcecqkpEXTHJdN2aatAuronwjQqboA46uFTlvPKRKLdBH+apt7HAJMQ6ijKuGm21o6N2Dx7B
WIgVaoSRG88u73Ev8/SRedXPFI7kdliGn7TlBM20qs5Cs7V/gt6nL5JAqeD5ZoxEeoRJ58keFCdF
zf9COE39wyLrlJLSFB8V4G8IJhwD/YPhyP6HUyCg3KKPqHfNOIlfGQU5sndXHv0YER1bVv2Iaqdk
PMZOuJPzsGsU8LERBTVvu5fwoLQeP70xlc7BgJ7A/im953Gx9mHSBRWod6YvPp1xV+FVg2CbqYOp
u2epXdaQRUwaQOai9MzirHgYCCN8YbKWolYut+tK2sfWN9pyICVMSsXrl2HU9KROQ8+KxY8aJRyJ
B4XZnnoDXL49BHgmmcoePF0412I2cnLPYn9mFW07Wwch+jgRg0qAKTLMThPUmBn7duYBTlb/s0qJ
JvLbOLvx4LfRagTjsbZr+2pO6WfQ31FJipp2M87Td7cZxm3vJm2Ei+k2plMR2k2JCsZcR/hV9rKV
UGxQHX40Ksx7k0xau35kI1jz+1vrLWlalMh5tw+Uv74jEDVDQIldROzjDEHS8oiB6E5OhYhOe2t3
oAtMd71jxM9jA07JG+UfOh7SJcoqpGRmMHUPGarWSDMCe3bzmECkrBLuK8smOBxpFj/N1ayw1Bn6
ezxYX8XK0CEPYpfQwK58R5nGiZgTSQLPWD2Nd5PBJGRRbsm/JVuELYpct9kaB2fFWJKuI8+y13Q0
h2fPZuETIdRJpi0iTkUaz3IH0/iuBTiXO1nk3jZeHf2il9zCIjJOe1cHNGj1faumjouLy4qHxYvu
N7VH4xF5AdlyDYIAzIOt+U4ODeD8kfwId5iK+2IWyKWap6gWzSudGVXK4AK2rhuSm+Zs2pVLocIl
t/9g/xafKUSg+1FNbsuWhmZRpTyLhqN2yoCmLez+HsiJEt88Y43KxJx3mXKWQz8M3iFvmg4RqqUA
lfXmczrb054lA2POoZkbZjdL0+6Hao5f0kkDOOK15E9lKei1lXtmNW3d+FRd6gN3aR6sGAAO2zXy
TOqVaPBt2vjrBRab93tZqrLYs32hB2TrRgpKh9HNd1eeHmapZC2749UZmxshmmHFNO+h1YM8uoUH
GQ7MbX1OqoRhXGsKVFSsVcbdHQ6Hwrv+3c7SglQnWal4tTP+KpAO7AajiA8OeK8E6BpEDYtC4eya
+lCUy/CZT8h4UCgas0eASKXe+fn+sdhtttcMEbi62KtjWrdo2zRyuqyHrZal+xSdmNrMViq6zV2O
znCH/Z0Zuq5jjJvVGWU054Q6Q2Oczsuq4YG21fidOKflli3cj01LtACq+nbTOfXZq0RP+KgUXDbs
zKn/2yVVz3i7WsbFWe9cnYQTeqjNG7uGHfBO/rVY3qxC5L9Wo1SvfdB5v9jABRcxYnUdM6fZ0G/j
/vMxahI/oiwytDVAA4OF7LW22g75YIW6M7OM0MxJfZqDbFg2Op5ye6OVZBRMzfCTGSidh90618Q2
nQhhECmaflVeWfzrY51WAcld2jXPSal4tbOBBZOBuJKEpe9xp8kQSqk3tkjYzDPTZ26bKRPZz5hh
JW2CO8u9M1sZNhwR8AMa228Mhr6rdP2Bb6rgGpfdm2OnxVG1gkg+rlP1YdF/fhsWk7XOaJrLYe6o
0+k1wBBm6OVzn54lTHBxRXmuqyd/KQmYqXx5JdfKw8lTzIe1yqd1y6Rv2Fl9UruYlWY0GfMmi8k2
mQlsXQpn+2eDkzOW2K1e98TGy9p0qraYYiS9PviGHbDKMPy90WpQd645XTyDzevAefSMyMPAyi1U
SNGub4VI3IM9DMlHCr3ojbS0HK0DqhW2PSZiDsOd9ri1mI8beWc9ZvbM3MkkFJqFF+EwmNDCWgnE
RF7CTaCqhUH7pPISj1YSDoZlX8yxqIBLwA7dVCsm87D2cSfJVlaR7/W/M0sN4VDHAOf7DDlDlxdr
BC7j1WO2v1WmFewlp2nEfre8EIR9ExMEVGD/YmOL1Xtcuram39f6x1Q40Pl6f/afXJbfIMfEGjya
yiqfWdIGL7bh6hsLbPnD9tPqbCxktbmVOZ2yziM9MUmKcevUqf/iLmwZF2f46JlDw4cYu/XBUTrf
oaTp9lyl6F3QbF7BWD8j3ssvmprrkAVkHrmz/96WXRr2hGpRSvo6e2vR69zmSQuwd6ObvaNOZUdg
+CviJoJrto2zPnQ8EKS7xZMDqtc79mm+TwkvPIlSMY6Mff+UCfHYxHkZjk7pE0W5VEdmGQAuVFPy
Ruj5hDVufcIDzXyz87xyG/uL+RFXHaoPTCvfDOk8+11MpGMz39IuqUIvpovDXpGE5SzSEFfUU8qe
UKGGOuBA5f0JguUMG5PJa6Grx7yeui0Rt0eHcvap8hRzA5qoS7CUkPNonpyHxgvqA3O/n37fvLrm
ck4SFka+IU4kFrG0Mf1kPOCeNz/SriXMtijvPmO3fLPAe6rNwE4aIXR1smo5oszN0YS4QofKstv3
IueDgik6bGiTcZd2LKpNlg/9/Ugnt6eVc7FL8CcebEMh67hzzkqzhV+Xk63G9bXYECAT9rIp9pUn
jumJkFQ31xE3B2lilmOeR3v6ajqLWU+fiEOsZkZ7BavIR84tMAi9s5zQE7hspxP9Og2JfvSreD4E
I9GrSCyLaFUxI6nAqp5biovneVjuKQ9l853UyizdpKOezhqvEwJYy/8ttRO/k0GuAT/SlDKRjtuc
N39tr6yXgm+VKpawUTVTAzwF5B/hfBf3tMdsFvWxTD37yVJSPTpVz6B8TUn1DWZnuDEbwPw3s0/G
B0kqjcMgErmDJc/4kt0PK58159naMzXU4jyuC1JpgpMKdFvqLuR1g5+If90ThUrykyEhNUR2H0UB
HHtSNOEljQB8Sn/4uI+Cvpkxqiy89ebwfY2l/c50Q31Hn0YIa4uKHH0/rmpCvr9Sw7WeFy3ZHMR1
8YrDJo1YC9DeVySiOkHjvQjTMvfp2Iqt7cv0eUpYn28bdyxOA7E5v8mLml4qrlcWM0t8bYNWCLQT
RXmAVeNGBmkFp7F0nF3bc9fQPFcmSYPL/J0xi3xgZUW2QO2PxIHNbn9lY+C+lCMNuFEv+UteGz+y
vvN3suP+HIv4REYa3g1HdNek1danqCbGivndkkRYLoQBjwTptOlI7mtXG+pDZpCBbEzPKzhe5vPz
/2bvTJYjR9Ik/SojfR7EAGaAATj0HHx3rs6djAuEESSxr4b96fsDMysrMrIqq/PQI9MifaqFwnB3
OmAw01/1064hv+pS6NMgZMBIJ/jiC+tDEDI5x6FDmVZldA3n2qCLTorNwY5hXHCWl9yHQ1PnXLYc
9Tk6oxYwjRK3Q6mD28T3y22IEeC+COI7nq7seRzO0jx+5aGhko9ZWpSe6zQbH9QQzYeprRg8GXAA
VoJt7YY9cvrk04aKGG0E0XNPxSJc5iwZkB3Qtwm9MxcyYiPduaa0z7VQ82tRxWrvRUzvKHWVoHsd
5ngJNVRMd6Y71LD2QNphcfct2ntFavYDc8209srQuZtraz721GWu+d7gQIvYP6vSQaFpMInhVqVd
yc7pAOy1i64wKcMCqw10DbT71s3Hqz5ub/KZrEGStf2u8wNvh5uMPWcYG/uC0c2d7qnYDnvtHEy7
FpyqPIuWxonZ+8dsKIcnxVw8pLi+2QtqSWmdKo/47YOrJumaazvQ6Vlk8f7DGaPgKnVtkiqZ9c6C
Y1z2wQQOWGWGZ6ycjO7J1f/GK5YkicimXdQPWOIzr3x36jLYjk6QvWTttMSmsQw/KPp/Dw7uq1Nf
BMlXyr/6K0cydEGnxQxLKzQVIXZS3PyXOOH37+XVa/6uP53uvznff/G6//Y//z8xwjOqYDhskkX6
Pz/a7X+10S8f49//bR1F9DnHOnxtoh/rjKy///JvhnjbNG0obJ5kIEea6W+GeM/8IiBzLU0etmXy
BOcnvxrihf3FMgWIPnp8mKspi/eiEbGif/83y/3CJcEzR5HUV+Rs5F/xxLufdUA/BErx6iwoPGRi
GiVw2v+cViZtB8GYAfLOtctI7EZLN+tBJxyjJ78gsCyrWSdb0lGFh0Nh6U533YoWPtwio7FqVUtq
21fiohislA1syVrTBXl94bhudpdSuHnvINkcw7FcII9FdM7CwfG7cdx8ryGJbF1ZpStd6Oitl95M
lzn0zYjELaQZSnazR3K1PLIC8vnnoVUw14uEQhAfgulGjWWOpW2+C7vP+TpnGlbZlcAXtmUP1ZxH
Hh720XNMsZvKrktprcQADANtMoZ9Qf7lKi6X9veOztW7wImzZzmO4R1iAEYsU0Bh9abwcspIN68m
o5+/haXvfB3hxWLo6JrXgcMF6KL0yBzDh+AELmpdJlYKmgS17DRqnV1Xc5psC/z6q0KM56FJd6uV
RwCqZCN2FOqGa7sjz4MpzPrmQTvPWfO7QCwI7BQfukq/DQoXDQ2kmf8WlnjsoNJLxE2XU/0qRpXh
/C2YubUObcg+9ZMrpv3jCjKWOOP0bKw5gdvrViVsCUpUyLgg9OyKESr1rItxnSUFbdPzWNNybM+p
XDDN7mWnhuQ1Luz83RQ4efZNP6E1Y8QjsmT6k76Ycf4hkmMuXuX5TF7VXzYqa1WENOUZkoe5UEN4
CdbOPxv9onpBSdX0VRBpNVdqjGmwhyKo1g0y7HOe5YyUwG9EB6l5HWtaZkJonh78/LCtKah2cMDQ
/9D4bNhI7R44b3ZvNAQO0Q7JZTzgrPD3budOPNJDxbSMqoN8BVaV+kTK6PRDa0txShnVXwSKuQQD
p/I1hB+RrFRLdfB5G3IprpHlq+81p8sX7WMs3zCRiNOVnzTVVwuVuVrNGGbTfZIUzR3QVv9kk+Wj
BhIrx0WC6eiUR3VNK2ERWWKNubC5YbwxPjKbyxtaeEzjnWyt42w8y2qebTfNv3FGKffeOPHzUvjD
PUW/7HzCNodtv/hNOOGJxefVGxwn2gRjJeSyYW+0I/JnNAyPvhqqW6ct56PEq8l9m9YHOkINvBmV
ohmUw425qUNnrJmWiPRbyM21/GqQUQDaZPSamjH0+i0uGO/YO7E6YZTBcSDsbDSfwpr9PQKtJFVR
l5jHg5wv0OtK3rXEj7DyZA3JT5vNYCGHeOFh1hFunUC9B5mYX4Zw3Fq0xMh8kN/L3gfebKZJ841n
eI7nyrLHl5Ee9k29GCbJ0Q7349BVFxETJdQwW5whmCDoOmHLjzkMbOtp1E+zdokWhLqFTQEuC99a
W54xelDtSk5Y/4qpKnbphPjJmCM4kAvc877nbbng9PthxM4NtXff4fTD5eoGjz6zsXUBOdYnk+ir
tWF1DN2ntqnq9RDmFEjOBSAuhBrTWhPkzMutCFIbxT6q4/ekq6KH2Y2iczOlfG1bt9RAYwUSw7PB
jQJ4S0iCorQXdi85MYuGW4RjK+E/zE6rOXfqU4VeNVGFkxB4yWfMl5ZRtauWpBXn/E51V3W9xEGm
osSxjB/1WZtkJRlnvaVwmju0INbpPsvUeeSnkbX1OgNKyezXD2YrEsLJkL5WPm0gT3YQNheYGqIX
q8cFvSqcfN4yEXA0FywFK+vczc14XdcMkHWB9Bzm7XezXmRtGlrKMx4lTroOk6x+s42QjIPRdOzP
inYYLjHrk+zwnXByNtpKMMoZpHQjgp1J6SHa1HSTd34WwQFPQktuaB/V75PNrGM9jC5yWcVTxga7
2uRNfRYoshg5fymTAwZTCbbTGU4zyII6OlBSL3Z2rFrzkM8FpblJKMMYurNyajwSMkOJ8k1bb7g0
6w/8td6Z2ZZiY2mtu5VHQ+Zl6+PxYOqaY0iJ45Hmnrp+iV1IKKuKvif6MhrxOLk4qVc0vCMyRKV4
8ImkPzNG9zBiZqFEHkfPXnlVKK8rkt/XiuD7Qz0RmmHZUFw+LqVq5ICQ6fKNjvvLyW0RWe3RDh99
qzPzzVi61odZm5Z3zjuM5Eb1Dj0MkTd5L+3omWA6M6EvuW+d/BDAfV2QnI66Z21qLvCpJ1ecc8SO
oBnMngDTObQtZlZ0s8ZGRLNNZu2Muowvkilwn6bEHBhgj/l1ijt8nYkavv5QxieCHyiVs2Ux4SWu
gppaP1IpnT5UjBk31tS9VKYr79uqt09suMWmw4B4qJ3cvK/N0njHdzUGK9pGYcTLUh4TM6G3k+lL
cJ+boXtyy/i+LE3jFJQT6NupcGmk4LB1MhJBaNeuyg7qYOG0MNXhTGxjs4BvBrBlQa+7CabrIPPG
5UrIZPUacyKmD6ILHXwWKRr9XA6HyPLdYxuydeizYf5OW3K8YSqZoCd0ZXRNXENf5BUKdDWo+Gvc
Ni+UVs/7sfPHfRB3xdpVefwadBPl2d6Q3sJpLpC3HJxCfVTsamPwkDI9LAOfYLipixCbhdaiuXSd
PP+KUjJnlE2J0duaWUqde9GY9jELKxYXZB772EVxe1/PQ0n6ooku/dRstq2eXO65MKHWtwRbZGpb
7kmZc2BhPnTv8Gi54VQlQ9gkQ4rvL/XUFvOufp2tZECrkKSYWBGiY18GEeJ0L+5MGw3Z6nzKi0kw
uhdm2Ks76WDlXmd2au0HLcU+8UbvaprNsAWGvTiCfDPKLlVCBLqieOKlm9L0tnUt/6OpM/rRuQbw
5ZWUznM8RcMb+H8ao1o7YVdkp5jCInpDJF/xysoBRDW6xXfe2uX0JGaSwxWplFNaQbAiBEH7MRYi
S74qpj9q0yZh9MiBKWp2g++VBpSQJjq3w2TeaGBTwV5GuGSwa3fTcKRxT1O3iI/1qQcN9VDkcX9L
nA6JPs2t60FEol63jm5JQBksDwpz9F7lWfuCj6C8aYAt4FUMO/hMNTFEFaXcq0zvEtxqcroAAkDZ
loGUfcMGdqhXtd9HzxHE2xDff99CkaIJ/t5MxvoJWaE6+TpJt6Nq5iuvU9BjeWzZ48apG77Rpoln
QjW5+1baWJ0RvcV0ZfRBcfZpnQbAPfbrBsmVeIervs9U9FrAWOzpFfMCkwc4bMaWoUL/jUNg4u18
idUJ3cXH6D0PN9RcWfS0LJ+ytl2GKdg4XvzevZdJi3GdRDvGThCSTBOL6uQNNIVEdf7gpNltFuXx
hr4RfeHnkc09C6cYpEXPOZcoXrg2gLBtCrhDzKhIpz5VTMqJTVVDmK4J6+Yx40tPPiYqqC98CBq3
flmq2z5X1SWHl+xCh1P2bCxWgLXC4Pydep1oP6ckCtcMF5yr0VMYinTWjl+9eDKnsxKX2XRIgfJy
RC4ElAXMD9OhlY7zPchoNAW4iSupMOhMgSfjVvQaNJ5/RfnLfLB4cr1TcKHewzBoqLxOUrIs+AS8
Bh4X3zWzTRmLvSh9LFW+FhRdZ8nzbBhIavhB5a6fSp9nW9Q/WiDPbt1JZITIuvk0x7J9l58P3wZD
JJiYmazgEAa3uLf1txFv2aWLmeqeEf05rWWhImwI6jkqY7KNg+1FuH8CaCj4VKZu1c9CXnupO2yg
9NCgHRHd5XvOHL+jjclO00PXJWAB4Z2waDAhpeypE86zGVo1RUd1S7u0GTcDMyCz+m4bdUudRhNf
wlQob+J8qJ8aNLo3TVj/kNE09NgjlMzrcRrDIw4JjeaP3kjksWjDo+Hbs3GEyGgemFiPzCjkZK2c
KWq/RhySs9XYtN0FHk0SCanyWqCrlk4uOBLEB9UM4lCRYcHeHiT+1iKKfOtMmLMRIIuq2sgqn2tG
vtj51yazAXx1pT7L8yQAT0IbO7NULMQnctnzgczWsruRXUJuRCdUdRVYFAak/duQK/MwYDr45pVz
/nU5Zbe8gsyzDSKhcWd2TXfKM6t5glI3HQkuYPgh4TataRed1xUJJX7Sm2wxiOxRVYJLr/RDkj0w
KstgXWZl8pqXWRMxoojDa1HmfIQ0rVy4+HaS3HTEOptWKsntkiOYZcnJaOIYK0HW4QOYP4s4Rwts
9GSY92BR/FvcKpRJeDMyFggf7C9J3bMhoUxbn+kYA+2GIjF7WkHDqBhB1nD3Gb8ZHE2jZHkoA804
NK3mq2Ebb+YI5L0zNGctT6TXOFVM1Io40EQtSJ+jEpIAsjdR2wY94woccjMVW5ggtMIv1CQ0OBHr
VVsQRBEiG271hvnPW+5ZjHbGkQoZtpHEctwuarw1Zp346KMfvY9him+3SVlJDEBxNzXmnofcWc4U
rYdnCO/xhCfEs9C1qFa4yFVLrMrsi0OfuvpYdFNUQx3Jx0dbKGHuc2KwR6Pug694WGLKudWcXRY+
MtpRNs0cPrnd2LIBdAdGwP8lMtUlk59Slx/tzzrVj7yG//vfScyiw4MwDICBf65lbd6zKP6diPXb
L/2iYbnuFyl9B4mKslO5/OffNCxXffEsG92ITYCQnvihlFt4XzywihBhLN+y0b3+jnXgR7YpFrVJ
SSg10hF/RcPyF27DjxKW6Ql4hpyzwfsyM/B+oinEhVMRMxH1Pm4ijDsEL9v7rg+H56hv+2s5Dvdw
vYzbQrZ4iEkJUfViM211Kgvt1BmS7IXYSf/KhC8+BrRUbKmfcbClsB5bdtsi4cbOzajM8ZZ/Hu96
MlSnMM6z90SpbwPhdLRo4Ax1wpxLQUI6Vf4Q3MPCYWKIzP0kSzvHgEzHmkHqgz7IND1NJeGSMuuZ
qXE7jvR2PcpEmYALZlz7kd9t/LQt78rSfx6NxEbvgnNepDxPlIF2hbUAp4QQ8UZrPBPdVN+ZuYy2
kWaSJKvWv61Ggyagrq3v7Nw2tpqMNF2VHGm9huB1HKRslkx/eBITSAmcQdmHz5wAp34YffMAWGIU
1+23rvD0PbnRnFhfoHpq4KRPXpx+lU2S07qywjBsfSWpgQ/GdjqWXc+/GBgTEuCc0V94fvF4lzmz
rVXmO2wwars3X0gs4mZgK5GsvBBnP9EJ59JpGY3j7Ey9R8/I9HlUW+z40AQrbMd+2Q3/syT850Av
v0rUf0p7OYtemzR6XYB6v/yjxze057//5q/itvvFx23KqWoZgtpqgYn+QnvxJEuGaWP4YAWQC9Ll
b9K280V4wDGhzf2GgflV2hbWF9+lFgOjNYUGDuiCv7IsuJ/Myx/XBUiUnhTUMi+OWEd9wv9+oPaa
uZmEgTHN+9yy52addSbmRhYr7hPdMV7HzRioJ7apJvbXBhT5ttKp169ppWOczKnOXra7dX83mPik
8N22hGszI7/0xm7ZREXtbcmBladvOQBDI86zqjAkHaKuLM55QzlOcw6lg4+Wejk53jBeqNLEZxSW
RXztoJRACsehHW8y7JAo49iiKfiKcIDaRQtiZc6niU2MO9PFNdYmEI7SjWaJ9Z9k04qjL7tawqDe
gRJkpz+kxHVuSa2RnIMXnG6ssXgGioWFtwsstFINozBlsr3sq2V372pFVARMVhashtwK9oNTucna
IIVGsocmy51jqx6pXtZuuYvnAcabxlJ6FbcWEkIa4R/dhC6Y0TNBCSLGXvBmuEUJJLkHIs/SBBVP
9n4bNDbuQ1RKNa4JURpf0bd9f8VXGV+UFG++1nkXX2gG3gvPpHTj8xFM9EySZII0sVDSFFJwo5GH
+sB7hgPTvWQiHeyV6tryXcyG/ECSN2AEEM2/COZ4uhwHct6r1vHxiHbaZ2tJnjk9WIYYTsZs9DeJ
bPLvMgf4uwTNqDad6sF41rU9GZugVrrc27WmrlA4cDiEHWacEDVNmGsIwFiTZdaDSmnNlnjJrKqS
/btnfSig4xkippW9zC5Ix11n1L4DrGJO9nHcxPgMqmaJAbnp3DMnMfxzK6ZzxapQu0WjFxXQqE5R
3zQH2Zb1bZR45lXNkJ4cxpzAusjIIlLmmVevpm7HK/qD8bpzfhDrsnLp5GqoB1BQ7lHyAM/r2OtR
rKdi2rd2Xe5KIgy7KEzHJ2JZ06UZFv4BFp5+HKsyfrIZ1YJYnOEmeqbnPedBO99ZJfadAvsDnjxO
qulS75pYXrrN6JVGYK7Ty27pBe/4t/ZuRnVpQGxxrzVNsx2+l0WjpbFgbgTYW8ptPlvDkPGDM8tq
S0L4lM0R4CjY9Uf5Y2MhMpaefOBRj3CtaJjTOKzoj+4Ft8HKz2OqZ1FBbv3ekcc44pMOuGE3MYWh
53VAaWLQxtNDFRYVHIhuPJNLW9pnRW5tKraVakH4W1DaOKaLIDxZjjXfSAFgfiqS8ZprXe4rkbgE
tEun+PAgmdx0QSXIETrWHR6p+RElXx0yFxTSbkhqEsVyrIrHjCPrk0265hHDY/fBVjp5dC3nqAav
O9gp/zYoXNLhOm3VaRJ5/YJjR9/AJLBeBz9wyjXTZP9OxJ25LqIsNtdJ3pGU9llTcH4lMtkOcprx
WirxOsyLWa0ytP0gRB1e2z3BfI6f+TeAbu6110j1NYkMvY1yJwg3vdL9rfRIrU9VbB1jDjtvrg78
aVXWJoGo1sAUhwUZ8co3k+pDxLX1uFwIxDnc+SPCrV9tvMHMHrD4uzdTPi5qHh7lMWrhR7lktfmc
7Ow3GVvEF8kmwth39lg4G58x9pWUbnc2sUbcBmMcvudRyjZF9eP0lPoF7dgYmsuDVCn2jkQG8iNt
ygVE4Uv4BToV6r7zC8YpXQd5c8ZLdtvkYfGqGmpLRM9Rc1VCWjiZMWxFnA9Fg+/QGy8cEbYIi3M8
70a2RBs2qfgL42BkZGBi11ZcA00zcUQBPYYmFdjN2Ww6NdydrFGkI61uPmSMOLDzTVF38ixJNqxM
uUkqxV5m7bVC34ZYzvZxOUYljrRO3yVYsrZKyfqIHVGdS5WBvclsGztgkZ4B5wu+GtDHzCofL5Kw
GyQehim58RuFn5miv3jFiE0gdsqwO6ZjIybqNSZxtJiJXajUay+zOsWqC+ksuk4dHLY+oWqaT2cD
CAHtGvPNoHQ4HMgbtXec0zPa7UPnq0iMYdv3oXtOSNu8IdwwnMXUZl1kzEvP4rTLkXy6qFpcg/51
jsXu0Jejc8asBiruQEwP6oU5xHQ16hZjKQe42Fkzm6wvuRXEg4p0eUNsOTwXba/O0A/z15GKvVeU
y25fIy3iGJWyebMw3KLcxuK+h7K5ne3C3QKi8i7Cpqm+h0E4vPpVgtsxlE7rrVODrm6oXENzUBM+
7lXcLhweq/gA9kGcZNltHBDAEHBqaUwb4WiHLPdYXiRDKnclufdVP8k4InPiALaYp+kYReTgDdfG
mdmYHo0l2O543nqVX1/5jNRIL1lOjjVk6IdXA2oZzqlcBLdRO3Ufsnfy7pr6lYiBt2enPU9Pt7gM
YtiuBYmJmyafMOv6jW5uipJy5rWmeR5JNHHtdap51KEqAYJRvUqvtB7DnRvl5Vnk6AyjmEzEm4t6
SgeX6AaqdElinvvORPc6te3mg4Lk8MgzO6XhMK6wXWOF678WjuGcZxD29z50vgc/aohouQ2Ktlcm
WHZSQeQ8i4PZPMa9Lu5lUUu9QkpKzufaMJcEziSfyspU4wbl9RiDeq1Wji7Ks14P9XlbYgoaOYid
2T7EzECbxpp8D3C3ch5Oc6H5g/gsuivDbdsnx6/LD1gD85M5NKC2mN8e9ewhGMxecesHtX3hNlKk
BAa1empFE3WrdpBsh7CJOsGRYSuhhCiKrzKMauBrLHXJhg22f4CNGD2WEjvsgJ334s9MunHrPpt2
Vu0BC4wb/JdczlSJbkj72PewBdIjDVgZPbeyoviwQGd9SFTbFdsq8+N9hBb6UoTm8ChYOisCmk11
7jNJ2EZkjwhDz2I8iDGLzlQMsWACbL8Vba32QQBTkxgElVoJRc5UEvRYpyeqzeLUVmsE8/TFm5ri
U6vyDvAwvCvJyEBsasvs3wNH+9tuBIzAxmhrVrHEJa9fixi69DBw+Xdt6pxTmXRvT0EDVbxn3txX
T42dNfvebtpw5fYeK1ZCXe8ecEvJ2pSF2V3MZQLgyRxXMeCnAw6AnrYgacW3Yvb78Yy5oA9coKvo
ZUPetZ993U7fKtfDLT2xqrergUbphsdPoDuGuRVV0FAsm7UZZi4jQiYm2KQ7wCS6q7KXGEMkf0Qf
LRcqT+1SW8Q4B8ZJitV7mfH4y7inhHl/UkyAsmUUFC5DIcJyzIfKZVTU2fB7rM/5UbWMkuiPMe/b
ZbyULIOmpAybXWhGaGkU0d6DaQn4k+9mUCOQR5xLnZvmRW4O9hbqHPVZvsngv4jyY25RL+oifJ60
11YbQ1lXbh5bV4qt8qpuzOEmWOZi6TIhSz+HZeTYwE4Nn0M0tx7cTb9M1rplxmaNY3MR1vmQbg29
TOJynAmXzcxmcdVwnHl0Pqd28+cETwC3U+c1G0RmaI2i+GUZ99WsdTzBJue2cgcBF6ljl7hbGr1p
zjY8H9fXMjxMmApcgZqPTuHnbJFp6kTXyTTOZ94yfKS6WT14mZouVEYAFXtxrx4Xr/INix0sqrw2
oxduYHMnCWyyhf6ccC6zTneZekIYYxbN+xQbf668M8GU8MNXPRHGCG58vUnZbx6LIWeamn1OVm23
1XAJl4Gr/Jy95qSlClbNCfd8px2YASGDRBQ9k1HCug1DiatFu+SYPdQfJFLbeMXkre8K6vLkumXP
vqnQHKHHZd1L6aqJKHI/FZed565r2wMMqRODLc6EXHDtaZW9YF/lhIaDLcmvNREeiRRe0/PjYLO1
V74BjWZj9SN8cLMgjXQYK4s8RsmlfCDI4j9BjOOg07tUYuO641LFikLG7szIbJSSqpioxFOz9aS1
YYf7lmKcc38aYOAlIowfSsPLgSBAlQKUQxPXh25s+nEgEjcTLIXWJRDtemG7ybAwRNettDlyZFmJ
ZcCLLOCWbUbvkPAmcj1sIoj66XHdRjN7DVb/8zbqD02XF+ejJ+0nliXnVpU8Dsg0++dFP7V3hGp0
ym5qfhrm0DWY5Md4RucyadeUdsCWYkmaf22V+H+Guf1vrpqCbf3nqul6UUfiP/j/fpFO+c1fpVME
UsoZffsPCgnSKbBbYZqKW+B3Eok0v+DTw/zn2B66q7c0cP0qkfCjBWKL+4/uB0tRXvBXJBILeeb3
yimzEh95xOddINaIn+oPSPPh9MiTaa9wAT/kRFKfaxdQjieCqKVKshlf8F58g/jSvHOmKL6idqL0
QbjotrYeyq3bk2VzHcN/JunDXoFxOgygOHtzsrB7+h8J/z8DZqYwkSEr5tB/fi3uu+S1eW1/1Op+
+61fr0P7C8xl6dvKkZKk0lLR/ItSp7wvlg9gH78ppleKILna/qbV2VyiwpH4TAVI20+H6t+0OvOL
hb3NMy2bxs9F4f8rFyIv8fvrkFdgaocPzbeEyxTp9zxkX8ScULPR3bYO+vwKvt/0hM1z/Gt9l/B5
GTwzK1C+S+WHI396Ga1McsZQ8BeFpP/am4a3w8oekl5r034f4gzZ//AtnH7RGv/XD6jnP95gvKLC
YEvRp+kDafqJie/nc0oKICDpaC0UyCo3s2jd0a671LNKivvwm9x5wIoObeDdst9nC1DzW1/Zjlt7
s/aTM2Z48syqe7FFUU/OsMcOl5TKzhfWmFb/op/j5xa2z78QX7ntYEw2XdNdvqgfJFM2ZOlEA4a7
BXaYvw0kV9fapV6VCGkBnAYq2oodghpWsVe+NaU5v8EVGB5p3qj2TsdjMcRl+4DmSKh8JJL4539O
8cfrxFMuurLLzAlzqMdF/OPbc/3aJN0wqW1HCukyni3AN7GzsJT1EBEhGl2GJFZVnmetHLd0LoeH
NgT+x3um9GCkqkzAVLyexujcsqqjGRk3IwEHDtsAGyI8Xn36IpG59zA5mhP4uPJbF1rpPp/q6vbP
P4u9dGX8qE4vFyNt0QzNpCTmtIDSf/wsHoKq2ULx3VZdFl1gb/VwwI0i3IyVFxELxdS/8GCcrVHq
4a1AlA1WWV74+Igh6B1G5Rs33Ti2L4p5DI4bABM55orn0aJdhE2x21AqRnqqZ6Zs0HQmu/7I1jQC
L5y8VM5ChgycZ99p5VVrdGu8VtfeFPeHCkblMW0ydcX4pb6AgosnT0QDWV8RW8EuymGGJRjTt90E
T0hkg7xsKjN681TDycDqZHXuUDB92QIbCUm1CBPPt0k2G2gTDQHlPCbPf/63/Lxxf/pbEhBxbImq
TOG3+uk2q1wQyI6eHIymMr8uqV6kN24wFzDj3pXWh5EM43U3sWNa5yPI80PXZMMHRJrmGwpmC3cW
6WwlEOCOeEuyjQu9VdEEDPGQ1rbqRCwKjA6KMgbuKp/e/G6w7roqADSRjQZVM2l4Uc24VdZZReJi
Cs3xwku7ZNd2yvwXFw4r6x8uHO7M5ZHg2dLhVvj9hVN5sPrc5SbQad1fQYzvEJQ59R4rlvUTeUN/
V1uWgM6WzTcNhtxzQmUI9lSFwKuabe8BhWR6b4bQ/P7n38PyZ/7pa/CWJYR6GcX+WP0E2M/CKadG
CNz5gEN0LRtEgH46Ujc2btyxP/vzF/sHfwZa3RkXmZTYIXYRkfjx/iGsgLI6tc6WSi732SyncrmL
k3/RAPyH2TI2zx9f5ae7NPOSWGkJ0SmVcfxu4h24AOZscOZqi2n355/oH6wIbMd4RvNEZZu/DMx/
/ERckklViRrmuCPFOW0289uMOfzCbqR5K0bNsluUA6hwCriLk18EzebP38A/+JOyUbVp1mb9t/mv
v38DpcEEqI4ch9YDFxfUgEg1BoRf//xVxPLP/HiZUIvKxoFBBUu4MNnO/v5lBEuuBwCEUJbT3FZL
+3NugiKP+5sxv8eedT3iYmds/7aMkbsoM65JLWJ1mUtYznKYNn4HMLiN7PJG6WrYkwluV854q0VV
r9MpMrdVjDRldtGxIqayJP7mButw/Z6E8frPP8zP1wexHsx8PCsZgi77Kjb+P35nM4GJmpC2u615
7KyDLvaYMACvmBVByj9/qT/82XxTLQ8+IP3Ktyiw+P1LRXMgMrczSMxkKjwLptQ4MCVbKn+LjGN5
QEcEJ4d/8aJsBZeH6o9fF6UdrDdsl1hZKbH8+esaROuInLwN5vIBy3FabmVIIs4PxuFZYk9TKwpi
bo0wPjbh8OL6RbJzh0m8kj+xVi21P+x9FmCTu5KBOumqMgH7ycWtUSENIt7rIH4JhH4pAYfHJsNH
z4OxBT9TrOqsBRU2jEcn7SnAwpl98kk7rJdAjh9PBOgMJ0MSNidz14AKgWqPDBA25kUljGznjgMw
mUAYeCLyG0rUfQiPUIm4n/AZrFn0j6nt3YW4C65n9WpX8xsCvb4ucORvCscJn3VpdNdGnQhGPSSY
gzmxkFe8fMU4MtlncAJAEdRZ8jItsIqxiwsSTKPu30TmN3s7YqYG8FbaL2MsMG+a+X1V9afG23d8
TvoQrO9B7DRbJwABFxsh7jbHAQ/TZk6zc+qUBurYp8YCTOVaTE1+ZdcYpq1RAWsWSU2FdQIKzmo6
8a5l6l2S8Ne72GJ8HcQpUgheymALlJey5YCn1FeoTsM2JvVTwJpcV5m6c8j9btpawgwuOmA6a/qz
pvNGRvZNEPWY1+NpO8JA94nYgDuY9yKTBwDXXY98O9obksf+xzTIi3To7uu+e0/YXT7Gokx3oMDy
re/1T0RiznQ+6p3uWrj4guFSnSTypk8bKlOnqsz5tzKImD4jdIY+N2DfH8ew8y7xkdkHXPjUN3Qh
BsLUw/lmGdh6mnEe9xbDoFNLYdpbofnaugaTAlSW8MMDxbkPF/gdjpTqZhnOPhd1lT0NsdwXSVvi
6klG71SWeXVjpFmHmwaB0YFsUk+k6vvpIQvn9kYGUwdtOKGh2mimeyMKqj3Y2fTKqGqCLiO2opSN
1lWX1AtuSpgbq85dXllVwIXg6KXDaG4727NejQDAEqEZoFxkSjYR3x4M/7y9ibrsW9O707dk+YSD
6Rj7JuhPZmjv5/LetCwKPPPpumZgG1DetMdXP4BYT8vvQWBF96XJJVnLLmYD7mEdrlPrzKAkbtO2
dbuhgxCO3xg6N6iZ0VVKgmdjVpMFFqthumnqcWf09nSWky6+LhzvHYTtS2FiV11pq6wADImYabF2
y4Md/gd359EcuZJe0b+ilVbCBFzChHaF8sUqmqLtDYJNsuGBhEmY/PU6NTNSzCy0UIQ20ubFvJ5H
Ng2Q+Zl7z52ATS8hNlIHKojqU8BZEzJDMhbeOtm/IXtSUD2E1f0uG2t4TYLCI7C3rXahszQbyOk2
vN6pv8PbIdYdG689k/5y2xlBshHoTiPC4OpXt6uNM8tFJMkWsMOuqJ84Yed9W7UT2DyHYTkms53t
T3fAs34ckUBtnj10WSHI69p0GNkR+bSzjSS9krcRbMZ5NIAvB8F9TPjexmKYd3VI2OoD0TyV3eQh
xuBU4B3E1+hk46GsxIOWpvOo0orfiY2gY532kzq6Vj/xUg3pNg2nKVKkc892I+8IjUQxCoRj9VeI
s4h1+jIgLuXPpD6ZZss32LR9BDEnR1bRL1wQYOOEleafvarVHRu66ZLpuASJ30znAf/VxpAdE9kS
QaybfbSkFmxBINdrrAC4mE3iIEcCU2ajyi9NwZJ7MWb7y5lytZqCNl8DGDHXWZG0D7ZRIXeLae28
rVO5r07cCs7ABMtXmtZryy/u0Y+rJ9ydEG7HSDmEo5E3g06t5juWxaNjzjiPl8z+BmRZPskxp9IP
Ju3u8t72YSRoMP1z5913tueua4kXnLSEqwUgXNQuWckKYarvK2LgpNoQD/a7HttTaglg8sXvOnO9
VVaP7m6Snr3rDPPKknXd41U6o2sh6FE1ebsSpuzfBw0yVbZTHf9KaM/GVRpX/nbJl4HuWnenwRpI
0iBgbe6L5KIg+DJsnizwqI4GS9XMBX7oTkE2C2um7X3t3qKDbnTz+EjZQaZSnhenxjHGB8PK2u3N
hHKXNo08CjQhT67XPqYFHEjmysZn5nbNp+7M4paRnr0CWQFCN7vZXRZ3zjtfdYPQqBCoyLNyhxdQ
71IIfp8h4X/HNoCa4HvcnGx4W94LGe7ZHwMuxPJ3t7B2XkNmqQ7SQWZhE3ePBKYwz+Uk1XZoObzz
rHvsrD9Fyhxh5RlL/xwMGAB6K5UP9lQuT15SBCfZlcvJ135+Ml0cfBBf4zeC5ZZ3BZYzCu3Seppv
xgmYLdyFqZ3v2Cxlv4JGIJx2+5alauC/y8RkcZiGzTF3Eq7bdHlgl56u58JJHpjsDBuT75ZAzkWc
Bqzxd7GjxCaNR/PZZu/7CBDOOXT9FNwhvEQlGObJeawC/lcfjhdYQN+yauFMsfaJyFAy9zyiG1Ih
fgeVSLd1Sb248rvb6RKmKU7aUlL3a7YGB6wyG8fojlLdw97HBePV91OZYW+UczBElvTItGKpcAYK
1jwNOhPfImurd6hMgrA493WJXbFuIIJRGUBAFNPYhatBD/nOdMmRN1yvOg5wUTnDXHjqvuGsWVyB
GzO69mqIEc3SrMtw3PoSYEbrQGEwF4ippUUghHYrHvx4wCSznmvPPcCg0oc6MN8Cd/AfAj5+pWby
zuswL886a7+9Hh6TWXQOFXDZYU7r1MVgm+H37p+abV9S6ORBFKG3JpoBOCawv8Po8HPGGimiln3P
inHUuU9gOidxRKEWb7u4miAxWku6GQ0rvJ9Igrkfhj55ocX0LKKLMmsburXHirwfuwt63/jV73zr
qaoG82wPkzzCq5rP8zz3373IWK+NbZo+TzVfDNtj8ePMZvgVIO46FhlBEXbKx1lYCdcdlEYLyxa7
KIwgDlS72Vk+7bD376qxXwyW/E296UK/fpK1T55Mm48/5TQDzckdQ57IJ4YMBPBLrkhpsV6MmJqE
PLAwAEDPfT0y/mlWlRebO3eSMN8C1cbPrsSrGyFLooxkjbVbWgd2UI+uCy1RCngv6+3ytRHh/N75
uiTWCRtKR8JPGsebnJ2ut2qbPLxAkB23dkGciEMzhAggNsRH0nIF+RL6gmcrfxcKA6hIgb9xNU1V
eCZmTPLFI30GX6IJVhyl0YKMJWPtfsa5RcnU9fJeLml/zsf8qfL0b9fP31TlKghui33s0EDgAdHv
SsMO63XVRktadHvlaEynFbS94HbdmLbv31CJxM8yIiKso/LgTZeBusNram0JPk23RHqB+TB8rNNd
Fc+HMZ22EBUR7yLZ4nZFRuJU2KR7xE8neMTytZ71ScXf2vWfgsl+7oLx02oJy1iSXwjF3uFyuPsK
FPxjO5pEQJq1H7lm5d+VY1Cw/Wqyat2YFhaVBgH1pTJlt2b/oPdVaShCPkubOglvB7TdbrgafYFM
Eb0X6jJpq0tRs7hfoUsUn/NExkHEl6Ae2lgkj2U4X+O5cvaNW9cfMwFFqIYnQCSMlqafMY+Hq678
drfMDe48KX0MdksSrGCKLd9KBSPDV9BVCbmxq7h25I43OcAl1jWPQZJP+9G0kg9oKzCuLBVsvCbB
Gp+EoPkK+egVDFyQjmbA/AC5H3xRT68AuLh0gmDETJ0lQF89tBDfs5mxtiQCJvvDx8Cn7jDzrhFk
elys8JFdhOW9cSymIN9Q//f3Ptu+FO/1Umw6O6zuiEwzBHHTMPKg1fk7TJoDR67bOID/bWNbwyO5
GvONGe0zNHxBk97AAfHhizlZs+vgPPByA48yEiNB1KQfMQlGI6S9b5ACSKEcUoV5h+3N4mDSK2AK
PZALojazHxKTNuMiOjh1YJzNFF/hCohjcS7TNr7vKD42Ii1qggnKZqfiAKwpkdqnKgleyhEVaNU3
v7VKsh1Y4fSKk6y5agHTEqnBgjOJ47SvQu8xDG3zVyrK8ElBcj6j9YxXfMrk63YU/qqSJr2qqWoF
f1hYpw5mOkwbI3zx9TA8+yTDAAcfsi8OlvICFGV+mUyEQesM8Cu79J4t1VLDYq/TYp8mgPdKTD0X
Syft49jNBM7k0jnIRA2kk1ZsiA1g0plU8b20oVVhLrVPkxdkp4qC7a0KMweMHZblHTWPlJt2RE0f
VHO4b0d/BBKFo/OeySDRES6TwdlYqmMTjj3BWc3UP5p96jNO0d2yh7lGdmI5eD+T1drtCm1shgxL
ysc2QClBZNRk2wfh0x+nJd0kyNebAbbO4E21eVDvyR/JWU9X3Uebu6a1cUwWByj4tIm2LZnyF2UJ
fI2w5DduReDMygeH0aGwr0xAEmN6MTwiBCxBLuIYd+PKcCzkLkvaPXBNkuTs6BIxWtUmgHGC5dWw
6voFUQTJaGUggJsTJK/bergU/vwIbdPn4R8LMsX4FoyVDGT9h39F+TK5JaUlQBys4SFYz4neKhBP
RppkawBAVCGxXbhRS+zCizVYDExNk/qO/7v9KiXyvFGP9r01VvgtDQoeYmCM8VOkcf6BzqnuNrGF
VyBqanfKnpw0HXZl61DsGnpRpNpgJl91yQIzDQZ2JDswJRPmiB2X+rKbfa/aF45hOq9VHPd/RjuH
LmIzOayPtlt5bkRjICZW/5mHez62/GVdLkU3ramkDeMenccQnCzo6ICUhXhX1VztpQ6cp1I7MOyN
rAUdC7g6QF9IphZvu5DBhj5zuh9wpnAUaK1mQKdZmG6repZQ6UaKWzIg5YYIyMW+Y7xHJLwHIG0D
jzfXKzG1xmFuRXMunLB/yUYslZNhequp9enTjGD+o2WIzZTeezpqo6l+C0uO216WXJELNyzqhGnE
oOVX+s2u3f5PSuDq2dTC+OZbbz9UPPWQHGJgwFyFHAP8blziJlQVdBcRJMulb7xAgn3Q5XYUo3nH
NCzhPB+BM6yB+GXrNm7kfYaZ99KYIv9Fa0m76E9t8DvPO0h9Ngf3W2sFYbEJnOmUD2nQRNNk1CiE
Jk9+9C0JzKV043dWSrxXY5nR6GXNtUb0fRffAny24PZ/lzYDqKkHKTC4LE+YZ+7yUR8LKLr8sBmB
wf8zkqds8cvnGT/Z1jFlcpJpYKGWLAwGH5D2QPmPdb9daj0clqq1N9LIumEDIb97w4cz7nOur9cE
/vfACZ96UG8mqz92Oi8+G8qlzTQ1w55XNTm1gbIeJGoVGAAQ4AJsORD0o2EewM3O8xLDZfRTbsl5
1OfcsmgM6IZ/26INDkxXkUuO809vjT9db7yYtAA3Epx1cCwYUQHO3a07cYSiRVavnUySYxBKSCNu
kv2M/k2ho5tsuTDZ4maoKKyJ6LB9hc3GYgzaZUC2Zmn89DiSkLf4zp/eFlP/dfsrAD0D+sWqmLqp
2Hioxgpklhmtvcc6E3W7s4BBsAhMdGO+OVRctOD6lZgegl8LPf3ODGDN0RjMw/0c+0RzDeI8cAaT
zKfjdTaAv1mFhaNOI9iyQ4eSesXb8WHyWUBqksWzpjEpdt6wAPfkiJjJVNW/AsUcLtmFlfvhd8F0
b6LIfu/51o84qCBOkwZxYMfVbJguOa/cTpFrpC2o/ngRFwPrEVDyHOdoWRCTYulzWlftKfS6MYqH
Vn4v5cy4rVLGLpb0usack/fWTkMMIxMbPtA23gMD3XZPSQuolMtqWg0zV/JQ2PMOk7exI4STZKMO
Myv8aVteetuot6bb+QdkkgnErTSxrjLovC9GGWQqEdpNCoiRk9Zg9U9V3KUP1i1WKzSgXPqecs5x
rKIh5zlcvKWBiB80y57f+ACV03ZZugbwWVUK+mYM3yfD8V9T7XnHYukkjg5tMZqtMJxz9x6JGnXO
wai8dUC58j5aXn6qYBNEFAdyY88j6SBj26zcMJxwSQTgggbTWDahk7Ktq+mvHv2FrtgdMTN3fph9
JR0YKElyb+QI1mhFltQvFQyc5yRR+onIF/+VfX1DS5TFVbxyFSy+IAEpVMJFh1VZDzdDV1Yygy3t
67DU+KAXwOS0QPJg6b6HtO4EeOC7HLtYMdaRW/OohO5cZTsCiPod13QO98E3J/CgAgB4mLoJ5dYy
/uIYbQFGEP0WbsNmorTH/jEc2EIH0IL7VlbbPvPV02AF5p5QjrjhNA3aibbLxsAbisl4zEiuv7RN
Ex8DGNS7tCHdaoKvcQfQoN1PoK+gRet8LcaeHqgviQmMcf1nM9blynFesJ6v6s7+lTXeZ4jLbSUa
+EYrKr5246W66mGzeBEZE2dPxWKP59t8ko1wIsBswbFapvKc9cVznYb2ijCS9E9r2dbV71yXLOgm
PmSUIBvE9VciwQoOaW96mqrJxDItisvMTYpCob45/NRTbOjk6ukKttbQeVu7YsrMQNc5T7WrdsKT
w1b1uKBYhnyQImOe0HQauzmuDmPZ+Uj2eYzydPgz0K18Q4aIHGnMkVoUnn0wqDCIJMwaWR1I7oPE
g6J956c9s6HYJ9UXrW2y0Y5OnweltsgcN05b8ztm17Uxl/7L7St9SqYJ+7saOoCKRNPJlcFJWjN/
2rmxqYhlMo12JQdSTWxx3wKMQaZcSBgJAvBBvvgyhb2V41Y22/IUADXU0tiEeQ26zwCuE4pvQIvJ
ThlkUi81IHrQ896jMruo6b07Ww97Q9LfNQMBaF2b3jP7bdgdVDvo0Y+NIczfqSSYjewWwgeniog7
2IgnBmAvRegyVjD9iMVDZGcZw75RSazLGVBmPJpDN5ffDjFiUeF0v7RO7jC/WskqyRqcoLArwSxK
nN/CN0j4hIIvtMgOPqBCdPthW+HDqNlkUXr4J2GApe00DbJXLhifHMK3AyTkDClpJwRRsb9qQilO
1Vi4a6fxaNrVvE04c9emn5C4gWf1d0MgxNVrk5o8l9QGOoT/3du6Sz5ga1iky6ylSY/CwFC+I4pI
fHQjMZ+fMX/A69kR37R2QuvZgT9JrzUybSsWqMK8tzKil97o4OaBYUHBKKND+B4bbnwlswYcqAob
7ECBfQiFQxBYax9bYWcsMMdpwljgazArfsyt6Oc8Ul1mNfkz9qCclSP+vPAzAXAqVpZw/Ih4ASM+
eRn9SZSQ8TN9hGFePIaJLxzi4YDwRItiP8KCFvy3uIGNi3mOJpBLCMwH6EkJ96FnskLgPA094EBd
9pRPY3FVwEmSiHODPINcM9MEES/QgWSe/yHrUn0ujS2+yXEAz+uGqiJOiroZOxnUl2Yut1oPNmjr
xRr2uP7rqDT5VdMMjnSLMQF8j4HRvTMo7jYQjfF9zYN/9D3BDN/wYcIOWMN0eSHREKSIbO/R/h96
rF3oOcGpedO94H7HLHjvGAlxIINxda0J+JYLA/xRUJCceeLSj7jNWzridjX1iQnCxPruxKzITLHl
vhxxo4iYcPgqD3ewgn4RYfkk2vkdEuU8QOanzCBtpD3M+CQSFKw7t+4g2CNMjLyOB73KGDYmwr6J
bCz1xN1dc0MWTMnyUlYb2gA61QHoMXAUPVY/GhV01LlOj3ExPdR16gCxgswaoORFZeKxlZJhP13D
ph5eEkXIzpw5DKmJj7zkCBjg5pxvAPyNNfvWGq8KQ4q+ieN3+gViCFClERUJoxfYjTP8yqwcSkZH
iPxJo1FOwCgUOYUvUbM+6uvIqFTCkUf4KPOCJU/C/WJaCjIpbR7nT9VczLIW13YKLQot5qeZabAc
EflHj41vt4ycuMxW53PWiA5cxazfF5+urYpYZTHZ8HhY7r2uep8my3kkliNOtv3gLL+I2QTkQXV8
dsPBe19aDR8CvTKlNclFUAKX0DzPpUFigO/zY0APZuS7qk/ie4fR0Be9KV2IzuNLNiY1gwp+fvwk
jdS3NrGwyhdaONzfXbcjKinCv2me3NBgX9CPxUs1tMiJJVHY1fQ69Li5+yZ5YYG8k1bg70t2SRul
uz4ylwWKNAxdZty5ce8krBQ5V7IXDB+YUQIA7WLkQVuVntn9qXV2gdx+M1EtO9WMJE208HLlJrXJ
B+tR1oC6tmWyBdVMhB42OM9buyL7bcMvkYgY5bSv6DffsbIyS/Xc9gZObL+J/DDRPdk8EFPWkeJU
Qdy5lgKOUtRaQ7GHzE2XAO32zk8D8h9mr4fdxnAOD697A+VP+AzG2kse07a4DD4J4v0oM7TdLSsG
cmL3cxcSmNOZqiGLipiOJz1n9R6h2dSvbUgn+6Aw0VuDXmR9sOT5e84p+KWtjtRgxDRXT8Yjc+FZ
knuAmB1vjD8+DAVrshG+7oZz4uavsSUtUtu4h84egWnhry0uE3XLcVxisIiqlxBV0nQGTavLhpd7
MG13PQ38iCPsPq9FT3hUEOhgg5UNz0dg5ZRxhLz5xBisplTsRE/FtKIJtc90bM0q7dgijmtYbY+1
/O7zzPhpitmIOl8Zd8Wtwp20nT2hz2suDvSXqKnK/CHX2tvz6jgPIeOfVze1sWCFBlTCUdf0dzC4
yD6wI1E0c4TinnMKJvQduqYbcXKkVo7b6cQJOwNwJy9ScSrvPAfANDHxt01YG1tvJeOFY8zWZy2L
MF3XmeM9KR1mZ+IFxReecvIJmeJxWWCOdDCL3pDZE37cMiUbg5mRszZT4EayMIb3LkvF1eJ5fEyl
xaOUONBcXN08CaRZq4a9E9A5p1/nHKoMpEb3YLZmccvmW7J1gGH2mlWy2AFrGN7amLOtMR0W+FON
km21mDnfcYX7bYzKmow5ie8CHnCTfrnoZj/EGGT3i923a9aHRmQjTMSD7YgImztRlGZC/HhRNlFe
O8spNQKumIS3g4Fw0wafxmR8EIHzk4y+c0YJ/sADxXSe6VEEkip/SA2rUmuVd7dOwU2BEIeaVfVO
0uWqXcNhmUZp1497HuuWctFhRDpVQQoaP0te/NZEks3FM5rrJiyXGWi47yMR0CE+MwsksF91XzZs
f4cZe+w7w31rVMuBJAM/KgoD1vow5chlUvJiHom3kVeeruytqKX1TppKufb8Ptkkhki2cRPre69u
yqj18cQSszayZi4t8x2V5fCCU4pBVFBh18u1FRzSDgwXMrHkJyR2ZS1js9iEnl6u4LTlXY39Y8vt
UG48v+uP9WzCgdWwy1i3WH/tilU041M7GWRQQusqy6NYEhL+bgmmtzvDwQoaLNveHfWFwcpw0Glh
fBbgl17NgpxSroPwPhMoTfhVrMlb25T2rL6NENxMNkEegl81eWUEJA7P+DQ/8CyWFM9u99F4Y/7l
hCVT8zTRV9+3xwkrimJ8s7AoRquwZj68QsnIPwvmIc8LfBwVscYg1csch/5qzVV/cYumFRcTauJx
WCycYMKY1EbQVe3h9rMr14X5sDhpQM/oVRZJbGm5kd6AGsXCZeqTHP4MrN++pLKh5LB8xjOwP3mT
eelkgkm9CXT5knYVYhFC09l3NmejMV782oBY1ZXPlTTap0a5MbirObvVr7fI1ix7NY1uvCfD0H92
5mJ8MpaxWef548RQdWu7uXovSCl/EJYzv4PuHjZgvtTJabIgUn6s3jlQ3r2idM6LcasEpqq4QJ61
T3XZm7sySauHZMjg7Yqx+B7HuN+2k21GXTVmNCUm5wJSqj1dYJZErbTJ6kLoIQ74y/htdYH+qJKW
yLiBbOsvUpGovHoJVq6kIj7lmUjWtesxgXVriIoelqpEKhvf0E0EUauAQymRh0qSbEkBuOtu7mMJ
IpEgMct6F2FJxFfAV1VBRausR8aq2WnUOLGYzuZ8Vn/eYoUsDglQqgfpt/2mCkkcgr8anJTF8CKv
/0xMZryZ26KM1byjYCYAanHclpj2FNdmn9f71mM+7AXJR5Cm3+iRfgLmqgTW+9sstrbkBcLY7L0c
E1HzU5CJDAwC9lrWlatb0AG0PJBO1YgtNrmb/IZ0HA6cWYN4JGFzZViLyYY43fCyRspy12PmW4dy
lNelt/ZogyKfOKP9kpOzLaYMrQH7H6x9MyurQDHYqXpMW7ax12Z7LB13r/Llzm2Zcy+Wx+6HT7nv
yZXYukOC8ljqjLYRMNkvXy7d1oBWeA4g415tNl3PoqY3bHTG0LtqrN2/6Ybs1Y4l/cYvhuTTSFP3
TLNrbnWQFLu6z/qXv2rj/reNSv+XwE0eAsx/EAiuP4fPfyKQn366z/LzHy0f1t8+5O+GD5hNZDvw
XIJqQDVvoTb9m+HDd7EkIXYxPYuqHc00QsK/Gz4s+y++CSUU6Sc0AI8b87+cR8Ff0G2ZFp/P5nPh
ofgfOY9s7+a1+EdVIX4oD0sJkii4MY4D6+WfhJOhwo5ewMrdODHE+7jBvQpSuMwibOTqrs7pgBgH
2CePpeee8f1waCpCW5BChfLMQT+8uZNrpqs6SPN3T3aTiFDFNgeixjzepKBAb9gSNkPMxBjcm+lw
Yxt73pQRBd82X64W6tSTf9wdlekx3lBNpkZIAOxEIXqA3d4MRNWyscqI8KWsgFGZVmXyXUshKuok
HFrrwMnB8A3lzQO8EHNTn0gi81+w88ODrK0UBIE245PuUZwcMd17b62ebJyIdvBMZPl03+iBum5k
IbhCSJgcRxwkt3oo7Rn5lQocoVXoC5o9kqRoFbJhRVnpjkeijVC50lF2xtFbUvtqElErtmQtwtRr
Fyyp4MIthsGTMH0UQ0R4x/ep3yvNAk/jCm8qF5Ji307ldI/x0+/vEO4QtGPjeygj2RQunMjcmpEn
+EmHKIOBy58WbOCdrYys35jZ0t01oGQFosDecSMPSCMZ6VO+XCk4K4cFh52l22GYywFU3XCrbUID
FTrqzeKrMAD9HhZLlc166Qv+AvJhg/cbhvq+MGKgJLXvPpusufdLHC8XiLEhopaRGzQL827e9L3Z
vGCsAICDhm6Odx6YuiO7HjpAly3fK8WE/1iA/PgysVRmG+UxIiCCdOZHE7AUpJXPSbJXorffWpWp
tyAR7ridShfFUAA6SDGa8NsTDI76SlHGkDEPWrzdcrCM6eDOZLJFcZXMay7vOViLwcRlrZTjPOVQ
f/YiabPHvnKRr45W7n1ZZkrUBdoDZswFI+VLzqDvFCbUV4myvB8XzyoaLS06CDNjyHqxj3V4YIea
L4T0Zna8Vqwg+O8s7xfVFzOWyjPJSwI9xozKq1zpbicTzup+IUo1Xi2K+L+18gCdrNWo/I+2TpgA
mY4HgDDQ5IW7EpXPCnlkJlas6dUfz9IIOvkUNVxpU1IkUzJPEAWDVm1ji0nL1nTq+LEa6fVtuZBj
Xsx8YzQmISIPKDOSEYI9dHctDMFvdVPyHILKoO2PBRElXpk3eEeocQnm5o2urmTQIXPyVUCmKCNs
27BXvQs3RSIdQOs8b2rVTT7LII+kdNNuQx5H0CvkAuV7szfzVxj+CD9qwN5+5uq7JOzL05KO9pZI
qriN0MD6oJdYGViPRGc1r93krFnOOnuLtpZ6zRlkDtKgqq9Jmm+Gsl9GSGck4xyq7jZ5LHJxNlVA
kBJkZ3PiL0AYC7nMyORvh2nmnT1aNKGF5Dk5GgDBl1dMna0RtcsyoilySKEptqNioAOUZMxheVd5
kf2OjTZ9mlTt/S5gTsu1CeM+PUxLWev7rCitJbJ4ZdQ2FNIz11OQsFdeheHgBAcv1ErTqasFmI5h
5K8kRtKSt85A+KKa3QWomkht5e/xT3PMr+I+DdDZFECcCFlsP5tZgvu9yQ9IXyc9u0VJQjEthXIh
uSAizVb/JmS4mEoqYg+rWT709jjsLCmLvzke/rev7f9/VEY8lVyt/72h8/jJav5f/vWzkv/+L6fP
HhJv9083/d8+/r8sxn5APE6Ik8l1kekj4P/7Te/8Bc8nbhLfRcBvewLDzt9veocigI9xb7ZEUGyW
iwnjPz3G9l9s/JEWXDe6Wyhs1v/E2vnXcuIfbnriJ1jBegLC5z/f8LWNdQ6jBvg1sExEvMXkA6Qm
cvWUPLKLdAuv2YQMEtAgGaQHMR1xiw3D//a0zCSyN0nSbpfUFxfyE9K1ucz+mskAwYVOgzZ2iJMq
kkZiNVtFtPwaJEnB+PZGNWmG5VDZvrMq+3R5I0ev3/kD92UPFmFPFdHeW8ou3hKuz01Okw8fbmKa
gCKSAzkMD7UGyuNkiNfJK+mOwKWxuSH++QyQLJ/8DFDumgUQ4tueufw6yF3YuFVRQRAm6quR4Hdw
STr5tUEtATcusII7VnNMNlKMkT94EfH+C2O0n4faQJS4tNlyatsxOy2od3AuzMY2xsiwW1L322VW
E8HlnNXKqAfkHgXks4hwcpeFhRd/sQMa11rTeqGcQ2XY1/rDKMZ8M9PQ7K24gODjpwubpBCJUJ/0
MZlKJUXWxlQVQj7Lq4i17Vy1Su0boNaY4pOAg/LbLTTs8F4a64BJaJTjEViHoPR/mrwu3nyxyLck
C9XeRLn17kN0YlIvEABmlbPsUEQiwJND1n1xVcVHhzvO3qWkdptIOAH0ACUBa0+ks/FsGJU/nxGc
xXycKnETWBru0qyhQWWl0Z08M5GfhswKsvhcTlujGgYOrxLWl875LJlMZRIphwV+j9pjX994eSxI
rbWGkbFmmo7jxLPpqUhQt59Q7VXUMvwW1nbnyNcic1EFB8wkkpfemQAAVqPNQll7WF+ZrFQEc7hF
kNxX7M8PYdWmD8KubLSlVGH8utk68mPrmiVqFcLYOIEW1Hckjrp8Svuh40v8VPmsrI1AZr2ul5Yh
sE98B6kwU7PFYAXrv+ZvOaSusWyr1Ir/LNLja0ItJcrNaLHcjywelXQTM3N78r0+/gxNVpwrATUE
65Nlb3SViXydhkuIyLvFDBpnw20X1HSPIsg2KAGoeXQoiThVmuBF29bZU+aWyR/HLOzHggm+vxZ8
3yPWq9IMVwDOypPnda1zjEmB+Gngu7M+mUUZvyD9b1HHFWS9bAdacUwXLvvS1vNQUc48xd1+zvuJ
ATuBejab5a1bZxa1PO9H2lPoKImnFTApQXOGwDlyHnoCp1csdzOmIjkaQyoDBgANKyTGGjBDfsMl
wLUSpvi+IrJbpnMfFuoWvcbIE1mrvuJ+CDVXfgJ4ZaoIxlm5Vo20c9D0w33JthexbkrkiZ0wbrQt
Mf+OFaLuSCou23WDMvDa+W3zisU4LNY35Za1aedmOSMwbqFN3Wpl4ejnLMnKaTeMtwacn1i4q2i2
spXZ2pazyuzMxrfUqBb1YhF0NtGBnjevEmup6dqdPnFACiFA2meE6Swb35bhPY7K7k45XnUDRjE4
Lpsg+cWWun8amdyhUYO0gq7YMcIvLUX9NcTt8J4kYslW0gfu/RJOuflExQGMipSTKap18UBcu94R
FxLOqzpuhXnoeyf4Yza41SK43P4JX43zoitSidop48CdLVTVg9KEzSWcYsXWjePcI3aVmndX4gy4
2O4cXJfOau/UVN7WgYgc+G9HhFqWMswcZa6yXiqnm37NVTIR/GIuAohNT/ZHNk7+YzU7SEU77a1L
R093Y2e4F69NfXvl5lZ8TBJUtOQRgPhnv7pNgF0eBmMku1ZYgHjZkJRPwu+rTZbF/Ca1TLsf8hCz
9GLDuP5EHsSqYig0ODSzaESUO/N8lyKzhOkZY14xg/9g70yWI0eubftFKHM4HN00+ghGsO+SExiZ
JNH3nQNf/xaySlKp3pVkd/DM3kCzKpmyyIzGcXyfvddW59nLhx+SbTmODab8mfNvjzuyXE4HL6pI
RQfp2jRVcaoJb1zP3K1BKCIafllDWVxHHl/ctIUVj7RJx0bde+3PYPbKlTkXcjdg1TrN3tx/5R5f
5tJsh4cm5ABboW+le8sNvRPlkek7zXTU5ha+DG9C1h85jatNvKttbAHwgkAi9XQIoHq5/RVzv3k1
5GLccIPq0YWTeD+pkv20wZ85EvdKz2Ud6NsEpxI2N7FAA7yaV7Orn4KxaNY5BxHF7zh4AO+196Pd
zHipAveRzMwAbnK0DnMO+NKDV3HlGc51JEyQXYNB0fTccslyE8c9+5zIH/9PdJt/OQAuk+bPEsUp
hkD1/0l9nGUvmId/Pdsd3pvpvfhn5eb3P/N35cbmWSxc1zY5On/hX/6u3KCVOEKQ/iQCiubwj3lO
/MYiyHEAabjuH6LO31Ad7m+AP8DJ4Bph2kPu+Vur3e3vggyvGy9j+FX+8e9/JlqgRf9FuGHb5VvE
RPkpwmPmXOKif0JEpCbtGmkaFbjuDO+G5Ojo7ujfQcufWZuFiNc/bGiMxwKLJMVZNSlOW5PSEKTV
Dw0kpmNCrunBR5QoNgO11s9l71mvcizc63kW6im2g/aCWmzhzLOSD4hk1jURMw1PvgkPfF1pbvQE
6c9lN6g+UwYFSn1r/LxOJuQjjgLiH7GRF5RtV/LSeE72SM5lZJMmaJOKLPO2rS3g2NNSmhZBOwgr
L1yx4Uuec8/G5cdXAwEhSi6wpnbx1FF3ZbDowUjmb+OBiG+S8CB3XOKndurJtZVY5rHMvIAmFPCR
S81BSAe8VezjlnQl40W2seoerYt6twdqZzDSUBV93aPfbaiY3HgRgSwcp+IMUbm64Gk1TjyEFfvb
aLhWLBOXkpv0YYAndsG5MjO3OsV1LVV7DLPW3KKbD/dZEXVHgo8YBDLCRWlvXweADjhg9bCvde//
MNnLr2eDdUToSmpMZZ3eZJnVHGzOTPwrFcyqvpvfMd9h14qTakc3Qs+CdNHimVNA+Xb2qQEj8xSk
1XdRdBU52a7hWafzlPbTTofP3YJen6KgffSDPviCOIA4TBUCGO/4F9J7IrkQHx3mT7KqGHcX0w5k
cPWLEu7Nrn5LgPGqXUohyW3hEQCLMVxf+Uakt01F6H+jMHrGm7L3/c1EwAkjC20t3tpQGc422gmL
Mw64/Ntc2ObBYEocxqVJoQLWpzMJOGMbaLt+wNebbVRN5giL2Pekk+JujqgRM7RjXVIa0zc5I/eL
Tpxw23p+/+IOSfxMvU24aWvjnhq+6ioZRvlNcMJeQZuGVpv0dU8bWTjpOymTzyjy3mzbDS5VM4OZ
0W5wRX7W3vRjYYMnTkrCnUFn9SkmABxBAwCD+6gkxhnP7XSiwtm9IRi2J3H6pCMUxdXohsN5qGXx
3qDmHSYMv4fluXVupmqpIcy2TDfBoTRazIvWbDl3S53OzdiNE7sQR5/qMLJ/RFbjgBGeB+OV2FD8
HFZZeizScXzDny/ex2Ag6xKREylbz7sarbrdxD4WaMe+i7VZ31uDztd+nw3viVXXz7a2on1T9taP
aqjC49wP1lLlEeDFLTGvXVTOI5rofl1dhy2FAStlKagUEasomsWrG1vH7W3sVdVLgC2ZJlzktwM0
Dm5MAglql4CsJks2JShuyrwnfWKGBP1z60Zatj50sFf5fUUO3X6Q5vgMVMc9kb6bcHEZ5QVvWr1y
ukTexLPXXqqCUbwDaHhqBxfdip5wInZOVTmXFA/6sA2yzvwK6CH/8pyp++odu75wx9bNhlQCVSa2
HJjKKXypN0XLjQMIqhifKB8o6r2JdzZbF3afuht/Io4PC5R1cGAl9lVt+XW06QtY97Jw+22ZsRHp
g5pzsHQ7YW8qVXjeukhwVHSWy6psdg3vuvNMbiNEpKwfNHnO8YpazKnYAPHL59U0h7QPksxngd3E
lH3iUR6jc4c58dVSEXdkTC/9nTaG4hO9CgJ3UITyTTW2tldF1UY/NPEb6oGsFIXJZR1OrjtDPfqB
CZSCp4iUzBNdpTbRYXN8hRY8c8XztYWOR5nx0SCvXOy7nMmLNGxs0JBJIJYQcOW+9uT5vK2feZh6
KsLcVjkthzbNnRyMmtQZvO5C73o5TP3ek4Jur0L6xg8n0tyIsB4Y+AnMVuuLQ4CdgRl/BSZUJILr
MSNwvYV+A+YHzAD1Nq0xJg3jrodXa5R2+YCDArl4xPfD4Bc07YeAqkgjEJ6U6AoLveweqkgYV24z
5wAeqw6QWR+FYGrqfHoQIZremvtJ/yNuQuogcpDr6On9qOJl/GNh2RsOyiTwQ8jnmZmQZLOI80lq
v05TkjlH+NbscFsr1t+N4RQv+Axb9rXtlK1ZtYx0/+o6u49TN3jpR7+9ZL76JifUvNuxf6+05mY7
w0N1VzornR09cf6pt3v9NhFux5vTD86b6gVydZin01E4IX6KGDbEPjQH9z7AAOvdhmmA431SuYnr
jQTlzk9Iu25hDnb7NPM7KLTu5Ix0guXJE/ZNfdUGU/gsVIwtv0cM31SmQLUfnWb8wkLbw9KA8k44
AT0lAgp0QWsAzN4RjEYjBVh9NIyM733DF+G1sjPncepov4GQC4QhNws+gCXgDm76QTDsA0gFT33b
R5c0t81wk3KHiLeFUySv+Gv4nd3My0+OIouAxsG2eNVGfnsC0VO/eA5C+zF2kwkzIsRcgDO+lbXr
RrTACAreOMC9mNwN0fIL2kOYfdbGAF1M18l8XRgD35gORs4LG9L+ijPUfBdmN72M7NOOWbHwG39x
20ujYL8x8p/GyVnq/ofPn79rBwvvDzlEfGa2bfyoMWBfycmjH6foeOgN2qZRrvCfw1lj66/87E5Z
Omw3o7apsO2s/GJlEFyWRtPxi0O3u0kChUXMx377PAxqIrsfW+WbkZYVtyETkGRtVdaDHZOIXHEq
Gh8EVrkzU9mCvKaJMyvWNx6jAtJL9h7jYq32xjAQxUk6OkFXSVw29T5h/f4KtLt/KAtRfLkRho0X
6B44e5ppdO/hjEcQiceJV3JIZsC8dNLdwsPFmdQFjmxZ1ZCPCejmXroHoruxi/B1tt4YACCPobjO
2QfvFWDbWXvV89h2PAUGbJhKmfN92kSLhRgJjwrMejE5UAhXwmJe2N+yNgS3byID67lX7nlAxMEz
i4cIjlfc+P3ZDWUzbVNa1rpNENkd6QAq2ngqStZ2Mo2C18DR2THHswvfKuNVJQRXPfetdu66MfYJ
mMS870lTtLdmls+XWQtOVO6F7T0Y++p+9PBxYMuiMdhpTI9vPE0vRJ8n50wQz6rZLlWcEYE9oa8n
vbkzS7MnQTCk8TaZRcdEa0ZAy3Hz3LB/xWQSeoV8n00W+AYJl0Vwa8W102heET9L67MQmleoUlV8
MAlBvKdxZv2k04dfK/ST7tkn0sDrG03RxlVu+JNlb3ZwWA4+x7hN9ygxBodfJ69RFZJLNtkAUICi
zPtkTOwDT1psT7ljUteWJ2JyCbi3/jkgjX6lVceOZ5Yu6kccR+0bmQmQBVnRWt9Z5edfAd32JySm
8AOfK00UYYupSGqLS7AljhMeyv/WNP2xs3+cKlrD3z/zuNjEeO/jn92fBf2F1uhIduT/+tq4L//p
yvj3P/HHpVH9JlmoC5OIH09D3/nHut/6DVUK7KH5O95xAc39bd1vL+1NDjdDF6ywxRr+70sAczEJ
2JgHWBLgB1iaXf5yS/x3t8ZF6v/zsn/5xYQDr4zxzTUtwbLhz3dG6bK6tbNx3CZhWK6A8sy7IME6
bZp83gBY6P/ABvsrlen3n8cPBGMleD2WO+yf7qi0srYpl8ERuHybrGYVfg9onqtpZKL403vwP9yH
pfVXIwM/i7Ya14fxCo3N/muBOtMh2zMehVtu37Ti5jZJYIZs85hIWV3SIBwuPd/MfSa7YoOryf90
kM5uYfCknFMKa1NtMDKIaSRFmS5LkFXqh80LIUrykzGUtWvHCU1sCrL9mMbZDmA8uDTowa/hAprP
cDNXo1V+GUG/RLdS85HQXjfsLJfr1lWnGnEbUx9Leyh8EYo2XfXVORFoCuAtw9prM8oqtBF9hU5M
LStYyk0ZZPMtipeD4biewj1YH1pSMDzfJc5sXNWU1g/YpHpaMymi5FfBEha8IIJyZlGHzHUP/hZE
5NCbXEV1nOHuqxkc3ArvqVEzJ9IJvWLRy6DImNt85wkEB7d1jm7I58Ecerklsn4uJuexADhVbSCB
Bycm3fkqlja96jo760h2BEkFdT1x9WrkUYIoIO/AIRXALNzzRJAZs4CMVnXV1MwGRnOeIuibou+J
gtEFAqKBRQhQcA/0EtHArUnm4oTZ+5W1BuksrdINqxmKKpjCV3pwrzuCZbus9dfR0jtimbpD0ve3
lHlO+zSUy4p5RRbsfqIIwzbp5XNMHe09l6RblvtHWZsUqFQWP75pSFab4XeR4Jmy+4R/iBi/gV8d
IBH46yFzixXOClQGxQ+XTi42gyfuxh6Bs8fuyj4gfA9leskLSsykE35QGZCsTEhHJK6MfTyKuzJt
2N3wiqYkKjaBih46EylUaPlp98HZTN0jlINsjbS7F5VGoh3Dijpb646mDua03PxMnHxnpaKGld3t
LZF8C4kzJg2aV5t/IZhJtUfyje3knHfhKayWhqEhWHp96wdkzD2d0hSJDVdRkO47yzhHCJZbdst8
7rRHWKsO6jo8J5YaBR6boL2pO/s6NsrXYiCXN1pIoNaYXQlffzn0pm9SIDO7NOfNazT16KzrCuCt
o7/trRj3qAcGh0AYU77yriV4sGsr0B9IES86lM7WliPzhkV1ghMYj4EVnqcEMWm2AMlzYw7W0sWP
kgbFSjvhVRikJXk/+UpHNX8BUnhQkYpVNrK+twmdLj22mUNApXOJ0y2+ylzwo51RGse2JB3QtPQr
8cbeRfnk0xsEAtPIspYID1/UtJbzY2e04EFa93EU/E0Ll/R/wftAKurDD6HH/Dqr/rtt/w8PVwVm
+98qspf3CHxyy5X/nx6xf/y53x+wnvgNedAXWE047gVL279v2SUPWJJc/4MqK+VvGPgFT0+Idj5r
cP7QH6qsaf/G/GfjgrPYzFts2/83D1hT/N+YvkUp5uGK396Byuwuz+A/PfMkNFbdSUNvp66Sw4H4
OO2+A3731RzB5U07/Mld7vqUmPoDYpQXDjV1aKEwUdZcIybJk9DuWpAqeM0n4qHX2FaW/0fRgpWq
HROaFOsYV4P7WDVuoE1WhCH5O7oYsurOphD1xSDsET7AvxnLOzSqDNkoibt0TfQbH1FTOIHcqGxs
GkKGle+hKTpc150BAiDVThJSgC9znIBoRylZXLsIbympNb+phlDbRDvSX9dp7x/rdNHf0siQ1z0q
Vr4xo1Ehoca0Ut+MaIRnwoH5sLIzQfFK0YynDn3F2zQ2DWLXQT4RaAMvItJ7L5WvxMcnGrENwY69
dmVMuD5wJizmEb4fGG8qOZO9Mds1ZYgRsIBUh82mHFqV8KBPokflGbmzaxo8BptJApQBLJjEyU1L
kH8bxlo+OTV3UpgDU7ibW2/IDhDPxvTU6KonbRZS3cBDZslCTjSbYG5PPHUnOzMF0UeRN4xDO+LB
jUg9VqGEGAKF1Gy86E6bIcF50/hps+WkMEmnqLWpnxPn9rl4rcre8QjSZvEL/zVnFw5hcxvYhlce
7awaaW8pstnbsV9X98DB5vBCPQP5LG4Xyl9RKQIIDG+VoXdj6ZRkD0FFzhfIRdgOQxdoxFrAADMO
DYUiL7i2x37fV2EA4q/RnHh2DGaH2ihp3xZamwSPPTbJZ4+O+3Q1+LAfuRhW5sHufEVT5BSn/lGw
FqiuUqK/rOQdmMVbUCvFQYIE6DamBfJrG86Sf+7QGCfUlSgOdtSUD9lRTGU7UXjFZXkbuRX4BgUE
CqNlZGSHRFvqAxhU/ZRHJXCFsGk+yzYw9YlPHXdrkQdTsx0aDIs8ukuu9mSFFm2dmhUGGuoDoYXD
CGY14JySRFgflW9iRiGg4uXbiJs9IRxf8o5NTVierLFb5O6qSc/cBaK7JnZv3SJ1ntq218Wa/a2B
u9yMTt44ugLUXl69eEVi3pNBad/gczl0/qSHoZRIlyRiPfkAsQOHJfCBTj4iSblgN9lxMk2B83uI
C4s+34gL7WCLBj2HunvzpsHeX680lhGmU9BrA2bvML+gAZEa0qpM641IhhzG/1zfkDUQ9aahbqza
BMKn6N3gWvFYT1GF400CF2IL4lkd/VCFfVZdESFYhlPsghDBhnPVW5wJqzbMFThosyfWFJUTW4Qk
j986v4TC7U6KT7vJGId3YpIQnEh2shkQwbMxZ8F+Rntc57osPrPKAIPQRKyAA6VfqF/Psconnrs3
6yb/MVEuEK0IxnC9J5a3ViovrwqRDY8thLxolU0ZZwHEIAqulHXb+LbGwuFbyaEf8A5hRchgZRA1
yQ+1qNWTmaftVTuNIYgjGflbODNZcEffCAO4a0VDsPdZSCBUhtGHJlCBRkhkjFZSYfZ8PLL6kdWN
dcSbv6wxsgLFMXLwEKnAdbLPysZEZCE+WusABtxzb4bFz5o0rb8bMjShPSwOr9rkqRvCRxqHrWKB
ch3VpXEM1FLWPIRlNj5U7OibdWQv0M0oKwb0Gbwo5skhf3YanCrr93rCHLZqZyDpmxSOebqeAz6r
a1tAshnITt8UgyxJqcTGmxkGbvHkJa2Bv1DzRSGX6OOoMUrb3rCddLyfuUHrTMahv7ebkY9n9II1
QHx0fWZuPVkmWxWnDWpTBM2y9Rw6SfJlZWDG/Ej4FPUB4Y5WrRYHGsc+ZTknXJF+8YiIhqJmQlvd
DqoO7tk8i8dwSnlFHTm6A/xjMx632VK9LfqAKwR3H/ScZZA2rtQsk3eHWp6BxQcmmItaSr69kCNn
DW8g31YyFs5q7pv+Fghq+Gh6HHObIcTesKixUEZMu+aT6P/eMB7645OPZXrmvDLjAKWFSqDtXCnn
LtO1IeEesvhbx9TMVRvYvvwicik6j3/tJzgbSuJZVezA8MMwTrToV206RYXOtuA0o2zQXXrVu1gc
+DBTtt4XZnjUuqxiwqq+3x4k7JFg19X0tReAOT4d7dcvLDuRxdDNEMDqeP6Zgn1ELQTQa/N86L1y
w4/o8jVXs/lo/qqNb0Eq4R7/VScPVUwqooTLi4ATD/xLmie3bTpPDAiNZb1DNOBB5y219ROi9KUU
1ag2FGiB3lVL1z3JQIt0oxvm15riJuoDo+F5xPcAdgIb7E4YxozXWXgj97y+HS6pP0+Pwyw89iRJ
yuMoTJsadq3Te1/uqKYDOHjzOiDFuECX4KyTGEnHelWM4VziqIcjacY6Cm4IqOvpoIiL+reT51As
ZYxudDGsxv/h2JN9B+2cZUpC9Zfb5feUM8VXyI5dtAkKM95bHHIbrt3GIUEBBFmjP5IqG9ZxxZkp
RZtab6xOPHo65ey9dFR4fbcVfVCR0uV7asxmtC4pAjgKveyvlweAiMPkYSIUtc7GPgnZOebJegAg
cW/UhXsya1fI/WDhbc5DJ1raXGHJmeGS7wkojO7nEGiqwvy9dmubLkc3mE9GPaP+Cq4l94pO2fQt
Mrvw7AyY+5wSfqZmB0afLGywVVSNbFcyful9EpYj0QBTdvsuCscrg8ImtRZwXLag/icXHnDsXg/A
an8OmQo/1ehEP6J2ejRMHqz47UJYl1y56XPVldrkkSNmRg+3IunGWbREmGY5HGF2OB+1EVVibxaZ
NE5DkhxNNdl7kgfeHVso8kRUTT1y/6neoJi2pEuTevim8aAYmQ1Smd84XQRII0pGw9nZck7XyOME
xoU5liYUt1R/hDL0P0esYcNziU8l3julWX7WtiWaOyq4qBiQCeLUSeX4o8+xz319FYZ+P63UEFSf
VpgNxIKVjIZjIDIgogbjHCtss2RXUhTW8FDj0RmgoBr5AysWmsYAxebzvdXU90NbpeXJbqidWpYa
090ESBPgxRxdzE7Hh9ieWrGOdEOALOKR1WVdXq1dFelyLeuArwmDeHcbz010zIkUnIrEiA+BD91C
KBWNYJ8pyOm07rn6VdnWF1nIs5wZ5JMtvH6yCzfa4umXG7cMofUbpfdsGEUwrYj4e93Ro4W8eIdg
4Vd7Dlr/EcaZ+uwHtgBQ7Jripvfb+rnXmYPNaRrNk5VOGS26BLfXWR2aL/Tpms8Os9p129kAdbIh
VBt0dyff24Cusq1Ayl1hLKuQR9JK/eQBmW14ZHnp2vAM66UL2nfZ1NS/6SGjYQq5ofqu0rp+MWMb
scr0IwrcbDwGcFniqXiuwz58HMt0AUU59GkI5sWHsc40lOcKPemVDuF67ddzNv7sFAA7ZdApbAbx
FgLJ9E5m1Vn3U/SQpJKcp7Q4+TuNFfpU04bkHAQR+vmcmlmKSzIr+uQ6LglHbvzRgINmKDSAg6xa
Z97xT7nLmecO6D1m4YW7uO6rXevWbLj62eseWzhx9jqWoXyIk9SMN1LxKI+mtLpvpjYEVlbNBKtn
acKc5jG/Kea+Z0cdq7XfWoQRstbaSWoiaIdXX8pZFiNV0VA123iJfWwTVoQv2K5IFPuSBj02Ns3S
Y442eqnwgtyqEZk+T6qVptV0W7PzPLHhA22FMrUeWsg2/Qh/Fv80LI4oc0lZWpFtUwbsd/cjpRz7
UMr4teK1BbKwYJAo0U1LCGS+QV1yTsZzK6iOAY80GMYP8k+9cYK1UZChsHL3abQGkgVgS0yK0Jqh
/Ckyz9WrgAftdaiWy1nptmQSWx/wYjzpINuVZG94C+35B+v88U3yWzibZMQrtvZ4vauNomBxr6xG
v9VUr0LsMVN1E0eWeGTA5YRN5oFhvW+iU2CV+isP6mnnwOk6gm6f48Pgl+rCpcELTnVSyY8E7OcG
kQ4WO0PG7K6j2SeptdA93rScCCCDMlOSdzHY5lkdw7PlHetW0CHSZMuXmQUiRYrDB19f59ymWVet
IlPwdB9UER6CKMqqzRBlu1HAmGJJbOc3UjAMbYNaxOap9aMAtaloBQiT2Ei4VXG9cdZccuc9/iX5
Znc8wNZz13N/JeyiQmI3RF+4KPnO9NQELSFKmkn9ZAdzPfoc6sYGwdmbP3JdEHyJ7OaQVhzzM8TO
eGX/CqumXbmlNDLd5DZgyhW8z7pYo2bijMyl074pAxZj6A723jGb6LmJofPB+qiWWk7Wzndz05Xt
qS4l8Z8WcRbc5VJ55IEsRBcbQ9hYmEqZazBr6xuv8vxoHXax/xkTKn7An/oU+T4ZVDtx6Ogu2Fjl
1ewuarLYY9/2TuRLx5Wn6uJY6bi6dYdabKoGp/CWZ3NGkXbcAzVe3P5W04PPi4u4/ZlgtOp2iOhd
c3C7AhaDGXWfVTcPN7rBBsPfTZBisXH985DWk3hXHZoguXbzW6VqvmcXCMsH4P5ZUVt2l1QhPYdR
MF7KAaaQ69uIcYTX8RfkNKEr52fbM/CkbMWx5BbACiJuSbIW+zbBDj4OjvUyz9EnHzfNa4x/p3fi
z2xg2YdDPgef4/F6J0zI2gSukxvVKbeRY7OhrG49HsM7bFzhGzMFCEkOP+dBpe/YJOxtzOeIQb+A
Ewzte0sJoX1MC1E9ANcTe3iqzZqDc1OWrbU348L97DNYj4Fo1NGq0sNceGxCnT5NNhW10ruERsuH
BngvFGdPfPiNKq6cQY7vfVMFGxWkeb7zu0mQiyCxHW45JMefM3E3WDupWa/bwPYWgDFDVy35u6+H
0ajf7dTxpi2EQps6E/xfwGzMbYqYuU8WSEcVTFz3hyq9HT1ruibdgWXdBip9HvXAVOiN3fw1JS2x
rZQJcm2r3HucbMc5TxLbhANWmztxRqNRlYqNZJL/ygzd7BtSTsvDBJZL2+PfLe3+0jocop2TlMm6
IkQY7PPSZ91rTvs68wgLd5EGCbQ49FLwVU+MuzUCBcyktf5159BUztWUmH97qNxHm+bo+3FK5h8A
RZ37opyALYoIYDNmObAbhYBCG9sclyg3e7vMjqMMq32Umc5NnypsHKn2QDzYZcGwY+RqZ/UlHGW3
s89Dxv20d1X9OkLOoharSFeCldA9zo0ONl6j7/DsIRzRZE5vcZG+1jh8XgM8TBsoU831aI2gOYtJ
Qn9a5LN2pHcSZjETjX0LeB+F2o3jUyUwkNMUe7C0e82OZ1yr2lVXky1NBil/3tDVQSW1BB+UNQOB
VlA124GH8c7xBeOdE+ZnDqqEDETnvRRGvcTymrpe0/bKgsYMH6cMcAVdG4N+xBPW7kb0aj4ffm/f
eMRTnFWYONNlzGiM5sTFhm9RMTJ1YX2CalXJK20mVbdFTTtOQdT+MBJPPNL5BKcWy1r7NA8+016Y
Wi+1TsTezVPBuzrTIIrXe92QGsCwmCXhqdYjY8gYgZCkkYY5Z07dD5xB7w5h17UuMbw53Zx/DZMb
7DkfynsCtCPjUGBcZ1btsQAaX7qEB2tPWdUmzOAk7HE2Desk0xjpMve6olqDGhKuA5C1SKlwOI92
fAViuzi6ovG+RGfdGgFjd0tukoEsmG4dRbuSJj63Zp9iYDOHB6kNdu2YNo+OntGmpnJ2nh2Z2z9g
Sq7JCvAkCfv4yq07eoi5b2yNicH2GqPh9DGz0n+iVlt8j01vcB/w7Vts9vvEsefuujKmdLxEA0lg
/lvRgY3ez9o2ZbslLaAPjN4TZcpJfpuSNjjUA1S5RuQQdUW60PYmgC1eB9qYHqSISQrPkGQcpsJq
nSYxWQCPS8udsIjlrGwshFH2+wr0v2uF/7BWgN1Gqs7/95uFeC6b9/zPq/5//LHfFwu+9ZuiCMmm
0OeXOfuP7J6/pPBYC9j8CN8jI88O+4+1vaTL0VoYnCznBXtEm43+37ze5m9UPDqU93keWD33f5fS
5wD5p8W9R27PQaS2gZUTW8U9/pfGRMsPDa5kwXDo2zrCBBn5hMNb8z5Lb6OwuZ67YNiOjnsFkydc
zQ1lPgFbP8DiFLTbZr6Fl0rTsHIfPLO7SKvqV00zvA2zpmw9uSBEI2kUvbHBy/ndMsTe2M6gYdXD
lLuFTASAVM3Zm9vG7yDBzN0klP2KtEYHHqVPDNXsc5msNuSZP2qfiaPnso8eRmCEJ55zDxgN6Afk
jw3I/zbsbgunb1cS4/ba8SXYuJSS74prL9LsNydrcBRznr3gNBLbrhvza4/ZXE/0SNVkimc1PrSt
dbEwU2XFRI8Ia5RYWtSvFPrbKUxAdJVAOh6r18AwMG6nY7EiGQ5iJ3eBzFAFomV6xRoh2I5d/54X
YKtLPY8rs7OtrWsjYUjVzSuhs9fKcMfbsk1y5Iea+h6Bz9BxBCuVFvgiubSh/Eh7E9VvSM8op1cu
DY0SfMEec2a9y0aUzkTF0Nwhu5Qxa+CaWhTyLu59pOBCVWluLE/B7oADRK0GUmnPXnTryBRsLrqy
DSvf9/xbVY53dTFtiLW9dJ4KD6lhNpcEavlJROzuc0a5Uu0yMT8LLz8MMluxCcGxNJgpLSOwZ1Y+
LNzt0BskYezxZ6Zoc9C11d402XtYRz+dQd2aAb0liuVGgkn6NgFnxXsNvlyW+a5CFDzDz092pUvU
3lTjuJkDcRMyk25jsyFjTrsEnSeruFHe0Uh4vy2qDCErw9gRMwLSEAWYxG0yQ61snU0O4ymMUHoz
BocN4hI+Lx0oMOu1fden4VvV+OO6IZ3GDgxrRv+jntKXdHLzfVfxg9E688S6n8mC3k/KuPc9FD08
luzQiA0FnlrTAoJhT5U4kmlrPGUALtej1rtg1Jh2TZltksHdMTYHhwjPLVcjt+ISbYwnl7TrNTIC
3lfpBufMAScjE+NJltZZt1O7hVzD/zJFBNdC+gsBFKxZjDwNCc+5qKOBC/LK11RhIJhD9SWa4Fy3
kgeT1z/MuDuxCmqct4by1kwP7Dx0fezMvtj2yriNaUI91zq9Vth61wTdPgtbens8InsTZ/uqFOIb
bezOmFPrqm6I0Ltjsa5LPpsJOMG1RRZgZcPFOGQtnpGmLDcVeJykAmZfOp+LdkCjx70ecswRPY1P
5LC63dRE5qWppb8yGpmf6JFgE4NlGwk9N/uj6Z71zDjtNdm2HX3QQoO7LV1xoyfERwzYQITsxn/1
AHVMZU/2Prqd86UKxegOKsPSifoR58ZHVEqJuuk35m1eTKBLZ974yLgUHrJ11ZfE+9Qpyr5tbKSq
69kDROLGECUMaN7JXa4wGtgcaG4hg/cxue386dib4tCkrnUJC7QCu3Lv0cih2ermI5+D6IwNedp1
ymayXEx4JzLIHJXeTJtgSGTWpj+Z2WWVK0uuq2p8nkx76w5MoCExEKPe5YOLog+8FHBEIZobPoRU
wfPKGfb8POvZu6+5wadRxNch3hqiv1e2JtIyCryMlYXTIX7IqxIbDqAGXVOeAg1xSwGWg2sQNIFw
mzVdZt7O6NR3BdCDv2v3bsEmvso9oof/h73zWI4cyZboF6ENAY1tIrWiSMrawMgiCyogA/rr30FP
z7PufnL2Y9bbYnUlE4gb192P5/kQmGo4dOXj3IFEwjOOI9M5lg0QqBKlN7BAyz9jaK3ToGW/sSuT
NP1Vqxz/MolI9TI0OE69qeP2PWFEep2w9ipQHMb0nsgyw8nPdX1nLlSnOff6jYFrB08MO2FJRHxL
7Y23MjvB6olHbT9pXLZ3Vk7b7L7EcQS7omzFVgE6aWBO//6jsRrlgZt7+H5HKrOKwCuLOA5UWcp7
vcGHFfD0UnWjR34kNnmrFVSzy3y5GZvSD9cM4DarF5HkftDhzjKDPkdIbYmi3Ke2Pe8Vy/GN7Wvl
5yQxcHVEXskE1U9mUZ7sOvb24Szm+0EvQNtkBTdJzdPti0leZWOJSXBq1JF89AZHO7Nqje4hoyVP
UW+4HyaVGGjTRHwDEdFhlkCm7Xa0AVnPA/DgXU/r6BX2A8Oj27/5Pe0d7D6gXsR6bW85rulI05uP
wh9osMrILp1dXN4EuclCbSxW8W+eS2qx0BNnPxo1YsIksuStLzDECG2qFmN5IvfdbGV37LO8g8oG
9uX15K1NNif1JuUueIioU3FWeB6sZ91NFHD3yme6h7WHi738srK0esoMxmk2SO7VSjEXL11phzLs
5g9uqQYfN6SoYJCMz9ar14t5M4vSwHxT/Bp7v9lQY4J1W8LW4bNziXPLSPviA5e3oRZhy1JNqE2q
wYexSn/jdIC3RiL0LNgMwjpanRGJdVciJNDZFn28LWlzWluUaWlrxwyLz3ou2mE3shGcA7Ooppyt
ziKtc5n4wIoFWFYq9cR8H270xuY7n+WUF8LwlXce2Syg3JQXVrMAbhzbr2YXca8d0/xHrVisupQ8
BI2JqW7NAd3daKch3pkQzu1wzt1FevgoPIgypSkJNLi5Od8j0goBiqeAymMWxHqbMtv8PhrF0yTW
pexZlqjPekzGnQdg9gAFp36pPDVvapLOMmMTPhgcAYGfRv+o1/33gP9/DPiGxUT+Jzvof0Fw3X0l
Kv6LZeiPP/KHZcj9zSKsaVkYctDK/hTk9MRvFuli3vqUSP1tuDd+Y2Ww+IJc9vN4irhf/NMy5GLX
NYTDnxGYTU3b/1csQ+5iPvqrK9ezQU+YSNMeWU5n4Yb82TFE53rNudbO20qWmMjL3JYFvjpNv8Ru
Q0+0q/xtV4lwwwY2zje8ITENOmwCQoTRU5amkGhHjBPrHlWVyZ9OlZVhQF+FUT64zY6KreYyiiR2
V35JapqaVg+cajI0xwJB/W1ObLnuAIkfElNy781SOo7yvt30JEL2GAOLuwS2SLuqo7b317gR2P7m
yMTYICaLBZdhNdziDU9ap2RMyGN0laU22GC1C2EgkLHc8on9kwbQvkPVNRSWDML/THy6tkm1eBc4
v8mRGCFHY57N5dmzTedV6R5mBbhGCnsr8XraRJKmBxbBU77u0yJ9SVv5Psx6ckma5ClsAHTYUd6T
vnOaD8eZ45NlgPchK+ksOEl50ZPUYEzX4Ga56HlIJfGhnzS8D71Ovr2RWyDP88bno9sI9lIBFXWw
UYEcPDaseQBGeRSbjvLEVj3BhZ99sbNaNpbIsqFnpwc6zyW7o376QUmuc47BjsGv0DXYf4mDNwZ2
lWkeM05mglK6iU1XdRV7tVLa3klrcdAiCmiYF6QULM2rceDakYPreBbRrN87AJAffTQgH1UqYYTS
06i+y8zl2PNyQ32UbjzUBwjh3YkSbANdkz69u9IDBriiLZUBPG9gipyGSkiGFZbVzCOu1eFAqiL/
XvWRwaTSupa3LVibHNWoyPpVEKHwXHp1AiMrhweAnwBww5ClV0BPBmBkLf2h9Z2xDRUEb/Q3YoC8
KeVjHfneM+9Le2O33njOVN7ftcKV/CqhPyEfjh77YmNoei6myyUhT0zjtbMH56WsBHJWNTTiwcdq
f+cYFv4yuwnLfWe7co9lm/7Zoeun11YnDw+bK31QiBwbk9oHzsdkmuA18k/qtxglSpbisgmDwnGS
xxjS1R5Yk753smjcLrUMMgizvtzXlVtepCFbPFo3g+53mI1UymnxSzlA2ijhrl+hl9cHQe3s++gi
IDE59ixeQc95iIHtKK4YosQ668YZ8BlkzrTW+MgAkwTMEDW9ZLaZ7yRsX57qCV/y0DREZyZsrFDN
GqNh+QVbbQ40NCVKJvXh203D95YaunNam8VlqP2RqPTAmMRtpWYlkFsw4GhUKjC14fM1RHiXKqVx
ncYSfeoSDVsD5YuJSygrcR+KRKoXQQKoDUYULQAeonnjKAXiKZqqJQPrlc7JrgBqHgbPUN2Bsl4H
Gas3vekHtsPEvCmoGGtlF+WX9DGlRYEAOlKdPb77frMSoNzEK72f43jgWmULkri9V2+oUcn0n6YT
hkBxS6hea3tCLMS4m/lk+lxCZgTGExOxsJ+eIbqJtd215KKM0cqPMXMPy9IsI9IEZAsxp+M1jfAM
OYVLeydfERGGXec3GhBCy3np2EWchdmqK/HI4lk2LH9wGzgIHJ4c9S/XTd2dQlK7YIFnBodvv+3b
FCM9bjvzrhTj9FlgTnuX8N0Dt2nt/chTxBsWtraXttXTkDD/sAOYsQMR3qvLr6hvy4cZhsl3qqlp
n7nd/NWwrWdPrPODEVlFtAG6YY27kfFNPSVYAjwgd8qL6NIuvfFxUjXmG1cRltqilM7WISLYvm4L
xBy6ytCj96ExZuE6p55LXgokP+OAl7nLcVYnQ7cSWTQ/pZ1l5GiVhIuIfDlWDKLFYimEcT9a4gZ+
dhltOtoaNzK3lYhhmc4dCwhU0nI3+eUc6D5rIdb3d1Ll8gxMJiLZPY4jEi+Ifi4LPK+Dqo6dk8LC
7gDl0/o25hf8JsMz7Y7RuS19h2IIy6h+dA3/nKDJeCToAhzJq7tdbZ4iTfPmbc3sBeVOVm66z6Ji
yIMwyaefukXB5qrPJv8zrrWFB52S/lxVLjyS1VRDL98BnQUypOcTsSgrsdn6E52Sj8p1lcFAnrrx
KXQwJ66drot8TrCySO7cUm+IQsZDeUgxGB2GyrCGi2TDsjdth6dAafkJ01yyH0JWLysaY+iyLXlN
siNvH92xa7dKNvpH3c6PFoaZBbMYdjedEpBiFWmLl6tNmwUsXfTEDzBdOB9UYelynVWj89p0ducH
llOlbHGQ3vAf1M5Mcy6IJJZOZdoGxFAgVQtff7ZFO9xaP0KJLPupvbEo9E81zzDGUMN6FKq2XkmZ
5yde2NZR2RrNKmkT0ZwyXWZfWtSGOKyBPDs7U0J8NFoeWIyOEp+iLHFcduYSsQQzTsAlodxWI2Pg
O9jpEFKgOjc0Q+0saZm/2IpO3bbSvHx6MClpfrZj8uf8dN07ZSJ3oh05SfM5HfFfbF3daSvUT3TG
TQO18U5zO7rjgW35r5X0871A8iYRYem1ubc1sbDMtZDInBMzr3HbbTJ7reCwEyTAf5bfKZKELTsX
Jd8xfeh3TYouAL2wo8+v6aeCGcKnxEt3JUsikNZ3nTEvdGiQRQGEHnVTs6V9YBC3UVw7xcaqiyJe
NHq+cIykgSyDPpbf8a+uj2FMWnXvVIjQXOk79a1kjPgMSieC4+eBbd2X09Ix1eC2pNNAqyl4ivWY
F7YzC01B6cqHiwtKew6oV3CwZtmi+sIfb2eBW/TlEXebWQXWUP9kvyz3Ff61nx0EbWBFI32dlOUS
2Qg4meZNVdYpk0OqR+92GDVnEh/9Kz0+c7GizCW99KJ89gZqPRCyEu7RgElArzcq3aR5n3bgUosv
3TKAYgzkReaiLA9NvTjL+s7p6K3B27SE9ttVCLGedwoKIHkKD3MH4d36Hu1i5pEPWw2ljFAqN+y6
Jo3dZU23inRfCNCuxkKayFk5gpJNo43GfvLEZit67kYn/u4kawlwmrCKNmVXEt1P5oKv3hjl9XoG
d1HzVu6gBnBrcwK89Q4xGS5RmOq68AW1vkCHi5Etwe2vqlqyoYOutJmneMdAus/0bAmipGmxRTCq
yB/NuO2zEYSEuaxOhhwZVFdYhtYJDlO6x+k+s+hoCTj3eZ8AXzeOkWeG+zaS1bnE9vnE8hD3bhvm
a2B/I1ljR8pANXr9GeFZS4I5js2f43J1ZvNOQGV+x6Pw3WMNhSCuR1BDjR6kwWLmXlmTZ2Pjw7q9
C/HX6DT3xBCh4MVO8PMa/U1YnEavi9MUNNho2vd4QrzDDIW12ZgNIet91FZS0HrS0VfY+UX2WUX2
iOOBF8R6sEp2H/h8tB7Lml/tG46LoOUMOIwJUdrST4aXsB1ZCA5AyxHemTJhaJ/Yc+D7rek5nvaa
yr2RZEBBWyrh/+HJy2SB1kxbL7CkLP90BUOCkWS09NJ1o303lkZ0mMAHP3v0mgfeQLqBCdqsMFdl
pQI1MPhnS8dmvEZg8e+ztGhuunCgL4UQy6vVQDvkDycBXr1SVVqINQPa9O55Y/UTvzRPB/6EmsSP
bjIYJkVcfvioBk+2oECvY013n49CPXuml1UbFA0MEmbkTJyztB/TR6v5O7bW1JU3xRBDc9O7L4v8
dbJf+Ngg0Cht41XrVksR3eBBkZrMol+nCvHU0I14L2XO4ltTbvRmgGFmcTCQxZed5BfYUnnS0m+m
iQ/fU91ROEMEKifHSzl5ywjWtxHzQD4bDcOBGYIxRBVc4SdX5yl0GgJX/YRza8Yc4u/iwsqJAg7p
R4oL/SI9PTXX01gXGz4z+rtoPaDfoRUxmNCkCEOcWuULwPL+xMPKOj0ZtKCvTHEUMA5WHvz3VWx3
w4a3KnXpLmRIOjn9kEYfJzUxmcxT9EzTgP8V+RWPdgNk+ROoeXpuKpuVn5tAx1n1qhGfZpeAMtSR
aRItQy2fuDfiE6w22MhPTTiBO6WgfAOMVVKaMxf3peukRtBruHNAwPJiqcr0MDSqCWxekh++1OGT
e539A7by/DnKOperik7bhQ2bflYG/e4Um0e3LhfZmxHm+o0sHPc/lzPk2ldVOOwMgjCAD1yDPAsP
FgFxIiVY+ZOmOdF5Ym/GfKD1Udf2g8dQUBQ3vJRwLCgQmB58V3ikYMj+gfH13dMUYYEJaCeULyo2
4/04M1xQliznRR9X8Re+SobFMvQ2tY3qgLNsjqABFfGJrWB377DZOkh+AU++3csb74v6HJn8M5iM
WPH2GWlCYnGM9/PUP+HUOlIyxI1KyHc35W07+lZ0q8v5Hxj2/5EO5f59o0Du2AQNhc9A9xEf/5a7
9Uw+WBNTzy5rRPpQDajbFsz99VwI95jMEv/+wvL8087lv4ngonb+dY0BLMs0TWrGQbGB2GNl8+c1
hkF31By62bgb4kiemTLae1IsSEA62ZxqbjoQTpNzUMNQf//vf/MSqfpLrJm/mbWJoCrEgmdu/U0d
rWx7cGUO4RSIssmo47JoHUtHOzWTmc0rVsnF178jfDDl2un/WMWxCDN4W/N9+58D8pePgpre5m9a
+x9/7A+t3frN5VbGwstC6/4zWg25fVm5kU+3LTR9zyVS/k+5naSevyj9QHLhCTGo/edGzjB/W/Zn
Nj+RAd03zX8Jio/s/5cvlGfhYiWPz1eKb5THvLR81f+U4bMxpVaanvn7UmbannohEygh/md0FcDj
2KVZNI1PmZcyGvfSDqJ4Hp9zjo4bxvfXiPB9UCW+9+XgWD8akK7eVW89CPILK2KDd3S24QHPw5Q8
VanzOlE4kuMmfLEML6e6UzuAqq+2rEgi3GTqUcNBRjKWn7GxWXwFcI9gDKaeR0Up27qVAo+0mrNi
Ny5OUM1N8CZVKPhP/kTRxRi24WoepurSpBZPPaTskQBSmO4S4Ox7rfAte+8r7KVoKPEbHfHfGWwy
dx21Zk3fYJL+SIz0M4tddIRYXsjyXFPQanhvwJuMCMODl7drZUKpAdfyC3kVTFQUndgYcY6UHbdm
Njr044b5I+cOK5AMOjpVzkxmgna9xB6DuaF6yQL1EQAboz6oZcz7nfy6GWiXq0gfrFhHUG/s1+46
dX0ugzqNYjEWJBQDZr/VgC38MRut5sA9IgzMeEI99ElVDblx5yn9R04VDJ9VWPS7yVjKPZd3L3U/
yQtYdvnQS1o/4DeFdE+TZ6fXzcU/TZ9zLAPem2i9meN784oLJ55mdp28XDPyw9wMin2IuwvZLdXo
CJS17jJhkyxrBif6iQ0CwG4bbavY6c4Ns0jCU7GliWoAX0JCEo/6ydaLk5Fm8Ymqb+Z2A5R8ZuBO
zPOIls4CVFffoXPnRGfS2lFnB5L7ribaCUW9tQNR8pkt+H2zKAwgv24LJKgsnhsiSxtGZ6nDSuJW
tFOZWGTgviSE6sy0h0G3Xy7Heoq7zLfoOw2sSqQZTmPcpaepZgiX6WAzUIzGZqS+lRpALV/7flS8
xLU/3zsh1Fml53jAm5TzVFj3nVUwVnjYXd8nYbEeqd15a5ccBS5ODfgnFDLf9VXnfUWscTZJkT40
sjQ4GoF2lFGeigsr+exKngR4Qdu0AE0x/c+E25k3T/GoEaCCZ7/DVm799MJe2wkkqvsQ8Dtu6Sj6
Ccw6R2DHbP5jYkJggqLIGva9/sCyXRKNEp8WBRV7fYRhqkq7hnmTN/eSr9MqsY2dzCEjCUJd+gBO
ye20/uRFtbd2xqbeDDHjDIFKJEGP6Xk6V639xnQxbvjkXiV5cYI7IBzKyGe+J63DSgUWhE8xJ0vB
fWNxv2L+3QHv+op0MWydWvtJjIbmcUyIuypuj1RirWNBi6IhTioPX8OIkgvA9GVP26/AFlj6V71n
nzx11E2Mc0fmkMVjVpvfpRX5l4wF/Fpgq9t6o+btS9F+2J5SR8qX+0A5Wfw1UTtLWs1TD3lpTCBp
bZp7K5CKeZ55u75XP3kV20Fhm1+9Jf0tw75D5jfy8GwkyclKtfc5zqMd1xlxZUy/sLGciC+AjCgK
bVqbLkBwqP5hUHfMbz2kU9BuHf79XlL0aBwzOio2LXk7nrttWan2MrPxXTMnTTvXqrj7jgY+lXC8
sApPDoCeizNdOw6bK4zASPbiIbOhB7HN2lColtBHtUSJBh0mV0gG50h+nMZgQyMWoEKJnL1I11nP
BT5b5GxrEbZznHwrMzcWsRvZO10E8HqgTSqQiyw+/q6QO+NkvLq/6+b9IqET6G5f6tZCkMA3lP5i
R4Gb+XfdnYxi/DyIBt6AAWeFekYScJjB2yCCAbfpwfWsRha5LFeaej12bHukdO1Vn5hh4PtnMNOY
mIYhO4jce+wH/60uMrWvsJZoSRyei674jGb/Vml3Yzw4e8PfVUYfBc3ksMxVutU+dHl4qMfoF+/Z
dQlRw+/1e6NNtDVAgwdd51gpsbTknKXbzDbG9aBXn+b8kMNJUB5/RojqLdcMdum6fqgcXg5DQ98L
f6J8riBRERsJoSJUWrhyNHUPmY9OMK8/9Ljk99KeJQul+IlyXgqlNB72LCMTMkgz2tf0oeKc4sH0
Jw1ERk5V8QRpdBM3oMdJfO/GArT2bBI8z93oOFGasatL+i4tNg5B6pvlOhRFefEIpL0lvbjTWnte
MwX3O3+oihsRvG1m4cIXpssGrfA5S9vevpez/ehOQ3yEBAnHIvQOVUS/LnfI61jyMdvuTdVzhw9j
SPeaQ/6kJbkNO44GLmdWewVxfWTN5EmsTyiNX+TtaZzOxM02rB8ma8SgZ+O7tZT3pM29+B5a940z
xbuROPv178Hz/zN4Gox+/6sGfN8V6cfnn4fOP/7IPyZO1/mNGxEzp4FjUzi/I3v/gPkyO6In+vC6
EDEdfWl7+mPiNNGA6THlIujZwnYMZtF/+jv935hPhc4f5PuF3c/4VyRgpOa/DJxLLQQDr2EaPsI1
/1l/GzijiELdpDCKXdf1at+IrGPIxvi3bKXuTamp01Dr01qS0zoVPZEurqDRoRm99EQ5EshHlI0X
r5jsL7/RMYJZrrZ1Eb1R6dLxpGUFz5VFeTwKSEiMDzE2GucP7Br3ZZqsTV52K2fMTzADyYv7HvXu
WEQQ6RLELE479pIvRml9hVYHYs3Oj5mq6h19ngIdQM/GbV11bjAZAO6T1BXP0k6g5dRZLI/IF8UF
R8p8x90z/0mRNql/z3E+p4QlC3/fcAeHRtsalsYQXDlW9GLovR00Ws9+lPYcovBh9oOmeBp6Zv7W
kPhqzgpNVl+9bpKRrMvo1cqxRmnF8rJwKKGoi/yBngJipBOnaSqmnCWEN951mudR12CTt1MKeWeB
W3b3sRzHvZY5xamMhu5x4lSgyacAWRQDK32emDVJNZO+Ss3oqmKLUyXsyx11CfeIZv0zpN/ou5ZJ
85Y4g/WQI2lj0MOymXi1GYwNfe/5Yv/CGWiAEJxesAzV9zEx55uJPRZLF5V+bR4mgPa84mVAzEfm
0skEqgjJNWJEpvHoYyA/cI1jj2V+nQhBKGhw+5vlp/mVMu7vkH76AEs877HOqd8c8i/INVP105np
MUgnb167/vgaG9U+i+1jR/XGJqmEeOg5pTaJl2b3gK78N8sZq7OglfpkEnmBfz5LjEQ6dcsZdi6I
erF9nQpTuwIyYNWFScL+WdldvSMaQmhnZOORxZA+ct0K4YPS3O6yVw9a4WHSKTTjUk/ud9ichPFm
pvzNOl1nNwSX8ihtpTCUFhyIRtpVmzmaoigg8lMsVs0cv6FTZlc/ntXO1+bp2ZiluAMa2XC6loQh
1Txd5YRvLNJ7nQQM9KeIdX5guj09poJfEBsww7/kA5nuVczQsdfjkMbToie0pDm/gIqCeWV63tRG
7W+dFskXr+J4aFlHXB3ffSa2W6+5vrTbJMGrp6bGffLZH2PdyElLYBRcOSoxE1y7HJAh5V+btGE5
XTPWbOdC04Jx6iA6TCAenK7UN9acsEUnKn7JnXLaGzW1gDLV80MOcpg44S7HFYUgO1eX0AuttZ16
gd06K3caq90c9fQH1qy+w2BCAwkGo/y0Y0ZXUCMnNsTEPTs9e0BzShBuFB3FLNkZralMFIsUCBnz
BPDVe88oNujZ5hf9g0jq4dEpqnfLyT+LOdrYszrTA/Yzpdj3foZnuq+0xtoiZoe8fJafmDeeGQxi
oLFsfhyU9eiJBG1GNu26Jnl9i3wa08wBTBmyXs2NMv8y7fLaJMzMrPTxzXaO9lgyH77G5YDXgLa1
XZM5OkodWlg5FeKE1aE9ktWyNhgY3e/Wy8KtUwKIRoLhYaJBeBOy5bxh8edTHYkjWpM/Uj/c1wBs
SrKos1yq2ycW/oh+42uUMwgwaMcbrthqS+ytPI7wdwI369Wupxj6QHXBSKOCgoimaCXfgdGe771o
trfsp+FHmYTapnAa11HDb3vK7DiwZ4KdQluwrn5N+CSESVVNnbUzOnBGK7Dyn1Uqlp66rJxgkpDZ
zPWWzGlWhq8slOegL7Pq3PpDf9TrsTgWcvD2wFSKz8EuWuJz1Hd6fqY/8pCTVMHUE4LCqh1iOsZg
PjtJ6RpBC3hjkxVjx62Zlq8rwSTP28SJZ27THjEJ42j0Nfr5sznU9abCxajRdYV7Te1RQd01B4aN
F1F76NRwnUhZUkARxH1SLFIbwGzKGNK3JkKcyqVH28REKURZpt46bKQPlYOUBcJFjK3Y73j+Wxby
CqjDri1s/V7BL890xNSYuy1Ba0zXvnvuUrsLGB0XG6p1SmfahLFs3Yq5H092ydlNaMZqb7HmJIvu
/ZWx594PZSTWAGwvcZE8pJQbQqiDkjMv4T7s+da2LYd5R/FNtTNt3uC4f2f2IaS2unzuqcNtH+Le
fU4JtIFY4AcEeOWntwr0MFjUMAfc2Ts41tEOw0CHNa9k2OxaXS2unnD6AdvEftQd2Z/46YH0eijn
0XuLUXWUyRO70quRRxuQZgPidsRVs9V0YEihRp5dxecGzO4Rx6F1oNehxoFiWq927pvvykyHdVJ7
2YFTYg/ItrpFNPDsphrvaSD6HmpxHhfVG6iT6FSz/rlz86k6lRo3f5wx2opv7nIMUkwis7zAlouk
5s7Kf1ROghdo7DaO3r11Rn8N0/zUDaB4RR5dyiY2OGZlQVYeYya1AUkJjCTlpUrDHLAEbsqDqc5Y
jpYLGlfbGGiqlZq7UqY74pFoI3VKMl6jiGkt5vbQAJMaR686G8iBuILSb6Em394SkuZTlMpobmY0
1OcKOMVoDr8SdwoJV+M1HkLbONlt4xW7fkhah6jm0H7MHEPfKXQLYpm6vBdgivrV5JB3W7sApJ7y
glQ5pDhTg/udUQ80yKR+mHqQsFOFDw6uYLy2Ae/aREYm/YVXT7quq3DcqbqgL8qYhp1uoEbNS563
G5o0mETs3DS6G+ELTHNOxyFpu7UZq6cK/WxUtYcX1aY6nqqRF0A8M9kcRpRIr75lNY5PVQ4KACEJ
eLQlOb1NXN0POP5eRrrLy4K+wqKIrwgYW3zB+GTN7k20zXMz57ANisx8ELZfbgu/mLYce/6lCHMC
ZrgJ3LfUVuA7GCsiO/uZxtbOLKP9rJJTm7h7YPMdNgAy1uvZykGQL7jfTUQAXCIOl6ldboVe7wl/
3kN+ecz0+CcHGj7x/ksB1iMUaF+J8NRbljp+AGWf7+40C85dprAwhgjlsItz5ulSKWvp2s0t8h5W
fQ3teCvRqmOINq5a+7HVXSPdYndW1YSDNBTIdWrr5hOvX+88/d5s0i4lJ4zwBbxupk4rvupllpy0
UWlrKmvMPYFG/YEpbrrBSpy3Vo+zWnhLn276RWCF82a0OkI2ehvUsrs4qaJBIAYBpGybFDV5k7VO
l+IxNJKFYCXGvUn3VVA22keKaryfainPSEYc0exnN3iSuKYrZ1yXc2yf1RCKe8bv+ojFydhTNkVq
MkxPuTbW77RKuS99yPvP6HGgrbJJA1iEy/KxQZG480MB1iwtPzxZ8P/rN9Vm4PSBP+Ic8IZNgarb
txrPIjAie50Y0MCnvN45bZbSzyy0VzvJvbciH7RNAqnpubCade4sLk97wqEm+ei+2fzi/mE39DDg
ewvoUCBB4OMCODp1JvdtjU+s6509QCyHDzWPzmGkVfeuxyEF1mhttkX3yuqpPtvkO97LpMTCZteL
xYH1FC8ehEMcf2orwrrhu8PaNZ7yMBgiX9tiqIJfbFv2ruq78LmY4voBooq3rmOwQmZTmVcniSoy
GnJ4LA1ZvDZRowIT4hfxCXt6JOCrswRp5RewS3dXJ07xy0ft241DZQVezQSNNcg6oyWwYGA5nX/Q
7xSf7X5O7ZXApHYq9Sm5RRFTHgJ8nbwoQCS8aiv8ol0YXYXU9V1k5vpVuHjouz6C0RordQhZqu51
t4h+FNYs4C64xnrQhvzLqjv/qnmVTRREEBZtWWE7ZqfewX1EjxmejBubFOM4eN4CohJJz0ePTszi
OtnwxKSBUsvhWsQPKrW2c2PHDGxKvXRkoNDbx+HqmthenKEurpZq1YmljLuBx/49FNgel1YlZ1vI
idFtNMNtNjveuxgbPFNFbj4Os6M2YyvqU6RSh/nTYafe2vYPrqz1ZmZv/F21YP5opMKDN9E94URJ
cqXELNnbFsCi1irqY0lhDaeG5W/HokbcNZL7TBvIIEVM5h6kF/x4AnXV8NOrMTd3uR4bCwtEASRq
SQjN8JRWFV0yrSvMsz002S/+ofUm9Cv3RN+d1axkS201kfVfdjj/bEHkrzwdJ1lFmSZ2Q+LX/C1Q
G3qqmYCJhKcQWmifZUyOwr8YtJuuaVNga5nZySvwh2k9zPK99HoqxqLUvVQLItae022BCSwoDTWc
lks+kPTiux6qne3l/qkkIURnCvTVipX2SxwbGn2AUPvWMc8cMAH8IkSii3XXNQLIYJkRUzeK54gB
npWy3r9Eug3WptZvKQ3zFHJt4azvRFZnxzDvH9LBWbvRwMtlYiTX9S0gtuk6hXO9RS1i5zSNd6ml
Pvl6Uk2CDHHtwCVgfmzUum5RNAafXVczCxM3ir4E+U2+qDLM2X6nBOJlzLZVv0a8Pzd060CArL1k
i1mcvHmlQem1qJQimoy/zEqah76SyRrfdL3vlT9vNDvN95wU6VH02B3qPvfuOjKdO4V9lBVvdOld
k5JUptHomIwdWAmJSXIdZ6CTCRWGCv3IN14Ng+Fp8SrWkoSOLGUUlBXZRQbffVyeM48UWBf1wxll
i2ZZTxv7m7LT4j0PDR4ek0K9n01YzNoqjF00Ij2uRz3Q+/Qhb4T2OFp23uaHxuohK5H4QtLiF38t
86y4pm0qfnACNqS0wRnMMSjhIs1qbzUnYsR9qvlvnTmHL4borE3dc29ZtcnE/TQvxulQNJnYOazg
dxCWHMzcAIan1ukO9lTaj+ZoWbuuN5qfTgNcHgtal7yXWNcw+FDtoaqKh7Hn5clH45/CWpQHojze
3jcgyfaOlQVJqSDOG431xl16QE9K8ltbD9Y1cw3i6iwtoTsRGjP5nT6wyuZ/BvjNS2QM35VMDVoB
5+QY66w06VxMjt0YYg80zZ69gb34JTGa3HHakpGyqAVh+shJmWtnLaVrM4MvtXUZLFa+qEmgAGqB
VsKSmjE95bGl88C9uXLUiA8YAIIgiVz0XN9gNMZ9j1YZVH2U7CGqZUe/MZsAoeKJttyPphou85Ro
q/Q/qDuTHbmRNFu/SuPumTAaSSO5uHfhs3uMikkKbYiIkMR5MJLG6envR1UWkJmVldXVQDfQi1oU
UqGQu9PJ385/znfG9Fueu9nZ1+1NObS45nCnkCmdPnccfiBzbEhQzzcmnL9StWld0ixJPv236J7/
m4rl/7ZK/8vY+u1bTLf8ak74/lMkPX/7v//n1xU8P/frLt37RUoc8KuICMEWmfLvQFwS7Y5DX3gI
LB0ziHAInvx9l44cKj0OUCG+eTRRF9Hz79Km9wuuMVaZCqmU1Lv0/x1pk6jM76TNdZeOqOn4/H0B
eXgeA7/fpec5k5TD8fkcxHFx27htTWiqG7pbvOzccCMx7RqbZoWZr+7OHvMFKAwoT2+y4j3hz2c1
dNahcGa9o6SsSzd9Z9c7L07FQdFBsmVlx4mLk/m0SevYu6e/Pbvq2UeCZnfJ97GibBT1I6hjxc0c
FwDWNNbVaCKDgHR1wleKz9DuWHHO3lPbUhphsFXfsQYIst04m+ipGUFJH0NvJqPW+YvGVFXxF5Nb
SMIGJ1IzH6sliRDeUgqbjqJcO6yHyK1fLU766U6vW1hvsatnzKLBayfjS1cQ97Fk8GB860gtO2Qh
RwEh4aCse5riU1GoY1qy8nJi9zSve19jnIdm6q+TpoVB6gccMrhF0m9ysQr8YUsFvguAVr5xLLNs
aeaGmpGUVxxdh6uora/9FLYkUEJWz118gPImt5mhxAOPKQHRdVOdDN54qQYav6w4s9bwo3dLtzwm
r9AuDioV4SvwU32V/Vx5T0E936ZpW94mPH2u08J4tFhrFkXldd3kakdC1zpqIvRv3Nn9m4zFHYel
4Jh5iocQLMhtCUc4t7LH2C1pBKFZadoY/IA8UJLtmLvDp6H1KIgHyrQbG1M8BhqxgIakzyZPLpPN
f4Ok05ykUyOIu+V7P0SfDNUCigGJspXoR+mg9MZQ6Igq40vMEr9+9VO7OA55yN5XUqq5ZNQa1WVK
rEoNyJvBEm7rEGERMwRpZDmwfYuoLCindD8u7WG08pO7wJnC4HQGbbXDMMAhF1EPBx0/n/f3Gb3t
eeq9j+Nzj/50tJIoWyBgEcKBqCY2GvJLhJ50V6dlfajXpCTzGvHiob8PEml2Yd8419kMWjR1iIBX
/TGJPHtnDbFgntSC8R7vbSPn5RbPCCvmm0Sbi2PlLgjMsRQYjasfPKKWXaiyA2edHYgeMg3ZU77S
XowJIcM3DdotE5C1sPSazSdLesOe+XR6NuninSWx+Bpv+H5eJyySLvGprOPksSrbB3zfoNexOsSk
LA8T8e9tP/L1CjE3RPbw9ecaEC5Ys51pWz4GPeoJCSf+0hVNSVT2Ad0b8ifkDLPLymR+FAU+BDR5
oC29lcV3k7qJxvlFB4geS6aq+5Ed4bYfoFsyMgfdyPuAaknVTlwg+mbwpnozAYMf22trEQ/kap7G
eGyv+NQyAZKrxjKZV48C8zD3kRDPud+AiaAVbN9DUWVrseHyb28RCq5zbyTAOsw3tZ7PUyee4VOA
YUMt2pVSPsRtdtbCAtTYiGdJ9GwLWR8YKJae7lAlFatr4m1HHVGj5dlvLiX1K6Zu2Sb+dZncNXlx
oYoPgddmgqDTs++1eh1awZ9PYaK5BtkrVNUhLgzP8zQloAghY2YHLCKWGKTQQ4+vOjap7oASyMZY
en42Hvw0mlYpA7IimWWnBfTpJpTFVhyyqYTWnIIXP+zAFlEeHJ7sMYyyNTIUN59pJSGUhzm96bdZ
5eT9qY7xjlzLQsREubqUOd4QuzZ7ypJm+oR1CoFf0EcN2zRJ5hitZdLxvlyYxDcT0WyxbdGPc25p
WX0kY+vccdqWN0E8eZSg+fahCJ1ujyHJfug4MUDNW3B7HjFGQS6zcFbQrZ2Bf0YMjd6xQ5M2CsIC
9jFY78RCvisM2FZ6kcjlDIP4shQFsaGFbj6eE3OWhexdMHBct04vH/Je875U+hNQoWVLPeaIHZy6
KqTnU4cse8j8/rkfrtXC0SmOxA0ex+bGpVsL446Ftk474oYIIxqgj9XajuaVCBpjlq8b5BwXPDFT
7NeGFqrDnI0fdkVBUcCcFISzJFSux9u6536ruvY99d9BaISXGfGdZ8csdwNi77VTa3cD+fnoJ/Un
cqcPWe2HO9BdEDlG2BSlr7Zx2QqSIi6NwWpSp6KOSsy/1EIHiOe5yWkD4xBmcUVCH2s+oJNb62cU
A4ZuHGy+4z0X2fNiN+kPzx2TM8WFAyezernKcrS+aaz7F7rF5l1m6/lHWNu4eE0M/A/j+08Pzk8/
zn/LXPdPi2d/2zv7//4XTX/ICO5f7rMf3rK3rk/eqt/Ofr/+1K8r7QAyEVZJ92cEee2T/RVZpMJf
3IA9h/LoH1B/c1f+faMtfrHtFWT0J3Of8wsRaQLPnuMIGEPev9VPy7T4u7nPx6Npr7bcAEMuhlGi
17+f++AYTxaZxu4gSlUWRyuauuhGFh53vC6s1RkaKB5Cxq9OHcMsw/ShFaWGO2g45W3Xhly3Jc6S
KznkzmHkQX6tdEhlCDp3y5eedgG+yuxEcIaYUprrsKTC0M8c2rC1P/ZH6MrsYYcBujX5H2vcmtSN
bkyLnYUYSKXOTI8N0A9Tls1RMea8UpY2jUiDE+RJOnnQ//K65CEsqii+noJBvTtamz2QQ4gFQxgA
drCXGw2jdQ+aMQcfl9f7Rpv8YZCN/hiksODGTkX5zONNvZd5X32RpI5aNuWGWQGoQZIcYreL2WT7
WMewUeoN1Y48TZrRx4flD+X0iBHHHJnbWnktCJy+QpAAjQFA+hV77UTpGlDDW/x6rdiVlZ0B7656
IJ25lPQgFL3lLDtFTriAgAPfejO0NhiFuHKaO47dmuOkTSNtU9tO/CZgZJC1qGcr34+5XqHqLrw8
5drea0BpTYWZPbFJtISc8rrOKRhAy8EseE5BYFwFw9zhMSRhRA0vdQ/AW1AVjelZOcm+73gBnFaZ
O6a2PGgS3O9Ob4ilZW5zz3bW/ZbY9vQcGk+QUEE9qaAB6erSALGmoaihxzwqxual7ComOKq+FQEp
g0WwmjXJC7EY7yUxMeYs3eTACJeQUh+9uPWDreJMQ5Lqppdh7Iv7qtHJp9wmX3OI5j48JWnfUasz
xV8ynGXEVaXHehdipqGhPiDC+dnQI9BelD3a1paUBQwsIjSzPFnukL153cBjIYSh4lzZJErIzeDC
4DOzBwBF4MPA3K79fxFuKaBa2JnAPiEZROBAfNbXIULFi1FkGbemGKfXTPXBNY1E8K3IyEdmPxAs
aLhgeWgghKmRFWObVs5xLNcqwWhk47LvdUkDkait4ehmVPShxst1fxc85xmnmzBH6uL035U0xg7l
ck/xl1M8TDFNvRCMnVOqlXNvgyq8mgaAUseiqxiwbUbJV8DlYK18K7JQg1r1AUDT3+FmDqwD29f+
kkazgn49OSkGkwpWYVWr1zDO8EfiFgR+WRva/3aIw9CcnEZymNASXJQz9bCk2sQcRC1Mvx0Xy0HD
G/v4Abo8DHWdZOEXAX/3cwYW910NgUsL+0BhhbD4y7NxBqtbB5/NAH11WzvoyXNvu2++RxHAXezG
tWJDOXLoC6fC3OkKGzTJbONe2sFtEUgKVPsDArX54tVJ955kMRuFAoW4OLbcB7KDzBfjnPJZzt4m
VoLfHBGDNpBlUTevdBPTd1mnPhCExAkxV04qbECQeIZRPc2dDl9bio4yL5Nr72QjW5ApAaER+iYD
vuaoXDOGRBHmkMq5YN9q10qBn2Ovw9yXFN/Y+NmHLIyd64pvOBsUEIcfrVL1re833nES4L6SEGYq
nhTH/WiBrd7R9qXcKyDOaQuiph6+Wgt9TFmFFdcWdXgdENF75ooCEFqCeImqdqkPPEzm19zMxa2O
AwF0SzBoYOGJ5dGz+wrgkj98ZC2xZcxvejuj/u+rZCLDYjLbIF739qCu40Itj9xsvPIJWEL0FmRW
cAtdvOIXoB5dGDbzLym1MrApepz3G1GU1mcOieY2H0KBAwN3B0g6uqOx1urC3/D9pppR1t8wo4dr
XVMq4d/a3B1f3MnKOBeL0rEO2KboVHSrlq8ZFTSi2/YVyeCb1p/7kx/V3lNAx6iNwAC1vETe3rmc
Nqp9l9WYrr30a9zb5ckpUuRt2Zi3YjLNoxkHujw7Al+wLK1Hl9tZSf5JE+xFpyBFDk9e7s28DG+E
Tx11SienuscPAnlhIPCD36X3zn6hly994eNosaHG7+3GqatTG/Vu+ijckv7fgfPkC7umRWxMEhQH
gAfOOZ8kdnWQu6iPchT2N7bY/h0hZOcrTLvyXs6rw5Y68ZcinoL0vkywEPGPR9HbON5Yfc2oQj0R
Fp+crRkb6gzIAW+p0qmDPT0jeCMwEI/+U2yZ4cfkpxK6QllqmPyuT4Vs17UJI3hstgT96n6bTpGH
Q6T2yz20d+J73jCT6PeW6N60Ay5Ojh/xsAt6n7uWa9nwO5RyeXDnEcBwJHFZhsXWDaPxMeegfyUt
KU+xGZKnulxLRGyIUw0QjUuU9+YVvtoYbeKythLC65A4N+v30MJ271dsfVrnjkPTgyn8aQdk73Md
k16PYubdJCP7VVNdf5VCPaZArHO/TUkmznESBphyiZr2Q0Nz+Zx+zdHcNpH2v9N7/d7HLjZyQFi7
PopLrAgYFrINMQ/3c58jt+/rhjsxPvguJNBdu6NzhtrIpp+FZ9acRzdis0v4una3jqXoluVgyikg
Jo+8HCbC8xMnxOBbXWvECmn39kvSBNayaUSfeqcxL4Lpluxn9S2CXEKslCJTiF4FwQqE/JqelwwD
USjWfHxm7eWgU64VjAdk14IdLVnsWQua4s91j9k/yTL/IfdQbbwhgiUPB/aD1Kr8EaRR/1oETreb
lrl7t7SDKX1RLi5fQcB943qRuvXx1WwgV1WgiCkmAt3XwmWko622rGc3SQt6tMchrbcB+eBqJ3U6
LLd6JZLsSy4Y6tobIqUcpHrHBiAXT+cmtZxbba/x5mJyUMMoa3WIVbJhOIeL031H2cFGpAqIkm7Q
UBxb0lay5Y6ACuFMIrhbfpacLlUb3oxLE16Ln0Wo8PKS97LpaEdtWwukLBnx90b2CExU3cxfhVw7
VWcQCADEAA1wtyAQ7h+R0ulh7QWZ3HNM2A8b+1rXmvMu39htIJ2NyR1/BWCrS16CDSGZyHKjVrJ7
YYiC28LxW350em6/mLpPLkXpBcmukgFgXx5K023chpjlCtyYFoHmtX+2c+zszvxspUV37XeNspJl
Z+d9q64R4EuQyXZAHJ+b3WEc2/Xpx3qm4LH6s85xLcn1Cr6m2wkrK1ByEONjuNQvDlFW+HVBWp8D
y8cSMGqTnQDM6k9098U0egCCmffmZ28v7qA5vWvtKL6Zsq7FzYmC9oY5RH+STakeoq71IQhJ1eN/
GRaMHPDhuE4Gjyxn7hRGoB5mu3ZtGR5+Fg5bDKafvJgqYhPx9myjnw3F3Ma9l3xkKuaWkcwNfsYq
B8uYuLQcx15Wf5dtKVNO5msjckxPF+3IP5uSo7U0mUEhepiHCYILbfSd2NTkLBa+NiEmmpxWebq0
dcZijRs0Bc3R2tWc/6xtphqrvzP1HF1VZqC0yi7a77Rh2w9jPiTdzl4LoAlrgXHUInyRaz20HMLw
u3EGdB4rGK8Cz7NeZxHB7Y3Whumxzswr91/GBVf30kXd6bIjkXIS9GhtwVlU8fy5TmfM/GbtscZ8
3PQ7Fyd6yU1AZPmRwz8uLYqPSCTFhCIKJmWB60fgugo2HZne9oTbhIbtn2Xb9ZA457STqjhowdqT
hRRPt42bJHo+Rlik0svSU+btGXfWZ+Ould9phqqwI1MV/hhwlHx0LWvptSalkvuOs9SLm82g9yBB
oIscBSgVCz5jm7gXmE8AbBwra7KDt4zj4NDUVofWW912/mnOZLF23CwFeKOkot0FqXnguLPDYl0H
XzCJ2MGDBwUSUyZXGh1VOcosZVSRefMq1Ko5RoMce9qm+6nw97F0awunv6vODt8nLswFosQ1VPoG
loTjDs4tLCIGVqf2SfEG3hN9Unq55NFMFVTITHBfGHupIMsuYSyvqRuxomOCp7PYU/9h9hJYr3K2
TjkMnFQK2FeYoKpEa32TLDXjUVOntGJJuynd2z5zquji2d2Q3AWjb+AMpVE0nlg09LT2edUnMEHa
AkjFTAKuW0gaB/TsOYduIjh1xlCWZl/wNrTlCTYRJs8mD+bua7lAzg9ptFCr+8+LvgLAryJWzjEQ
zRgcQhTzuY8Qhghad4yZUOTSrS3nFGdRPEvx1WHv0W/bvoXtSeJC7qLUm8NrHt96POWBbS4ua4F2
L72OFhch6fWEaIBzluLtx6Tqy/I8pyoThwT7RUCyyMTZTY1U5W9xPNT9vs+RK+mWGaxdH4/qCPo3
jOjHwhF9aOBUURBSRX50qbSZtdxQdyYwideIenvLUkX3OuWM242e5vKmoFvRh5YF8AoSAfHr5kKp
+RyeIloNSEB7pZ+88JBS3dmd+ooxR4zjNa4emGwonN1QPieKYp93op9D/Sk2/byrVLN27ugI0ono
1ACMNgxfM4a7tSEdD+iu4+XQpNKm83KyY3w5V4mFP2QfRJ4P6BAv3MGXraaDKmitK9APr2GGTQb9
vYnvk7zhmQg+8KvlTNgFYPjcZxSOZNQomF2b5tTMI/ETHF+cITvmk2rAR0RGX0nYHoCPgQX9wG5t
SbioGScjJAaAaH2RzB9z3DoOQWdUWGb7gRYIPZhHY2v0NBWjJUoPR/rgaMvdjG7xYOKOe1MVdvlV
PPGNZWqJ8BlHASj/LQLe8N75AUoneQTyRLVqCSDOHIWLU9q1iHTdMMcvXcyqiDD96ogp4IDczcop
5A3xgCHe8dMCk0U1CGun0VVp/FsTY1tW/iuHiPYDza0fxrKW3TNtGZyYYEdC1LZUdbaAr28LBQQX
zbxb2ysXMmhF7FErtJSec+dR9PyAU9AlUZqV5wxf3fLu2LwdalQtSfmpf+KdD09uGAt+viYcxjKl
Ozeimt7iTsQv85z2n2cAc9nRzmx5GRzbp6ErnMk2BKTl43wAzJvD3hBbv7ZFyZbQayhO0ZlV3IbG
YNVeHLweJNWSiQacPLwKsKbR2pXjG6RlMho17o8+3HVtpPSu91JQJnRviWE3miDijq1Dtf+fVTdX
NOQHZRnQ8ZKeou9fUZErAPF3/2f/czv8yXxv54fvnSn6v3eEr3/yP/sf/3MN6Y6ybZTGfx7//vy9
6/9j853a4+K30uWvP/frzlr8IhAmBStrf41/r13of0vjBFShy5CMDp3nyJDeb9I40v9FOsIHfu57
ofR95zc7a5s4Dvv0wBc+YR7f/bfiOP+IE4ASSXrI8SThH6X+EMbx1yRKwTqbvimT8wjO8AbDP9tR
gQ18tprPv3l77v/GKfiPypT3dVr1HQv8dQP+e3xB4KLKuuTM17TEH/EFzDERNqwQKAM3HeqE8uy7
67iMbzakDXz5466MCIQTrAsFEJF5AElFCsO8LG1UcFKQlBpQAT3s/sW/6x+4lKAyZSACGNNSYiBY
Fd7fpODDjr1PNpfBcZTF157FMKdnYj3+4p3wKF5Cpk9svw4aWlpMu2S+8Voj/kWDPJ/pP7w3ju1J
pl5lO3LN/P/235AHWrHVMsGxSSeUrryLLoQL6qe/fql/8olTUMRDHBANy7+1S+C3v8XnTc6SJQuw
z3onLx8/B64P/IuMEZtx2kH++rf9yWvCv8WrcX3CXlxIv/9tIP5sQbVseAxZsR/oz4buZHjC//Vv
4Uv5x3eOMwjui1AJrmH5B/1dRrTOkGb3jzBDeRk5azuyMg+IwB9//Yv+5M1j16hsNhFUIJCF+/3L
8SwaNX9evhGhpU1pZT/GdKH0AimEgM/tf+GXKcdBAUHFAfjw+182GbemD8v1j6AEBY57FpDJIClp
WlTBWlyd/vrXyfWz+MN3M5TAWR1cNIr71B8+q9QO3AVCHp5Uy8039HOF16MfiYcCT/iZZ+i64dTq
AO9dnpY6Wx3VZfSuCox8YzXphywPWlL55bBzcsUpkD0slhEnKHYsSZd7tCZKaYKkChnksyplbC2D
fsNug9g4yEkImP1i77AWAEAQmfrUQkb7m7Xqn8Ji7D/5nq8ITcKHgnvxP1yPqxVkxEnsH+MqkefM
s4IzC22es4P3bFFr0mQR/cNt/MN3kmbvylyyW3eDf/FW/9n1SjW3ZLnpC8/5YwSyzeDXeVERHovC
uOfJTW8rXEob+K9q+9cf6j/+JrA4PD8kbCh6Nf74mSZNAr0+C1mvEEfaTgaOBsm2r10i5P6vf5Ot
II/88QKibFTYPz1WSAY///tvbqK6tB3Llx3aZDjIfT7QTdhyx7+XQk0PyuJCkLp/ivOJlgjG3nzX
B4KTJwGscU0njpA5muI4E1I1wGI99WjSwXvzBh2cRgUAd+swnz9Sj+leE3aur/KkTMEUIc+iqWFM
PxRBiKmI4XMrSt+cBcuGE9xXdQjbaj5auqNsuNVy74Dut/mDAkOBR51vdBx7iYBV2mzNksy7w8ww
YWpOOkWGYGJv7QfpHaVK2duKiTi7Q8havQiXE/EOAiiD9s85ZqYvKRHQOxxUKcEEJGiLisjVBK8u
gZDRjY2jN8x7Z19ETbnGXWArcD7ZcAxpnlzZNqzMquYtiEVAVYRmOE5mDce1Hrs9JD0gdWHFHCz6
7NESjb4LRBnAIPebcZe3E8Ug0+ho6vmG6KalfQKxnMKfARjuhxo7TGCRcPCRZJ+p1wwZei3Ip1mP
UxMr5K1fJjsa6E4OEuipGmi/4g4QyweWIsSTnEQFV8KlPwOviNjEKJJkSNr8yMsBQjdgw4xow9t1
C6LtZajTSUA0obsrNCEfJknN0oBdjkjOGgCCx0KPw3dGJt6T0amuE/I95GWMfav7KOItc6Q569rt
CDpWwwsZ4kwjAzWdousFLYOxDQqMV4X9cwC67GyMQKbWAKVb5bnXelDlvtYi6jZpHKxchoVH/waD
M6pxRuqLwnJAYyfE+vZQ0Z14J7uBt2+wOu+NbceIlkGtH0YHG49K43mvSSMpQ8P89+okmnxoIPLk
bog1wYNgyPk9gRFdsOXmQdlT686tAt4+hi9j54HbcnCSbAYhsg/tZbwGP/K44sMh6x4LEorgTJKx
oTmrjS4lCeTCdv0fS+zMqJEmJdEiOENjLZIN1irKbeZrmZfUYqle1bu0GGe+QrHYJNFEzHFhwMGi
Kst35XhDiCTFeS10W31uQ45STpyb04AR8UYtVpxuMhAax7q21rJxat12QRXd5maKT56DNLOZKpt/
bzK2DiHSoCd5Rx9gAiXUSpdrWMbsImx9oUx6PflU5aNTjaCj0/kwwRZ7kiKc9mnaQBDl33YarTo+
hJodJCizks93QjRSE9dHQWMiHTaFAQJLzO1lcAL/Chvk99rGYJ+aNmU+1fprGIXKZkB19Nmy2xYq
AwS2XOJB3tiLNx4tsnM7TYUDR9Egv4HnH5I+o0snoVaA10qcz+nS8g1TfgbXxx5PgdNG33Jn8SIO
geOIjCgoTuMjfozwidPmaxX7cR6SozXxFGYUbT/IhPefZAjwlhLQ8th29DJoGduHQKDa4/M7gO+c
b6bFdq8wg2f7aV2ZteDrNkNzicmcXHU1NqFtiQL1vevigN1D9BzPg3ulWzu+s1jBXbVtH76l1NET
QfL6fRED0N20EV64lY17ksKrccr0HGNBdGwgzmFnz4mDq4bhuKQt+ipuhi+UMXeXoBb5lqceGp4x
hm3MUt30eNTMtnHHZQcl1mXf17K49q0i21KCXO+mksHb8ZbbztE0o2T+8ii1392gcqbvU8odVwDO
oOmDpKPW+XTfDfXIadiKvjQx/nqDYvWstLvsp3YGyDH7y00cZl8MLZXHuoP5g+KCQqjuo6J8EOzK
z1TJq/NoHKRtYMkxLvRjYVi71o4av1djBQ8THQOTemAs+wt91c6NW3Q3Y4SeEICX3U6jmLfSne1r
RCd4hiqgZ7Mt/HznFfV4qF2A8Z1N+jGzwQ0sbTugATdVemghEpPdWCSLQ+vHRIa5HH3viSFpORpy
PRuv5qusbJqJbeXtx7G2b3AqErtvr2HZzBvftpot6N+WrFj1Ztc1pem8cqdlqR3HWE7dHnWQtUWS
Lu6e8CoipBlZE9Cv8VAJ4kx+FM9XWeDeuDUgw3DdlrBkm1DHjf4ahcTdfXZgWzVDIfJ0cMjGCtKq
mkb1hU5f0PFFPB98aLEYsUSM3cqt0Ghg1lfNM3PZ9ElWqXOiOjk6QuBGXuFmc5uWmA9sHFqPCa/3
lf6hod3lU9HybqiSOFi3aCgidmHIyfo07og9MY582CtSxiHWlsW/L/Dq05DMzevzkLTdO7sumie0
H7bmHGfzFJB+pBen75Yfs0whBgOH36A+vrHoqs/8dcumD6gDzNyWfnYv1LtuBqZeuzvBzYfYkNC4
IrtoK6nAekXw1BcZoyjahkoREs56lxcxnKmUsI2tAr7GOCHbJZruiOK/DDIVO2Jbzw5mCpqCpL5X
lB4fOkrqc3C3duWz3h65cvMO9JXv6kepxCP9ImQFG4zBYU+FYN+RTpvmzj2V2pgzHtmEu7yp9FF5
XBQD+ZkjwTJ15JZikb1BxB/Z/F/PfSnvzRpQqURSEeShKUC73j6y5uwKvOIaqAzrHzyQcG5WSFyL
EsNzjCueHiQ4Yt9bcC4umRxo5Vm7BnHZijEzeoQj6TFDR6+BPaTdDzqGCHQT23t07FAfWjHfpy0Z
h3nxWNmHzgQn27aGF7JG8Q9vydt9wmdzp4NZnH1PRwfAaO3DgrZ1AMH0rQ21uYVfEB8KvI8XFWQp
2YvM5CfsEjAPs3reGhYG+74UnzCdBNvOSegqCwbyyJEHWAo7QnXJPK6EYJLiYDum30wyWw71lOZX
LCQBovWlScfthB0PO3FUf8hJFlcUx+f9oep5R/DzFseoCu2zCyp8Q0LsKnfNl7md6pupnm6nou6+
eWVjrnXjNLs1bwRtQ94ap+72YdR1b06nvGMp9HAuvfmY19YLVdc5bUSo7ntdRdUFWyGVlc0UQ/tX
5fPUTf1t6I/1UfAQPE1NfKnmsn12mwRZOQnkTodD+01X48KTm6GA8EmdYvmIadWU3JvXOtRbXDHx
J3uoaIMSjVrbCljXOYJ1K0LGcD8l7edmrqhiscx1At8Om9e4rxPu20sP37Uw0w5lOkAur5fjEPbD
tiB93C2NfyMXG+9qmqafGOzpR42zCIwULRibygnYKk7VS7ciqRu/2g/g5yuVnsxo9+fCzMC9kk6e
2DVg+bIHnsKEgU5sZJdjYVUYY/wDeDD/MCsEyk3TWMElrHHZSod8rVM8DZNV7nB84e0YPcTIuDky
yuf7gEajvUoyNhNDmB4dfv+mLb2PXnvRF78kbtYAZxEj/ZZLtpyg3T3PfccuaJgvvWVegkwO98lq
4B7a17DHC0cJ1Qc7vhfp5DegYR7jgSdUWtp3xeR/j/PvMGwHgpOpoaYufiLbRJWGbi6N51+nnn1j
SQBHeBC666K1rluuINi8ISheNPiPevKzQyzLLU+pbRU0w5Glevl5cb4hxRWHQGp7a1NFAcmNYiLj
zSziyy59MmDnuItVRJWDF6Bu/E+/Ydj9OtXedYJq60qvB2DmtviaWiJ6ZfKcyPCEz+BpDDJ8Rfrc
9G6x9brq1lE0egk51BvVDOPeoGlv+tUWKC2T7VwP/SLRko7tUR9GVTxkfKvORZa8IzucFb4eK9De
BtgtCfSB7HuWRCcIj8NdFcbeHT1s3fee5gxEM3qAI6u8hKmnDkMEIKAco3f2vRzMOe4/9as1fT3k
85W1PPWR4Jg9lB1W86j0Dm0oisucF1S/RSM1jMmk9N51aAVL6EradVOV7QI7bDdhVd1QjAKCopqY
VRoiXWvg9WjFHBG6Mc051VvMMLzgDPQftwIT0fnlQsCt+bw5t0KutmhsVPGd64yYhWX7FePWoeuZ
8yvF9FnmkgxwxD2/iRnonfAhWahFzKLP/VzdwpxxNxVwOFYIRLczv2jPSbIAAHOrZ9EDhm/Z9ckp
a75kbF3gxQGGTut333I/q4IY9dLyzJ6bjg+tzV8aelfu52IoXybE0M1MqvrUjrFNGkJie4zY8zSa
ZXI6GPIKOM+5pdQZNXqi3cw+y0ldjsy2fvu1sg0eNaV4pSKD9ZUNdx6O401SOvV+Ycn8w58T5y6t
WWe1LDGomxT1waK9kF4qcVNxZjlknH8uYxUxHKl668n2nlWZ2nhNoL8kjeUdKwI5RySWR1yM9SFq
KFIcYlp8y/6u05bZT9w79thR1E0dSqq+SGWmx9Ru9e0iBfU76ZQfhOJwHFTtZ7hwtHJAbzvg9xer
syHEgaqmJ2lVHF2qhlmyHQX1MX79MfGiLn7rFzs18ZFK2xBRSSxz5HkrbnEeYkap8+pS6hM1E9le
VbW8EcTPSV+Y7CbH1flCxkm9BJP3PZpsuSOKOlCN7IjPlKr07PYz67HBj/g+cm3f922gbrCoN9vM
caxj0yfDcSonIjRF2N16BsShi4yz8xMKgIROWWSPTPMVc1/nP5Oy31qYJp2DsNlXMpHRkVE4HYFs
kzTmTPUDzDpRvM6aUTFG8fog2F+RRLfnbdIyCvUckXHwUpw5zRmzUibMSenK2wEJVZem7edX0qY7
DkxqX/D1PYiOMsHIzZz9mHnj/2fvTHYjR9Js/SqN3jPByWjkonvhs7tckmsMhTaEFIrgPBpJI/n0
/VFVhY6MzKpE4wIXFxcN1KICmZEuuTvN/uGc72zaIhoviSlI9XCz+iRlPGxK5d3FDKLWA5nFuBCD
4IAq1tphHbCJONT9Hqdvcu2ObXtEGrhFrTLugFISvQa64wp/+kACTEtdSdgKvhSy3cnNAM+SWWQc
kwd4rOeh3fej7e2LvBNXvM6ikcjwaAs8P+QQ++jqg5CZS9VsnIRqngbsQSvbQTeUWmtv7CCoOPqF
sI3XUs75dTPG4Zc8mT9ox9v7QDdYMqPW6GFn9/jms3a4IlXgybbFF15WndCyHEGCulsVUw4r9ATr
NmTkZo8qgavUtPGNbRrMhspWOduClekhKAyUtUXCVtAHrITQtt6JuAqjHU2f+6WPWiLKZFV/WZQf
KKmWxER0EOgoEVCsJ4w0d8wqyqfa0MG6DWIy1rLYuU+GBEhg0zjbeKI1XEEGbS/wR9+bvAjumcfh
ETWcjnDEegHez5BO0XwzYOrlOVNl+5nlsvWCMTsOY8lItAm9bWNUxd6AM7+uFRxCgJDJCdUgGhyy
wQGoooXDazK/atgRhwjW00tcIZLK07RlwuG9y7ECgimCCScskSkKoPVt7oTolYYpORO9nmKvcNIj
X7+7wPVQyRFo3RwIVYnPyMHS7VxVCerxgf2xkTFRvULTh6DQRepxNxGF9zEglbFPRGhOAEak468d
b5YvkLGJk3G1HMW27ePkR8WXTCJbJU36HEcglOciQHGTm8TqbDE5dy5ijzZ/0R4wU2PSdHpzNz8S
SuTCQ8i5HafMBb4iHlKv58wMWhbPYRPvUt9a3LOozc2SnEGYauIpzMqrrBtufHb7p1y6AgcMdwfP
aj5fl20RbFOJ9n/lAnNBjVY2rJzJU3rmhdon/PPVC8gz59aqihsALtkuLWt5FnGA4cbSMcec35WI
vWvnxFLeBgonK8RwVRMeECkNT7qZ5ocsHJpHxKsuPuHA3GrDNQnBMqYV2Eam7Cqv8wNCmhGVoEx6
dNYh2SXdZHEmkgEA36NCy4JjnHDbSC7QCrmYW9zYWDCufbgDBMksfWpIsMkyLgMAqz3yEK9R+c4I
df3mZZhXl88ke5ScPzd94bP6LAWUSNC+QPJ4q/0z9zfGrsRu70OBy8DK7j0/KPbBEI/EeTK8IAsR
Kr/oL25kiQ2THCgC4YAcYABeFjRylYSkjSOQ20bsEXYG+IJVm9UNsvtoUydpzbbeXQeGoTbGmIl6
NQRNdi2QkiNDVc+yweeMSR71qSpq782jlToEg2+vW8SdW42Lj11Z19/TUoY8/wWqIfBF7Nhrfqou
ftF4hZAC9OPWsDKS2Wf9MSvbPZbjMK+qWT/3E/FrUFz2TGrJOfJD4El2qbbADPGW9Vjv80S68IHw
Uk5x1pwcP7n30Nxvq2E4ha45Ij7zsf9BfC0AMoX9tVSp/T5WiDU3RVqQVOuY6GaRASBGDtEtXSH+
7PdSomTk8DJBWKdDsO8nu/7C+KO+IzO5u4+0372AgU9h6ir6YkZ3O2to5S21nF57CIh3BU/fxhzs
7x351IdgtsZbgeWRNLUgD9+ZwVLhu5RcV6UToYN3OfMggCgp5a7PysV+EDV1us5w4Xc/SImxRkBx
4Yw5n+Deal8I8iCQ1NXBE3dpj5AaFZMPDwXWBw0HWXBHkA+Al9vCZKXqA4Wdka5edyJLnzJvCLdW
7DdnFXmaROdl4xImxuuEYxFwE0SwGIiv6rW6FwBI9kVtmbeMRST/aRUwvlBM9ISU5DMF1LLBukE3
kePs45iGz7Vi0zOuy7bciNodbsM833QqhS3kYAsuMYfWbf2jn9unshuDp3LUJdduNGFBjJDnb6Q1
v0At+DKTZrZykensIG9tyCONVz7w8XU1JckpqpgJsdA5RnliPCttJJuAmOBl7A6OIAYiANJoUxBu
AwOLrqtBdHfwzYBmdnCxyKoYth8VLLpZLLzevDM7bkWsfj7mEFjNAagvn0AyV2lcIL4RI8hmq2Lc
gGCbqp0JDxhfsAziB0c64oqirzraqVdtuySuH7xhwlQsO89SAOrA764ZeHhQJHq7uygHzDEHmOM9
mlHdkNob0UQS8FCTFRC67clwbJzNE5CBXeajbWsixpqmlt4Lv9e86wA0LosKgfZxHjpn6VhyXHZR
xeBmbpwPyH8UvWjowX0EpWWvmSzWTz5xI7j4hmWEnBHJ8cP1MptSyPeNfcoOgeuNeckXMWbypZvw
arKRWrLgLHnP4lMePdtxnkwRYWTwhBGnVNWuVgh+VPAVKXRFIWMU5dHkhjP5bptk+c0eQ7teFDxb
ILfLZmOgb/pOTJPzhMnTfA7NFCSxLJE3d4EqbrH22qwYmpTUwCZws4/GEOYxHKcRUKFIHhIcQ9Em
iwkw9FlUvE7EIdyKOs3fczkToJRG0W0/Vu5LbzgD3XEfFW+pIPQJqRt/LnXAGCI3aJjWY4HoL6gr
8RBUwq/XVeFab6qO7INuu08fdOxdMjNkGuE3KroYs8tsN4bTGaNVN1XQ/ahKu3pmiRR+gS2F151n
f2so3nncl2V29KgkD1OZzF/CqYpfysjm0UTf1n21W8N7YwrsvubovIkuwVYdOvAqXEUJj9xKAsRy
rVNtuC5XSpVuC3CHP+wZUyhirZ78ZRfmuPLBSk5N6TwbooiPyISn61ZrNGKWneHUVBX5SD4gaMbM
8NONrt7VVRu+zQxZeACqvPnqg1Y7EXjrUVTPOXhECkCk74XCljWIRy6v8vtQ9hVUgRbXgU0VtBKi
JcAtoQiyMuM1YdxTrdjDAz7jmAeuH+FNipZoRIY2JVFsRbN1qrq4sC4jWm/E7gWnKacoKe2ifkDn
3gYAo3LgaBP5PGsXQe613en86OrJP44hANPEreqPlCINJ42FD2KdkqGIHNZP8kcVaJO0sayorjkw
4GljW/UucHPaak+bPAI/txu6aFJFUxwbSb6k53nS/malrb5jYK0vphk2D2KQ1XfR9OTJIdU9zah5
fxAM4F+HXV2fI1fiv7atwfkh+q76ntmL+M8A7v+VjEH/JW1bBfneka238ZMGr/KkXRcmYokrgq9q
sImBUDwq0SCq9yuBgtoNlXlvtJ37HMmi+Cij9tkKmIqWioqEdBx05zKPYLQ6oskuc6+nN0ThMRmG
zE576incg5LROynQHWM9QVpCsaMN4E3u64ECw/Dq2TylceMWm7izMAO2Y5jcTGMnAEiwdeWMiEp/
56C9uopT7q9Nxrxip+eGrw7JbYRC2j6XjY3lCsOvTyDr0Lgja6uyt2/MXjKwk103rYUno7e+rcMM
EqR6IVq6TjeFBNg+FG11H/NB+TvXV+4TSCi02GbRyA9KI2JKgiXnLv2MvMs/4+/qzyg8NsZoSfk2
p2ofWtyZq65V5OfJoPRe+89UvZqS/yoKHf3kdcvNFhC/FyF6JJG8tIJTJKd3wN04hrArAvx2Kp4T
aiR+A5YJFqCqquHKZY49sseRX6Mczmsb6ZCRJYkCsTchFbGss+gYYXIXuPBCHdymMZi9aUQPiq6W
xCX+waOFLx8cweRa5baOnIJNhyVRmGIVYHSmrPRbCCfgKN2E7LU86oAmSNNMcGaFzbd2kjixR9fi
+md1M11lmYHoXXfey0zSwYolBs0bGvwiO7R55nykeWdeTa1b0uDOk7WfBnINnGzwCCropp2XswTi
K1keddSzKJMs0y6YsgB5tm7PbaJC9W1Oa8gHtW20X0gIXLSEVBNVXP9wBgg/Ah7WKUVtddGzQ5A3
v7Y6gWpqr6epNzbsaunxp2wHZ8pY4Z6x9vQ2VYz/QtU/Gn9A4BnkaXKJfXGbs/fd21ETPcZFARfW
VsZ4SAviFnfs7eNdqdw3Abvs3vBS95sByRH19QKvtaqPXjjpggzJzcOsSdeGEdW8BNzmZyOqrJu8
roz7CIjIXwgx/ih5CUwXFRQX94Kidhf5xE+KhTgzZV3Hjb/09CxP6ZgvOELi27yrQUeymzVvB8tI
n8wBo/3qXwsm3D+TSyBBYQuK1xnhzS/6ntk2PLBjo7+fvKi7Dby6PQwtDmGuRMaoGl5USE/GYtxM
hw89c6W0OHh39ZBZqO/Vt6xWYu37GHigM+A2KVkwlaOHg5gynn2zbV3KSDuMZQpPki0IOuzQem51
0m46X3cquVH2wKpCMBt0UGrleKeymXOFCpi7HiFs1Wf2vhizBc1gEQkRcpb1be9SoYjHsac5EHqy
LjDsvqUlbiBDDt0BzB8ir6qEBkszJvdEpjl/8dbZf5QRLtFHAW5woD8sg38RsRV8lXj7XKp1NJT0
DebFdccJLgkk29JCsqTRSU9OwN7dgidxlah+2gX5lipg0RjoRWIeBXJdxAPYv77wtiD3h6NZqXhd
jcbVaPb0u3lGAeykOEzSTP6FMGcRkv6itsJ+zkLLXXjr6HMW5dxPX72Eu6QegjbYm22d0uIEw5yv
/XmMr2aju7fGwdsMXM7rCYjnyTLN/jsbr/7YEud8IAJqI6wy4xHTJmMPdBt/8d38sx/OxdCOlj1A
mfrL+xsxw/MsHJN7XN+cofiYsCFhnvyLl7GWcK7fS87Q7LkoHnkEONqtX16nZmHsqrAO9qw/8beS
0keUmW77Dbk63rtNA88ZmdXr0iKqJuwH7x5woho3DMazKzQ7wW0++aSn9TwstSAJE6Ao0v0snI2t
m5iPJPyq53/91li/Sho5r01LCBPppOsz+/lFptlgcWQgwXdvUDaHwmyXYi1NhoNpmNUr5v7uc5Dd
VmZSfcVQZq3Z/5jreMjj00Rk4wYxw/Qh0mA8f/5cf5dBX/72rqGL/kUm/fMf/xP/IP/7lE5/+4eU
+vd/4z///6NLeM6i8vvnIu1L/9F/i7+37fSzRptjY/lrf9No+/ZvNgUeaaumsBFb/7dGWwrU1iix
OQNR5v7tn/ydL2F5BHuxdUYzKUCI2Qix/8EVs0yU3T4PN8eTLQVu6P8JV+wPDwmuNp8LFsGua/J/
l8Pwp5NCkBlg9nXfbA1ffA3pCZQP2DuKEFPlS1MLvGDccZqd69L59tM79ffv1M967eX5+93z+ctL
/3JI2RTfWWaqZkuHBrs9Vhmu0/lQZ+G7bvBz/etX+8OxDq8caJpPMC2Sedf+VKj+9Jum4QAOwIX9
O6SZe4qaEAd5Koll9O1sN6n6xYxS0MvtBBoSbcg2kAPwh9oUm8HrX5a2c+XO0TNBYZepk9ciHdFZ
5GLVmeEX6OwISBpssEmVXkGfVH8lgPyTHz8ILH/R5PNd4Qu1fJA//fh2WyjpUXRuRdZVB+k4DEKq
zqCrx7pH/Oks1ppcyc2cOeMl6NPkwQ3Rno2NCVBxyRfomxccqtE69U16THRxDjD1KnuPkKeyMkoY
ADOnGDX/rl3oFKcHIggmVHtqFuAgPha5qLHNR4OusUWR1x4qI99MQ8Rw7m4ijSIFpjyI+N5lQhJN
+h3SKIIJBD59sRnDgeyeJLvDqnpf59OD23xQe/YrRiivYzLOe8lqeNMRCQY7OwCeYdXZMfBRRNix
BwtDETclfH6ZkT7VbS1nb+d29Ohl5l0Jtw2LEa/sNEN+tqNxekuLDmlzkGLKiTvyLFN4oW5Tkprp
sVPcuFaf3JI5oFc02w3Y2owwSsmgR+CuObmGDs++T83vBqm6aBB0hxlYxqlDW/VKNIpcR2VS3fqs
W1ltLwBhNjSvJIkHWwFY/r0WQNHrvjNPg3Wl7VjfaHOOYlx4APIJR6p20AfnU4mQaWV689odSguZ
hKw/kiT9SKAtHAkPIbDMbjTVsXVnqLpFbxOzisi/Jn58alwGdoOHGo+PRkCbPliKv4DCmAscbOiG
GMfm2vLJGuurR9Qq5d9uhH8qdraXm+jnpxcZnctuEX0xhgb63F+q24DKuakZVm/7PEdGyKa/YkPR
dHHGHIn1vcfR9Zgk9nie4954XcBrxJL4DST9pKkIuHeeRnvAAxmWV0jH/O9j6U/keJj5XgnUW15A
Wxs7VfZFoYshAzo0f/zvpfbpX3qc6u//8e9vHwUxb4nq2uRb9/PtZHlYhaBV0q/884vtqeve2rcM
btLHP/m7f7/dLGhHto/c3V7ie7it/uFAkvI3Aa4UzbZFGOxCVfoHO8n6zUZbyEkcSNsCvERqpKr6
Lv6Pf7f936gKfW48tFdLifg/Yid58ldFvgWCCb0u+CRJOcUF/PtDMw5hHAnHQ0GVCthJMvf0DMIN
42wQSvGmptC+syYGT4BuzHWUzeWIVHXy7J0DSXqnhdRnmC4JuzLGHmHaN+u4fuqhK5UD4GQpCVeP
vYaevKuH9zjpu6OZJg5ZZV1EAkYALwTCry/mo4H/J1v7MjHvw9xyUCE1863tMCTOEfAd0rLnp/B6
EolYbjGjzzSBknX7HXwcSD6ZsQAPigS6I5fEjdn1yZlhr7WdbGKHDNk3u8J24i086mSrutS/Sh3W
SES8tGsmRcY+Tp3gIy2w669EMyGaUqG7r6befJBzktxmtce2hnJjUzjMbZmW6/lkWIm9MXEv7exZ
lvbaIZKPhHO7fcMuwg+qI6IKEIm7IPqHKdMgRAd7ZYnev9PgETfkalQXSDP1u1nkzQ3ZN2d39l5J
+bmeq2RBciBKm/LzMMirWUx3rPbTtXD7iywz4gXqdjO6WE8dBLrcW+0RpctIPAaeWfLpjKK+rv1R
dyyOQu+xE8wnUHmjPt5YbnJncw232YiyywemH5YCIJRPYPIuLqYAGjQ8Aea4vV29GY4xXU9sml65
LcQxnf36MrNYr9ZLD/2YAxk6McFWh9FjbjXGcY4BoHOizcQYEq5dYDGiLUYJIrqRhzzqh6fBoeBb
EaGc4ZqcBxTuhgVyyjeOlU1EoXK6cN0TGueTt2CrVV9q+UXnnn0FHwgZRxQD4PN4R7ahWyQfiafb
LSLWZWxcYdivRFzuzUqUr4OwPZJdGJnmlpm+t3X1tYNZ8xVDmdzLoszuC+CfF4Au3nOFMHOFEdg8
g1yV5zQHL9FYHhnNajyH1RidUd+Vu7ZxjENgagRNkWvfodlFvUPODCsBN+MbLTJIPFbY3/hlnF3n
o8sNmGf2uCaTyiKBoK2mFV5u+dxJO7bXDFUJW2yS6WFMwFcUWlkXm1GZu41EPbw5wtdcaSwHnRkW
wJDN3Su3lz6HeHgPUNGcR2WyM1n5utKAD9P2NfdCslSRkahmjWhMNDdE53C5h7owlnudsR1VpbHN
HA1VJdR+fTC6bAQsa/AypfD0ZfC84hnzfKuJUuWjQGEs462KbMzO5eBUV3NEuI6DmfokUzvcGgnc
DI4LLFIZtPwbLIPByp/d/KK7uTsPJK5dRmuAKEm5joUEPunJzTrVUXFY1Tfa0+jWZBMCu8tK7d3Q
NmqbjBI5D95c46oIqbHXpP5UFi9aprf27JTX4TBnF4VpfduFY7ntcivfIKoaD1Jq2ew7Q9d3fq3D
W1+6rNMLP2b+340suKnxd76YmNAFXp6c7TS0Eb5P3tmK1Xhltl28Nx27O0M709dxkRevos41Stmw
Gpy1PT3VEHeDtaid8NFqC/vdspnd4vqFMTs17YMo63GTULJgD0CgLROLZ2vSRXYTRrm+83trvEPU
pJFMVFCaoGYzD0afZ8nuAPi9PUjE/7BBQ/MQZGI4ddJoLpYXFBemnOK5MTz9jD+7+q6dOkKWOlb2
IZx944HoSPuWvlg8k51gEN9SawjFTHbx1MuU6NeAr3TpOD/KLPTJJoVwxkQQ3Gs9ts8JLHK+FBla
0ZyZ/xbOtocuOLD2aMZipDSxJp0tUkS+taDfDODCD64swl2MNcFYOb6ejoiNnHNUEOMzwRPf+0EH
hIi8TuShqXVM2z54KY1W7hpl9/cNwLELfwyPdacx72ir2BdRG++AZTY36Fb6GyJUy/dJdsMOCGDx
CsM0eA188rl6b2DYObKLHOcMEwKNy3bhhRPaiW7niEq62VpNUbhrkUPwZevRnxjVNxsM2O2R+IXi
UjdjtU6z5JtNuB1bQ3WqYb3vJbdaEVavtTNj9J56eR/BSyDFcTr6sYweSWMYvpfK1BsPbhf7bF0y
m+8RLm6Rh+PxMHNsX0yAtd4Zk0M70bVOfa6lgczNNVOmiCQC5z4ClJD0l4NIlyjURKxc56Wd2pPo
E+PaqoZDgfBmJZPoejTaltUlKvOJpQW79OYQ1EW77VqrXVtjjnUXu0KCABuzW37KnA4FNJ9JQbPY
l6CIYhrUDDLeMWZmyO9iReW2HUnLidv21QSqeGCnCp/fh33IKtEU+qEl4WzTu/a8pcAWOJ+K4d4x
YCRv0bgFh9GqwTmTc8gqaQxWOr2XjM1WedGri6m4z2qMBIcwsOt3VM7Faax5e0BOi8cChhbf2Nq9
jlXtbKYqrDe4jKYrS9v7zpnngzfQ65QYgV+sEXMIl1ZehG/xKBV1+yKgKMnJrliHuuR+iio8Yhmt
GOsbzr0CBH1y08p8cEEa47Uz0vE2liWjbiy5PRu1GC2sV47WDvUzqXuonn6MIQYxy67aZ56P5kwU
c39wkAJzzfTVBzkBw4F1nDxhoJzf2lhkpAmUFzyvBE7kE8jHoQgf+AAK3lMbNUqTtf6bb09sJVQT
31gRIl7+RWcTqZHMXXOuLng2zbNKkuJFD+awHeKoJp3AGIZ6p+1UHYDijCaHkxn8KAzHWYeGEew0
YHygtA6LS2xVOtnCyyPKwSuT+FjiN7gn9DRKtvHoDodyHHuTICDMAXsDJNo99UVSXucRKqmNUeQx
AcD8d+MjArmZLJmmSfVtMI7tSQdtfhd2TvK94MRBKel6GpJSg2DY8ZInTKOERlPuQmSyrEclB6jM
djl3/Fk6hyKMk52T2hJlTmKiHmEw3kAqOpgFyKZe6vpeaX2LXmtVAorlBdURsXW16UfSBnwT+1ZH
abFW0ODWrdLjh4aU+UPX9odiDfQq8+HNqyHarATEvVtoM96hn/vuMMskwann6LN02pxi1RyuFkfI
pgrRy0oVQ1PD2LVSZu+cnMZ/tGcNsZycma3dG0uaWIk9RElrRY5LhGNFlLtY9clViozwtrNCYx9W
2nhg+9nttbA8tqelR/TPFH4AMHF2PKMRStDZ4WPoi8dEVN514vjRxQQSQfzF0CGcKxDzxTmKahlh
XSm5OtepPacb4Xb4v+0hiE4TQ/ydkt0SuSmbdyCbIxv4OrwAg+q3pq7YSnJEIZ9IBdEeCZLKPHS2
UWNEmzB3QBVrn1y4OMHBsIVkBTcNJ2hF3IqW2zg00YJ1uF2orrRxLIIKyqHfDlurRYxejJ71gOA0
3rYMda57vCQHMbnZHke39dy1aAdrW8Eo9AZ9TPKwukidIxfqvdlGDG8ayYtIWlYQOqvvTceBa2Mn
SIoTbB6+nBnMSvpszk2f7iDxbKRvfnZKCCCGm9f1HC11+cMvM//aUyJ/GrKSBCwYLltizvE8Z644
QsRxd0BQzGM51BZquDDgqplKNqWMdTawn8azMrs7YSq2izWEbYnu1c/bL0ZYbcjJiG+GyWCTrGPM
eJV4csDWrTx/IbVWNC21J9W6ts0ROXvcbckQIZ4NhzAqcQWazusL1Ep8MTDdFB0RQ0CT0Ja4s9hM
iIv4DUaJwAd0wE+d5Z8MAm2Xju93w4Rf+7RlVPjTcItQvTnVZhIfRvBDK8MRGZD2QJ5AdCU7G8wV
GlhtPDWBPT76RHa+TP5Q39rxHF35qFS+Iq9It8TN+AyUhB3t436qH0cnQI4jDFw8MiPsDhTupRxa
O+ahTVC/unwC5pqQN4GX1k5eXA+JGkVNOaxDuyvRHEp365bZle8nxjcgu9HGwal3a6S5OhSt99w3
yiIuu8Z0A9mfRUEPUdoSoL+bgIx2fvZ1mQlx4+ZZtsuF04oNftn52MZSvlKpR3sksky6Uv1WDeLS
d/2DS4WymjK0n4yGp42Y4+lu6MtzmGTzORnYFInMRw8LRisg4W+IiTbKxxY8mBm14sPuGuQfhgsp
BiY7ReF2MKzqy2wXuY0Sz884YmNvOIdSTkdMwOjWydXx7qpKDbeKjYKxGzkOrhHB2d9FbyYfdTgP
m9o15FZ3sX1fIfLEoYltbQ49x9xW0+BduV1vHISNDFGRN9iw7Id8v2UkOH4f1PiiYuJ7yl4kO7ct
IOmNTb5D2WHiTxAOm+85gVEvcKigOO4AVSI2X0HbVFuXDJfbmQjFhQZvnwjY89A3tyRUOOOQ3POg
B8cxGPURjOBwnE0qbPIy1Q/itygFC61HlsVaGGtgkBiB/KZkqu1bRnW2lzp7+Cy588/yG3WSccUt
TFGe1jiieSPtHaZato2mjuNbZ6nk4blzNqFksE7WZ6UP0YSkhaX+h+fRnYOlJyATNoAbRJ/Q54MN
Yiky/FuVagvRTKAei6XBaD97DY/KjMNoaUGcz24Ecm3xXCwtSvHZrYRL46Jb/GCFp+21H08BGpi+
MbYR0qVV8Nny4Bam/bFkW9akk8kRXrpnncZWBNvJJYARJSZf3CBDBBgJS77VpWkjgQRBjBi+u6D8
TvcTqC2sj0u/NTfzQw1ynojk+t7ADXSoDd4wx6ir+6K3XCCtVMqE/41Y0ymFT3Ism6shXviSqDW9
VZ/29Tr2KcMg2iPvjyPT+mI3eMXQ/TuXwNfyueEzmFbm0jJmS/OYffaRWdpm13HWMSmgyXTLNF3r
z87T++xCg6UhrS0n2yOwNg790q72AInPDR1svbSyRGfwsS/tLT/k0ujS8iKL8J7zpQ32lobYX1pj
YUT+19Jtvo4qzd69pYHul1Z6Xprqcmmv/c9Oe16a7nhpv4OlEZ8+e3IMgQ5GZRr1YWnZu6V5H5c2
vvvs6NulucePY3ybl4Y/5ZAuwo5/CusTJ8fnZCBbhgT9Mi4Qy+DA7vpg869P1D+gcP52oFIbLtt/
VKa/7FaCFh0kS2t/X6zkw/zivDRvxktzr2/UHdjw8hbW0//dYer/i4QmJpoMDP/5jPTxrUjyf7t5
++h/HpEiGlj+2t/Ho+ZvDhx46cP9Qcj78/LP+822TDtghL7gmZyfBqSW85sL6IVVMGtgSe3+38s/
/zfWhax/2GDxqVJhev8nyz/EKQvYBhwQr2aj2fj9tcuwx++90Wu3gPfIRyhAvhvNa+E6lKf4Cxic
nFz4fId+0cz+9E79yZ3PRvSXO9+HHeIBoOI9YUrML/r7Fx8NZlYaEBr2YmM+cHREa6OL8W6MCi8M
4dFQpVP7DNQu3vdoUM4duLJvwPAilBYjOuy4Q1S7CuZ5vBkEW6txHgXO13lctYI0h6aFzpa0Krh2
EkVSYTsN1SH0MEgcEGhTE9fyDjCqyK5rkK7rxvMenRi+qYxs/oNyZuQ1A2W8dSsyDze9p66Bi2Jw
SjKSlFFz7TA815gwcgXgwp2NR8tsoEvWhTPftRNERbZuxiOF4eIcrYJb7TDNkCyIr7n7gJobxvSU
Jiz0GgmVwkrHGUiB1+/tyRRXAcyCvaDMPc6u6y7h51ARmC/FS2qObOwzzlpPoZRNevLaaRSdqwbS
Zr1HDhzuowTKKFHKXrYGGuq/EnidOrAMavuedXJUrxURbgg0Dd415UwHqE3q3OGxgZ/bxMUdyfDD
9yKcTE5JqIrAdoxyWptzyV8lrE2/6CjiVoLyWTyUjvrClSQIaqLlDOzuyi/dK0x79SHCV4zqyE/2
aWO8er0ZXJu9O3K39GOzynvVszTF+ptceakz0uYU43jTg+/mw8qyKyZqxT6PvWxv+5GPHLbxq3PJ
gXckaB7G9BDrx8ipUmb5mgVUCx9YKTIE5p6PWyGvestLz8QWVuPwDmQx7jMjuC2mhpl+lkS7DPn4
NWE/WKCkKFEb4byThvIPFirzbcCTQxBT1zPWTHRcr8l3ojtJdYj81SA4NW/xEAZ97R4jyeyPRPZg
NzBT2Hhdr754keV/YRJpXtf4H9oxEle+1TgrtXzPuwjZfoME6dqZ2uBx8Ja5etF3G62wFzvmqDai
CGpI6U08wmnx1aMkpD1YNLPZgx+pwNoMAn94tZ4CgxzerGqwf8AZ06+p3zvUGpiVGQv3JmLpTA0J
T4ulBVK7eS7AWmvbHXZFkszMcaXzXrphR0tDr72SoHD207KKQ9wlv8+R3T5IrQL2Rcpmzrfs8tJl
q5f0hfsIi4kBG4bpRt64cRYgjB2HqgWULEK9swwDF3sgloscM20EQrCJyPzLIv1eTyMW24FgxHPK
pMd69X017WfKqjXKJsgzweyl72psmbIWKSmWUY9GN7EFZq3mqEpYz36uf8wLD7VoR71jNuf8wDfI
DpVr/TBFIrlusj4+zm1HgnJYk4IQNc5A/HxcX5kiAXrYj1b3RGkVfEtDJzyiryWBQaBNK+nj43Wk
CnHIzAY+TGIpdT1bbbydnMXHCJAGL7W2CNedwbrMA7WIrpIftmdZW2JHy/vSGHyCTQPrrYhm7wJS
oN+HcchbOPrqCZd/tc8HZZ67MSpewAI1zxW2wycSc9xjrEgmqIEshoR/DWxWehrafa0UkjNI0iN5
VmFitd8oM8voKnbaCKpEmvvuk03grN4CsAlf4BTsw3SKf4Sh48mDi85jxq1BhPvB1sjQV12STtvK
q3Y+TqdpFcAc9TdEmSF3iswGMKwYJw/DlMHCfEQ1/cY3DVNbiUOVA0kG0A+MhNN4YrIYreP/Yu9M
muNGsi39V9p6jzSHA3AAi97EPJARnEVqAyMpCqNjnn/9+0KZ1ZXJzJLsbdp68WqRVgsFYwDgfv3e
c76DWyTZuOWAQ9KyOlppLraGq7akQTZbkwkj1U4vRSFCy31ARupXx3D8m66e+z0n4OBLY8k6WCVG
PxiX014M7IAQcByFsUGDTE1Yzji9D8cQefcTjK/W3QdwXwMcyul8a9K5BMtvRf06COPxNU/G8tQS
nS4PNMd9zkHTy4QMXXKU5YfJ+8y4zzur/KgC+PKghaL14AJ7WYuOruJi6ieyjhQtyWdu/vmSyNQT
jwmS2re2adAiUEAUC62oGnpaSGiU22bZoaDgWDmU5stY9tYF7JzSi4tEbjPaq9oXI8ekt3bT0v6C
BVA8c1iLl6Ka5TuTQwZs9uyTWYaKX2Rhcx5G5X9rrLk4iWr0E5LXW8ympsImtszmoNhOIWTdJf8s
PlaME4tlWLrWQzCNiuGczUO/KOy22mEm5QPodE5JgolmePCDmeCpQlyvjUXapGXJmomQbhERU5lt
i/QCEAhCp9NLlE7zuPEgUBtbTaVsLORl30FkUzyx9eCiICPK7dA19uVjGrfzMa0Tf8Mly5cDHrmN
zekEhgJmMzSRtG5E5bYwnPrL3Ciy6BrrQuc3QFM7Rn88DqXBGddMJ+emCQAtr+EKWeek79UJmGq9
RIGSX+mpBi9tztFR+9WwjdIuhj/gqSRfwuhB4+2XVnRnmEgCwbHPjbEg5FpcHnSgGHNby3UofO8b
SEbu2w5eBJPD1G++19MPQDrp3kz4RtxoAhTs0odL/ozvw14xlGhvjbTYWq0ab6LB9O/mdAifzNZJ
FoWkFYdjlQCTMpI4sXKN+htUyRW21OgMoIXHVirDfsyKqn/He5nyzMS1S5s2nDjBRUrM8FUssbBs
p7725ugKkts6q3s2ZFoNW1sUJRWEjKAlJMOpn0teHNlVepKFQah2nFknezQVWVSuEd+NbSsWINvF
kTH4etZaw3yAkQupmP7lTEaxrzaxCHFXWda73RvOalD1OZ3APWlC50ijL3k/Xnhx92taxAXsijlV
cqnRNW/s0houERO5dzNESG0WqjEtjfTflmjAVVkci9TzntnlBli73FTUQRRC33UfzSf0VmO2p68y
3ynsTnDiLRiZYMj5QCh+IB0sJG61Bdra+oNgCK/d2l7cvjMgr6eNRigfEcBTlju3l7TB6NnIReVl
Md5tPC4OS6tDCL0Pk4twwViV/OlwplpLdZeTPzFVx2Zqsdj0mQ1ayw0d9sOyi7svrdPIL0OFFdoN
vRnyPKUKpkyF+wj5jmcDU6mEep/L1L3lwDs8mYxqadX3cXoIPYuMr1ZSfa3rRhSPVagbBhvo6DBF
4b2+qZpyPqWi7nd17toPP1i+QsrkbIXKex6btMZRZHbQPFJPjSWWpRiFbIqvjIt3EeotL0kZ8aJy
0vrDT4nu3vQ0d+iiDMl071iOwzG8GYGrE1IonJ0Yi/qqM/yoWU9hUVxFiS6/t/RnWeITZMCX60I6
SYCLDWyPslnEYvLgm6u6GrLhnGubViAdDHwoGRzweW2HxhScQzHS5EzCS0JuOWEvgBzmx4QmUxA7
G2eK5H0PTso4dIFLfkvSS9kffFX13sY0U4qOIvMPXe9mHmWPGKmAVYCFgmYsbrvEb6jWpPdQzoP8
4kZCfeGhTvqDaZPZjeIfRRGLTsqSnrqPZDj1+ZGYXVpSIgb0CDadZC7MM35NyVqO5ZGETOPVw20w
rgIDJcMCbGKNMRIHKD4CTg79phWK+CCuiV8foinAfp71yVMNpSFGvtQqb++0Q7jPihoFQV0ZH8JM
AlDqJt4Zwa6yn8aBpbjwouTZGmwRcUow2i9cbeLvzDkB/6Otdu+wmO+CJpN070mv8p2gvcKWlTFX
Dy5wZb76euJDdMtR2eOp7J0Mm0gUBg1+42bqsOFVzkMrZAWU5efnsU/xsshjHOkL1DiWxUnV/Jtb
AelB22Wx3a6xyWSkX4RveZzfg/h+tnx9L52cjdWNoD438dcm6efbn7//pSHxVzkZy40QHtxeE6Ws
+NSwAHMnNU37S1MaQq8xl/kVP352/Pm7/DjRfn4bYnw5cQrehxjdvx46aXP1cphtkqBC4j66vivD
pYsExNvZ0cWfk/allog68uhbzvYEMgL8AIoHEl4Y2E3OfjLy7kqVur1LY9e/vvxkS2ULeWIgPz0T
FVYu4wujHrdA4rY3IPSLYPPjS/yPGPsXurVLn4Tr9Z/7Mfdxmsb6L72Y31/yRy/GI6vZo+HgKOH8
Li77FyybtoopMMt8lqqhR8Ny6NKe8ZDdXuTb/5aqubRiMAYDCeDy/hBv/wsW/kf743c9ffhR/EM7
5JNZgUOQbfGpCN6gQuEpcD61YgKLKnHIpdzZ9FIPcz2kS9RW13YgIXmMAxt9NeNJJMJmPZTh+BgP
Kfwok4qqEm20MlGpLbTsvfckaswVXkP3LseeuS+Msr3W7vir/s1fzU1//7yfdePGpNrYm4heBRK5
w7JG2QNAjcy8YCVKwbyvQuflY+Xc/umS/sMvZf1QOv/7Gf77W39aKkpla07utC3wj8f0aNrklKZg
61A0FLBfjWI1+5mBd44oVoyI57FHjaAqX69gVqN/Lp16N805RAhjoET2ARi4dXQG64vYuOTXU9Z4
IWSEWDa7aQl1oSC0NBe7Zo7vyj5Z11lMFpygImgroyRwLPP65zQ2pnlFc6G6KSJNWD3u2PveEiFk
DwI4KINj4EVSH0BBFNdO58fXNTFqL1GHhg3EX3FFnrJcT5phSV22oCzeQUOKPeLardFCi8t9eC7h
YIpHeyjGvdvnwzaz2EKDMYw3FOGkioGvJT5Pds9l7IhtlBvJBlkuISKoPNZM9+GMy+TRUcG5m4Zb
8pbqPVTuITOeEXL5xzZL9GFK/C8N2ret45fHerLFaooUp/Q5vKaGjNG1uWyvHCoWiDmwkkGy6j33
FSXBvKJ2YK7gJwerDzgq9NN5xHC9YeDdrjsRWEsjslqkKuO4IWkco1QWn4pgtgh2EjsmsMjtxkMw
TwH+T/KFoS1JA6M+EjxlBrRDAPZtUO+TdE5ltYln2W8LwIZrOZBKnY9QfzVqzjVfLCIWpGTHrZX4
OoQ4jVXIAAttWktLX8e3kGysA0/NAqjMkRxaxP2epAaMxoexN/pbwD8MeLGfL0rVkS05lFjH6fFB
GVhD/vEXNRkYC/AG0dnvQmvdw2G98qOLPD8x142ngj0CBrHFxh/sbbtEUiA5Y1YUxsskVg4hl2W8
6kdrfjDG6oAiYG0Ufb/sI72frdpaZeRDreOWu3l0IGNwACNf0POHBRPC6TiEEZVi3MZb0es3280f
WtqStQ/uo0LN4EfegxBs1qSvL2TGb+mQ97FQab9TFqOwtLLcZe5Ka5mhQkSQV65IMV50vQ+2nasJ
oSbYKucpz5t0WVtE60WIxFYgpZIV6YVARbMEJX6F+8D1km3FrNjMhTgaoc2jNpD+ORKZsyjK1j1O
hJjfI0c1VpPrbsfBvk8Lh4woD6iGniIoD11yUqD8aC65ctWiFF62CWn2kyG3xlAzJDUwXKnwrpMI
OmmMHVFW7ivt3cUMGhfVND60Y3x0ynjZtkzAqVl2OKNXg9tDp3qas+rsVmaDj6q7i6LSe5RVGm9M
11/nontF0hcskZde1ym9AZ0/NAZhMKO/oRH6Dixx3RJOsspcMgkriWWuseyTP6loawLxjZPqNh78
A0HL59ENDwmIwWutKkMuyLBxNyH8aQ5DQANR0ZkOv3su7sdm2jS4F+4MDpgw/3HZYdAb33ucC/Bh
agWFj9n1a0QcPa3XMt6Pc+NwqXx7Wg4dQp8AfNwGiytKq4g4k7GyyMEr43wvU464ZYfGo9apc+sF
HEQzZJXXiai6XWaE0cFiXSSgSzzS/oPowAH6OImhe6iZCW7m1kbrFhpiSzxps8vIyQLsmrviynRH
gT6hq++qQHc3oFTLXUzjFOElkp6M9D/kc1a0bLNaEDAbnMtpOtTSmtaOSh+mPGkpl1v2h9QGxzJf
RBgu2JUpBDd0QbEYsqxPsqLNKzyiewCgpAtZY0OhuQMxg6qTNusF8G8AEAAuHK9d0aOJLhoHyIdx
cIOZ9S4hVWr28FSiFV4R+osndXDnBTPw726Y74iIa7eQzOXSgFa5a/z4BdkXQ/44uHVjK1+aUcAE
vCEMltF6D7EHXZ8uk/wE7O7uF/sYQ5zy0zbm4fuyLceUlvDdyw77J82DV+RDkjezueMJBpmHyp5E
VKaCl2w+d4WOEC1CZab3LefWHSiXCn0lTxccRHEUSVAd/aHFFNIUzypO6lucNj5Ii5qVLzTz/ORA
stilpohXSZ+FO3gR+U6OI1nhUMBWTS4OdSWQppTh91y5+K8xtyx1rW/5HAyYCQ/7+fe9SO1/9nU/
+ZcSO8twGznmznCa4K6pSVOcaGyvCD+dlz9/q4ta5G9v5Qqs7vwHE/QnNYk5EE7E6NzcxZ3LaZeY
vcmxvyLhzFe1Uz7//M0+zbF+lCMe0fH/990+HSmMmLkZiC25c+IevIJjfbF01O2TIfxmxnXFYClt
b4gYjA5eK0FUGkThypTmPvrC9tpPul3ClVwRlLXNVDVukqZrOTjzwIcjzqk45hKmziBgLyTOSk5F
fiOSKF+UKUzEbDT5a2DamOMYV+Nlo0ZDJFbgiH9xdPqn68cZEYkAqmSK3k+GctOwI9NILxlZfnFb
xFrtdIJOI46cX7zRp5Po7z/on9/pUymctmMeAf2ydj3ggZ0d+B/m3PQES8kCPY16U5IG7ejAvvEv
lUIJUnX182t6uWSfbiAqfnDLtBlQPVzMl39+NKGrQyRgH9mpykFlQ3NiqS2ZUrop4ybuDQm8ExL4
L27bf/rif3nbTzW1bFGBiGKwCEN2WAbQ87ipyc5cB6Cea2HAix1PgdHUN9mlynEHBhs//+L/+BG4
yL7CwcG42v+0KGXwoZpSx+bOium2NmyJsdNck4IOFacljSAr1dnxBPWmpb6y6le/n23/o63sHx5d
/8/v/2mV6Aa/IfA6BB2bdV+tJh5PbR5YB10pHmIj/IWJ7XJS+HydlSeIqxEmM3Dn07eNGDLULfKP
nWM1yZU5pAMNR5BjP/9R/+HJ4ff897t8+k6NJawemAYKxHY0F4z4yLDM7XWrVfmLy/dP73T5KgLN
AKfVvy18pd/lM5zn3RwM5Jl75pdMwUaEG/3zb/SPt8mf3+jTmsf5o2txgNo8naX7EQ/tGVWsvfXJ
/1rEU2fdp2EL25SWY3SuLoWyLNvy+hcf4vK7/fXq0SdC3uJ5Qvr0rj6tE0E0DhX8NWtHWn0J2aPu
H0ppm3um5tautMbHovQByfQhgLp+onwj9mLpVmA4XW28Gm6criF/sDtQXYACCPUXNO/ZDa6np6Sm
sffzj2v9/WazhUk+DHTTyyd2Pt0GhkmWg55rPlrYHVGLQzuKAH4WMwhcZczXo6/GddkJ1BYMfcMB
OAeHUGMDQJXy3cmzda/ZOuqebqPOg3VSmATEcqZpDHPCR1t9L0t6lKJiqGNZ9tF0+wouh8vxbPIu
4Mm4XZfMuVZtyRSyzz7Al5sYNyq9FKq3r5qm+b3E+Z9G1S8aVRgsPTQ1Fuv3f25WPXxkr2S75ZRR
Hz9cm/tvRJr9+5V/9KzM33D5KwvwJn+PBgo3ObkN7f/539grpYUbHGURzHb8wiwG/4IH+L8x2nJB
gNiYyEgfYZVtfjdYmsTCkfkEF8PDfykcloj/RteKv/iXZ9DlUzmWqWiRmewVli0/3dRx6sWNRanD
rKy9U4R4XhY5jhUMDze+oYePxJtyCFK+v+sKPS0p4ZtNHylrx0jD2mD0RgDd0xJL8LANzm2jhnZj
zkG+b4kSQhBDBDA6T3WN2NzdY84uNi2xlN9qGRSbORsT5O9j2b41cSAaTjkX/FE9xuoZcUT01JZ5
c10VNYqETrZxgDtFeEd3nL19PAzEJiDL8LNdwumIAJcBunZnGz3ZL8N7EM81vXjvyOyzf1YS5qVT
lHLGs6XimUcKXmQNYmdT0atOKZxtDIpNkTzmGkPWkiyrAbBYNgKwNmzPAMdF5O4ZoSNujsQ2y3wV
GT4q9MCL8+2I6OsRMlr/4gtvnkjdidt96SfBAycWDj1SpCQQxJWKTlNaDzQCjBFzShtZ8RmWTv9U
52TqrdM6FtBlEDr0w3QyJ7PfoVsY3guh9VeD0Nxq0WRNc6Y2xiiBs6dfTpnpgM8brKsW5vFDlLri
2Shy5F7AG/r9VPXElgQXR40Vht+8KeMHD9V4+eCZRUYrn72jFnUKDxwAdsorkcUsSVzm/E11pbMn
DIpZHmM9yYeEeLIQFsqHVCTmWWqfKXHqTtMqKJIwQxpgAQlwFN4nBoVEE5uYmSK8XH0zHEgrE7gZ
pJGwNkZ33RgbOHPC3lyM1cxM2HCSYBl38/DKMp8chskdoIPedkmAAJ7ptdI9rsPL0SqqfRovDTM2
QaaJP9dq5xo6firRwK+INK6OyFOzO8Nw9VJ7I90DAnm3hSaYwGgH6xz5qVhnXhLuEMyLI1c02Euj
wYI7p+JrNc/zIbLD4KbAA3E9JdyodTG4b22ajxthjc0+LWS007n3UJFLhiWlgDjYRTdpOg4MZevy
kWD7YBN2nv0amxfAkCC+IrTqYqMYx8GGa74IUb7o6OKKcpnicZmeGr+n15N3LaWF6wM51GRe1WNy
U0qiPyPnoMpN6M6cbPNsWHTjxcvTYQZycrh0S4aQ2H4xh8QPPAfudWMSYo09T10OzWNyyEhpfW5c
4T0Q7V2kq8ICtbHlH8U0BMcLqiyuoTrISlS7lHvqJPj5kOS1MEnpyceYMaySAJtC2U85HbuToz1r
Z9YVqg4Ql8EicIf4u+izElibZlw6jUHzJjIcczyUnv/g5iaNszZmoQiVwLrJfTLdRED6bpmAK2Bq
AbsZaMPwphyrkFYOIqu70fOAog3Thdrqq/7lAqM9xbE9HCaRO6c0tFAODFY/85eyapX1nXnny8rd
efAv/UVQOv2D54/ysdPusKOxNb35WawfphZH1U6CGnvj/o6/o6m3rAUwJnpv+SSjVzPIwPFXowdC
JUDuf06gT6wnQXjOwkq0VW1Suppb4KywDaFRRtsSXOuZHHfrodcS5nTtyPtUN9ZVbVT4T/hR1A0G
c1OvpMJuho8ztLed6MLzPCTmLfHwwL2GuL1qo1K/J9zCXNXAkk9IytqrLAV9HUD13HkYnY4mYqFT
nuuZvN56yhEJW4E4qqCkn18N4dExe+phL00Z8DsO5UVt4IcykKY3a1dlxprn1z25aatvvToUdzb5
GuWiNJUVHRjbuo9hpoW17KAnvg9zgedei0sDDj36snaqJUb3Q1JNDs88Zwh61vToSS4p0m2sB+yx
aQzjglSLaDf4+UkkNRZM03CMFWVdsoj81tyNnqlvVUIzk+iuYt0IsPM1/1mYw5zfN+BJAVASq2DG
/rlPMBqSDOe9p5YfXw9hkG7wxM1oRNv+GCotd27riLd0hkvc984IUDsAvq8d94gMhWsoQ3UVQC1G
upigdnEpGPNpSmaUoN2whrv4ZjZZsc5Mo95Zdq6+YJHYKK/7Aui53PLoR3szVeuokjjUkrT/RizL
R9KU7lo1Bvx3nLTLvkDiiafpEBt2tXU6B4KxGZ+hWLkrJ1DGrQkihMlFmO9DIzhcDB8IK9QocAcb
0/NE2lAEkTCsb2VgWzjyiCtY17ZcMQCHte2OG01vdwOe7zkTk9xnZcuso47fLpqr7IBuA5AbR4h0
RSohAjT0YuOmDez+zuzt5Jq2eIkSqGxPtZT4qpyv3VjukLnApWowoKBv6WjojibjfXll2u3sgQL0
QLAqCOnk8mDHAqreJUdp5R6Ou3KeCAEjqnAbR4L/2xW23lZWcqjTABJA4EzVtJojZsU4n4HVwtah
C9/X2aueMjLeEcu+WBja/CWKtPg6mdoej5pZiWVuGdVdRStyO1eDh4LB9qgT+rE76ihM9UYi/Fk1
04xXE8Lrh24JAVmzxTvwyqmoKWaMMFuWAxGB4G8b9oFYNsW4mGSTN0tkyeo9L5ru7Kp2OIM6ha6Y
Z97KhYiwIJJuWpLjfV0U3pmvRSJR6EzJg9WICq+j3w7F0gyG8SkIom9QK4eX2VEryp5rJ4JPkDZV
8sqCWN1hIQND3Dra+iGJ5ksVFdGVobxFize/kK1LgIKbjYfEIlwJYy5ZoeAepyWRe8O166XOW4Mn
52vIG9MSbHHakRe80NpwN3h268eCEdIuVNk6Q5x0IAy7u4EfEz6lji4vEG3nO+wqcOy9XW4k2PWc
zmSu412GUnhHYoIDyJtBHIwF4rCxLNr5DXvAsO2ytD+RETsfJAXZUzy76WEE13io0PGurKoS+1I7
LRuS61yhnCywtsjY20c1v5WD/u0du4jYeWHbrEgJCzaNrgCJa9PZYq7ZYl59nBTkHJKnV64zVMvS
qleycVauGAIygQhaJ1YFw91Qf1g2QVVIHhnAjWotmcZjys9XuiVCg8D7lZLTrYHD8YD8wt6n5eTs
YvzRrw7r2bKxKSmcRpPnDQZvU7ZxwQ4j20VSe94tGXfmVRhA6NEIjK9zRHWcfTHbl3iWV31QL1Gh
y1PYd0cpp++m2YCN79mmoKpTV3/rMhxOUB7oc1Nqnfy0sDcgFatjCypoa8woS5qBXcWvzf6hDer2
cbIvzf547DeDOZ5ESO62y9l1RbJnguQWoGozMIoilEUh/Cr9jcVSFi0ta3zhRf0Vh8H5rQYDuA4S
kWzsKMyvBLDtiz3HQ++lOqh/ZRm7jMFSJll4Hnfkt0U01133tuzZywOU+Eey5NOzdNzsNAVzcMvJ
3LvSwG6vGF2n5EqWqUPAiUZWh06svuIcom/BFjsfs0BDabdBfrZGaRKpIdWhqzPnw48C/1rBcl4g
tY7vrbqq8PMrG0lMlccvhqnba5bNbF8huFvhnHnHQuPv3DzJVqGddKfWNr0X227bdY6nFZUkGz11
kZVACZkqkhnr2IpJfAib5jLKmlg9gHWFMx6ijKPTzq9dtTccd7oLkqSZibzsDkXsBqscg/EBJsr0
NABnOI86ei5IcL8RQZm+DMKrdsDXY/JUrC2gkhSZVVJt3FiZa1TJqCMjszjVbsJOVwYh/QYLpzjm
0VXn07VHlOl8ERxl+Jk9fa46Fjzqx+I5Qt/8FZZ2esDNzg1cN/aVZzLUX8xh15E0R875bShRKutO
dWu82+N7MNGRVDH7XuBJ3nlC19S47OOj64bHwq3g2/bhF49kgCXQzouloX/B17ufw3SLH6Dcmzp7
Rb7d37Cj4tC2KHlXwukaAg+NlRBTSZM6wABXDu9xzMgoxah/SOph4rbu+z2DDhOtQpetAf0C6tJp
sBsib+kLKDdllSV7N/uGJdz/FnqltU8uoRqUsGQiDFn9PhnRdMx6hZTZBq68kQOUnkAPYo15otgw
Kufnswf7bDgeQvEorRlCAWSPVFG+CW6YE+lRPSmBLU08CQOeow/lROXjp3cnNBC+iJZMyqf7IIgb
6oUke01Nf+ar4EHR+Ry9cxiT+94h+yMJDAIV/bZ6NIx5uEv72SX6ObfMF8ijxleNRGsD9bfcIZH2
ac76Wekv51Fz6Gk986b2dLsM+mbVeGmhl73vpxuPgZi79Ac05pzk+nhZNlwvx/XT54mhMnfWQHgh
CmEE1h22hAj+P1tKQeKmukTz9LH33afg71v/aiScdBmU7XLsc6KtmONRnopDqsjU0a7+qIZxN4T+
g4dckiymPr6J2RLRIOTTrvHccDPZdbXHidju8Zm0L5Uo+te5NzG6uYECAy79qwJ4wbtBzZQtpi5H
KVk7UClVaCPJ7d1ra87KK3h6+sX1go7ayHH2haCk7SwD1K8/jQbGHlpMZBY4JFwQXocOOM9Z4qsY
9ie0IqhzA2wYSn1C84I68UClTMpGjegQkZEF7lfa7QqzPXGbTyUl0hpYoX8CTZQ9VxhAtxMI9Z2S
1viq8kizdxCCcUMYGeoTO59vwQH0h9SZR/BpDVJVZ0hBtSMtXAf4pvcznYo7X/v1azgF8VbVQ/lc
sr+xxDfW3p1svSatFSFuK0W3qNpSrbvWFCsZVMVt67QKiUnR1x+Q3XqgeAqNTtPbzbXCHL8euolc
KbI2vRf8QRfuhvwepzlsuSi64NuJGbrBIynw7VvxEwsHw3vRdNGKyKXuenRneagDKWFsTPq5w/P7
ns5udoOkh8TUNitOQd07p6yuQd7PF5oFjD7ELLaWzU3qtuWZ4jopLybwaUdMMktNxSZ6Fxa4ohbM
bLJ9qQikh8Ba3yOIwc1ICad3GvDgyucUA0XPRNWa5c2jEigPCouklqlJwyc7wc8T1IGFymDuk/2Q
K7lwGnhRmvLsUFXz8MwkuH/wqUJvOzmwm8yJ9aTlGB/83kwADnbsReSFnZzZgZOQlohkajsxr/OG
liW5ieRPJZmzFwhFMBqjjy/QgCjntbeNqFz4qSVeQVmlZKO78/jFTnFrLSTiSRoPrS2qdegX3dGY
G3NtFbhEFlij5s2E7v6afbx8icagfOrdCoRAaXMw8PBnTsgzzqjAvEflpu6B4QuS7K5HE21IfULq
T4mVkNVY4ZCJ+2dgNmrlMIc7B/YotzWgCYTcQ6peZmgKFA0Cjn3pZUcjdag64wRgsdHZYLSrILlJ
GhVyab1XAD6sYPC5ZppWG1jY/JGE9GiJpLZHnaECuDNAFBm8LfNL78HUXCViRk2sX5kmeVJUhyJt
un4NpUK9GTbni3FOKJf8VNGBh62jW3pWJSOsGFUi35ry1lDjfRwk2XVs44525JgvndG24t9b3v/P
+r//P3pCbbi8P2vr/uDm/a+b+vXbRxP9ubV7Ybrzyj/auvZv3mVOQ2tW0ftE9ventq7wLbQgkItJ
VfRMZo//4uaJ3xAh0mzl8CaxpFm86I+2rrR+82ymIT7EWNu0kTL+d9q6fx1/AhhFJkQMtFAKlKU0
P0OI2xwGft05/bZMWv9+wDl5znn+yDj14/rN8GfwyMBkyl/NP9UPJPq/RzqXd4YpSbnouHxxxRCY
dvOfNBFdg0JpdAjnVTb5RnFtOeWrlgM1QtybcOa60kyjZVwP3XOGr44YXBIdLlg92CBLssaE2oqs
JKmkYZLzElRBTCcJzdaCKIEQiktN5oNoyNhbphrLyW6QZg4hrzPB+5gDXJhFWXjTmzVUC6ud6pxt
ynJftK3H16mQ/pMWiY7WhCv2txNYtXKVMuY6xrSpY8qiAI99b6K+y2033kDm7lfQnI42MZ50ejbT
MKtlM+dvuCGXUWsRyVmYxaoJindCp8yrBrnLLcdv9wvet2rL7Ce5qnVJXmvEgaEgZEEFj0afxURy
hUaxZ8kiHSeYPigS0i3koQ2IW7lvSSJcYV+78aLO3fQjocYULZBUzPwJKA9Z5vCw+LZo9D2DMsmX
d5OuWAGS7KLyL8j08C37nBP87o1w1xGvkGA6dLywrkAxlERXGRcnEkz5hKOpfMUOibfOt3HVUfJE
GZG9Vr3Ng2wz1FTh1YXsTjttq1TdLBtnzvhHhJbJoBnOQ91VVxgb2v0ckE4TZE1H0A66hwI67JLD
PErqEGZOO8TuOoUgsGpGWjOtEyLWhO+zsWPL2dvCVaRoSLBYddcdmAVclIkA6GZstcvOyeUupcdK
fGGo8YOlaus7WbBCCgNbcKiNNaSGIlw0hI7s89ywv5VmH+46m7rXNZRxYkXN9ybFyt00Z026ym1I
LyEEHUI4LskiC0YIFvBCL9LhimaDjRTHUxcFERzJVxAEabEsZ4vrTqQQGRGd7V27U2y+4VvR36hP
aavTWnGIkYyGjm06vRIjTWhm/wLgnPSrfYtnJRS2cSC/rTxEsy6+aLTE/NZJTWdVzC2p0LUzxDPU
PQjrC7IelWLRV8WNJu5QLkTg4L+zoZitJH3Ik92k88VugnAxa7S5BXuVaTyykXevHaOuQCmhJKlU
Psu1Y5i4iWZXedeitiLKhWrqb6VBUIQdRlN4IM6HUoT2r/vSgDYhGkNi9KhcC2FY5RrB3TR4Yn8Z
Z+SXYCuNh6OQ+9TETruIhBfu8G3ZDwWkKcI7masQBuJ1CcEYkz1YmN7K7Gzpon/ywwqPC4OE4R54
lrSOpAfVw9pzaKUepqE1P4qK5DFlafMptaKq27batJE4DYG/sS05Qd1rKhi+i3lyjDuPDs5G+RW+
tcYjtVE6siYIqQKqsbAIRX3oyJXuKNiNI9QgfLX8z1o6YezedXREUGMSorTJZoM6YPqmwvSt0dEV
3dNtKQx7Q94XsuxeZrs+8q2zsqF1VnZ3FbckBXt0Ma78Nk4Xs0nnT3JMWgH+AAZaVqdczc0NAUbf
sBCqBRMsjQADHZdI3PI6Bzy6Iana37iTpq2v3fgG5Vq7HbEvH2nbyXU7jMXbrOp+M2lDncSUhCBw
pgtbsUnH71ojJuOwLeMjWlGM20nioYOcc0zyMDMc882lmXzIZJcd4RohbiT+lzLPbK2VaZIq+VEV
kwl3GbKgvQRapnkujedWh+u8bShWUL49phESyCbv/4u9M9lu3Fiz9avcF4AXEGgCGF6SIEVKVJ+S
MidYylRmoG8DQABPXx/Tp6qO06fsVXdwVw1qYvscLyUtEoxm/3t/e3yIyGNwssuY5aDaTKd1XL+3
bsf6MTSeR6SmTXbwbuR5cmHaeQXKXGQsFc+V4tau0+resoH+bX13dLdYZJJHUEsFUrm19nrDuYmL
jCJVp61qvB1meAUxTY0N5Eq93EGAoulAN8LZEDOXPFlEk1gt1NeQ3PvOqv3wyg0ZrV9AsjTBAU/K
jRCfwrJJcZXSTcIohT/B8ACrubgFBz1s0ZCvxpKqX/qATrpM5bkVQXoaA/8Hu1N2WzdReyj7TpGL
40kZjmCfzZbJO0bffl3pEcgGfHo7C6TiB9bxnJq4AuukBNXHyCThrBmnF8IbAvyk4I5Oj9miiled
EV0qpRt+t1NnPHCPMN0W+0l28IlXTVdty1AinqYppIqiqF5oVl8AZTpY3suk/hiZtd4Ppku+LiXE
sKehq1hm9VqnetdokufMcYI+x1R1kcosxOSYmPwK+mB1t/lof20xke/9aqDXWTjTtQRJa/r6zTJj
W9HhOwicvUPhyh25WNdBzr84GrE/hwxnukw/z+QDLyp17t3KQc4mXoJe4FHFNr+E9UPiMr0E1djv
sCFZ96X2kltjXYrYyfBnobe3hz7bObVHUXSnllipY0XfbjyHXn+dd+xMfj9hkc5opZHpOZrsj04a
nPTCYzyL4xRnxnLM1ijd4pgQVxaQBIBzibUTorzhwG6IwvawHScOywlVWwjQig85Nd517qsX5RJ4
puODByCZWZ6VqzczHIppW1lr+lgZyIG48fYQxGM8cg4la6O4SQ2k5tLSzsbGdvJhlOD6Pk76XA7U
l2SWIzaNMQUXrE5s1JD0h1aitvAJzTFnQXc74K5mZrl+SkoGngIca1wFvLElRePnJpzgcw7tp9nH
oU6vTX+lIx+S/3px/ge9PjTYvQ6sQCHOadrJw4IGWXsUxc6vveAK+IIHTDG6ZxLB17cS3p3hc0eV
GfRW9JOha7kIoGcaqQ59yCTadXuSngO3h2uOCwNE8suHmqIB7EdmLvdB1tKvCUYhjJs6mT9H0i4f
pV4xrkZl8WMwPmIbW87RmaL5NW9LmiuEadA1fZuqZM+MNQXHdvLDTlc6cP0lZPRXinbHNpscrCn0
UcYzJ71XVsTOWajJPqFMmAM18O57xFgRmq0wd6haWLqsto4y3m/ERhVVpEyniZiDArf5pCLHv7bD
yXleujz5Xg4k+ZGzw+rAWCsrWJic5Jhr2z8p3mobiSePYuVaGcMpmhaBbsG/PzQIFFTBC+cFWnq0
8QiTXvKeBviRKNUHgz2bmvUgkg0fQl3dE4u1nnEn51dZOizXuclBQtrL9Ob5urpGBKytzcrx4Rby
G/DlYUSC1BCAocun5AWKfFm+U8VW8TVlRPfYy2h6hA3cch/OwCBxtIUny9F+T2nI8BIujX2bpHV9
Son2HRYBiYjNj2EFqZZAvWVe51FwaJfXvrHM8zRX3tVUZ9ODFRFZ1CJI7t2hCc+lEzrgjkL5ZpWk
kzrVNW+ulxzxs5Es0Oq2D/MA6Imy1riz/CngOfMqTu4poz9WPGcD8z67oYVixeDQ94hdeGg2c5IZ
XFncLDYjqmOJD4RyrA182Oo2iWR6oGenI0pSX1TLBZOJttYjmIELZr52PrnBNBUbQLME35M5UPFq
USxxzxbB/jYqOS0sYOTAqwHGS4n7gYF/He0DtwbeQQ8UqqGXb2UZvedZ62BDd6h9DOvlIKY82Hdd
m35waCljStA0cNGV0gGG50tNc+bcH9tuGj7zpV0frWjgtOmb+lD0vAgdZ+LSMFvEfgUQNYCock//
rbidB3sy740rTPcAAqMrn+DdKokpa2XY0I1c8LbM8PJ5o2tq1gAxThCY5QirBR/DRCqnbfLHypvV
s2md7MeK4n5ANlM0fs+eOozISA8ttVefaTfznkczY1ZdehG9jauK1jjPSHWqyko/zBzkJ6DI7nvn
CU2LA6X3fBxtYB5tDqjfe5cBqZobhJ4qM93j0jusFSsBfA5sg8OqBlRbHToDNX3TD+5ITLey34tE
eiSM7KB/DokP69uk6Tw3hu8n6vhSUhCrKu/JyyyX+hpfkWqNKiX7DbPtJTu2Dg/hbmTAmXNuH+DA
VksAt7Lg2+steUgvM/vhdePkUUD9ZNfeqp5CbmQaRm6ksWBc8hexbJqpVceuGV2Kcub0QJVb+9IS
8XoXXImg/LbdY+97D5lFqApT0q4dwvBaL4q5Kc8hfRKB/U6n2fxF1VF+DDI/e8nXyXpz6HoMY+Ch
3ucgW8xp0jOVIlHYXLjNwYPCeKU2YFGTKy8v426hxoITdXpjhDdfdcMITYm38H2SaoJoZAX3Xtr2
e4ZyB0c38i6jFe6kA+Fcwqn5Y+1Z3jnS7vhzMmZT19miARuKMOjELZfkuunXnhVHJmeVhl9GlX5Y
2AQfGNMk9cZ0fcVqLQaxGYIp+jGGrdymYwWJTwSKtJZIX/owGl/nnG9OadX6NS8VqE0TuGfaKZpT
VnrVA5OpH8ojcISLM3rsOM7ekwbvOF1l7XcPagU76CyuyAoFzyt68mlVth07q55fCgcA/mAV6e2Q
+Pl9g/8xXvpuqOPKafWNSbxL3adqjwGN6A8TAsDObTPQS4B22vuRO+nXbhHeQ4onZL+sEZAbqNJ3
E1rukZHGKxS4jIQUQFqOB5VLHX0ThVtGEmIP6nmFG1LikTHgYovS5Qykc/FGR51gyo+KUVKQ/JYh
yX1JmL8cfMU5jW11eiQsv3zJOIvd1lqt8Yop+DxC83nSnPIYZZe2t18pRj25RLvOycAjPw2s97Jt
xi9Z1tdxsursfYHCQ2VpxJXaqRHNkd6JzU0L366MXWVHH21IvzN7Sjj705YJNlMXvAlrm+bnmgzd
S0nHyMknFP9iNTxXQxpU3ARhbzNOIOyWus69BO11SuQ076xpLJ/N0opzSoPqD282hOKBhornkPPk
rV2x59EkmbgfoSq4YY09Fe+2Gkjxr3SeXlk8aEimJczIjdbFCNep0GrXWF77qk3bQT2PjPNU+MA1
ZS+G95xWcgNvfWSkaqKufoNQk7zP2r6YahXry/XQ9MH9yur3svZ4928oj6ePsgoAPBDkC5N3pWfu
VyQJ3a9TUMOpF9WKrCubd9hbLWK7LV8bWkO3fqWbG8VJLcOws+T8B+XAJuqw3GdwOh8ji9XbCXr/
indyuOudYTqvxaTfx2qcrp2JOcMgwiQemqy8wqG87FeytDdMQ5xNo7L2rZe42jEHWI8wtX0wEnaC
uWqrWeKJHTRN/UEDUGBuofKm/pUV4KTy62hZNuOsnBegRE1KJMNkPybbC/f0CyzxkoNi2SRMrigE
xi7yWnCH3Kkk868GmUFM5JdXnAm8hAu1SAevQgKe+pvFntLPIsqcZ5nXPEAZUTPkn6F5XJpwMAhB
qn7xqu7HUGRdGHdyqd/XPll+NJxBj6lvsQyheO/SqqOgc7Iwv5nsa6EQtpyGVk+5vJfGX3ZkExlA
aJp/5zS3L4exF8bvzaWi8clOIFYraN3XKtdI/aph3BGV/s4KmptipEk9HcNHnQ3eHeik6sZW5IYg
l1SoACYp4CXU9LrghDlmZuFxsBD9TmsFHpxko3vZpiosUDB2IgzKbFUD3zRrvTbjEp4ztaQ7RI/+
4ESJ/TXl8fnaQiVY8a41FT9fdtdBCsN34gZFUaWrH/NF3pMqcw7szczrEosZsHZczGO0kR9KK4Ld
jyh15wv77qIJfbaDxIMc1c7kZwoLGignO1xsNuvVOYUlg9o1+KnaEOmEEZNz8cTUuHrob6veuSYt
X2w48gEQzj544GhQetuCJoo7+jhQ/mdw3tpLg23OeGeH9YMivWThe1kmEe2HYEn2VAcU8OnGpr/2
erTErTcKiqTUJPZD3w6f88W1zzklicMmSMkTDt7kP7jZ2J2pmSq3DZVT96lju2e7tWqEs6iR1+OF
dk5lTn4ScFCvW22315mXhThzMdbVpFrUDvp8/cZsWN8hrg06JvrAkSaUVRF3k7XMmxVqaKy85VvE
5GWnCeJsoYDZHxZz4uPEwP8pYGXaBHIEM9K1K/PJNSz2Kh/Vvvft9e4S1jukQmJXcfIqPJtCtw+r
ZeBajx2O99Qirhg088qwuZSnluLlT4HfsQqahlYH4QZEqhGvyPdgvrnjTiBegnTxGEbbE2cunLfu
wGamm2mjKDTmuudAQxfWp1BTtpEvGGSBycMbs4nzxrkpzYNMBHa8BSKnLoP2ZDU26DSr7r7YxBV2
1IBmu6EiRbXSO8F1ncFY1d1N8H72fUGPhMNsF2Apbpyj9sLqpjRy3pO9buWuTvN22S4hsRHPTfmO
k+Jl6BouyWEsut5h4xHTrVNGw0sQrM4LKTSFi2zJ0w3KFeiYKcgJM5Y1oyUP0/8z8NPK3hO7Mbif
mN/Xe/CndnMN61cgybYNTrsK8WPcpIWyXsk8DqfQToGsTRyigQql+fSItarPGPoH2VMqV3vmPIMh
c4PVyJ93eZeNP3JZrYd1nIMvhViDx9BEjbOXoFK6OM/xme59t2Hdyrs0uqDgAzFu8We4jwOkhALX
aiagRYZR+zp6bv51suxl3QJ3tb2jGfokOK1I/c+Zt9ZvnZvMByuvuzsD5Udhh+qGhwkMF3IbA9L7
dkaIcycPA0ShP/tOBpwxpAwOznP0xWrcdA8sDqIKPaunIRTVSz5c8FU11tz9GKRk5mvKMayF7h36
45jst+Y2yC6hex/nwJPWk9nZybI+I1/6p7AT8t5dAiSGfA5pZB5XWLoaFOYHqgHBbFULRvp2z+jA
Msbydpac+ys05G7dElE3b1kYsEEgoS5nXXkyHtOHrJXjuFN1ED0X2FtuVA8Aqgj6YidKac6JYCe4
wlzbYmKDJ/MVTgxpy3QxmCtMA1lng+rsU+iBV2fTzksZ7TK5WN1Wuyi1u6mBGw5Vrcn3bCPivvQi
/eAuYn1FOJ8fLIw78NscjHTwGg96aN1PLm7iO3A8XpyF1mzvmwyc9FD6+d0wUmsZN3NIFU9bpFiD
gvJaE0+57y1RdEiQTupdd6Fh6uI4JM1oW8DQu2ScsmgisqY3mtkD5H8O1/vUN/nBTjNzh9Mdo7f0
ChrvC96Ih4ZmDAskmVAfiZPCCMs8x3lSyQXQlVGU8JRnjOKNlXCBjkDrsp1SOQudj4uUqVz/tm+c
4RFgoP0oZre+Wyy/zjeM6rvPqwmz22DNO+7yXRic7cGykXHqIa+vMt05n4I0Etd4P2AtVvg0yMiM
6J+YTcFY5YuVfMuKan1vI748MYYj7p6T3c20jq9pDfXN5Rq39lP5ytNGJr8uM3YCVE9zN9hu8m22
yN2ngi8RPtnyVVLjeXQdvZ5pvJAnBvz2QXXVcM3azgY0RPbH4I19uosadj6C/NanwMraB8CrEM7x
C914s4Zf7abjj2H0sCLw2HbEty5kik4b8z3Ik2rXl+OOO0SZbzXY+KvaW+WJZFu1o3C8fPJAwZ0s
UWNpLJbxo847t6VFaPEObWnXV7kHp3kHarB7d1rKTmIKHptHrkio34QkPhWTGz7A8iohW0mIwaLn
Lz3r0KCm7k3piwUYJyzjjkwO1onmozkeeQ+fINrpb+xAVbjJ5Rw9W6vjAkCuepHFFN7eY5weHqFM
+UwPWFvqjTd64EFtre8rV5bXrcMPOQkATCiJ8j4wNWqCvVTjlxVZ7bIhT+IcjpRQJZJbyYaG7/IR
2BPt62mUixY3T7M+mIIRG1YrxiZ2Fjww3KqPZBnTx0H47VYUxt9OU8dVw2t66kScdLOmdOdU0xKc
+DF1x7fb+mocMo/8z7c0mYqYKmrzzpU5vB3lut4vpvroHAjuxYgxIm1oHsmj5RxgTH3KZnc+9I0k
2pFGT0s2iLigP5udEenyqAcbPpw7AwDJcSA+g03jXBFIvjxLq3deyfcag/Uw7yeur0xoRhQOCxvi
UXNs/yLTJrhPbBvCiuea/tHjQM9NoPRJqoQjuxw0jfaUTb5bbYDjDp9VYfobpqvfmr4Ac9/qwb9L
IY6f56DxHgxyxpeaTlDKGZ1Eaa67jG/SkadpttUVqyrJhYxiFWWjKeCDEz/aOpmsDTZSMGBOM1AD
heyOS4pU8lJtfY4I16Ml61eX5kUOnRFHlhSFs3DETD090xYCK077wjxVHyveX2zQVFiatA93trTd
OIS71xxs1/fYTRXt7JnW1ZfATQjvJOsYl8ES/oAYOFxjhMCmz3b/2QYM1uNMKkNrW9gTOLHE5yAr
c+ZW7jpygxFOOl8PAqqoqDqIJUxzkHtb/731vdrDcq2tI2Fankg0kgzYJZgEbXwWuUh2LQjiIaXr
iJkPyNz5OZPG+2jmxXzNOLY+d2Yce2AG5rL+JxckVJSHzWZ1jfnSFcwvN6wK6gWJlKPJWnHHwyPH
YjyNoWQOU2iXjabQ6Xm2bPtr6fphBdeHjD7DFzaupY6CY9JI+5pfinw8e7CheY4W6cXHfQsfE45q
P/itBwlF1C31wOXy2oWFYG6TRnshWvb8uqPkIQnsJtk2ibCSnZbZeh4zoBQcUckzy4hCdmUGAHJ+
schvEcB7tDybiR9+2YbdSmQtIBcnWvxbYsFpv0Fow6uUp+xiGyIJVCUFweh2N5ExvAwlLgrAWUN/
VBV4zqdy6pmjCDoUzCRNQ8eUZR0R2Ssc7f1w+T9mvnS4SjPxiZmtW0IAFGB2q9r3PzDJ1bctE1Ti
5oAm1pLtcpMQDxqO2q6cYgcT17yhN4u4L3LrGWSMDU4AMvOoIqO3HvPBeM7sYmey0ibEPImPwsNt
DBIg2ltJ0adbD49PsvdxEWwjxOHrtbKB59eduYW2N20BVyOSV5TaM6YRMZVADt+sScRWPj94Fsoo
qFZu18PbyCH8tCQ1UEOrtmJdOMNuXrrpu9P6+XnkOHErLquzWuloldKme35qBSZB/mnNfTJTzjjY
bzaYutsBuPKZnJeIG21joMTsBqkO/OdbOrbrQz9N9U0D8YgxOtFeTyTVsXSk/a1sJxmrNuxvqpHg
bbJ2eb9tsznbjRR8fRuUm17B7JPHfm3mK87ryMTNqPzfM9z/32w/hMX/s2D68L25fa++D7/2Tv8P
9AYRw8SWc3Hl/Nepz/N3lb6X78sfU5//8YO/u4Mi8ZvkUuMGGGZxV3jBf7iDwug3zlp4huCEyX/8
m3+4g0Twmw29j2gnt1NXglH4T3eQ/5st4N1h6wn8CLCN/O+4g3Cf48L5J5dOaAdIGK5vM1b0+MMu
tqY/uHQwPIR+JYOrnjOfugKnQ41VCCgWW0mUoSwXZYmGybYE8TAYnzDfhACYMMivVEkn7qcuz6tj
rYOgoJIGxw8CMwOzrU8kszugTbufokG6tILM9l1lWb6+d/06YHU3NAJvPM/LoysWGaYu9hJ27Q0O
RXNcBvrDfF+lDLgSrZ4HRFF7M1mlJkHmMBhzxu46HOX41npkKkmhRTGiApOMOny0V8aK0Lpul4Vb
JW0ZnFTgZvffaGRv523ukkHY8suqGzsfIk2ixFlvfEq+mAFi6eR8WYYHby2rK4mqdteJjNI6PzQ7
5a/u1ZIt2ZXwaNCrrQULfFUuwcOcujh0kSsPs1PMlFmWEQogDH43oljFxfkDfJTDNP3HWwFYvH3h
GoA5hLJGfOAdapDD/TjEzpMtVdwIbPY3QiSZOsGfnh6oQg4WLjONR0NGpvP5kITTRCvVXKpiE7HE
EYFxEtPuFPdxtpwmp4hOOfiaGMdGlvOwYlJb7noVBvUDnjNLUZ7WJf0Vay2tdoCUnPU42popQjLN
kbtr8sSZ4pER+EryIC3fMJ10XGpodRFkegkkg/wVXrElxXkZIgL1wJETDNNBssx9QLdVrPwt5uC6
H50XCOJRv+MUovZNPvyIIsMpgzEx9A9x0/QI6xuXgIJFxu5NBiDeUju5nw3m0aCbmWdoU0Vnt59x
PXTZg5MV9j4gUEhJaMJUnYTJfBi8evhwsTNfNcJKs0M2rZmzKxubM0bQhs8+qUJrs8iGauoq0+ET
+a7lhokVlc0m83fZoEtKs5Zux9wG03NTpwdkpuZky7raWQOzYjsLiTgslLGszvqc1Jmzn7qGNCZT
V4auFlc2x75TcI+KZhieFhwiHEGD4c5STkIr2qygzLmjR1F1j6sGoIIkuAkqk1uTNZc3PgiTHX9W
D7uqrG76jts5souXPfO0jteN7To56c4GYWeJsvyIh2BuN00y7irKU+B54KNS01zcRWEyfdZ8tgnY
hgRcFjUIC07l2RAFWK2Zw3NP0req5Au6f/XQLcDk5suII7LXl4pM0gegrjnuQ9k+VXi2DpJCPt73
fDkE8Oc+y0h7R6oexjO10d+bEcMA8FhRxZw4ARxZeb7nQmQVb601B08z9pICHlMhv8BBd4bY5kBx
nNGm94b6t10mWjcOLDHG/tSNe7uj3HDFFYQhzS+3FTUx9CLl9tbrVXmF+HGyKx2wwlQGg7Y9vmER
w1c0qPJeRUTuBiBPp25Jozvldsk7qSHq4X8u9P+7Lf4dDcFmY4Ts/Ffb4v/tx/r9Gzvjv3LO8uP/
+AP+sT3K3zjNsNXavn3xibLR/Y5EiLzfIobrDm4ix/8dyfnv3llAnnASgjCMnOiyTYawGf7dOxv8
Bj+YEzauPBeSDdvZfwOJ4P3c/f6wO7IHS5+CFky6GFl/xZKMl0Oxm5rxmJGcPftlo99bS0V7beSB
wrHw2KxTP8SlTiKMIfD6wSPM5sQEneRi2RpuCX3UNfXOo6fxra8mLJRMG4oDcKBHFqBdXlTb2kN8
bQW8s2QtJHoi9D6IzRcI6OxMRHcrTWFl4VEg0CGTdZgrr3xjvG/uYH1mRgeWrSfO1BlWb5CT0CUF
1z7J8VYW9Pi1Bds2OQccGQgj5M7TeSsz+ycAqHPWfZp1PkYJ1r/9mk03qR4phy2caY8GLq8id3os
/UG9uQ3J0bjxfPVcyqJ+7Txr2IkRC8RUu0TZrXkYX/qucaGvoTFvQCDEUT81Z29V3q5QSDZa+gyM
+qZmZjB1BG4h4b1ks3dD4uVQ46x+4q6KQXEaGJCbXi2bzoMUWWNiPrWhwXk6lpwfRDQNL1Hk1J/y
0owryEOZfB4gOpwUIbldoFKO3aFjYuoDk899XWcH3lMKGyMhkGYmJ93mQ53CYZGUJrZnjMoEuUIf
K4UXwDenotIjY3h5V+z0tgrz9l6Lun9RedAdqeFIDhCM1Esnx6/LrGYmRTK7NkO05LtU9BVM6kue
TWfVjcItsuldVM9kitKvmR70wSUlefREmRwMN3pSUQlSez+6RDWqR1UKb1cOlzZhO31A/PsmDE7C
gVzUs4vH67ZfyuxqreiBtBaqZELm1ztKxvdZt1q3RYbxj07ptvvE4s/ojUMf+AjN5DBsp3QfjGOy
JfyJj1DSYDAJJ3u2kOheuryqKdJZSVU1iHBbYXAvrwPzwr7y3Gsc3pgXpNQ0TNAvwAhM3svUgY9h
D0W0KRDo0OOixDtlnHMJYOkguVlV2Wx7xhubgOt9xOQ0d2/aqnmKorndw2p32AaXovqZykN+7pj8
sdnNrb/trA4/jhtW9o80o5Qj7lQYIa4wP3+s08QraYmp1FvnYWk8hAxjvrmBpQm8YgMeCG6NWz4z
kJVu703vqLPm6HPGpVajDbLPnhUMV32C8s+FybYfsE70u7kSwdFxuLK7Na52xMVaUK2Co/WZ+f3y
5swq1Buu0kTmhN1wAAwJP9N03RfBBitD5cft5ZQrKgdShVmta7cq5aFbPWpZXIxzzpPoyQty1lw6
tYfo5kavk647qBwwfuMyQpDBsalEdyB1jVt4UyrdZ8duGHz7Lry8L8x0VmYl+7yUafg8pAv+Gt33
+SbhQ3kTg1vEwwLWHTTScdRpvdXYvmP+GO8aJA2wgCKsljvHmJpDq0wn546uG0V/gCR3n88UozgJ
7hyPMTyzQPtHTmQ7rul0Y3omEuDD3KGp9xSbvnMEyNcBLyKZ0VsspemmchEbltXT+6xwoMQo3+Dr
UsHs7dxolE9TZI6opXAf8A9HJ6ukVIRE7tOQh+qWKfUrR4AcOltNeAiEBXU9H07FvYIZ0WxUfWBs
wkx/iJCTa0YsrKb1WZE9PwWXgTE2ausYUMzK4R4Xddl1lKV5FUMnFoUx6G5SnMXMceDvr0kIxR2+
TEgXFBXhVXdTpsS9hO2lH940lIeQGPxrpv36dnIL/2qcBG17ER13oPeZbk+DuisYFjFbH5tHiQp5
29fUQXik02JOLUAtDKdXqAnmiWEZqDM6co7LCEKmk7I/tUGKTTBqkp005Pi8Jv+KAcZ96hqHwVut
pktpVbIPgE5QWDlzAPQiZzMl0ZZy7vHcldh2wFCQjMoXf3ymwvl+avvDBCsGFIjPQavPU32XpFSo
+Ouif0aX0T1otfDFYero3VgmhEekGlvSm1K338cxuy9mh/6rxMGQqrXe1vkg71Du1JsKrXGX8m82
uIPqN3bs9miF7rM38fzjR974VfJROjBUxzq6tzCHfe/zjCe9aa9bBoukEwJsvRHBsx6zsqz19UiN
yrabLT751q22FnUm1gV2gCxEpbdK/P6QuFCf3UzLPd7y4SZPGXjVQ8VpUDRmO0sJXWHx1zeL/+59
nidrnJaAFlz4ReeQwkubdm1c5X7zFCC8nkquuGRXy4koai9jutc9CsRN/dAjOcWOLBVo4Gq9ZY47
epy+jX+VOglxNvDBI0dybvZbMvEkccsOqdZOxPKC6wMpiXnYLZHQlnyhLOIo9f1vuut/tB3pBnsM
u5MJEnefoozH2vGyLVfk6p67WIBhgD4bU7rF16at6z26MsEVBXT53tPMdssJoidPAiuhtuyBWlIA
mIC/2FESgupo2DI7IamuR+JF6rbV+kuHSLj1OYBdJ7m1voBUO/u1xKvtV+eyljEo5ZHh1Iy333Sv
/3TGu//9TPR/6rG66MV6gG71M8/zh7OSj5AAwAEtkOEPeJA/KglEuulPXBp5FFMmZiJuKjpldWRh
hMPPAgFAHka4mBU9GKdxxgZejn6FeYFbq9HEx2FchBmYz9J8ilI3vTj8Kp1vnb7IaHZlnJbFiHnz
vKU6dfnmX84XoT2Fd/ncWWKL4cq9Skx10Xqplj2gqlwKVjM3eM9WNiG/iEKYU+ITAIfxSGpGAT9m
2S6IDmysnIn7hvdWfZmaMZoAD6T9uepG/xzAA99isVkpfDI6jUncM+1qKE7NnVl/c6s8eKJtfWJU
izbXA0M4iK5nQb0s34R9XOsrUt7oxiZPcPCmdfA1arV7K1yFJ9RaWgK7abdsefAw47VRKtanwB+K
z74o23fAr/a4oxXcNeD/Ot4kvyn9W02ZXXqYvUAF/EiH4SVpg/rDSoORWm1/VD+4Zjbd/dLDkZkG
/ZXAwryS+vei4S7EahncFzYt2HG5VvPjtDDb2gRhrp14mQSSvje9zEb4bFGL6NW+yjmlb1weo+4d
QUB6O2+w/NdOYx6L4D6d18At30LoWawIl72wmidCB7Uh0i3CtHtl5bmU0Wr3SUyz9a2HEAApOlSf
pO2OFxy+yt50hnO5sCYscnbG9zGc7FeMu32cZql5gLWdc+aBcsnl2y6uvVT3O3dpXKATrrqb4YJt
ddjrRymr5ZpZr0udgxLbtPbLvWvKN+E29gPTjZOcHQ44l/MCp5rlW/vzEDEZzTzKwn9JdZTo/cf2
54lD/Tx9SIwmfPMuZxJ0H/mBZhfeG7/oH1e1Oq+2mfLvpQ87g9M25uJI0HKOae5KrRMnJsprtkzx
5HGu3MT8TczujxxCGdq+HzqQO0jX4bqnDOOP37mU2Rkdp8t8dPDk5gyBlhzapxf9Dcb1FzLc7y9D
jQjXLrRCSkX++DJMMFtnzO35CGihOAXr1F2MAbsIaOxfryL/8oUk6hHVDlzuwl9eiCq9vFoANR0p
rgYBTmyAupSZFPZrJbnv/w1i80/ap88lyPMhpDr8zQ1/weB2TAXQ2vvxmJqQE91wh/EecNm4gTu9
W8fi91rV/5KH+udfjpcLuJRKvi7unz4saidWxVIwHoPLoqy95gzwm0SMevnrN/HPD4UMJJdV4qMX
pqD/y5tI57Ko02YajxVrfrj02JaXv+F1/qtf5fIitnQlpaO/rvUVyT7bdefxSO6n1Dsq3ekJ8wsD
W7ezv/31r/NHjOzlGSeJBlGdV3Mh+F40+X9WqAUbXeklkohgfbGX+7417hv6gs64lMBL4VQIj3/9
in/67VAjIJL4vGIUCCe8PDf/lFwFRLw4ftcHR2wi3ZakyWskHT4xCVD9r1/pTx/V5ZUEH9Ul7Svc
6JcnMELYXRXw2OMIUparANUP3f/LS7ikiIPoslIEv5BVl9rD0hmp4Jj2uiehE3TcfsO/aX3/l7+H
xy/BEcDzw+CX34PGn3+j7jyW42bSrH0rHf8eCpiEW/ybKpSl9xQ3CJKS4IGEN1c/D6jPkCU2Ofpm
Fj0diuiOpsSsAhKJzPc95zlQGTrV2hFjye490sU+SIzmk+f1vVGAceKxtjTV5hF6e1/KcBLUS2x0
W42uITTRkGnNR9PfvycOvYw5uQUZ0ktkyau73xuxpsjSNNkkkBNHH/15nE/CHw/y3hSjtUMZi7Bg
nZX17VcBqzeFyFXNXRjF2bqYQEaxF25O8vn4/dtDUTcGAE2JyubPwQRwVTQEkZIDv1cGHU2+jsyf
2D+TV+AnI71zf5DHMMeI5uG8NNflXj83jjSLWoPXtxOpK0+cn2WgyPA/m9LvXDzGEbTBdN5/kPje
juNb0RCOctKwBNjXU+snS3iKBhq+Tv3kxffLG8JmhSOlk3WHmiJm/YORQg34X5hNO6uoM3nRTw0N
fXRCzZqeu+gWYZ2o01rp3E9Xhrnv9mY3PY/MwmqhmsBbbx/M9UBMTapkBUpe4dSrnLhcxE7uFX7Q
TRSjRomz8rpER7L6eLK894VnWIFgJ8X0O8QFUFBhFS9bdUcNzMIdFbunJIDo4xZpcXAdV8jdV0TR
KHcfDzt/m8Nv6xIXxqMA8wBUwtvrPLBLdMyJQo0yuuQ4JtmQkTVBBQqdctUdE0BCNVQSRLsQk0Xy
BFG64yeL/nvfnGKvZVqazjvtcDOgSzPqHZqf7Gyg+th5G+8Ht7Pu2Op+BT4onuVcd/34a78zkQmB
ZLdD6ZtOoHtwk/sJFBFA+HFX9m6AT2wu3iYc8zdTkcVXH4/1y2sUoCf0exyGtmPzn4OpXFh9Ucuk
H3eWUdX7KBw3LrlPy3wItSUCkLOPR3v3mzngMEif45qK+Wq/WkTrSLYZZ7pxR7uPCMfC7GSxzkh0
XXdN/MnkeefOOXQI5kbAjFe258/yaiysqZh44eDuBjNYVBC4MTVT2SmWH3+ld1a3N8PMF/jVMLZP
vQBn4YAyNTqhULSUmv/7b4U3QxxcNVQtgw3+cNh17onScsoRzjHpKB9/j3dWlpdmP8cFR2MTd/Dq
GdPG4UVeskqD/IJyZxmnVkmjop7r8l0H8WGgR7kCtpt+MvI7k+LNyAdTMI4UWLghI2utse8UY4tu
9+Pv9s49osJmGgY5LLz6D6cCknW36focGAFAgEXPEdeLKSD8/pbKdQBvcxISNr2hg9sELrwsLa0y
dnWjkJyu+hdTx3vh97/K60EOlkTXiEsRj52xy+1OPIwTcvcJFd0nG7d3VgWX5UcIjccHzO98QV9N
6qDPUfJllr7rnEJZUkket8GgAEhoY2CDPFj/5Fu9Gu/gWTUtWaH1Y7w6gMLWS3WJLS/85En99W1C
7OSMnZnzLylIHdwfhRNxUYWl2DVzUwjVtv+VyDY6RcAw85te6PlVJBwKoPkwVDdhL8Qnx6Nfp+Gc
R0kZYF6RDOIb3l5VihojqVxS7Nq5A9XMvagIkOP4ycX8deFjG8wmCDUl4qJfTmESCGtYkyK6s2Aq
tO1aH8QnV/LXJ5YROEbyjqLjxHP19ovAjM6yKeKLjEGVrvUyWyOal4tIjNUnI/26Kr0d6WAiSqk4
beXkYuebd6hjEdl8crHe/yovEie2phxa334VkdVJB7kLDq9SIhuwj9Agwi1ULz5+bN/7Huxf2ECY
liv0w45xTWIHQeAAz1DytttcFs1VgpXBQ7AHJnfuyuVzfw7zVPjJXvWdSUfZdS5GGTa7/MNaUOKr
IDMnxdhNZoWGqyzr0MsDI3/++Au+Oww7JLb4LrNbP3i4bAAedW4zDJUzQAnDBiPqJ9fw3SHm5YjD
N6/1w1k3VhkB6FUgdk51SpX8aahw/P2Db/FqiIPpFqschBU1Ejjee0igXVvszSC4/HiQd+YCigaH
RWjONPllLgjsVjgcWIdMd71ugq+UeP/B19AtIm+4Ezye2sFCk4Ot7RqrEjt8if2ioiMNsFVdffw1
3nlyOMuxNRcqeylD6G+fHJWuTGKkFPbdwDwNXJw91bHsPrnnnw1ysNI4dU2LNmaQit+Oe+smhK3r
WnH6yRX79Z6QqIOPGRGLo8MkODg72kOtOQE85Z0c23YTuYGzzMA+ZI761PrRelZqrkKHLMmPr+Gv
SzXDUk6gHsfjaRkHN6pW2yyFLMGy4EfuEt8l7DJWUw4HQPw1/YpGmuN9POSvV5QpYaFdcYRO4fZw
PegJSahdskN3xBa4J4NqyRv9RUIwiwk+HurXXQRDuUh4ELpyhDpcW0v4ExEuDthd0lU9JWppV1XW
GlQuk9Lyu/XHw713MbmEmvVSeyQU7u2E9AGS2nRNuIe+Bybd/fbxr5+f/beHUZwbr379wQoX9COa
yIZfn2ZhuqUnIDz49Jf/YBCKciavCZVn6mCQVg3rGF6a2FWAW3VLGgZ4L9r8n7xWX1aAwy9DoAth
RTpiYioZb68VPWs5pLRWdqOUebDASZiciiChNztmyUYqBWHumTkCgkWHAtAn2RizNiXu85w6dUq/
zmzDp3rWsOC6sT+5k+9dajae7NWpwPPqOngsxKQoThDD82lRy9SK/mQ6pAq8XOnf0uqdRM8V6Yk/
mkPp+Rt9+nWR8efwr/xnqtNVm/v5asp5j83jH+FDs8b+//+/64ozdvX4GltJ5/ePf/aXNh3iEM0P
lXcUxa35uPSH+k77onFW0knW5ue25jBt/tSmiy/MWbTnFv+EEuZcq/lTfacTyu2yu2K/SJg2RMzf
Ut+9lKbfzF3KX4KiOIs1andXPVirZZ4oqJy0lmQy0lLbpNFRmTnbrMtSxOnDPfWH2TEVpksapnCk
i+Y7rK+72HHuicpSL/0Su69Z9t+aMbIXSQNHvhksLMKKphBnUuZX4GrrI7sD7AUqMvfQhtUwauML
SyokJ+hdCAgDLRpAvFNbJhi3ozFcjYV5DxGMTIh2vCyE+j2T6TmiFwIlAhNcmhsLjHvKNxEYSFsg
YpmFUj6ERRksTKsbts1I959r6DNq0D1ENYvMVBxXadyFmGgyEnutABySj3FUN8nnKNHu4mXPYVrZ
xlETi2kvFWkdhzk+ugUe6myODBhvfTe4VqPksQ+r+0QlTAjA9DidKLYwcU4PeIaKFlNcO7YLnrn2
MhtjCDeJOJaWNpA3S87T5I+FFwDaBu2sRY2Llm0coOWaWvtDa93TegwsuIyGfYEOgLa8DDGAweYe
axMhI57AEzvGMKQMtf9klIGytQTGSDRm0quskjCpHstKUmlyr6aB9dRY40M1APAyiMompKGrl7qb
8r9yQz61lquc+FZHVi0km0XU9LE3paaABVG1cMuK77HW4EbGWnlWqbG7huAVL9pY0xeaiqcP8gQq
jxAkRe+W1b7MBv3SqadvUvrRsqDMedazs0HYON4LR4bLPuHQAUBDXWS1ekwSTQvjXYTeNCrJMunS
H6gTk61duA9ukyae1fHXqdKOIQh/tHFdpu5RXTIBnCTdqhx0jyI7vY4s69pu6hhfN8agLBiia6Bg
tZfYOoItEHIncRmkl6j0nKWWIWGaEtfA6hTW8CrEjW3E/soOFFKa4vKO+ep+H9ScSHFsmqfAlCvy
D0jE6WR97Sv+NTbklVUMGQzJGsaNSLxO7dxNndNcx//8Nc0HdRs39aVmymGVNBzCEZzXa0xGza0a
kI5iWg6KAPcaPNY5oHHmLM87Udao4uouI0gHDpu7IXw28E9iA60D8RKIwenNRe0iGCt5LqxBrjRT
UUhnSlIQAnqKbjTod2RRyrXFHDxjV9/toTpF2wCwIFaCkOXMrTcTyYItgbjh0kkrhIegai/rWDgb
XYIBUsz6Vgvq4SoD77DvyWkEnwzbrRHWjabG+iaJuuw2jZNoya0C2GmOwLuSmHAwt1WQghaygxeu
lzAb62A/jb2FlAoBGVBKs9K91q++F7KCV4b4f2ENk3sK3GS4CAbb9eQgktXQwyxsamvP1sQ4Uysf
OpRvkori9sSQa2m4GKXTnqnxlLVIgafnZnRxMaPYAilebB01bjBxTtqFnzSQkZQIUT664XWjuiT8
1L4NQSCA+tX0qE5wLSA0DOe0QOwARGhhjPbcXmnvxtq1brB82dsSNsFdqtr+UlHteG12aryJhB3u
aCSOR6VtRjduJMtjYOEIHEJaw5fppCmnblZNm8xN4zsr1+9UeoNrjBHw6khWJjDgXDad/r2TGqTC
3oJGE9U1cWkdBPdoACXlhMocVyGfIrPtv3c4as5safR7dE39tmmcdEmYpLlUbOD/2hTcOSKVp0rl
HPlKpnu2tWgC1V26SKhJmTEKxFolrkIg6YQ9GLGXDQlZsF1oH4k0i8/7yZfHvtbEZwhJtWWhtset
FXVI/JryjtzvdqEXWXXalGOLD78iDSHS9FU2gzi6eIpvOkB167Qfp0s/xF9s4ufQEcF4GCmAVMXt
Be8hhRasX65N1QyeSKubtlqKC3Egl2Uy4OIUet6cFYljeo4zQQHJHWQ5enQ8IDbD1y6KC5MYDrxP
ol1Umg2I27b1hTE4vodZZERchJmLUAq0dI1Smt4Lo0idzzqDgoxMybCH+xwRMIAbrMKR+V3TsK+7
VqotheteZJX1HOnOSLoYVgdkPAChVFwT1DT6OWl6wo3qs7z4Cbk8uX+rioK34vwZ9NQ0VgHB5sui
cfU7B+DeEjszzR1/ck+SJETeqHemIBnCCPonJWiRCsZ5X13r0vlh1vFJ1resvtrW6UNtRV3gDH+5
u0BtaaBfd8IeS3/YrjsnQQuoxJf2oMkTmloxiC7HWpW62a/cKbzFYboxsbl4nFkqwLGK+5V802ld
uvJbMTChrDq97kpUWzHcFy9P1dOpm8h6QB3F2y6+qZtK37WK4i6r+U4DL/TxJiE1dzKWnsbNv+X6
9IQX/qGzyeFYKLjwV6luhyu7xpVNokC0H/zgPApLkgBUDsyBoV9EtGiXo985ywKAr4c9XSyqCeSM
iG1jW3dJdR0YWKunOgBFiyRyawzFo6qwCllZ4pHKvrIa82kES9wL81vW5iZ0V0DPsIx/Hkx+ayf7
/h71zTb2v7fZ/T9kxqSiRbXu3xsxP3Sc/PzHf7lNBMJFhEXU6DkSzaf/vza8Jq1HavqU0FB8sBP+
c7/rfhGzQogDlK5S759Pan/ud60vs1KJYxUqLJ06uvE7+92ftYe/97vgCOkm0Cs7LLAURVWGcaiG
O0eH5eP5Wp9ZAJ2K8azOM+OmL+jOSGBXbEmNcsqwVnT5NZCDcVWRpPGtZb8WH49Fr2m80c1pq8B5
xHcwC2+XBcVnNkBqTyx9aPtsiHXOWirEFS3cmW3m9GcDdjTC55Opv60tI7kccTTj3k4I2TOPZDQ5
JxNiqHPAd6jDS4kiS40N0h3DrincNZ7IWTCpdepZiu1N9Xzb6k9caJW7vrdHyoNxfgTjfFjDeoLU
bLADNnmh8q7o+oWjU5anuBQgsfabWzdWJPlZ5EJW7UyRLICpLxtu6ZwYF6/tAY9A4xSEkYlJLq2e
0PCtY1UK8aKd1nfpJig0NpIAu8zs2IaWtJI2jDmQSPa4r2sOmilvQtgvWCAvE3yBYIoa8ywba+O8
NsLgquxHFvwqWYPDM8GETO1s9tcK8KOZuXRaxTkzG8u8yxVp4DF1oLpgKl2HTV4vAnVsVpQWxnOn
xw6ulNb0qPHrH0wQC95AwjbGcJ+PQEWdzSZFpiUvr+ix7rDqDGnlw6rIKGeohnXewKu9xI+Z3lZw
6PwFTplyN9ktRpsK3dqJZAdAenmmA2Rz9BNzcnP2QlFxVtolNprAfKbUPVwWLHU/0Gm1p66Aa78f
oSsn53lB8YHIkrHqbtJRECEHkp6crYRWwMaFTXUqJ8laaKca5N5l42diutLLSStOYlic+14DJQCT
vMseiBshKGjgZoXIyR32LkYkoT6EU85w9qybVYZgekTdDvNdKpUMif9Ju5Op42svDfZq65gf2uxx
h0Db9mqZ7qMXRa+pkKkMG0NJLvsX3a/zogHmpYkeOHnRBgsKJgRv6QGknLxFvov4N4GYD90kOCUJ
zt1bbZCBMhCOf5HDPr5H9y6+t4XVbvGFcJ5k8yGWhixBNiexnkFjbNkAjS6ZLXBpnIHwF1D7lhkn
JyCzxGnoW+1lELsgOGtDu44yoazLyg8uYXfixzDUKr+aQO1daxPAHKeM0M1PIgVp6/QdYVvCLICh
1/ZxmKRdvsQcZpL4ZxVHWjbTRQRScw+RpX0P3ftHJ1uFr9rWOiEAZgzJKhmHh8oYK6jLQ1tiVQZv
+1irYXcF713c+4NNsgOcG0DsI1rQatk5mfFA6oLWcXbtfX0p63K41sSQH8eWYSSLISfgaTFBaoFx
SWbnSqgzFhX8CqYiY7KeW0DnW6m0TbkyhknneBEBituKoRkfVKdSTntVwpxQct/sFhlnnEtFxOWJ
aO3eUye9+6ay1YyWalM7d5CPQXxDRCQENNLV4F5v+9HHuDpE2ZLJUbExxC341amq7EoOanVDWqpJ
yInwc3c5uo57pMiE0G8e+Lr1AOwNqce2DZ6XpdWjcTKIPnyCvw3+PJdOeVfCU4B4ldj1dNQ30syP
Rmxkck34IhAjP7LafRjrVbKZKsUGuE3KwkLDobo16YLewDAKz8EjOU/FoDVXTmeSLlXYyZBy44Ku
X2bgoXluSu4rOKncQows0VkFnKLX6GUoUwxIWJNlo0bK2RgPrGO2Ss7pYoCf86NpBRCkmpyedFHX
qsmMbXuX0LC8/TqFhvEUKPUIM1h0drrUSgudUxGVwX0+RMgtk9AOdgkVXnjPGURjXFfYj70SuAnp
m13Sgd1Mylsti6d+qeQIalLCl4oF7wD2Y4lDSGOj1EPiJeHUHNVV7J7Fju9eVqGen/YNyZtsyKqv
OWgDY1XheCAImRy4aAWVgyrC5LvxYyWUfgOdP4ZDhvosXoo8dZ/LfEgvLKYmMZBG1nLyJwGtXoLY
gw7AE98gy+aMUnguV1T3Iqdrn/A3QZaJh0gIsrlG3O6ZH1XY3YZRW44RwMLe18YLkjzzhwTPdQaw
HZDaeZcM4babdPPRmsBxr1rkDaeOJaevctAheZRG/WMIVAcHN6SQcomCMLgdeyq7eDs4JmVVFnbw
pNmZc0YCurBuASDtwiBWSBs1wpuqs/T9mBtNtU8gj8QbTpIdGYyV05/mblid2Q6hvWlYTpdWhPug
BzbuL2xNHa4qyp6DBwPX3+GRIiVIG4x0hydKusDamEBLXccvcdZORoN1yOnGjVr2xmM35tUOul5x
qmoJv9ElGGAhqjnGE3MUb/2wrmbqUKkM5woJuwvajf0ziJrmWyBJD6UEgk/fi1rez3i+VfmIe60D
zJg39pJCW+l1ucJxejB7uqBBPN4GeL9BOk+KGy1clxPRwpBhT4JBhyCfTmI2Qh8gCAp8mlPu4qlt
roWZxpon/KFgO5AaebAJFOKNKPOWJ44CvjudD5yt0w73BOWRMZgpmcXEq+a1SUbqaHiskMYRTKwm
O5eAlrtVh/Et2gylGLe5ahfTDO6Vq1GGeBJ4reBaV1N3WsiyCZ6najKOaseh2+WUw8QJPwsSgiUr
pzqq47QEvtr747ifXebBzrHdKlz5AhKsdNk5qMRR3AylW343k97ZqQQD3plmEt66JByQy6YDFOhV
RdsVmmjIOhna3ZhToJmUvP2RaDOS1jcEmD5A/H0Hc1/TdqAwwYQm/K3YVMQ5W6nCswaObBoU/2IJ
F9l8FnZQt1QLpHltd9W0n4Rq7AYKWyV1zFE9TUlr9XQlAaZDnlqxbkmfABQwSR3zmFFdGooZDTzj
eI55YjgEdtzOpwnr8pogrTxbYhMergtp5zv8YDWriz3ZJ3iG0MDUKehz1tHyDvcDqdkOJ+iR6uhE
7dPOzwpXtYk37a10O2h+AyesE0dQ76cjX3e6i6E2zI0sCW2FFKZREQwCcRy2RrEFJ299DbKa6Wn0
cAj9SUuOK43yXAj9EGOVnRkEp1tmeDJWjn5TYPxa9f5AaaZM6n7TJal7xj6leGqGqSXEGCQdNME5
Dw46iMtRPxj3gTakD2PQxVcuJdW5SFhvFUhja3R7xd4lXKOakQ3uP+gd/E9OXP+JvQNAUJTs//1p
6vgxqcPHb/337/JN8+Dnv/t5kLLFFxqKKph7OsL0hl0aOz8PUrb+BXzZC1Vm7nw7gp/8cZLStC+o
VYDaGFTUfprz/zxJ4einDYGgwHZJqRKW6v7OSeqlifv3QcqalZRIIOyZNKCTzeUeNJNNiPFhhZOX
o0RGe6veuCQHHwdZ9YCSs18QlwUTpM/Jfm0hqYBOMm31lq2delzU3b3Rx19bWZ1a1TRuCOtot03Z
nMdBzuppaZFXULfzSlnzzjfT+8apcVKS/NibvNG6cY+qF/d7y0YMw+tS7+NPpJVvm60vX45oJNoz
6B05qh5qkmOStBtMkcIbCA3QqNkn/o+csiuohE+ah4cjCe4k5V7N1fjDo3bQowwUKlldlgnYMgVY
8JwkbeWY8BVPk5/p4V+0+3/fMs69yLQwDvJfdF4F/Z63fUoYnn0GEUbxcqt7tv2SjOcsv2t4FS4q
Kmd+xxExtbrEU0tLejZ08SW66W5hB2W44cTcbKdWbkRkf+VvXROHfkLy5YTHv7rnxXRUWPYjcXrC
lET9WcVTBQN2KY2Q+IK8PB5FQKolAmBWdZVQprbeGfVcgGd7wYY46r3QHx+tbvpaltGDUYJtSRPV
/ORya/O0PLgGlBIQdNFegxelH/S7fBNX9miwNheOswljkm8zAmFk2Kw5Am7c4l5m1qNCZVgP2VlG
PkC+LvuWKuH3V8/7+c8RX3s5XwZ6+0Hoxxq6YWPnnI1lBx+EkjR0ycCketa0hLCXVOA6xb53Akxf
MN6eaZscIU5k45GiFJyuC3O86PzY3uDDTheZq18YbXXFbs4bzHIjAvtxioOHbNTW9G8+aaTrs7fk
9Ye1kXKwCEG5V23bZAl5O3NgPzkK1XSi3NSJ2C6Y17baY09Wr0rFgk9Dv6UtdkQMbKfB2kSlequE
0K1A3S7CISQ3LPY6DcU3iGniwENCaK3rXlafKR9/ubt8TupEOjlePEpIQQ4EaGZQQvCNbMXrovRK
0ude9xmNu7IfznpyJWu/1hZZ3KsLYTU4IavpoSsnhCHVqmW39/Ednq/JwTV7/VkOxe5oQbSU/bjv
+TQ6BqlS7NFwNVNZdvRN/elwL2vS4XiWymwS3ClbP+zk2mwAnSmli8JOl+S/QBYLBwNnm/XMCnFF
VJu+dkYiiruCsNxyzsCCEk0UXPhgj+Rm4/CuV0HPgSp383u/BbgICSGL62u8vckRWK102frusPbN
6MLN8Mw2sbtQjOnYaTisxpZPn1TLqQx1nPn1QgNi0R4hEow5GpmgCAQYAFxsa4KXAVZDvd6ikib+
xyxn1SjVY3ywxqoxpvOPb8TbJdZGG48hkJqQxbtKs3FQvZ28o6ESWd1wI6ZJrCYRrGN5OuB0TbJP
JKnvPCbU3BEgYWtiIFycb0cyiSHEQMczbcT2ERbq7zmsAO63JNDFNQjuqMO7eOivRDntGhrbxqh/
9R2oGV3tP1S+g26x/hYQzpqrybZK9eumqU6GIt18fEHEr1Pz7eecJSOvFMkqOTGBLsuE1AXreNT6
dZ3YUK/i7N7nBc35ueu8UHbRIgRdskiH/KQagHY7ErTtBDUOFrlyauHaWA1DaWyNOOpOqrrKgND3
ydbMHR+gryX25Kklt23PzpzzxGlX9N1CSBDOdL6GhaJzrM5dBrbUDg7qNAK2LMWsPxhBSZN6DKSt
aTe5KO6GJn70Q3boA7DnB5gMtzqBP97EzuFHJjtS3v2ggpdRBke5VUwc3NPbj6/Zr5OI3Y6JUmK2
W8yS57eXLKH10RKC4wKo808b4iHNpqP9YG98qa8/Hkp7b6xZKoIe0KCWfqg4BMNVUvkqOD8QkbJv
2+mOeopxJKsxuA17TczwjYWVjyd18COwo35ZGJhqdZcXbN/QrZ5GkmeM2KzOAZF+8uHmPcLbVQax
qMlTizaFp+lw24d+QstMh9ZhnKX7MVjbpnI0lTefXIH5kTwYBYMEixheShuv0MFOpdKToO2sNFjF
oIedwR62o0lpHmTtZorCwhvr9rIPpHxMS/Mm7scLszZWsUqd0RZ5C8QFGGBZRTldqeGcbOLwmDSx
ZFH59mfq7fc+6Yx1pLUIwAo/8Nt50cSGTzZE5HuOVbCqRNmasKyFGUrSKlSqlVZor1XVP3L05pP3
y6wqe3ONZke6RSAu8CzVNg8XG6qOzVSAnvMyad/6vc0SUy0zt6BxqqMugB+efWYK1N4bE++WDgCM
Nyyq+7ff1s1GVdiJ6Xpu6W8yfaYGU4reSxTGnh6xtc/a5zDpbspQkA9lPeqTHi595QlOQ7AMlaI4
dYb8B00/wkHtZRRffzxvxC/7FPJhLBR48yKMZPfl879a2Aal1ApVbxSvpnccxTBOTH/txzwuZBoR
C5lM6ZFgEkFe+BGb4b6drIe6qIY1NKWvVTkBBrYEvdbuRxyG62xQ10FXEMaRROe9hZQv5CRvwt52
ZfFMrdBZ2YQ4dKSq7Qp+PEnR72NClhbZUHvQd8t1Ytbfx0y9bok/0moIkmO+7mh9iMDvVx1NkE8m
xYvT9M2sQEzGsWXul/Hs4PB/e4fyKGo4bYS2V3f2tZ6ZF5NTbO0cHrVEpLhMXQzKlFxP5BBQ8PT5
fwpzhiin9aoJ6sum6i9FRdFFVXRnGSViOegVL3ibQI5MvbdLYpAyt+7RSlXHQQ00jRbT6JXE9VY9
CRTEYhzbASFFke8/OmYB9j5wrjrD/Uo/40QjLYp4h11Fuk4XIwbrVbIrpnb6RgaDJNOuPK1auKJ8
UE3NztJ0OB7i+DghYIZsJvLMm8ZTDCOYe+ebprFOCiXZlJxBVoNLFDhB6NNa5AaUfKNcFURgLtQe
5E2TDR50xGEdEkRpDATR86O9bsrnvgrOivTentxV1Hz/eDL+8pKlAUpsF94OxH9YnA9WhtbKfRgE
BvsxfVlOW9PedsW2RAZDcO7LSP/bPev/Q91oVJS4HgST99/XULzH7DH/12P+7V+UWd9UUf76x38U
UpBMctBT2ZKxUhL9zJ34o5CifkHNh4ZpVsbOFZG/Cym6+oWfYOrm5KNreLv5LH+2pNUv1OPZCXCM
JJaVd/TvFFJc/WAdx12NNplVFU4GoT6H+3ZZKSW5P5pYaXH0o7WtU5s8TUkyRuyDbFVjyGUjEsQO
5VkU6Bdysr7aFcF17kPYt4g0leAIyc1t0loblOhrTVFWMYjsat/05hKuAyKU7iTs1dtSNzbkU60l
eS3xVCGfI6fTXyEbOtKqpdU6a7rCq7jMj9O42ooy3SWWcWFV5qlpkcNQigvha6eiWJCF9jQE4Xok
tdJJyytHkVfT4INON5YiLLAWq4u0eZrSqzEAoUW90hxQqov+xJbOjm7hsSbFaS6GW0l8rWzyc5a0
lRzHTZpZFIwab9T9a/aDDsovcV1bwZao77PMF3D/QjejU1ttJ4rCVEjTiyYgw0fW8TIyu4emcq/p
mN3P+Q28gAWp4NauVJIVb8tnhTDeUmbHc9Dcq5l3/nN9fX2afzmtv152X24idnKImMwzIuffLruc
IPU6VBWxYms255osMhs0YV+emeN4ZhNWsAhDBI6TvVI4WHXcmY8/wC9beqwBLDWsNyY1Hsxq857y
1ZuP7A7QyHrkr5Sc5p+MjrF6rYmHBGs2miCYQv1M+OR4t/50HpfTLYmVxjFbT2WXWQaBiYvvI/2X
NTt2a4nqKFrbmp+tyIqYu+Zbuq0JbLdA2also7KpBtVlppm3gUYFZoj0sIXTp6vecGl5kPJUFL65
9V1aDwPwPDQRKgds/XmkXbAA3XfREms01RGBhrp2Z5T6ESLbEyduj6BrlXtQOMFP49ZvLZH/Pc3O
v/1b/4l15llszjnh1Vz5RaPuPX6rHl+WydPH4LH61/ax+55GB+vlH7/lj/XS+ELD8e9F0WAX+Ffh
+WeREhk7/j68zX8VnlkvORe4WPKoLZovtcW/l0usU1QmhApTG6mQ9jvL5eHZaJ7n7O3wevFJ8CEf
nMPiuNEHttz+qpdI6OJhQ/jpWqt1LxnEJ8dk7fANzssCoIvmMCDoAN4Pb5+pIFNkIc3aX6GRXXd2
dzlm5Zaj8jovzPXkll8z6pNNf+caa8WezoKMePjQuIeJxbZ4OBrIEEP5uX11995bauY99uul5uVT
GfpsF+Pj8Xp6+6l84h5dKyv9lQxHchPApVp9s+yJr53Tpydq4raSLXmO1w6BabRAvdEX2cIP5MYk
5EGXFx9/IP3lmh98Iiz1gPYNXmG8FQ8+URbaUgGBQlggvaUNkN1dkJviEqaifzaECEykqaRnMu3a
ajFY0z4q6KI1k4lEPunw1YX5g1Ll5gWSvvTIaB0fUz6iUTtfy6EFQZb3D2RSp+wX2QAurCI/sbpF
lPQoSTqiP8yF3s4BMcrKYF3SQ3cxZ9eWxeSVobkkEPBEpeZNy3UtRe7FKfQzhBdtGO0t5bLXi8uJ
tCD0LZ4oO4Qj40qhttW3LlUYfR9Y5JKVBB9a+jZCIFxW9/jIiCilz909KfkR+EWYtr2xl2isdbFN
3Nuu7e66NiGUc6zDpRzsnWg4obU7ZyTXmPBpg1dcVqdw9IKLCaKrHZ8SXLmc1ImE13GV2f7eJGAc
HPHC9dPj0eyvsi7fG4a9pke4tRIittusWZexMxKdTeyIbnvAiZYKwYitqE660FrXxg9S1zxHMGba
I7Pv1gYR77V5xwlqD0JuaefJTktNiL8QJCNg9k1KX7XYVnW/DNKay8MwLpEpZX9ZVOYF93MRgxRo
GyvjQNV5tjks9LjytPIptM9IyjvOp2YRRUD24SyqqsvJkCezc1bUlpZKdJX0xVapTkdprwmueuzQ
3QvxVA7FQ10/I7lbBE5J8KB7VvsYH8bzqMq3yN6WmWOv6fwvA79uT1XXlFdR4z8EdqacwHoVnt0m
Z4qMkclOiM2WAVNLhxd9jqqqeA4glEccf7hoWSfJkRvy9DsHsfBCn4Li0TUixNKGOT80/izC9cOd
3YsrW2v1GysBZ1xTyPzadzmxPMSZb5DcoSaxUjW4zWSSL1MAlYjOchToegJ/ksyVNrtCOtuuAdMT
VVzRhF/k/TBS9pTW8Ghy3NpSEoVSP5RdcBJ2vK+N1jj7L+rOazdubEvDr9I4F3M1FJgDBnOAqaxc
VrBs3xAlS2LOmU8/H6tKtkqW3aebxhwNLxptS94kN3dYe60/oDGtf8j72rgq5SjbZW7+0hY4ps56
gH/9f3SW4BihiOw/aH/p/I/MLHmxwP2wX55tHjaB+3J/fLOB/VZpIZOO7wgqFaiZDeLq37ZK7YhN
T0b8Q4NjTSaCRXFfo1W0I6J8a0jakEmE+P/9aKHI7KJoIHFgRKtGGzRd/oq2+pbh+H1l/oZ2lV6d
PdWQDKWEXdIqbIwIhAP7yAS5Zscihxtlg2VG3J8aQmwuKwWlGrHUjJMEgaBqUuulf9GkPfM3NkF4
zvzK61dNn9UzyYU3mHUBzpBBUYkC+X2dw4kfW/NaTd3TOsU2vrWJDlel4vhfFM1uL23HjR60Pi0/
ABOTnKmQ96YBENbHshS5ThIgUtXYXxD6luCJhFGysABtWJNajdg+LbkX7hrmiDQJkONDjBnL8gKs
mhxg3iXE7kXmpMrSyM2+wUEqtq5hfzkXbWpoCDBLvnZaujJMkFJE0rxOReumwRY2uHZUq8azN5TD
Fpe5c4WMMn/KW4wPdTxEIayol8jCKjOj67VLMzGKkyqMsanFzksFFZQrPhrxdXCPzbKGe6arOOm0
8B3/1E8t/Qwbeswzmjg8kQQPs8II/BwQYNFJyfQnyjUqtMEtz2HjiZLHFfp3EDOMCcYomEnLaqFX
U0Bt7m0sxOKpIwlZsJRhESD53Ci5DfTddNXLEK34wSs0mae4S0YDqMhzp2KLvxV1TDWAH6El4p1P
LrkDSxc1PZAciA9lnrWf1NZ3EdgxiVgCCr1UHDInr2CUiGa5smphSPpkbvNZRO41P84bnNkvlFjo
l9im9Riue+atW2TxhSZ7NZUtMwVEF5l2ek/e2K2XYRiWzQJPUv9EQWkeFZK20o0VprjKlQouapnU
knOb9mb5Ef3mNJzGTqTegNIrPXCHrjqX0zhs54hzIWlPxZr/olbAhwf8cJEEqoCAqZA8YqwjF597
xPK0WZsKKgXruJX0EsZyZFdTMYwrAgQt1NuPgd6V2imobVBLfozZ6bAXSEuvFAZ3vlT6Umimdx67
+NpMvIyi6+CHllWrwNMR1E0iT6c+BWh8Vati/6l2FC3nq+ENM7dwBb+p0iQ7R6FZPoZQaaWrCsBk
hFNMkDSTKAhj/byGo5WSO/O6E70NM+z/skpTPkh9kj2UhV21UCbVLkaFt8kULPiKeA2aOP7SoKpB
FTiXtSfTimIVw+tCt+aWg6MNNqqm2V1m+Cqz9TZolq1Kx5HveiPJP1RmXMxyI4/PcGI09UUXeZo/
U1toO5aLt4wpVoE50fXC3lhNBhI6pufnleQiJ5xHlhbOWzargMARHCVa4v3CyKv82OqNAWKOKQuW
YHE7z5H3w1FdwJ679NtKQgFZTDYKirny2q+dcG7Xg1JGKrfrRAypIqHX0cgTuHtwadBWx9Mryty1
DarqWAlMhL/FCDxpx84pESwBiUbdv6Egb9Ckc+t7Ks8k5Qru9IzKYpYRIT0loSdf5Qpa95NQDPRZ
iJLzTECgmcgAU7M8bwXWpLycIxSdOlObcxWwPQcakxOX5bzqYUoRWJNm1JikGzcU8tMAJK4zaQEZ
r4RSsp461bC7JeQqjqqkaoQbdKtpxXQL7dhhfoiEoZIuL0ulsk+S0su/YktalcAhJeeqE5vUmSiy
Z52adhIfp6VIfNi2ibIUhaKaQvsGeq8AhnZyOZvrsgsqMfaN/lj1XZ98pVHNrQSgYEXp45yHVk8o
R5CQxb4TpKkVLwKglMJMK0Pgpw2uw3AIM8I5wwEg4AcVJNqKLEQED6CgzIbDdIy38AcD5Ym5hCQy
HERSyqci9qnkhwN7Dr/hviVSXIoev5JUJSBwy3K+4L5Q3nciShmIOaPO5XRy8MUpEuOD00tFi25N
5J80iRAueyGKpp1TtjfwYtedW0qf8Y9yP2hePpS2WiNGVl9rcZitm5Wahs6prqcB/a57kN9CGKvI
b6NrFojyXZb3qHZi/kF50hMi1L4xrnSwT1XR1yodv/5qAVm/1+oGLqBQOPPAav3inCW4YhBBd6vy
muhdFlAUnzlKjyYsTm7eRIy85AbfXnMBdUBfg0JUr9U+UY4NvRDWCZSAOS6QTECMKeqbTMAAdOIh
enFMWpvsf1u7N6nk2Z9dXe4hVNogcU0LbZpJUeEuPAljMbqIQVeeKLarr2vygPkkY85ivaCLwbkm
KKDkPVe58IhczYkd+/5lHmZON9PECHKniKgxPgxdMbMrv7zu5NC7JVyv19iqa1+Zu9JacnPrESGa
YpFb+J5OdLmD6CU0qnQnl0nJqhT4x1qm+xDGRGiacFXVaVSaCmnViqpUZUb+MSulO8NoJAKrlUVA
FQTIyikoICTy21Mh5GXZgDPc2TGBxg3RSfS5FirVXZ6JzGNQRSFlLrzBPTjR15hHmzelW8Fw7qpU
puDrNvoC9Qr4MYrcnieJIA1Gzw25MIiU8Y3EXr0AauSvE1V+MoxcKZieXQAu0wzym7YSSgBErYHJ
VaWbxx362Pk0BIn+UQu15DEf0g+koUQb5Jhl+tOqTkq8C9tul2b73TH0/6voeMioELjKVJrR0doi
on6VdH8rm/TH/wxZ+J/l40m7/3iL76mmAYxILud1/Dyk5gHgaUN+C3WCF/HzkJoH44I2wxDOb4GM
L1Lz4F+oTiJNt23yL6kjSFvJmO/xMw++zc0zbiVdlREIfZXZyGCC+o4ObMRubqsuObdupIWzcJXp
ECXYWKCQdF6IxZVyC3/Vwl3Evy0yj6Pqnd0ShdjQU2p1KgbRF8uuYQGsEHaaVMLCMHGTQM3cLqJj
17zvWhW8BQoJlXdXNV9kr5wL6MpDML8G7TVBG/RScfOFImDR84Szabiy9ZtavnAe3Bi4jgZgMOCA
eZ4Qwtn6EyzQaZDLoDc4zaIX7JdEh6J0wQo46xphGiJMGemBD/2aQFOF0iwsiXvzBVx/Z5pU4UXr
folBgetxcy9aMaxQ8QN6Ue7MY6ObaEqXzgtwG2r8tQwvdbNmEamDEmeZYgK/dUDqk/qYNIa8lnz/
2gn7Y0XJF2InrwQ1OglEkER6dKa0sBmKNL0sKo4BxJ+QtYW57ovrEN24NvXZ95TkUYPCMY0z9bOI
+xufaQ5McZ6gSuHbzUItgkWHcEUO1dvHZCYMinMsLdZIzV9gLvE1MPR1m/CsTYcHAcK8mLF1t4nQ
L+TImjuqShKR49jE1cEb6jWt4my0diJMHDIQSmB3vIuMdIjf/glWCKzfqzzeLmMvIrJMYQqM0qux
FdRi0UK6sOZtH93mpZDgflGs21pbsVjOkSDLZqGhE5zGyzC91KJ2CajztIyobHeiwqGiQEnAtq1j
3QtXgSAuvKpZwEexJ5WtrJU6wfhNu0ZKOidPSpykeKdZfCpW6jJP41Opo1JkztmbYAr0H7TQXZkG
bnSSdVHyCdPOe1Jz7UoLPgt084AG83KU6Xz8U/B2yklgZc1gYVicQd6cyS2KFrmwSntxnWv5olbU
dSdaZ7rqnLddNbHaaBm55Y2f2lis6MveOlGlLzpsJogOJ5D4LkQ0wgj9nYxjHOb1FqMyoFYOCOnM
RPAiC5eCnQMTM++jsluFIdL/gy00Mc3A3urP+racY1O0Qdl+kSBHEdHghDJDMRGk7oTl4k6WnQs/
vpHz/BxrolUhNTdx+wUv2fY0hSMC8FYyPme2gqiAG34SfGXuckCAV+BPGl0llWNRvc0fOGBBJMDl
x+kqe0Iwp80sQr7TrMnwN+m/vMg9vJHtlYfC0cEKxNIJjlERSbeLAzf2MNvbJyha5U0MAToJHh10
CWy6z86lLxluvH2dn0hGfpXZwUVf1ZdOkR/7TXvhedg8BUW2KDPjDLiGP/OLFBdbOAByxNpVXhWm
Fc9ceIo+CCo4W38yutWtftzL5yZLDcYMuSqN1R/xm1e58yLNsOSQyO9lRm4ghaKc2AEPDDUPkUgI
lqQdUX02lyXrYuroKyFikcqkakMeu03jZeaG3cQQem2SQ5+YphzuTyUHh1/ZwzLUJ8OuhxedV1+z
sC6VsF17fnWN+dFtrwwMFfnB0WCPw7i3FbOcJYgvTGwv4MY6B+YWOOvEq+UnsSLl4ZSlcKZETclg
THGBS5srt67XjVmdprrtTDw9JkVnE6DoFomKHpuOoL7RpfASh61+UmnpUyz47lxT0pumFJ5wVgnR
Z9efdCG8LnT/E/KOyxw124UmPaUhxutYmloxT+BkmFIjZGNaU7SwPjaRtESsDEGY/L5xhePOg4Qb
NXNAq47YTMXaBZEBLxYcHNolKPa080grz0XBW6Oe7k9SUUYswFoJUhxM3Kq6o5R6m4nYqsfqpz7I
bh2vvcQCpZ/Vw7lEKAGJkdFxxJWGTo/mNivRIRNQ+l9tMb0GAn9SycqMswh2R3i++ebaicXjJG3W
jWrOiPGuI0nmSAKTuhI5kkr4J+GO7Ljigk9/hv3RvIF/rLfeXdhmq5ozDGIoU607F5OzEj+hotMW
pQUGxQABXXzy++uhhBx45sytTq00OPZj+46cqL/sOMdM8UtdZHG0NAOsiJo44mBYPgUu54RSX1ei
Osty/3OGVMrEKvx4JcvoFPeKmgHqMco7PzI+JM5Ak6FEG+dNA4qnXnMmxrMWkLsgP3lmhMO5dafC
NrCF5IF65yKt+ngoZ57FTEPOVMm6zIKV3GsLP8G3s9GvArI+qoyaQk/2OOs1lBSoutpCSWapWqBA
NrOdImZn+gQ6EmGDdhVV1ChQSqAoU0a3iht/cgrtrM2Vj+gGJ6jDfNL67KaNqnLOqD7ObOOpl5VT
u3L1eVMgFBFKDiRLhEIqdI5mOM6Gc03tzwDNTTIdHnVGeGHk4kYtOLrhxnSVKN0myEggBVX5CSoZ
JGlwklOPFHuulrd1b57UBpA1RfTmQnAcyNpHcpqovkgtBRX/Rir0T5VcnYptex+h2QIVNZxJobIS
mnbWiuIaNaVZoNkfoxK+eY4/lmpd6ZVw7gSfe07wCX6tlu1eFLX3ARmiecdoV/30qfeACtNjbWtd
t51yJ2feMin741zKroCN1YH5ZPXil9ahmC+3C6myvvpUFLwIMyBH065s6zHiXGhYc1W4yM2LVLrQ
lMu4usJedZ0LET6ziO8owOHkSembt+CypgFRR9JjvwV3rk7bmew/Bl5HJZsjTvHJIEWouSiwkGgJ
n6BczyT5c+VcG0601E1Y7uoHgfSEU1ASqWSGi3Dui1ftQNZ2+zPRDidGB3+ePcrDfzU3FpoazQMP
Y0QfHyH9Umq+Ur7AHE75VFakXzrmdSB/Mq111OIZGX4QHegArJV3mS0H0wrXXMe7b4pBPuip9eG4
pdZ9qyghedLiHs0OBJ4dslTSQ934ODdbLqc3oKMdqkcTzWpmcoerhpWYxz5WkxNk9JHTcaKPXgdD
rJU79UHIZQlHFnOWkJleNEl/Sk7yxgVKP+t96cYKhM9J192hXbDVK+ptGI51ivGSguDRsVMG4TwO
TaCWelzNEIb+mlT90uyNFdTXiR55+VQ0Cacct70WVPS5chF7Q1EdcPibUicclvJjHebptMIasNeN
+6hGL69xH82uurFinOoyX175fufMkoLQBF9CgMuDB5wsAEOty5tQgbCITD+B+lmSKk+wxKe+tHRK
/URVYdIk+XmAHyLh07mbaVhWl0sT0AHMSsVZ5CosXbXRhFmTWd6s1HJhWqhWOQ8DaJ7/6fYcZo2K
MC3VrHUgD8pVZnXjidGnvHfw901cGH2FfaW40gl9482RTqwncgrSITGMkiIb2jmiAFFXjfTrbXTw
G46jI8AK+7sPhZF5XHpl96F6zLurRyy5y+K5GjH8dGtTdpP8vV/6dUN7lb0/c8odYKgv4qlvD7V9
4l+1EW54seoBCT9JPIIqQpUf/tXu+scfYRI7+x8b+pEqAqlUJTIIw0WBh9Pxiz76WS/8+gV33fnr
3zl4AWZNXA6fwaE6/rI6tT1YHBzYt0/0Yxe8auF7F8gUnZCFxAlqQLcP12EXWAPcDQwEfg3bC0jG
v6ULNg+RFw8e4bn3tTzoAmAHpqwOxI5/pSNetfOiI5Qj4FMkFiBVbi+OZC/GgkndjoFAWW+Av3Pt
xt7//Vh49QKP21l6/DAYBg7YxlF9IGlHYMk1yQRgs7sO+sCwjixdI1U06PgM1w579K76gMrpyE5Q
FL60MZR0314UtCNwV/pAKNp1wrubEYPM0cg+kHVWhYFDzFDYXQcDwZKPTHgZW1Ot7Y/f30DYwoB/
KPb/ZHV8NadeLAoqQGAIBWAH3uwHhTylhZgVXJjnbnpfqyOmZ7tNa2ei93c2SVk7YjpgAqUpuy0A
xMLhwgi8Qmc3/nftjq++3vcVcQDfQ8wZORck+WjY/uG5s+S/ePFhEpCIhhv7fWy8r4+/B9KP7QCF
lDtAF0Cf+zDocAAQJQ0eghDk9pPg/e2M+xBh9KoooaIA3wulujdnAsoM6sBX+7fFiT+dCfuRQB5u
VHwgm0foRSMYze63vV6NBONIkoAtsVbsVsN3tzWylg8C7eM6QUeEG4w9xJ63OsEUCR/QWADuvOuE
d7c3GgjcYVM2thtYFvGJtL5tfa8ODtKRBkIbnXLg2ttre7/3FCvClBg7IRRpNxagCb01FgxjANPL
YADf7+kJlOLIkSARJEmiin3J252gH2EkYRE+vNcJQel3sLgYtypYR5KFkosKYv9FkMDmqEB9UEVs
SbbXu1sSMfQbCE2jXh7hocFPWmdVeXMaWEcQcodS/+6nA8uN+72ntcCCMDyyE2TOjfAgOEDvP/Wr
zREJJrRs4Q7uN8d3ty8MvqBjp4E0iPliTQEb6M2RwFogmtha7RMIg9H5+xoJbFfibwiYUcshTTJA
sl8uBtoRqUS0DaAKbq93NwQwSh6dPwGhA+p9UKIZpMiG66ATTPUIySOSC3TD9np3Q4BgWeTAM3Yq
sB5gB66B5j/MJG7PjbqISPZ7zaINK/XYOUAGSUPGBGbY99TIy6lA5oQE22CQ+l5Hwf7QOPa4wOmZ
rDEcFAAC2+twNJBTxdoLz/XnRNu7mw6kvPXdQ/39HBIBgoj+kgiQ5WAxMEwqLAgOgxd5bxsBoJv9
Q/3915aNI4AwHDPk7ymiF5PA5O1xiCCbvg+b3l1wyDeDtbu1JR0XIBpHBEV4Wg2iLC96gNEPrmnI
qOzXwt1se0eRIazWQYJp1NuzE7DhgWc1DuMB0zhC5ggX0+fS27ub+7u8kTJ6K9SPREYSh+Q3SyoW
IQEoZIM04u56d4vBvh/G1tdIpcOQp4poPH/xg9lgkV/cSheh+7q73tuiuA+Ndt9nxLqoAOLWBlLm
YWxIBxiqPIiy7BfEvzAh/oU14xuAAfnz8GELXfAei7cQDj/7heea/Y8/39frt4VY0L4HvzggGXb3
3tUmhj//8yBXuz0Lv/jh89l4e5/9P9+/4I+3PrjX81s9/+XKe8w3+VfUALaF4v1j7hwMAe67yEOs
883DY+EeFNW3teTvD/Tf/zh43Bfr4S/bz6t489XdhG/dYm8bs32qN6Ee35bcX96iKDbRyyffFT/H
PvnEczf5y2Z3dbSxza42ebeJNy8b3ueeRrfsRT/taWmX6Bx7i5NNFFV//McmSv/rj9NN4QLeOngR
ACQcGsbe5XSTx8CLgsNOGrjUv6FtpkL4quEtiGjsQ/+JovfIMX6+eXC7t6fpLm019vEvHzwEyZ/7
d1jC9nmAsQ2vqwck/x7zvDtofJdxHN947G/uDxve5m7GNny18TdF6W4OkFb7M/HYtq+9IPAOFqz9
OWNswzebyAv/uNg8VC97ZH92G9v4bVkiHvTGPrGvp41t/+6xKP+YPMbOJjx4+l3sPbb18w2LOQtW
eWjWu093jm19WWHDsjmApH0rsI1uOzmYlUO7aBk/d9GIXTN++MbXu/C+Jvd83eMiRE6veG58WAW+
4SfGvscv/eOGmBIfAU5+Y29z7qEDcBgO7ANWDjBjG/+13fPIJf4v6XSNvNegBDZ86ucu2YasO7jU
b+im80082GK/0fhv2MDPHx2iyU13MCv4xCgcDSeJsZ949hi63nMz37tlEJod3fS3+fZzvcqR33XK
jvXgofJ2GMlve2dI5459hanrbsrSK364w3d0zdhbbPcZBHhej87vqdixdzhhK/hp+79hCN08MrWc
1zH+9yza2Of/VwWKRo6lt9ejv8P0/uWDvHWk/VYX/vGg+4ybf+ufHZ7ih9/4Gj5u8n/+LwAAAP//
</cx:binary>
              </cx:geoCache>
            </cx:geography>
          </cx:layoutPr>
        </cx:series>
      </cx:plotAreaRegion>
    </cx:plotArea>
    <cx:legend pos="r" align="min" overlay="0"/>
  </cx:chart>
  <cx:spPr>
    <a:solidFill>
      <a:schemeClr val="bg2"/>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E72CDA5-7DD6-470D-9B1A-9F36A6F00C9C}">
          <cx:tx>
            <cx:txData>
              <cx:f>_xlchart.v5.10</cx:f>
              <cx:v>average_pollution</cx:v>
            </cx:txData>
          </cx:tx>
          <cx:spPr>
            <a:gradFill>
              <a:gsLst>
                <a:gs pos="0">
                  <a:schemeClr val="accent1">
                    <a:lumMod val="5000"/>
                    <a:lumOff val="95000"/>
                  </a:schemeClr>
                </a:gs>
                <a:gs pos="44000">
                  <a:schemeClr val="accent1">
                    <a:lumMod val="45000"/>
                    <a:lumOff val="55000"/>
                  </a:schemeClr>
                </a:gs>
                <a:gs pos="100000">
                  <a:srgbClr val="B5CAE3"/>
                </a:gs>
                <a:gs pos="52000">
                  <a:schemeClr val="accent1">
                    <a:lumMod val="45000"/>
                    <a:lumOff val="55000"/>
                  </a:schemeClr>
                </a:gs>
                <a:gs pos="100000">
                  <a:schemeClr val="accent1">
                    <a:lumMod val="30000"/>
                    <a:lumOff val="70000"/>
                  </a:schemeClr>
                </a:gs>
              </a:gsLst>
              <a:lin ang="5400000" scaled="1"/>
            </a:gradFill>
          </cx:spPr>
          <cx:dataId val="0"/>
          <cx:layoutPr>
            <cx:geography cultureLanguage="en-US" cultureRegion="US" attribution="Powered by Bing">
              <cx:geoCache provider="{E9337A44-BEBE-4D9F-B70C-5C5E7DAFC167}">
                <cx:binary>1H1Zc9w41uVfcfhhnoYqYgd7ujuiycyk9sWS1xdG2pJJENwBrr9+rizZpWSlLFW2vomRoqMrJCbA
Cxzc7dyL9D+/Df/4lt2smzdDnhXmH9+Gf71NrK3+8ccf5ltyk6/NXq6+NaUpv9u9b2X+R/n9u/p2
88d1s+5VEf+BXUT/+JasG3szvP33P2G2+KY8Lr+trSqLi/amGd/dmDaz5jfPtj56s77OVbFQxjbq
m0X/evve2nUTnTfr6xuTvH1zU1hlx6uxuvnX242Pvn3zx3zCv7z8TQby2fYaxmK+52HCOELu3Q96
+yYri/j+sXT3GOeEYUm8Hz/k56tP1zkM/yHVm2dI9UOm9fV1c2MMrO3Hf/8yfGMh8PT87ZtvZVvY
212MYUP/9faguFbrt2+UKYO7B0F5u4qD0x/L/mNz///9z9kfYCNmf3kA0XzXnnr0F4SCZA3Sxevm
BeEh7p7AHmFU8m3wCL4npMuQYOIOHroJz/NE2o7Nw7EzYIL9VwXMyRoUdG0S28DReSnFQd4eZdiV
hHmPIINc6RFM74Dx2M9X3ynOM2XaDs3G4Bk2J68Lm32Vr8F+Zs+xIX/PshF0Z9m4xFsBEnuYcIwI
l3eP+SZAf0ew7Sj9dYYZVPuvy779x5h1/nOTXsTzgF0j0kPyXkU2PI+H9yQWoFzeds/zpDTbQbkf
NkPiP5evyqD5CgzaCyLB9rjwJEOMbNMUCY9dj3Pq4Z/vvLNhT4qxHYL7YTMI/HevCoJDQEDfOvyf
W/ICCkH2OARi2PsZa8kNhQAYGKeIYH6vLzNf/yyJtiPyYOgMlcPX5U3CNgVPb18QE7zHPcw9dB9f
ed4GJgLtMU+4RMJH7n5+vvpOQ54hz3ZEfg2c4REeviot2V8347p4wagLe3vIk8ijEE49SFMgDibU
xdSljzjzp+XYjsOvBcxw2H9d1uo/xXXSrF8+e0RsTzDGwIO7v87/Q1i8PY8ziph3HwXPssc7sZ4T
+m1HZz5+BtJ/Xll8VVyv83XxBpzKm1P1rfz6kj4egSED546lC27jAUS3YRZB4FPInwjepUh3Fgy2
eC7UmwOTgYzmp6nb5vkexevxyebgQUr/qpL/ZG2tMi+b/mO0hzmX1INM88fPjJ3Bey5FECW7s8gs
SJ4nzXaYNkfPcAmuXhUuZ9fKJC/pgIAQQ8SlFPL+nx7/gTpJukexhLTGvWcFZmn/0+Jsh+TnuBkY
Z6/LDS1uskT9zmz8vQwfyz1OCfFcvp0cE3sIMSogsblDapbhPynNdijuh82QWBy/KrU4uYmBdFmP
L6kZkJ9AQo+IuE/YN0NlD0yZEFwKd3uo/CyJtiPyYOgMlZPXhcoPNn39wmklUMiQNLrgR+43fjOt
FN4edhmBrPPens0s1jNl2o7MxuAZNu+PXpXGHK7zvI0g7omOgErOVfNydowQyOyFx5h7b6g2NUew
PeQKgO/n45kd+yHZm/+1zqv/8+YZsm1HauskM8QOXxdiR+umWNu1fkEbh+ieQC7FlG6NxyANRQAk
8GjbOctnSbQdnwdDZ6gc/edV6dHRTQOO5+WUB7l7FLJLBD/bAjKAhLpAz1B0HyPMIuWnxXkEj/tl
zMF4XQ7nZH2djOvnJOB/MzIDi0YklCXZPR+DNpJOIfewlB4n5B6zGS/wfLG2gzMfPwPp5HXxAifr
QlXtC/obDFaMUE74g5z/QQ7jkT0J5QABZeVfGvWQEniGPI/Bcr+QOR6vK9U/UVPZvGgljOwRF7Yb
eOQNNfnBzXAXe+52+uwZgjwCxM8VzIH48qpcyXlbpOuvL+dKIFKWFANbicUGDhCAgfuQkNLfK8TM
XD0tx3YYfo6boXDu/7cobLbBPOj2uV0hHCcoqeJfqv1A8wXeQxDaECLu2CYXzPZDzf8p8OM9FH9v
off4zWi+87WGtqd18dc2n3MIQKG7adbD85c//M+2+Vw1t9b4BSMYTPYEZS60YW3G/ZAxC4oFNCjc
B5uzzOwZgmyH49fA2cG7evffHrwZMv+zQLxbp2tjoQb785BuI6L/ZtzC95ikBBNwgHc/m4YAPCMk
aRgimzsFmSHyLIm2Y/Jg6AyVd6+r5HfeXrfQOdk048vBgtCe9DDiGHiMLTQ4UBhALGEB9b9fjzfN
1nNE2o7Lw+XMgDn//KrU5Wqdq+x0fd2+KC4u4tA5KjcDF4jvqStc4JXAkT5E4ocMb54SYjsSD8fO
kLh6XQHkpdJavWQnldhjYJAIbPg2qyUBDQFdpNC/c6ceM/7oaXG2A/Jz3AyMy9fFEl3dQDEzftEm
BST2IO3lDDrbNt2Ht+e63m017z6eh8cb2vEcUbZj8WAVMziuwldlpT7eGBv5N4BI9nNzXsCt3/pt
aENwxWZgL8WeJ6B1h/6sWMz8+a0wb54WZjskG4NnoHz8r0P8/6eR1uka4ADq+wUR4XsuRxIi262s
nQdlVA5RFjS33/3M/MhzBNqOyp8jZ5Cc/v/N3M1ypPt7EA8TsY1P/N1bIHgP7ngwV7KfmjA3XEAW
cQGs0FYP8qQ027G4H7Yh+P/wFY+Z2jy44/HrkswCagbLH7drnv30x/Lg4s9s6L1x32q/7pA7uP7X
W8jF8QO4bufY8AobXbZ/DriB3Odfb8G3E5dA5UhAhQ9RSaG7pwerBU+AVAJWCcp+cL2HQG8veP2i
bGwCd34gXsBQUQLSHHobwf6B2TNl++MRvW04gQ5T6ARmBGod3q9bTedlNsZl8Wuf7n9/U7T5eakK
a+CdHJiR6u5zt5JC+gqhIQFqnjLweTAlrLT6tn4HV6fg4+h/1x3PTOHlJKwiRK/SmE6LdkyKw0EI
s+jSoQ27Ov+c6HzwB6CMPyuR58eYsrb2LfwfDQsP8ZOkpPpjmiTqtOgmfoK8QkQHw2QTzze4SVpf
NZx/xFM/ab8vMn4c6aRMfW3r4kB7Iw9j2U0fPcLL71Mp7MdkEnHhQx5oz7hwhnNXxpnvGdcJaF3q
VQ8FhcOh6fC71vT1ETVFeTgiIyrfK+xB3I1iWCDskI8OnzA9qqxJj9LMI8ZXkhZXWkWTe6AVdY7c
FF4UMJp2RZDwjgcJy6P3Q5nWYc4cdsS9svtSq8pmfupIrYJajOpDNEj3fcTG3lu1JIa5STm4AclS
x/hxNuFrL46yzOdJXh42ZohXrOP6dMJpQ/3UtOrYzVNBg6b0jJ+XIvfg3aS5cKpSe37eqvHCUzRd
dbkoTgpJdee7uk20jzuWt2exHdvvKFPOu4hk0eBnKurXFWI58hMn6rRvnLE+TQbNRr92ZV6tIkEd
HsRJpy/MNI4HvGflqh2JSvyi1srXvSarqhXlMWGGHaQIxdMipy5Z5SL19nHLGu0P5HtiM1HDsljq
+EVGm/3U0XXrl57bymCwLqCbtB7W/iRz9cUkqT4YaSGWo3WrlRFIXLLSFauOkOZ6tJlSsBtRG7ZO
Sr5VGvWfke34oVOl8RFLTHnB5Yjf97RoTjTTKQuS0RXOilVu6iyHtityX9M0NoFIOTtsYz7uZ3rw
zpq6qJY100UcsJLmh2NXiGNapP0hs9a9mFgljkjq9EvEW/YlT7rsKi+YvYTu1aTfL3HqXqjJaStf
gkXGfsoG7xSaJpKziruJ8oWW9oQ1khyzWuADFzl49KOobA9aM+HcL3rYUtlwne8jx0svVNz2xNde
NxxHvbnM3Sn64jWFPnQ0pZ9Fk/Mj4YzZfowbDNtUIu+0aWGjfCYKafyqq1kZFEZWBiZJncTnpRHT
CkV9V/jSTOTAdCYefcINXqqxa945JZ9WckyXbq+cBavqL1WVR4uIl/mitp3zoabNEDReeegOrbMS
bVQu2EjPrKb+AFc+VrlnEz9q6McoUcu8xWZVlqLh/iSSY6jm9ddZXn9DTlOf5ry5rJvqu6dMFERE
LzOvtX5VmcBOtD/L63ghWEUDlPLOh9b5Val4m59FLIdTDw5t4KseY10s6txIX9Fh9G1ppnBwR2F9
mrbssOF10LukB4OQJ2ThTTY/loLyJahh977waHHiuEnmN4iUYUZt215YHkWxH5Oskf7kOknvx84g
v7Sp1IVvpXU6OK5x8k0XYBMXYE3wsCzdyXqHchqSJCQtbI4vWOYMq0L2ICQMYq5fkhiC44H0rXPc
M9skQS+FvlakaFctSp2V5CmDY2GHEOWMhm5H3SWNa3SAGjEFXe+6YR7TXPnxFEXvBWxt0NpO+n3F
9ErGXt4sdNJj5btZXC+L1LarMU2nE8uUeynTZvoiUc2Jj1XTHeUYlwdERPo8wjJauWmpvleqj6zv
aIYzf7LuuOpHPSwVcfrBn7AAhSdd+7mimbtfa97HfjdptT9Gql61pY5TPzcCnzTc5T7Rntr36rj5
RHHD4DiMzaKO+niVV6VdZrToLt0MNZ+crNWHIq/HeoFTIULT1hb0ITbnaeq2XUAq2n6NhyJbQpPL
/hSzI6T1eGxdnX1qcGyO4njYbyftXLZVpw/SQup3o6rjM27c6Qw7Og9lUZDzujiulD3Iu248d61S
C6Bmu/eeR7qVqfoCB+kg6oNJV86pawq3OiJwms76qsmO0wQsfKBbDx3SPvsceZ79LBytP9SqLU9g
m/VFrif6xbKC60XduEMV1FkXncVJOx4n3UhTH8eTWaStJcteWi8wTOKTJJ+KadFHrVpSrz3KxokG
ydSx2ne66ahxOql8LwPopl5nq2zKp8tosrgJojzWH6U3kOVYDfYsTyg5FFk+cb/NpiowPE2va520
B6hrAaTcYeoyozGcstt3C6XIuS0UXsW5Hvcxqvg31CdjyKMYTJ/M8RiQIitaP0ODHcCRFs6xMHFZ
+zTOwq4Hd1819QqliK/GSffvEs+w2LdOXIZSSn3gTWMcRjSpAhVF2UenaKf3lkp8PAHJoX0kanxY
0ahugyIh6CB2ybUZXb1wUa+/skTWejmVafV+QF0W+9Af4BYLr27E8VDJ9ARLM0rfgG1lSb4mplBw
jHV6mtImPiOVIbEfTVFM/Lz39Jce7Gka6MQlznKMi/JCUInsQV+r6arEELz5Q5m3h65p+AdT6+79
kKLrpi3LKVSRcXwRZ+RMeCa+Ea2NVwVPbOGPeCD+aCilPu29Yckzgj+kjeiv4DZJv44GocDo4i4V
vtRuQX2Rsuq9GNPsJiOZDlpSZos8Ualf5RZ9TlKM+X6T1uTM1lW/HMCIDrEjl7Jk6eFUse6TF8Vf
vdjsg2rJo1p66TLH3eR3Trxf1OjSnQDnMS37w7GOTlnGa99N6zSQbT8dFGk14kvdgJLst55iR0OR
8suu0JHvmBaHaeHZA5mkEHSwSZuvVZqfliMBoEbcHODKYWGdgjP168ZJF5lKs0XBcH8RR3Cm29EF
15oTb1WBT3lfjmW2QlNTBrJAzXkm6PBeV5Oz4Npjvs4KHlQmo0tRMudKDmI50FH5DXS2X/SG5adN
H0O8R1T6EY0jPuiavF02XVFdF02qw16bYhlDuLU/iML7xEk+nkWIl9edwcOqN1Of+j3n42VDVb3f
phYCE2z2aewmx0nZjivdJfUXrzDT0YBK/l1MDgqqiJ1VuFFHuQPuvsA1+joWY1f6KpU4CobOkMQf
O0cdZXkUU4gk9fA9itz+eBrTWC2G3OGnI2/AkPRD+TXvGrzsHSOP4sixYZ/36pyPEEehOPJWwiK9
mlJRnbSR54SFKvIARZT7tRmucz6Zc1XVp60kdh+5lVmMyIFwwCrti5Hr49oW2h/b/hiCTrVIvYKe
ZR3O9qMKzHrpOnRVER26Qh2PNvnq0fG6Qt6ZiGOzyktb9qDBSrwrq6oiQV25aJXUzhHYxLz1cZYm
V3kNdtUvx6FQgdu3KYQRXj0dCW77FRmt8066I3E/99UkxWEXmSEUvPIA+zKj3yHIKtuQkRx9ACdV
h0Nv0Y1gfVwfTnkNsV8jtXfdtRKh1dSANzK06y+9jIkFndrpxDXOiUYpewfB5HiYemniE9foY9Mo
D6K5Ns19madqDMoYmcjvG0auMo3i/dxYAyGlFy16mx4RVvFTsAh2yeo4P+Yx7ho/j4n6VMGIY5w7
owkgzpxOGytH7VduLT5nEFlflg1ujkFfWQuxlx1XTT12F9qpVe+PUKI4oQ6yrl/xYsLLCCLchWw1
ahYDKrLLCeob9bLqq/hzoZP8mBg9uQHKMTslJUQoWtc49iFYzbGfxLw819gyHpjcRNw3rFdToOsm
npbx5JaOr6Mq+ejqBB01VWVTP3GpcxgLCDFoaw5KneWnnct4trAmP8EdFxcydimBAIwoEaR5kV/L
UaGvcdXKE+5p8blNUHsAbTtO63OudBnkcaKTICqidghoBrcWF0U7FAunrFC9jKZeXpmxSazf6GZc
DlIIX9hSrmjNQk972YKXVaMXTuKhYEyjJgSrte6Utb6H23KRSJqEmazyYFA2THB8jmv2vUZdvB8V
pXMwpJEJdO4cuFWyT5k6ncre8zte5Yssje2l2zfOsnAbFUYsixbajUiQUR06tymGEPk+bMQU9OWq
KCE2BEkOOSu+uyNsiYqdfcwH1wcglA8psvZV5jkLr0w+ek2fBX0SX9lkGn2Uxe8dCDt8SAf7VZPa
M0jni6Ds5QnBpl7krrNPlB1WkIx8dSJyrFm6KBSTweQp8A1u/MWW+Ch2ITVjpsEL2wq+mPp69HWZ
2AOh82mZ96jzGY+mRaRysiBFZwNNW5CzK0zAvb4M+qxZ5RleuNmwzrt6Ydpk33p1sihpcTa1Qp/3
JC+XPHGnE9A9GlYk8hbgepDf92NDfMibyGFamPhdVEkd0qhiQVx37bJ221b7VPHGd6qCrKbcaAhK
nbELB8SiizFiKApkpkcSOF4ra19ktjnmY5uqoM1gf2WTiVAPjvAnQrt96ojoQ4tw+8mkRZXCZZMM
EpbUcnU0mFFUiwl33UXmpnmy5HHlfchoPqwtiaMjw6ee7TdR5UNAwz7FfdXGS+swLw3QBAnOoUuQ
esereMiX0Fw27VeDO/jgONyPcWGyS+vGVe87DeVu6OjMHAohLMSg0jRg8rrqI6X2koxwFF0rr6zV
7AgMjPZzVcn9IavXU6WIX/OeL+2QBh4z3rJCbneDxzbBEJ268jRuidyHHKuwoHJV9nmUkgcDHuvU
L5uo+wKapQLFKlX7eZ6EOR94OIzgqpmCFA4nXnyYTnjYtxJYAl8myFsq3FRHKAabD1bI7T/ETGef
y8xToeK2LZa5MOK9hMCF+jHPs8GPUqIPHrZKbHA338pqbFSc3H8pza9f/31V5vC/H+0Vf/7x9jtt
/vzt5OeX4fz2U+FNeXt7zMw/dMu+/Zrrz+aAW8rrVxPHjEO7+/qcRwi23z7cYN82OMafNPYtRYUQ
UFa/vjHnL+TbBrP56/N33JsnoC2IQTuNJBiumDAC3TJ33BuXcEsV/gRfzQJPMZzKX9wbgVsSwHlz
6PeCqgP9Meiee4PvcuFggaHzDgvoN/Lguv3PdW/gB0Tj/e8PuTcg/sCH3jJ0t2I6QAYKKoD4czcZ
Nw+rjpsM4ibLkizxJyBkPiZg7KCE+msbnj89hZaVh4ReCmnN2A9AuiRN3TTvej658VU8TOX3388P
7OQ28SmUyB7O7+WTBp8Z8aWHmZkuKpR7rp+QlCHfpS64RkpqG61+/7JH9opCleHhywzEymkfF3w5
GCKJL10SNxDbcAl9cr/brNt5tmBBbxf5gP0UXu1WKfCPyxZV9AShnuaXvZu6/HiUthhCR0xgdvOx
rqAz53cvfGxBQOw+fGEl3aoTty/sMk8Mh2XSRm1AwVmo5e9fcAvzthXdvvjBiqSaete2hC0h0Bb9
IR9JhINKG5wcMw1ZyglqdauD2tTFKIBloKheuUXSNfu/f/8jC0QzxGQBaVLZK/BvIjIk4JN3Uw1D
Xwe/nx7dasm29d3y2Q/WVwnwfsyMbNnGcVcHEstQEPS90qQGP1HHfZf77Sic47KPkV62uCxl4Tux
xDnUl3aBcMaYZ/GYdxnrYYeBHgxIU36HAFnttn0U7NLD5ZVgCHo5WrYcRyM+uZCL+VHXpme7iT4z
PZlMFTekYUtNlLpx4UvVjgtH6fYJcB7B/rZbbkN4pweqMWFsmVnRfUB9DWxiNIndDNttK+7D2Zus
T6sKItClLZ1pWrqD0zULXgExuaP4s6OLhxjJMUvB2JS0TYOR84H6dQ2auvj99j9iOvFMN3Ov61na
xiLMM1NH76CSUrcfSD157qGFIFxcgPMg/C5uuOsgPb9TiWe4GTIzbTgdnaI0FSSoJWQ+5wZu4doP
ubXO998v5jGwZ5bMSLd1+4HJcCpRDrwMdRp/UNo0T6BxO88WRSezzfJKTbMWj1FYOnLKV32Dqm6Z
9SNSi1ol1NvxNWTzVBFaRrKvHBFa22K7X/CycJdTgbJhCWRjP+ym12RmNOqyqyMy5DKsIGu9gnQs
OSug/nf1eywe26uZ1ej1IFEPoU6InUEtM9MIchzTsaw/aib18MRWPYb4zHokMq60FJUMm4yOB04+
uWdejJrM//0iHpkez61HpEagFicetkAuDkB+DfQzn8rqCcf42PQz89F2ooRmBs7DLgMEbBbnS9o6
ENHvJv3MeLRQAhizMZUhNZ0GDEY5OMBwjmra8QUzfdaew2oP2NPQQzlUTaHeV/TLJhVTf77bCmYK
LfBIDHIgGfJMoj4Iacz5oGLIg3ebfqZoAnJcqLUwAYkvtWrfTmTwfKgr9+5uKnZbs3/oHwY11hyo
dch0TVzRAwPsqvTTljZP+ebbk7LFIuGZlo1xGrt5DxDX0Vg1izQmQpznzgQlS6gK5Xo5xHgsPmW5
JF/aIu6LJyz5YzEPnileNsSRKKceTGEms+owcUwEhZxJexA1Stun1PqFTacuUAmQLys9TLFYcNqT
8rJzLW9322A0U9Ax4o6Q2onCXDjtgqhehFJk5InzgW63ccv23rbmPcSPdXZQNa69kLhAPi8nFHXA
/0XTlO1XHhHjWWzy8nvl0D7fp5Ms2OlACC5OsJAy/SQ1ZuwJUR4xFWimallDOBqHVISNU/VhbBHN
oJYo4+udNAHNFK1FDZcpdFqEcTXIzwzczyl0NuS72Tl0u6gHAXJN4iJ1HOGFLINMJmiRzCe/Vc1o
njgGj6jBbXr+8AVG1SPDQyNDO/YRPpC0adyvQ4VAJRKcuKVfqLbKfTwBDfStyieDd/M/aKbgUADO
AOWGh1xGwHZXNTY5MOnU2dHE/jiZD7ZuohN0M/BGLNuaoSUfu3gx8dJZ7Ab7TIt5BDWwtB4mqI/G
NpwKkfq8qdInjMQjZxbagjZQgR7wxBkglgxTrPIAW5QuorHEux0qd6abkJaUEikoqAGlWvhugj4W
MX0q0ntM9JnrRLwq6JDFUxiL0Z60Y+GC/6wTlO52btyZOidQs61IM06hE+XeAe4GvYiIpOFOsLoz
bSZVxyqrYXYbYRr0RBjf5EjtKPtMm2WBJ9kJgNWxOAk0aTtgUwXdzdC5M1VOXadx+wi6LWqkspXx
oGGmY3Ra/X5nbndgi0G//Qqkh4aiiFgyTcjpw95hN5AX6m5Fra6K0PaC77iCmU8mneiKVEc9dGzw
5p1ny3SJaKl3y5fdmcraAmKVfuJ9WFLGD6TH2kU6FruZG7jvt7k/yOZZJKe0DWMopx6pLBcn1ZDt
JDp8ecjm5OBJI60RsWFdphEKGoahTQp6wpKdrBn2ZkrLoL1DOxPwMFWhhkNtY3vcQqfATkqFvZnK
Aj/qdAiKv6umjXtzSaDhLzuDliue7HRu8G2D5cOzqZHq6riDrp8hhhqUrtjn0RuLJw7+doMG9zo2
J4fuOE2ljLplnSXIJ1Cg92vPa3cUfaa0pEopjlLZwc47nxsMAVjhDdGOsM50Fur8jeMYfi86xTW0
aHR8V9Hn2spk1EJBpVt6PZDG+HZ2s/vGzLRVu10VZQZmH1IvCVqpb8ukON1t2+VMWxPKZOliF2an
+KZWNFvFKt6NeoI+2s0To+HfPpAqhsm9qc3DTHgNpEZ82Ck2wHKmq4OFHrFs1N2S2aj3oSUH+6iK
7E4uCsuZruZJhYuSuO0SWn8Lv0/UTZtOaMddn+mpmRpblUnfLnOdUJ9T9tmBRpEdJ5/pqRuxhoyJ
Y5eihvYkM6i1aSez4+QzNa2NN6QQCbfLFDpHfZ6qzG8bLHacHW8eGAHtq7FyPBDda9GJgfLIeQR9
TnBT9e9T3HCbdnP2oaW4oDBzOCH4lzf8qZCcLRzrSLPjmZmpKq4HL2+ruAtHmhdQ1yYVC6se2287
yS9muopUhJtyyMGzRiY79FKDFkan43K32WfK2kL5m8Qja0PrkS8oxReGkovdpp5rqhnTfByh50gl
zimYx88jFrvxa1jM9NRTKheoEDZM+0Qu2oRdlToqdwNUzPS00MZpPNm2oaOsCrJUHAtcu7sddjHT
Uyjf9pUZJDSTZMO1GtFHzPK7LyL4myw5FjMtlaqPHfDXYwjTGgsdsibh0BZI4t1Mr5jpaRcz6Nun
jQ3hXqj7iVqwA75RE9ot0hAzRW3rDLsZdJ6HedlMi3IQXxNVRTtu+0xJI6lq0akG+sHGZgzyvALR
9VOV11vs/pocwBWXTRPjFZyqysltCDdivBNpYnSSOVH1cSc94jMVxRbbxjYKjmMSQQta3n8SUu0G
KZ/p6ERLL40S3YYN64iP5PA5q+X5bnLPdJT2dOgVgbmd1FzRdjxh1JzsNvVMQ8seOrKhh8cu3chx
AieNjtXk7sYPwJd5baKJUFVBIyZ2lvDvFJzlo/gsmzHbzbT8uMH0gJVxEojTmxL2JEuKizIuVxH0
Je22JzPtpFU/kgFI72U5dftNj48o282D8pliViOz0FwHuR3P42NZDmHRRDvVQTGfqaXK7JC0LQhd
5e+nrg1S8WGn3WAzlcy8tKkmDSDSRH9tBu9CTnw3O8Vm+tjWnR7GnttwNCm6mkYLLcstMYvdBJ9p
JCkiaIdWng2NA7V+XOh9L/L+L2dfsmQnznX7RERIAgRMgXPI3mlnuilPiLKrjACJRiAJ8fR35Tcq
85fLN5imw0pSzdbW3qv5cm7sw4nsZbvEYOEFQIchuw0I/zMCNe9chI0PZxIbe54lwZUsWr7l8RIB
4Zgl9tzBiQ+HMl1sskaxDS4zf9FjmaKKfW5ODpemaMQczcKvlUmBtnDhMuUgpbyeG/xwJh0a5N4P
9XKhYrpxEs33OezWkzvlcCy1MaQPJAZPZfwcmul7G3l9clYO5xJQMk8A618uWoXPMcYGQ+3k2EdQ
F3VtEoYbRdmYheTBpE13N0cbPzcrR0iXAIhbIp/FRolBQNlJ91FycS7BOiK4tsxErs9w8jeAz7uC
RCChlQwZUHsutBwhXJNTUY1ezVo10fRn4OxnNB8+ntqKb5YW/ywSgaZINA8xL8Y0cTkboGRhNJKc
yyPeiMH/HF0Lm6AeveHDt+3ZjORus/PJExodTminEhIlIlyqtA8fJQCHF4C/2ckZP5xQ02hgI41d
K6Br30eBLDotziUpR/iTjoPBN6FaKsZiVjhFdUGj7se55TwcUI+OwpKqdQECgP/RLNtdm8Qvp4Y+
Ip82vdZ9ygJdeSpdLsdkvg6qOwddgPbVzztljN2QWeBrKrSQ9nLYx6ckXM715Vl4uDwN2DXgKDhd
jcCnyHwxOrgPLPEfzs3M4f50QYioCMJDxaz/a0EGty3pt3NDH47niotHTODCVj1vPmzTdEuUOrcP
j+AjW6c970BwrnY7i4t1DSsDOXw/992Hw9nuUb3orV+qDPS6PvJPKv1d2vn2p//Lq+oIM3IB6sF2
SnQllI1NrhPePc582nLXMeOLc99/uETBq96Gfox1JdvwqxTR52Dqz13+4eGIboAkSp4A/s+YXW7s
omlObXSuVceOCKOGibjVIcOHR/SzsgEIxcH06dSksMMZFds89ZqIpYpZG7nLHhof5UMqRX/ukn5T
wPzndRGJpklNKrElt+B9q9hrO598i7PDGZUtCMtsxdC1z96vpH1Xh/xcG4odzqhMfa1m63UV1opV
QcrW97Rx7SkoLjsCKlkCApVtsRNrAiqQ13MVRicRXYwdjqnawP3bFqGrwU4kJza5zq45WR0+gpVW
HRkTZZhyhMd769m9jLdzZ+gIU8pcI00H1naVgAycJ7u/zzSEHs5t88MBzbBLyMZ6XdHRPod0ftBk
PffdR3iRbtGd4C6Yq4Wnn1uq38t+PveIO0KL6i1SfTN1uuKYmRyUdpfPXqXn4uER8r6G3Rx0Yzaj
byPmQrP+vQmyj6fm+whFIgTvrCEmc9W0oQIzFoWKiyEBPzkxh+PZgaG5287j3GRegWrM+Qew1feT
Kxr9HLJsB8ocwHBztWeaFXSJnnCTnuyeH2FIJhhArd5GbJcxi0iPWOv7ReRpZvtzNZxj939GHSsN
jJqqUHfp1wSVvhvTK3tzZmUhsvXz5Kwk2PwexlCs4CzLOfrReeCD5HJmdHbESgH7SzJILmDfNMIl
xYDCX1XX0XyyB3KESvnemFSreqrSYOlnCFtM6ofJEnfywfs/KOQ/in4g3RJwI4Op0sIvpWo4xIIW
EV9Pzc4RLAXVEQj4WDJVBpNfEA7QOmxwT8b2I1hqlUAPLuEwVUuUNGtOd9b/2YOP3ZyLweSQCWzQ
UtJuw9yMogPFfVUfN0nP3ddHrJRko1NBYjDvQzrd+IUsVydHcWrPQ3305z1vQxv6Sbqp6up4/0zG
urmBO9TUn5yYQ7wJEeNj5rGs2VDPC2Rt0hCk3nqElMK5fXNICdBI7Mdhspj5cHG3WqcfxSxP9hWO
cCkQjRkAzHqqEnBg22Z57/r15dx3HzL2pvYulBCUqSC58HUYHYSi4J92alLAqfx5UbUP0KOXCGSx
9SaP6XTXD79DMSVvecX/fdDQI8xobjfA61I2VhDQamoIAA0dDmzSbn3RqKzpb9Tk3YtRi7wNlzDg
1SrEHL+C4pbMz9D5XPRLlih+06MvOd50/QCdhkS2KMY325wSl+9RN+uPbmaBKYifh/7PUYhgLjgS
S1bSGLX2SzKZzZQSUia+4OhSb7dmDtKuYskmott67JwvKEE14UsAZK+/0rBbkjJMNozpZLvu12bO
xAK2HdvNFao9214uVoXD1y2Jovp5jXjQfVtoPM9VurPMVnrD31tO6x5fOmJBVh8SRvuC+6QxNw0d
m+yBpwOIW2Te2QtLM5dbxvXt1C56r8iYpRD+UdJGpdVRE19s4iKUsKWwUdHISY3IZ7PMF6luwwQS
ZK2m926ou+xWhnSNqh2z7Yo47O3tvgfqqZd4W1dAgIJoD6GAen+RtBuTU1kIPUJrtGqstZMdqz5t
zCedzjtqqEO6ntugR3DNPLQr4PPZWGWo5eUx6x7E3pwjxdAjtoZg5uIoncbKj1OtypG4rtpm0p5L
LukRXUOHlu5B2E0Vb1S8XdgCJZ48CeJ+Ls/EBpoeYvKqZlcHYoXuTyR/uCm6i4Pld2zNt8D7L6c3
PQTkyThtZ5+MlSAZ4DvrkmyyCLOO/Tj37Yd4DJ2lHWpWbKrknO1pnoxziNYm1LzOtcBpyn6ObW4a
JCVbgxSQ0Cg3iesubdueTQEP7261RYb3EBKqeCygIKECaEyF2bldf0Q4hlHt8YCSUyW4+ruO+pc6
ac+d1yO+0aIDuUmG745NXS2ZvIMCxamiOM0OKxpbILIoKqcV4LKQUQiyHvpZdDw5J4fl1KQJeY9m
ddWwrsu3fv7BO/16ai9mhzu2A60bMoNkrIw30xOYg+3NGK7qVOZEs8O7W/CWmIHxpWp0Hz1EeLeB
Vm3WP059+xHvNSWu7qDLNqIaseoCiDJIPAWOVOdGP3y7I+Ayx+0wgokq5R0PbbzmfNb8HL4fnkg/
H1KImDQAMo3YjoNJ7sQQkq940/pTpWCaHNKbZFMzFFeQ86GUtd3WEfQqE7Im56JvcsjlWSgh5/V2
SrtWNcXiZggMrUqd2+9HyBfVdIMeUDpWgR/CvwXQ5n/vyqhzyE+Yif088TELhw6yOlMF80QbQMh1
oAWpnYt/0zv8BfGNHoFf4IPWNZfpUO2Shvp16ls7FnUysKl0yxi8ghH2FASZ7EpkcX1WNBkedFcR
xPF4bvX54U90UIEbBqWHqtVb8E11LvyuA9wCp07GETazdNEAeSCqKqRATwkUA+Xc/EbZ4hdX7xE1
02zounA9DtWyMXFH34Qwm3Z05440PwRS1/M2tX2oqrBPxybv0nS+E4kZRHFqYo6wPPCXOTEd0n7n
Z5EWgeqg+6HEMMlTFQB6xOVxEu54br1lJvVK63vVQtyn8jOEak/+BYfrYCdGgwnMhgoWey3Ec13n
oP3bR/bk/f6/F9M/KiR82bEtGX6BNwxo8d18Bmni+6npP4Lz5Kr8mpl9qCYNfautCX/sa3zyw4/Y
vGbe6bL0iaosia6S9XeMLaeqF3D6/DkgqSAgDcQ5wTCKLKTJgggdHrd/ODcph2xtFVI3FJK7VW10
eoHcFGQ54/ZkqnwEjEXZNoZ8IKpK4qEr5iy96SPqz90DR8iYnoYGyoXtUGUQOIYYn4qKZO3s+/+e
mLdY+C9Z/hE3lrneW0dxv8s9mpH6kKXJLpLQEXJnyG6Hc8n+EUOWel5D3hwCpcSE65SLeO3e1phk
47m7+M0a558dNhW0y2yzFtE4Zi9mJR8aWp8L9G9S7/8cGuoPa0o0vh0VqrhsNUr5u6HDueU9wsgG
hN+gByrwQhNdf7A+mF4GEZ9jM+E1+/O3y3aghrBFvgWD9P2kwrhaoZ93ctIPCT90RRWp1SDRDEdV
YpzT9wEELk9ODPv5041fB298K4EQgIRTAfLh/McuIel+cvxDkIdiTF1Pq5bVrpNvqB09qkR8/u9D
9Yv7+6gSFlmCbjUYgiCtjnUHbVFj/3bhfE6ugh4BZS3qCIOo36Z9Smv0Npb0VvHYnNvuR0AZFNTN
tmt8fN0IlJ0og5R6v50MlUdIWcb3xMcL6m8U6qQeYo7AIxTdMHT23CP0CClLrasnZLayooL7Eqqc
5HkEn+/DqZU9oso8b/HSd3NQNrTZxruOUPLE2BSb33x9+It4fASW8ShkG+cGWwfy9urdTOlgbtre
zvqKh5hh1ziL+FLOsdzGh8DjVfAwJR1cHhgNo6vhbL9NosDHebbXBhJeHkLZ7yCQv7FCzbNvi70R
9f5trH1rrsOELLMwcbd9D1UU3dupW+98K+w1rI3DEBCpEDlRbbS/Cgp+y/v+TUjidWihZw+50iTa
8a/aFYIA+fnUTSKA9UAbLS30O+vRnstojoA44Bpn9kZIvjQ17Z4s1E8fWMsgmn9uTQ+BZoTe+hgR
21dsI39DRfZ9Rpvnc0MfYgzemh7qxK6vwh04W8miWzYuv1O6eLt//uXqjg5Pc2MC1ezL1lfzBDGN
W73s0pWZB+qhdEhVm1uecSnOVRmOIDk6ZzGPbAwB2Cngl6h38rpPkG89NU9HkJzwtcEbEdLJdoxE
GdT757Vjv5unXxypI0iOkqY1vTZ9xaVpX4Cqjt6lotn+hNJ48JsKz69+xSFFIHWWNGyCbvqyhT0v
xTrruc2tRrH9tnVgtP3mUf2Li+UoJrN1ZDZLOGblqqJ2uzLmPkJ6F+r0/70Mv9hR/wtK/3iWAP3Q
GHjKNJemXfv+auINArddIC+t2lNWADB+snp6xOg1AqWZWkusycAC4Oj4Z8S5k/djeEhLAuiZoM4w
9BVFx2wN3XUN6W/i/68W+hArkhBQ0R0U37Jv5mS9zeQSX8c0Q2ueN1aSU+AF+iZw+s+MM8bYvG2T
ACogEBIElb75ksGt5Fy8O+L0Fp/Nbet1VyVJvF4B6U7zWtCTr/8jTs+2KLmHhoqqjVLIoVuvyjRr
zxVGjkA9wicqZQI9amrbO0hS59HIz835EaIHWXW5jCuG3vfoUmfzVbXsXMHlCNHzEEJrl6yHinbL
7pM4uJ/5ySLhEaIH1CJc+Xhbl1Pn5rtuWdYqiMOX/w4Hv4o2bz//Rzio40RYHwbY7LRZLjCdiHKf
yeg3weZXox9OKcl6XcckaKukXaZ7gGo/z40/pz1LjxC9hidNYJlpK+mZvJpsHW7ILM8hXekRpRd4
aHdHCtrobdfN5STShyDRy+XUrB+hdGLM1hn+LJCDtzN6t2PV6fHcJX6E0nmxbY1qkEjJ1bT5YAZS
7DL+TWj8xXoekXQW6PwdDD/s8gXmDUCNFROHovC5STlcsDtEeha7Ti1YS8oXQzPBDaXWQ3YOkEaP
sl6Z8uBc9HEGotW4szyVtb4ft749x4OEY9vPR8nwoR6SGRr/yu3oXb0HCuA3M/O/If4lDTxi6SK+
o+M0NKKiPgjtPWkVTEuAkvT0FUpJY9XG2R7myWxVfOGoJ7tihjS7hYTlxP11NhmZL/tEG/anSmJm
qzqFhcG5CvwRybYFM4Xuxvr2XNJrc9uGJDUXscBGpDy3Lw435dC2K5wuRVJuWnBEEN8ZeMHFnIbn
3h5HLJtee7PbejIXM4rpotLIlVMWnSt5HqFsyKnicAphsULfdL9cPIOpHSWn8NX0iGSbEhst9YrB
YULU53KJ5nyU7BxOjh5xbJEwYMObwVxYR6cihG9IjorEt1OregSyjX0Kp8ywXi+WCZiOBAEIXFtE
zl08RyBbA6wp3DzC9TICWZOPvW6eZBKun859++GkRw7eLpTP6yWAz00R9XsDW7f45MQc7sxWOzqi
EbteICLJnge19d842ZNzecoRxLbHws2rsctlGLgsIC0NRZioPqd6QsnhqMpsDfcwjZdLm2z6Gtcr
BMADeCCdm/bDYzh0LNxlvy6X0CkBxNX6Cnr1dmpw2IAforebIZmV+OXiE7rnPel1kfTnkgk4WP88
eNwbHoQzZn1XkGtxq/9BNAzxzkwLOULwgn1Scy1Dc2nAnikzJ0SBeHyueU+OSl87aBB1a5H5JBP7
tqjwRQl2jl5NjhAYoVBSHmE+d2mJJvk2sfpS14DR/fe8/Ps7jhxRMJLCDqgfw/TKaxnbZ2FUq66e
MxjBRHrCLfjfv+bfcyJyRMTUNqwj2uGPiFkalJbFTTFs5hwihsDR4qf8fBJ1sq4cozfN0JZwLwT8
Y/R/nfv0w3HtO4QD4Bn1ZdomX7Rq7spF1acuPnJExGRTRFYVx/pie2OvSqQsh8LwfurmI0dIolch
57t2+gKTIbihLf3HHbZW55b0CEjchYr2EbWey5SKpIBfTFcAknoOOk+OiMQhgXFmktbTJVCBLrp9
GvJwgl/WqTU94hHrKJIaXp7TpV1nUeyxkkUKaflTuRjcrn/ejoZ6lJx1k167bthfdzJtnzoy/E7r
/RdH6QhHrEPnqAFY+RJrCj7KW8IxMfq7GuGvRj9crBGlKFd7OKlFAUrnNvg+yuH13KQfTmmP52MN
g4vkCp2vWsKyEzDZVWzLl3PDH84plWM47kRncNZVA4CI3cbFA6dySM+d1fRws05LapDFT9k1W2je
ZexOknOZGDmCvyDENa+eYWgV4fp7a8wP55Cx5Ij8goFCW4tkzuC4Bemj3tGoiETqzl2rR+RXR6RY
dz9GJVS4bgY9PRN+Tk2QHGFfJAa6JVQqgr+bgzVkAO/j9v2prfJ/IF+QERI6HKKSwcWXVtEkwbsW
TpmP58Z/O1z/qBcNE507acbkGo10g8Z5tER3b1S93+kJJhjn/750yRFY1Ab9FKWu5vCwDZabtYZv
4tMCE7gGboAzPMsbtTvxuO71/8fj+n8923/7pYfjm3hWD7abJZ6tmxu2At7dkk2Xvsepk1dRbzBs
nEcFPxm4886427fO6yG5HeUEC/ErHtZdr3K599bfitoH9Z9h6AC7G+CRPPZ52PnduRxJzjQ/9Jym
06Ndakf57RZEydznepcNPChJmLVwVtVrMiERGjmW7s0bcmz+nLRQhuZRn7TqNtx7yD2XHg/6pCn9
bJ0u4C3XbS+QkHO2zeMeHjyQ+fbttgw5zUzAYanpod3e39Cp59CmVygqrioHrwDewFBATcbh48QU
HjJd0qU/1KTwYw37eFty4M7hfocZ6gtrYX1c7d5scF3qCYxh/4SLKUkM3P3wGnB5nPJG/DG0UZ99
V42BEw+InPuoVQ61r85/eUOL3Uy78ls+QDRqKZxrF9qXCYiT9WVHy4ZdAlZvS1HDR7nLCsudj1UJ
I9aY3NPU8uzaxmZX4FbNo7+BjP9QwB/T8kdYGbdpSdrQhYVIYEk9bKlKS9irD22+zQ2fB+A3u1E0
5ZrhvZ8UqJBszYgvmwcNF1nGE/BGLNwQowRpI2IJh2stVmuExaFOkdnlGQ2kKo0a2Nd5Vbx0ft+S
76bdPVxQ9RjDQ15DgPOTmFmSPIVrHYYPey1S05RyB0clumbOUCgi7Dwx8hEMjRTrNbUwJB2KhuwZ
DIQJVI2RjSky7v2N5+Hmvs1wax+bYrSo1t4mIDtmr3RL4AVYyOHNvr1JgzcZSGnk4AKwWHbAFKGg
kxi4E8IWFUn2LYtRSGO3vB9Skfcw/LvyXsCGkW9OaVRTfLDYt8zSLvfELP3FacSoJz42pnvdNtYM
KbbDyMy1gwP9BntQETGoxAovS7xrRPpHuobDeJ9tOx5+IiZm0/DMXlFtz7M0ThgyqHUNwxCWgGHY
vac9/NevEFjpt/uBOYqyM1mhrbajzbzaBvwn4he+AlLIIbJGpPnGZADOjLZJNL0ksaJpKeol7r7h
7ZPCwRiQqdGWC+xRl6fekIa/Ap41q2vnE9CEspGM8d0eB6x/oML1+1/tIEcTlZEOxuhpxqEVl2ES
sMOdFO3mzyJQKWEIb33D4zxRUTY9Edgd0m9RV9cp7ORhBd5Uzlkb38FBMxq/dI77uIDmPQEbvXEh
zSDtDPvQ7/Xqmr7J+7lPv8Uhn6fPYJfvokD7B3cX8O6jfwSOdUnxn8cg+j522u63ik3ev8LglMI+
FybX6nsXYZvfND3bn9aMNFfC5rR7l2r4YV5I2k7iAwypt/3ZAejOAnSioRuQlm9KxPx2cesw/OjR
WhH3HZ9DX41jJ+tqZhnV92bOErhzR2HE/kg5i7K/qOvrJ1DIgzv0efbvgPirvHNxUzYQCArKrd1T
dweTB7vfQDwo/AKrxSgrJwm24PvECzk8wYq3pbdubI2/BLPotpvMa8JhZrv15DPhdV9/EHPWTMUE
01toInYErr95pvhi7+y+xPoR7uIruQ0nPsmPcNaox3cmzhJxJaIfkxL+khax08WpFlfgp6l+nDPL
v0toAgxFjZKheyc2ohFKxLi5C4/HVTclQTvJ3vcdBI6vdWMm0AyCxDavIl2y6FbBtpfnax1o/k2I
rJsK2GL2MIeF1XJNYA4UhdvtIuGGW66OkQDesAOjMMbd3fRHCD/RzJYxaSjkDDd8RRs0i867LYCn
8vAmyZND0G7vn2YHYtolnrT7yoh3HP5nzQBdTlhB8EekS83fNY4wTGalYKrgysXjZz+HcQyBI6Ug
eQbv931vb90Kpumrhz+drnMxr8mGeL9PbhxhF4prGmbESW+X7z1d1+aDFXt2D7M3jVuhh2RN9kFi
qLfVnFajL3HG0Y+8DI6pOAeJcogrmdGsv1jbhNLnDV3T/d5tS4PSxQb/p+yG1B6JIuhsQtwu8EIL
8l23bfDC4x5OrSLiJigXYmlWJn7fu0+a7GF3Y9fdZZVRY1CXs2O1fwhhsfVM6NK1LygfMf/mJivX
7Arp+Ga9y3o8Y5486mKwxu1bXHprXcczUMeR2B5g+Nn1xbhruhbRpJMA5AW91DAUJthG9ANs7BWo
QUO0rs/tRhJ2M6Kx2z2NkLuDxSis42FzA3HxfHY6o7c0zJb1XbzMwfAna7dUPsB5HK7l+SCUFH+F
Mt2xHRR025bL2KSthT/7vnWXWPXR8pHD/bq+W5q2C2/BRuXy0cDwmCKXMETyEoZGYf33Dr1kCJsv
ootvlrFtGiBtQUfBRkkhpnQnutVPN3AID4FgZUC0kssywfowt6sf2MsQZOmdVTL7lLIeBV/IpMf1
a0SFDH4Aav/yBvO+gZQK89fV6+QF8M/tx7jMxJU0wAVY2G7of0xgeX1SoGHENxzhmeY2m+FUT93w
uddRV0IOuf2AVw00knYSwJBQ6l0lRbYxbH1FYNjwZKfNwmkcyRqMltHXuzZrwEoH02wGVc/3PBms
e5Q781HZtt0Sv6hsToOrGIOpENvIYLe9EmwDBbtgYuJ9+ao7hmdZ2kFIpVjxFnzsVvA+n0UENcUS
MKf63uEHj3sjm7JF7oTaAuvDrYQtvf/Sa92shQLFxz9AEjD8U2i95VHHH4Xqya1dliCEj+w+hbcz
EFg3WZJGsJRWEIMRGU79K6E4i3BWDiz2g4wLxnDvk6xrhxJRZ5mf9sCkF5tmQ2FI/TB1gfoIzV77
LjEI8WUs4TzczuP3nYg596puv8JbpXuInIfauVvQErnpufYRMo51G31JYJW9fp5pA/ooEq09hnzh
CsVBaPX12Af56ILolcErhpWtm+jwPbUh4n0ADtP91C3ATncADTf3Wbhu9gfwNWubZ2iD7iUJmI3v
02Tdt7+SQblrY1dAl3MBgf536bxyUcxbIKb3QiIYfg1HVed6CaZQFKr3BooqMGGXY97rZGrudkZX
XQJztJrKLVw9OoVk8MewJs/huitaDh1tFKZKgJYOE+i5fmbTVG9XACOH4QMwa2v3AgEC/iBIW9tK
zd77pwQKCFOpN3TObyNI5dhcGeZYHm7zLL6YQTfkaytC+64L2fw8wctc5A4S7ItFE2Lf+PeRtjN9
WeGYGHwJ0QoLPkewHYYKAZziYrBoI8ljXySttqxoJjjQ3ol218U8mwT1bm5MXSR7bK/parquwuNk
nx4dQCvPGS7bROcWtvJl1sRPLFND4RNYGuoasDzEb5MHnakBPxamYHpPLhvP2luv2qJ2wx8Kll95
srXu1gFH143DZ6DxfOHDMSqYiHoOcRMHuwQ9ZhLXFwhdaVcTiLQZXzYympDZLxO8+mxGH9phDXwp
tCA3sQP+1tdoikYDXy8UvN9CSj3nbRhDfEHz4SOy3q+8j98ZCmMGuuKIRv4Nia3YhvyTf2na7NGG
WTHOFCeDUlKJXtqh2LsO3aOARC9UufkWJmC9zmknw6qPpqwwoPo9L0Smd0GXDLogzfiEd8ZqKyaT
mFusGVHz0yRmAaUMCinY65R1cnwM1eQC3BVQKbjPeBOW3TjD6TumbWTfUTiPQ9AZnfXsNUoHJ65W
wnrpeWYi/JIusA0ql6hGbSltg5U/+WGqkyvRnWPv0NAMhw/Lyvd3cSQlrSY5jsGWL2/liyFCxAX0
HxjItLJ0wttkH5rsvkbInLYijaLm2QP6FBQbx+n9sOxuhrYHeNXMFZDJrPsiyWg7vesX1DAxeY2c
L6EHb1tewcWll7QOh6HUpGZTQVsh6WNkpjenYL68JdcpoLuiKbLUxqxUZibUYBBwxge1JpcOPuBj
nO8KFMHXCVTe8FOz8PFBDwZpfSGaLihoB+lBbN10s3niOIIEM9CnuGm4m5BUJhvBW7BZ0cmFJIl2
8FgKo2C9bfEx5L0ZcTALFvO57L0wA3zFcZ/8ERPt7JUlvaTwwNEQ16NRG6alT6T4ntm4yZeQ7leT
mu3LMNSC4ckT193yZIDWQ8TTSOnbu7CdHHr/tX+X+jfj3V3v4f2Spj25pHBO2pC+IdUt9R6F8Scn
bdDc9nyI11cja2o/DNrQAr25mX31sna2iLc2KKdefMw2Y3I7BX/7HnSiEZ2eXG+duBHrBHGUCLx+
JHthse9rNuUJHuQzYL/9y6oJu2E9c9U2muziVBLe92GWfZZIqIrNd98aCFm/oyhpPQvKeAObgvUl
dvZuHHEz3KWu8X/RqaOf5iFOxQ1rBegFe7fs2eMcMP1MHPSHIX8fP0I51OQp91AiMWSvkLbMnxqU
nPSzDSYAzNctKUwAyEUdxJ/SdFhyP6aPaENCYwCmuKHOF9LcI8TZW69T9hHRvbn0rOMwT1fbCnAM
zE5Y7IKicXCAKHscHcyPcYgZdXvTmqS5YGPAMIw3/m7n6V9p2qzvIxZFd5z02HCh1EVL+HsZa/WR
7nJ7l/Kpe9+QaQHSyci+n/ONtJlb8gbvN3/1MCz0N9yy5hOn23S3dj7Nym6YeaF2s2/XQXfxnQcg
N/rogjR5aaQLYTTA1iEJbmqVWCfzGmclhfCDF+Svdq39+jGOOfe5bdWWApxMrfNl+yamcyv9tkMI
KNXUT/CKnucFu2xrw7ErG25pcGdpBJ41GPuO3GlB6+xpCbZlvVooV5BPO5eMF5mP7HpvoiluvuIt
pmaYZrCA3Uzt1EYP3WYl/IWbwSK00kmnn0IjJ/JuDk04XSDe4Qfo+Sxc3I6BzeQfAU4mTNhi38Zt
SZZOrLmJWzyustUkbaElsm6X12EQhv+Pui9pjtxIs/wrZbpD43D4BrNWHQBEMDbuSzJ5gTG5YF/d
HYDj1/eLLHVPi1aqmpHNZUw6KMXkEkHA8X1vrSPHnS3eFsWD4TQt3bT+QM3ajAE/N4rj6V3jRuZ9
VMKLVW6QC5XSi1HVRXm7+ECzNl3LgmZrJA6+BDt6JvfDWVC6GWRDg2v4lUp+hCI88BM/XHi49+FI
Wz4LPEWba6uN6knswmzKD3rQARERYmYU5r+1pLW7BdgjKXAdiJDXo9a1xkmUtxIzVN/g1r+vAL/M
3ytehXvWgfQNdDPL774OKu+lgWQAwM/ScfRuglbJY1wdmPyj1E4VGmBGuyRTk43qm0BKhXlSc07U
s9ZDSMuEy8HDsJK23JvuxbyWSxZ5lMoAU046NnGYBjW90qta3CdDgEX9PhYwCm5UifLKO1fnS4gI
Dd6NN2gt59WyaSfkFV+EhUe7G4H7E2cwCcbzgIB6JAn4O2+RGLErA5LPu6DKK9IkbB2XsYtqIUSG
YoMOGzXWl3KIHYZUDNaYe8x8WxqMiPNFWGXV+FRrr5u2XemZcK91aDl+Y2s4j8lA62V6qUIOP6nI
q1C/mLkapm2fkcaLw8r6x2LIUhEPkHaYkytLluFXIgvYWzV4o3jspwEb1iAQMvRkVxYqZE8M6anL
6HAxp4u6GwLqjI4MX9f+2tV1HY1oiI3gt8tsgMY8VXZbNyuMLxlKde1+DTQghzy0MtJmxvwcGWtm
fSv9WeafE8p61GatCMkTMSPOq4syjdaU3Soa/sOhm7Eoo6DzwvSAgnEmWKzrtfSwXDniXSwrruAL
SbkvDwZPlvI1XIs8cS2CT647qsdN4Q2rhUrAS709lrXAxATIOE5FZYY0RmBY8BhMBpLHac6zfh/m
58cT3i3jI6+464oYz8C+eeIgpci2zPPWJL3Hi3kzLbDmAMbwYF1cZe4XV6qcCSCgwlVXcDbYfZ0W
osUdmdpDRwDdXYY0M3SPebt+UWXezVdtNeuDGWRb54lybok5x8EBcDFLXxDkgmUka3CaFuVYXRpD
QpgjEOI172up8rhfHZp24Gciu0KOQX05mEDXl2Nq9dH2fVe+0nFR1aZT1fgAGCXYNF6AKQw/j1B7
t0o2xvXC5ieOeJ2PEVHwJMoRKFPgIsagE9WzbLYBis5tPGBX7WIFqn5C2aNawFfg3NQYR8clri0w
kBjRS+ESw8PlssjPcfEOrqJ13EP6BdE5EnPoZRe2BoCh8dawOch54vnzMk/DeloZHnaPCK7p6KkR
hS10bIKpL46dgjAMoYDLkhBRdhZt5eyaovk9mTq5lIjkSFHY3GKokLd+HgCOSTX2/EigzPGwlqm3
QNE61GtSgUTHlJAa2OLe0hZlM3taAUKMUsSeqI/OAFbDowyLC8omFwINxWpwvF16KuzMPeg2Op5m
BBlg7p3RUnrFLDKaYqXGfr5uwIb+YCs225c24yb/lncZ3HKV6fsaQsCGPTQ0xHaDzl4sARVKUoAB
oQwSZ9/Uf8sLoB7AmPW20tb5Ec6IJS2iFVg0Tyop8rw+ulkCOIlgMPNfRt23QdwBWpmuXZ+t8y3p
B08+z+nQ2ms7FWFxUHmIlWbT2LQq9lOWL36O85byz2rGTPtSuWxups0a9ojJrrphfQRz0ED9NgFi
apZowSN+3C2lnnFn0+GJBnmwBcnjH5GugAeJ4sg4j9pZWPmI+2GuN2Fuciwtym+X06xsW32fG6Ax
EXZYyy59j4r2oy/DsEqqLh3pg0fXZrpyRJXTVdqh4u1WAVKlP4Eke9XrIGg/eatDuVv8rCYxY0jK
PuFBluFhnS2czkkq5KL6GCVZEObGqw/1y/2EWCNyEIhoIkdcWLI6WBGwHp19ZGkvwx4AayT6YEbQ
eZ+PH4QHRX5F17SFoCglVbtD4rxHb2B4lKKLUd+0ziBuWtdvUbw4j1tI1PomBh3C7Y92brSHZsPV
qL1XAwJ5JnUzYIEQmBwTfwz7ErsL5tnmygL4q2I4F4y2EdJ8fHokgnJM7dx47a6AQGL6MVMXarwq
kZqLOSvUnIy876tNHQRqSCiqZEwVDWPj8i0GqRobAUP2GFST9bnXCzVnXVLmRbgcUgOuMYbBIwt5
gggFohGInjYgosFhdtlBTEuw4mg2PdvhnOxAsw94hEUAUP0qgtNzLZOhaW29ZYv1hw9Z8Kr2MCL5
zAQoqkUMzmdfNTWMWBWoLaPjqcHjkMVePYYXgvbULfvKV4F6siMqWE7na27p8cILVrK49Jegu+ay
qJdvHl5N6EU5lr3Obs8x1JjvJ7VO7MqeV5Nj6nXVgmcMhK5rVLo0y65d42vMZKMNBJnAKQFnkjFI
Ej6biOgmbN8KhyMbojwnG/IxmskbthbpEpgLcZtj90fNTDcedNhZdc3zcsrwRFTl+l7loBFeynLu
qi3LWOthDx76oEXLsRiLW4apBo8GdBUyvu1xtA8fec/4rCLjh4hZniWz6sEHplagtwXAvfkRIoe1
euo923k3XQam5nYKy0HD8+5UTWM5DQgkht+tH+t93oCwwkXC+mA7Ssx3YoMCRDscYd3L+ByvIH+6
BkmOoyxkQrgw6jj3oIBOGCKUOFWWMX3f1mU1HmQWzN3es2ghfwkIwXou2kXALtM1no1qSWfv1BHE
69x6Vtvi2VtRKBiHGADajbONGq8KbWAhaTiR08NaQ4sYK6LBzhRB3SKkaMw886aE7tOHANhQTFsU
E5TTevBWFGOPSYBQv3o/91ngIowZ5Rr7cjF257o2DHYj4PH5oq7ESp783HB+KCpQeHFPGjD3GxiB
yYjdrgVCD9xeL9zbDiOlNg5EU3oR7rlL0eszFNVyBCxsiQ9N9LAtPB9EjWjBzbioRjeaityw9DwZ
c8nZziw2XHc9WzzSIouNzjaMqiBDyRmWL788cX/U+olrxKF/yIzZ5kQAasttzXMb3s8zOJWkzgDv
wVYIJdlN0ba1OKZZ3Vb3s8Ibc3RUVfpALLpwAFRAWo6ucLfym9LKJjss5RhWj5hngSIBMRSuGIAo
qAZQM0O4WkFii5u592KkRwjXJyDwpAq3FXR85+xh+R3xfUT7cRgi/bHZNOBwtN3LZh7xxhpZ9uPN
MuJNA9mJKwF14VSG7j7A2w7bUsjzan0E7QFga8KdvA3XVZ6wKwjvSL0UCGIkCGLn6Jl/U/SClEL0
F1UpB35a6w6WaZ+6znyfCxsCuqsswie2Bg3TLo/8GRgsyEkKtRQZtJqQbjc2+qWZmKI3HRJCNN2e
M1p9rG4LR226GtdwKuOwmecqcc14roIzWlzxMWXtnsGCO++GtrdBkk2ub09UI2AmWtKK+Hu29jw4
edr3vS1oRVMktcpCzNX9oHsgY0FTBK+LRDP7MV2zcrkDoMwMkPI8Hdf3oOVB9qOvOlLvSQB34p4U
sxsuYfQfzUONFOn8sWs5W04+87T7dAMv+1Mx2UZuVssVsI8Q9HQEjs6CDim0hj5vMOzSkkbPsXHo
+tyP+BHKxK6UVjHk7AI0N2NnReyktiHEyFf1hDLfRzJXmb4czeq3B4mmOkwEQLxT2BNC49C2riUr
fwA08YA8ceX1GuggRrBYt7jOmw14pApAA47Q8x4znyeR0BunIHae54+4TdQwwuHQ8/N7F/ZY07MI
oG14reVUe0gIKGTxbs9PxndpgbPB/s2z/dCFGEIITrr6PhhHamzMMiD3Y2RrhgyGOUC1kwQUSpKA
cg+CmCAb0iuaSzNvcX4ivXCq22L6MOXSL6dulQ3/hilAsCUqh9IeHLDI5ZuSTT9d43GdBTuNOSVq
kJMyRKjvyZakDYDN42ELyvEGU3EoDzqHN+AKrEYDizoKC1as7kOFrZyjapJx82qtN6gIXh06A87s
KwAW45DfQdjgZ8k0oUb5roQWEQ9EtGIgbTGcVBo+yZ6E0Ia3BAwUEK50HDoTFbDQsahTYP6DGGz1
aD+wKGeAw7CQEvOKbWwtvEgYaB/KiON4NWuU1R38GRFi5fs52y4wdKLOp12YyL/DEw1QOrIzameG
iwa7RlHG84DE7/mARXjhfjIGOcQXyV/TuHyRWwnH2qZrdb0h4XPJHsT0l0Tp5GsiDK+DadHYzTdB
caew8xT8r1lPyNc8mA5pb2FaSLnFU4pgVQ0ncqlxWP67Svk/CXoiXzNhsHBTAyUX5m4PN8GQd4U5
NrPXIUNNQ9UCOGwqEacvw4HeLBoAUYwaXI/EQGWxc/zrX8vZB/RPVDpfw2OyBRhb4Y1y26EFtE4K
mEEuIbobYoxLYOzAtql/49D/ExGSOP8E/0PkNA7aaRYEYgsj/SDvjetSm/QZxky4rrGJAQHPvRpD
4eLaf+Mu/hNx4tccqxK6KhzmlG+FQpeFQVzLZgCi9W9e0J999S+qrR5NeFrmIYfiovlRjf7TrPr0
rwlOvwZZYUoemj5L+RY0F+b10e0LWwd/8Yt/UWYZ3zdtZwXfAunaQPAIeNUHvvGvL6g/e1e+3Ofp
Ag6Dh4XYZsTTeKROKfZuPHz/2lf/oqmkVR9AVYP3BZsaMm1NiHbGtbv/11/8T67Qr5E+YgRR0y8l
LpdchvRdt0Uzx0Q4ij4eRZs+6i1UzDuYg3j/l2rtyNd4n1xls0TWCd+iRpR/Y8Oor0of6My/fkE/
XXj/5O7+Gu4jSxeIyWVs26gwB84Vtm4GhIt/PpxvxBPD4Iv/0zK/FRdFXz6Ua/Hg40rju1QXNseq
kOUbtBq+L1OQ9zQyEhPRP366//WHGlL99//An9+63o1Flpsvf/z7Q9fg3/84f85//50/fsbfLz66
q9fmQ3/9S3/4HHzd379v8mpe//CHDcZi427tx+juPrStzc+vn31057/5f/rBv338/CoPrv/47ZfX
9wY0NXaOsXgzv/z+of37b7/4gp5dnP9dOnz+Dr9/+PwSfvvl+Dq2+H/V6z/5rI9XbX77RapfOadC
wRsSovvoZxvx/PHzI+xX2C44UACf4IJBbMkvf2vRF5rj+6pfGQdyRTDB+lLKczqA7uzPD/m/nhUH
YYiPMPwHHjb/9fpv/nGl/ONXgvfj9z//rbXNTQcuVP/2y9m387+vJ8kEB9YAuisQIb4SUuL/eJYL
zb0eN5/ZYC/Btu6uQfB9+qrdTqZCCoW5nbrqc2Dm36n71c/wwz98Z0iMoE73FRGc47V8ObuynAer
WGu7EWk4IuFVkggbJoMujk9+tqcE0daYlZiAc7Pw1rtF90u9r6HSuSp83X8yHgLPBB+/iKiFXe65
U647lpTRLhoKjLtJlvGwxM7u1A2rBxBVlkz5NuApjSEC7qAynOTBywxOOHCZKxShKRJKXAavjRiv
0UMiEhEEbyXJ2sRWEPWHgR8bLwfUPrR3rjkjZhnZCI+SI+TsJGLLWN6h5w6c74LbDAoxz7+pM7+6
kugXlpFdyvkqUOVDFip8v9QtGr1yorl1vNtUfXkqkbx9WfV4K5Zw9dc4XQikoEWFnRzSqKKKm26Y
3gLhsUcjNWSg2vrZdYG+9RNvGw6+1aURBcDZwBngwHOCaomCusyeitkP7xAKvmzSNe9BpHcX/kzt
LaB3lqTALZ4N0mWzGOoWD5KdKujiYPLU9YyJ+zNdKNJs2w5nSJyVJnw3/azpBsosL8rGkDwuZNX4
T6jlRIJ26fxOA9GvcRq5qo1rmpVIP6zcfKGIyo+oAJyPM6rSThRmjDjwuLhaioZdkwLQ+oZWjt8M
XiVjwTQ5FXqxse2X9mbJzkgxZg4DPHOQ5iBk04YRtBTtRcfscppKZZCemSJNaSzDbYnk8mO7TP3j
0CoJjLnXXpZIdFY8UUjOwNN5yotkhQUInuop7G4yhAKXyJavGkBnzpo0mdqhiZnuQxNNEETuAGEX
fdzlZH0CLQQXXITacmMwY/kAtHv0BV3j781DROfW/+Ce5GST2andTNyEN7mYsV8T8L48tucAWe6D
mMaqywQUdF05XWQTgSJaExpcMASE9EmHxLUn7ia5btYSEXKJmNo0ShejAEKPGjHAnezdPm20PPOW
vL+0NjcvQ0txIVUDec5Il3+kRvZveGeKO1214TVs3i2wPle7dlMwmz9jokfKEXDxbEvLFq0DgvjT
jaAW32Wlub9D6EdoYldL9oKMbX0QaymWOEXxYhoVU5m3SR74boORj25LXbt72q3BXesrMNGzTyG6
KZszZoa1fHkbGikQupnN/e2U+uGLVl3+bSzw7m2YGrvLsK4rH5EZmXiakJAVSdTFLtgDi+W16Yx+
nLOwphFtR/E6FOXQRr30qsT3R8FjUZcjiQd/8D88Xfj3YMibp4mXEFwtgXwG6kihXwpqqDTpHJCH
DJwbMFN/qnpYL3hzj7YFttHOQoaSDVnfRCk4aJ3owDbBtsgV1G1irD0/EQviSLIchOAmJ1Rd+Plk
IRXOVojFkJa3wxo6TVCQ5OMdtAUDyP+M1Me1qpAo07kUpwhCJLM5aurZA9DudANLj6qe4NvALERI
V55RNdm9EQK8KhE8aHbrcN7SfehMQBdPqHK02DwmqHUaIHd9qcobDyq8Gwrxg43HEEKVeG39+bbo
VPCEXymPul5g3BKqF5sUAav3YNTyhPVQefGAN7e1X5Swwmshol4swzO4xg4KFRxD32fCxAsO87O2
oG+9PNKgannMVOOF8TBB4w/wpcee76lmWSPc5CaIQfu7vdebg82EgyJLlSEEHFOLY2GCSLFLKm+d
rqDTnJ9qiFfWeGV1qcHChLTfERrS74XRE48zy3m/Ib4H68bsSHkJyYK98bjqH5VbODCLdJJqA30R
e56btX8fsnWskya3ONILAtVVbCB7WeO+zlceZWp02d5PPSojNJNWV03bkPymQ/xmvmEiDA7dBKX+
ha4hWj04gJgZeEcfd9fYNQWEikPpvc7puKSxy1K4P1ukc211q2G0mQGrbFkAH0gy9ysE9NDDeCzG
hTNOyQC4OUNki9dAkzkTlMOmHTAGSKM1/ooPdi5aRmVPIGHQZwRB6SEEhxP3VKWXuJLGFwQV+5ce
lGdPthwbCB2n6riWQNnwnBP1TuQOT9Cqte4bTCc49CDBnK+YqVQLbQdO6rWFyC6CjGQYooAz+d61
QtwvZ6CnYAShLHNPKmhIrBw/nZ3yW/AifR4XbQkrOgnnK9XM/hYvdIqRZdl8a7tsPGRI0S1Q5IzH
TobspCoS7XpsKLI10MWij9A0B5sAP/krtKFXds7TyErCXbRi/PqB3ai+Qiy1njcANsEWVAhfKGIk
ykmySzNHZqCBKn0lmZNDZAVyME6dcLUPucmUfyNQV+EXfRYSxGpZII3ErgglR5q7Z9iIxAOO3x7A
JRUXGVncd9RE+idBswVyYmjAvzd2CQGn61WKKCNizSAAlcBKKaiJMNIOEvNYALx7mS03N0x6IJSW
lN4QqflH4KBCUWmxPnLcSG+h8FIWGyKK7dLVF5QVro9VZ0C3jbUZ39diAoPIBy05UFYPfCF+afS2
YIO97zrf7hFUWdWnYZrkd27z/HOtUBYe+/kwAQWtK3BTtsyhIY6QYI8ktXVh0wCzQaqend+LVzxd
ilvh+/mCYwtK/SWiFrqspDO9ZwhCGCt5DU1yN8TQU7IFLC9UALEXjCyBioEnS1Br3ATQFy/aK1+h
fk+vuqn7NjVjnqABfEny0ocCpdEgiTAYDGtsjSeno8uZuBdrcE7WcLyGQCZl5bbP0fKTNHgn/CZ1
48YCaYQ2mKq3gZrg2OYCcOci/WyM0y7Uu8HzxMkyH0B0OjxWS8B+qIqG9U4SXGabkGoIkn2KISFi
VppPhdoRCHythI+DQcx/B1w7S7cWLT0OgY1ZqpN8sSXuzsBCKzxD2IWLZoJVCIaAsoIWzS5ed7Ro
aPwG5SyuqMZvWwxCNcNDn+CxN9YEUgW1oqskwgPe/xyrNO1wTtfZczG20xp7li3XsCpomhDYeTYg
57MGUgzpB6dqadyhGArvR1qMIAsKzhClXI2KxD2vzMvZ8g4iwRbeS+aJTsRoRS1flznAKRDSBvJ0
dGf492gyYmyXTSDc8aBa58e5AkwIFFYHeu/goQkjXAJzGldl6bJLGI6COwLJvdrWM7jCqIDfZYxt
0A57I6h8b1KswQtLYxVWdTIOkDAGxhdbPrH827xQFXFvxcQ2IhIrqhrdQXkBXRdsR1j+UU20liCk
vDfnZ/13wuPW8DaG/IHCGYkSi8yoZssKz0UQmcMYtfb4Zn1GryHgy3A88DxpgolEHnfISVygxYaU
pIxcqdht2XseVGqt2kJYUW9kmDI8cqf0xqWIRMehpNYtarveYNXxv+FKDD4BkJebEYQY7rBOhjfS
juOpzBcwSa6s5d3qu6LbEBPm9x6KGS6pnfH+4aZ4gi4BxxXIT8REK126bylT+kFjOyNJsfLFJVCS
QS8JMZb9DDENvrF8agVwW503cRekRMcNtpvPQOlpjFcvzx9Y7yBe7DRll7MGM1VA6V3GEJsvNqqK
uc0T37r5s/DkkvTr0NzPgPxN1LdIV0nAVUrgN4ixwVBpzEJ3Fm4K0FSonj8wXIgYemsYxmaHJy2p
8hxCC+aCHI+xdqivgI7ZJqlA+ZM9H+txk/miuO+rwbvrHIxrq4R3Dhr1VaF0Z5Sbmao57sIyQKXM
YGcS1a3wDlWdgoBfHPASXMQifOjSCQqJIHWYBPGgrIckG6cark8fvHCUrSIHZ4fYP514zOGtlax7
9NEAsO0LUomNrXpyhPIxnzawgoQ6zriuv0HCE+oDqML8o5LZmEewLmIqapGl24DfBucLhxDtnogN
6odZE/VOm6zbzRCw9HsLXuy5xWYMHQ+a7V5L1mVkizWWX8+uArcQeG0dooqE+EfowTAehoBGRrzL
SkHWMacMhwPzKSS+XTfcjmoup9g0uAyjsVgxYFsPa45mI7mhEhrqY63A8W7dyMgD5L1BBM3uRwv9
oIygSsrhrfJlKqKp8cpsx0XmH2A64VedgTcP0jeIjw4F3FIHZDXhgktx5+9NyccbDTVJBX6ZwRaI
7vUlmpa+vCgoI/tZZbyPva58F1KTMQokpBHYkvmtKNujr1YSzUMHDxS8TktePeaQMsG154tNF8wX
rWb1RdF5JqGINIpmKq41boDrwkvVxgnTx7JmBHsDxo+xgzstctJUGwvvepSuRZnktoYqeJrJFjRH
cdEOfns7M9PcNG7sEuNjagygqh1TfBvH6lPX+sXGg9ILlgX42txSiusg5HqLnJadxYMN3ql5k+lq
vmnFSJ5I21DkwpASBPCov7XpBD9DQcXdJJTaQNfgtrxdrmXuLXNCuRW7ji3hPpVor8B8QrMJJ1RI
kjAdiqPvV0iwGQu1bsgIY1WuuvCwTuPM4i4NU2hiVfuhtLxAXZb+7F1e3WQTnEZmasPvYMHVQeY0
eEZ3Wfau8ACNJd4gO9YgagyzZID9MM35Bl+x8m5WEUgZL6CPMPHmun9oRkN2FB470FvgtR6CJveO
ddpCrYv2vx3UNdNjDx7nJYUqFlpV4rzPycpWvwQV1iAMAAV4zjZV0MyOZTUrnKRQo5sCoisAxX39
7sFdcHJ+jslyykM8wMrFJ5gGelfN2xr0fFRBGY3AVqbKra8Gi8zKecKOQ+BhiW3hdynWTEwKSXV+
ZvaqLzgCFVA+GakZNtwEM5I+IGEdx47Bj/YdcRrrlCy2SEmyLB4uCmQ5r3zHG6wJUAQGcADTTrMK
ul2I0KKg9cWLgZTyo+cFTcE1h5VLlFbhPpzCJdxBFa6zOGhzDNHocRMfCn6ppACSc9Sznq9cuawy
hjwPg6lFNsMbzIqmi1g2FCgKZt3O2CC4Y4ZMDaycBEcigtTnJAP76kA/alg7iwaRyhdFkWI5L+t2
opGYKDnZse93tZkwPRkF6H0LvsW8Gbcqc/ET9Pt/jXxeFm9jp7tP8xX6/ANa+v8TPsrIOTzzz/HR
XdG8vuWv9d9uxtf3D53/ASb9xyf/DpOGvxIEZgQSSx1T2CWBRP4Ok/JfAY3iSEbgFUM9zvkjv8Ok
QfAr5dyHhRpSBUrpmYr6HSYNyK+4F4UKA+EDLz1/6P8CJqXBH2k1ycgZc/UJZz5QXJ+yL2wIlTDA
oJtBgcVNASVL7cAmh14X9Z4b3qBcGqHTzcOneeDqQniwHTQsNQkqt9I9RXrzOxnXdge3IU06aq5t
EzYXrDHlSz1W4OxWAUx+MdXwNhgCOQVEzHE9u+zKS/VyB8zf20KXnOHGL7BIYApzF0uu5d0/pKK4
2dlbWndw8qEhEFYRD1E+ob0sSlYfGTjoxMLOtx9WJCKLAhmWEFlviz68hmth2PXwVT+LbAjfq7PA
Osqhzb4YvdRucW/D6V2X9fKeFSx9+Sk1hWuLJlwsELlpVGtyFroLR8m5qmWwSUbry9AV6hoYy7xx
tOx2gMv8ZACkgqcWg5bU6vVmhr96E5YLRkxk1biLFLIfaCJxAz9Oa9d9YGyG1ZN4wWFQ9mHVJPxG
V61uAjkwaKT4VOBd7RB/qorunCsN7bLcpDnkMPCWAUj7KXY1Ha2eIXokh0At5tBW9G1Mm+kSqsXi
BIJUbwup9D2CBPI9LCwyRuwyhGoZcgR+AH3zvtE0U8eh0OyUKZ3+gGqgz7AbcRzieJBeNk5Nz11J
m0v8wvE6uYH76mxV54RdzTxFxp9UvIsdiqM2KVGfC6vaRIgcPoga0Q2Hoeohbq6DN5ipGoxntbLb
ArnhqIgUDG+U196zhpbbek3DBD558jzBmwntdD3sQj51SW8r/zLIc73rKeQ+cwAjDRhStBxmhkcT
nAH92WxdHrmXPkEVAx9e4TcPjNQANDWwJLPmwffF9dXOUtXFE5PNNcylpYxHlc84Rg0GHDo3iUz1
Zq4kBWwmxk3D8w+KtwToX9vzK9+fyr2FQAK/dHLqDWlOSCwI33nPsscFcD4E0kHz5BZaQzuaioe5
bQeA3Es4nKCIRM1kT+itHgIop7zQOyd/MIQisNH275rp6xBG9Ni3Wb+1fUmv1sDBuj6L5Spfagtn
EcVVC5SnfkQuMR2SRaCz0mvwnkENQxIPk9cLspy6o6dUf4dKZHlci15BRH4erpbyfWA6Ej6E3r2T
8qnqF5j7Gj5Fo5cd+ejKZOZVfgHZbPvoKxde5Xh1JoakH0MHkiowwOZldmWAH90Eq88SkwcBxiof
iQWQsY7kQgczhpaUuNi6EjNGw+FXXGGhikPuDTuPj2w7LlC7LGN1s9ruTfvLQVUptnMYUykx3nbs
5ssGQpMdZDewsxDxkP8M4W9hym+BUcIII7zkf5zV/4QdQl3nF37IDygoqpAFHEwLTuAvx57zDCNY
pcmFz7P7EOYR2VTBvaeWF4IB7qebLeYyG05ytDKLsZPOW4VJFm8JalskBLd89Dd8zQEjYsBcLhBq
DuVpWU8fVWDhK2/gfJHDvGMgd4bgP7k7r93IlTTrPhEPaCPIy0mmz5RJuZJ0Q0ilKjLoTdA+/b+y
TmP6mMY0Gpibf24aaNSRyVQyzP72XntpOFz07btPrKVK2oZOtO5o57YfZpn63jQTYwlCqfcT9c0H
ywyadT7n/TGwuuRoNzBjwo6igE3WZs6hHFpHhGZm6g0DDZvwYZauBwHBwgum4p42xOAd63r5Pg+Y
QkaRl5924fS3Hk6O25xryTYZ6baq9ChfK6ONDqJwuIoWanjg/8ptu+BsTC0nOXJWXtZBoIkZ0EKx
G/t62VVidM7cseZDjGhsEBDQERFgO36cMUdxjVviLuTXHkMHKWKbuYG1494g8OPlyyZ3MuxfCQvF
hrB2+6JtXDyxE9QvjIhQDQFb/BRUZK+vlPJTP6KZYkRM8XLmsQj7zvZeDO3Zd9zIjUcH69z+moVl
gfXN6keTVtOLMCrx4uGKvE+ihnRJ5g1Hk7jq3iFldI4as93bA4l/jJJ6SPy1ZHBJpqObNPdwa7rY
4zheprHIboex7JsVblq1S9yh5C9CIIZS9vaxt/Mg5PBY7ZLKsj9xnkZcKN0qCKP8OdG0kYVUxIKD
1bRBvRdmPd4sjq3PC7fwnYln/FTGOE8LP3O2vsjVWXozeaJW+lhYLey6q7ggp2C2Q32W9RjddcZY
k6weZbPD1z1zZhX52nOdctO2Y78JhiW7R3+sbgRumXXS4dUtYqc+TkIGl8TiUcqbiD1bHgzwj9SP
3c128pgzIWjGvNgZ8XwzdcLYpb4cudRIvNo8r931wY0Fj3B0fZid2EouxWIYP/3rYz5cH3icy+i9
GNBdTBUrzFPejvkeq0P/a6Vwr4tGf10+2utCArKBsFKu7GWj0SMYL10Xnfm6/EzXhai13elYjhUL
T2038ys3KCSTcWZZs6rmYZBNdYKM0b97ozDXVS4lOntrb4tfq2N6XSjldcm0ckuDO7kupE2cKWMv
7aVUof61DptBzeU2MGbC25nVyKcZSMhdB8QiWk/XxV21iaNXfmVl3o47ens0hrredtfNokfKX6e/
tpGyjv3PsU491ks+0w6LtapPNUqGuap10eyrKBt3QGDIorS/9rXF7PjDIm+hOXoABCzIRmQpO/5E
3KfYOufrLmqwnS7XfdX/tcMSG05D6ji8NXQV99bkDBUFCT3IxXVcGOVcLCOjn05FbtVrUthUITIx
XemSXmCgFskaeHN6SPveJuLmJy549cCFkVNB0AzIBt54dpceHIgtN2lc2EQwhHurO0THcraignx4
0m3tpA1+NEuNySsfve8Edod71c3q2QBg/xgxwOoghPTyoDFIMV1viY8UpqvuhBVg81YEum8hYfb7
1miyGw42M+OEq3d3xQHX4/pdJ8caYfdW9wMzonqU7efUDq+mqOt14BvzVTw3vW0BHWhHPDZ5kjEv
POXofGiNmmFTkorhOn1Gd6w7D1U+c417b6mcAyK9+1iklbifINKESPB8PuDqPNVVjzu34nJ9cAyV
gjdQSVmuksEnl2jVfZgHJDkwTJfxRgxjsOd0RcYlWPrvlGcxQNNLphif8KBtxxFO0YoUGkp+bPE2
Inl5uIB5x0kKCXWEVZSdxtY3jkEzjPsinaZjKg18NK5qIahwS7+o2DDfrMm/X2I9PRHrLMKpMtAi
ykgdE9rZJt40X1zA1WTvqcPMdMF+gYjVFvoz9ob4vSYosTGlS64EetmO/+STIuRow2/kbXRRihNE
Nj78htT5pqIN+WI0eQPcKueuWXkchVDhhHuveBlRlpahxyzXZ7S2qtLlB4ktwta6UiTuLOWQ4CWb
tfUBDjJjs83Xqsvc4zB3/Q3xEKaMjGk2o8LqSTs11TV2kvECSr/ZYNeYNrRoiFUeiGNguj+LMfic
aVrbsYHl3BKIthxk6/k87XjhV2XaxA9JAb6GlYfTJX7mF3KEa5FVxYvl1var21j9fiDz+W30vPRb
hLr0I+N5XwdG2l3JI+9lYL44Ihf5Kk09cfDc6sYW410aEFmcfs3ip0lsMgQLxKw86VBXByYopOAr
YZ7a2q0PpAnZd6PMOxK6dfaLrtON1XrzmzL4nOLrsE8ItFgGExF9t6ED7WJ6x8eQ4Adn2wU86Gqc
+iUEAvPFNDui9q0xtsKa7TPVY+pUQ4CZT31pVA8CxP1TwiF+ClU16R+McTkzOfiYz8QgWW1gs6SP
ZT0K5NOx40UVWbGVqVvv2srxOB9iBuVJ9IRa46IQfNdBfeRqcBns1+3RVjjhU7/jtTPqPoxkD08M
VDVRNcTelbo2g7icye8y0SVg8BjTjzRi7OoID7KNNr/CyTAfpiCwdwrpk4RxLl8LpjoKI8Yc3JAn
Qe2qnWrrWL18Txpl7eyBRGIEGbhnOEyUatXOpuAuBvlkVVfdIc27tyDqbxZpgplQDOasyPoghyLv
ggZUhayfmPS40FGwbz3YcTsXu1Gp5StlILZyEv+l0JT0GT17+2KX1npELsOb0RDKTpxpR3YgBSCS
my86nhoPnwpLcdMOLUvSoNexa9eXGpszTCR4r8Ya0KJ+4o6+PImaXGCYmUzhCMScUanrYVXxmu/z
srIZ2uJdMKJY3DhubF/6EXT5Gm8RDamBDIxHj6363rHK8aebfUbdsi7HGnePHS+JuDMwHu9blXEs
MsobEkEr12zEuu1yeBXEUnbYXhpWEebhHuMrsiVfsyBFtA2I/I8rY84ZUwTSWtdDdNZjutxyIDxp
e7glu//qZ+/V8jBDJrBdba3wT6Q/Uy++zbKiZOZQmxfpRc0bny82LzHru3GR8Smn0vPVHIYxhsjD
VTw02Gd3AU/02+J147MoAueN4Jf3TYCVYjLYuYfOMNMjOwGISlwIoc9IjURFXmxK8DNhmsYH3aag
SkjhYBjqk4tKa/EwM7d79xJcQ4YfFwcQAkibKWFVWWZevico6C3sp3KiK4VTb11WFiE+Stj2sesV
h1zNzQYOLwN2I5gebcbiO8+olt3V0rGdZJXu3crjNpdwkgU+MG8GZU17zpAk0t3Kh5DXOmZ07+Vl
fWBcOW3jvHcJ6FvJcwtZYTdgNcJx0Dd7322DfZznuBQrhRyPjthv+R3sdQOdcDPUOn1thpnhp56g
EGDNfIhLFtFVVxnLFvfMxGA3aXYIu8+5MdfHDH7TLovIOrZZAoNBplx8yek+BS25uqWvKSFjzSB2
NeewUVUFrEvnxsgUsst4ArPSZMGGhktupOfJ4lepQh0UfMWgKROeo9J5mUsyoYa7yO91XDr7BLLH
LnIKjB9azDwqqtjTVsrvXJJUwNaSQuSqWM3GsRnDOPPWc59FJ4hA0U1JMWIZJJ8e6kSamYe44iuS
6NQWUbayGWteQfqvGpA+IL7R3OTeMh+RufDQtMEDl9OQmefIewvbfMVEubhJMht0zzjINZflZaMm
L+GapCQXVD/LTwkEOd6CCJ5YW1lfSz+gxIPZ+JlE47Qi86wOvjMbYWNEVs0sR1dH2uayLzuvsiuM
sL1mHezowSXzf1Ny0L7nrqJPjFT7gzkTwlp5onNeUsNlUBKr+q0gBMOAPsdudx1webJO9/Vo+nvT
oazQHdrmXDplt+/UGOLcCs0plfkKcNqyXWQKdlNbzrPmunavjTRZlYMkRl0gACSBuaKsikhump0q
2ztO3X4m9AmfKnjrmj5MASQ+2OUQ7NJRpi+CUe2hyfL8fAXE9Whx3iEa0/vYEeM/fPX/2xLv/0fi
7dU/+gc94G/e1v/quo/ij4Lt71/wu14biN/MqzjgI8oKrkf/1Gv94DfpMW9AonJN1P4/6LW2/C0Q
EmOrxEDmENH8p15ru79ZduAFvmBnQAa2rP9ErxW/7KP/tJf6Lt7ZgJ+EWktekp/1FxRzdX20EuSI
fZQsTNJNgE7WprciJ92ZVU9Fhl8t+b3PcCfBi+H4GJLiWUtGrynWm0TLoQPxYsp2vVQaxwsHHuYm
hddX+8noI7WrZtfY+0E7bGzKTq4ubFAYRinV0fVATa7i3s9DN0CoFJyMU4SMe1eV9gUIj7iN7Znl
ycYDibVSHbo4mm5623303boLeQfnnVlb7bpCKr5JO7kllwXGi+JunLxHWRShrPt+zZq2hGIeypWt
CSyAD662EsfK2s16e+N4/QzLKLiJYsO6HYwu3sFVfGdYp0gS5v46JQMactsKtpXnfNWB7YUjNLyy
yPxdVitypx2bSj9F8yGtK31ZgmA8crhPvoJGDGE+W92xtPQHSimPvjTbbdrX+LPA/N34SvzAkmXd
6mZiReq9LeabHN6YcSsadoZ0+Qya5GBAPdJF9G1qnBMOjLMr07We+2PhWjuVmGWC1db4zgY0bqPJ
+crzete5+CAoRN33+VyFmPi4z2Cmq1S6bLyMHihGxTiArfRbnnjTRkv5KlLznLYWuUC5ZuIEB6af
mk0QN/BPe2M4WVdKid1Yx6Ko0LI5kE6GUATS9H3W1tCSlqkrNi73vj3ux09MPziOWmFeFkfYd3Pv
2Vzw3f696OxiXsEMi7/bkQA5mE58h94xdpwZ3e9t2xu7HJn0rihieXImMf9sAzTjHtZQsyLIuJyy
uhjPbZLdmVatfrrtWGFxBgdjxQbQJrbIlady/VXDOwixrz5gUjpyrcY7iM04Xy1G68AvGKP9nPv3
cCCD9SiWBz+pLpk0ETBGeb8UsLe8IVfEkrWo8BJgZwqGqlkrb/6eU4W59Y38HSlsuOmkOBh2zsB5
sLvsQUpAILJu0tNkQhxphL910nrclNfEN1Xw80ljMQIZ4T3ouOuss5T4KwFilFazLgFSO2GBu7bf
0gzbKwLdY2xg88hFs0oHXuw6r12eu1T0wXjdrAtO10tUmLtMXRVOw0jth9b3AYOl7M3DGuNHma1z
wQUv7IcGQbI2idJtOgklghqzRIlQMgGV64hpBC0BqYU9Dlk9wc6MkSE+G64q9L63glqHiZ115IEz
V9XfjCwF1cjz7ONdzQqIBCvAcn5oD37JiZGj+LzHFdTOp6hJcjTPycM/FJdt6z/SzO5VB45lRkWQ
XS0BPzclXWR2xOqxgxipgFQW/UrSBn68AVtTFSHWXw+hjGGIzR2zGcVG26ZKtlFh+N1XZQ9X24nl
c12BiFqxa9JH+W5yE/pWjjwxgU6j+zZu/Xmdwqxo8BROSbWP7BGfBtxAIG0inXAgeFUee2tIV7xZ
MgOhMLibnl/jOUtNnhDt8ygoaHIcyYrHjjnCD8gPcL45Go7kx1NlZfeiSot0u/Ru6W8KPXTxbZKV
/PVdFAo8zJOtN3aUtYALBYCN9RwbWBuKHlfUQTStzr83LUeqbSChvoY2fIsOYcxaPkpOvWHDofch
KBdzc3WSIQ7UGaaDYuCF1onssTxNrbdqBgAi1XLEfW+/Z0IlN2Xg6o+RPJS7ApvT3PQE4dAp/CU9
FJNYPnwPYlTSwcsR3VOq5VOip1e/TKd1Vzbzm++NzRZ2dH5xUvAceKHJBZSlfnSlrLbD0PlvEGow
qzjaXd4tc/mCTxGtW7MvXwCirusAUapD2S1aCEyC79uS4TQtlIceCklx1u2QcXMnVPFjHGZUCxET
EVzlvtHczW1ubYxkivodtmjNjBDG3LixiYCPJ1ZtjNDuRH4RiOljWsjceYCAOkRbpD2fWX0nTp1d
kpeY8SNMD16uSKLnbkM01cwzFExpJV9ImjAaRtx7sGBaVz2hb+rhPWaU0R4XiMnLNhlUJ0BmXseM
4C6zcfqckjTCas5nGe9cLILQjutla0VdGrZTN9xrPas71yjxTTrTdOM7ZApABRyiRKQXn8z3FpxO
+WwspjzD35zeiNtzfaT3HEMDdQNPdLbOlxkWUn6PB7/6LOG47vtsGQ/RUEiEc/rOPgS03IvRBVcl
TAd3ky5g0mkr9T9j2++/5cgnzbpFLhTcU6CShJF2/J9+vjTneu7Hn9itxz5UQSXzp85oSJNL4+pp
c8CfbCTwnPyn8gVzFQ605m0G5+MB34r4RogTT86gbLkN3FnkZ6vEyW2U8JCNMmifqripMQuBi/1h
S7/6OUhjfB0bu6/XjZsEuLYLwEtWqjO1UtPS3JEJdW5i6ErFTQ7L/clInaY4lzUcnT2oY1dQPGoM
6SYwE/9VVjHj17QLGJvUUWUfhZW5XwwfhovIbP/JrMr8XCqNO6jVkXym2sJ7X3p2EDWzqjKrmeNX
MRjmxUYOh8A159MNRPJh7dtS7KMxcDbwNa1TEtv6MLh2Nqxil7SLhyHMYI2o2ozLb1s0XBtnF3xK
sHTPzGyN26hsC2rcYg7lKxHnS3tD/zxZ1iUuSnwuQwMRtzV/sUCXGXJ8zqWj0xPtzYvjdN6lTYf8
tehiPnRVHDvDphiGyFnb1MimxwCb1XLwIxIYBxLXRrtn2MT+1zANKC+AA435zhNQ+C4GHOx5NVUp
Di0Do7UPp0/CNqgTXjqXs6sZuTCykfGgj1FoR1rFi8FGIiaEQzkOF8uOVHx0a3TJ85imC7F3jDs+
4NbqIagmAv+woOb+AauRV78A8wknRH1MJsBX7MAxN1xdhxWA3yAcyf3cZNLyd5hJg6doKsQF/sIY
44Zl3cdOr/bcMB0mtz7+P1vZe/az4o7WpmLvyw4co5vg/JyHKl8jxy3nDk/idVrgGCfldPwV6ryp
0QgwHMJZg9iOU48y+N4xb7t5VGs0zAeTBz5sOxVtNLejVZfXw6tvgfkoUhU/p12jwwzQhrkyaxE/
uV6cxBtON1AujWo6LLPf1Oe2Yi62c1w3DfYCOZg/a609J4zSxNX3tp2bdziqnJvcSJxnd9RTs8uV
gQO1AvA7EbUXIqOOMy0OBjTI55mqUv7MBPMx8c59/zg56VgfrNnPjom9xF9scyyWEeMvXHAjmKV9
rkzkWO4fH7VVBKeZgfX94lb3jbSmHXlGC0n0OjovF+9ctbUPMsM7NQuKdmnrp1ioDOGhBIhreMsH
G0b6GEs7/0KeGnZN1lgNwB0jO+CtikBCu7L5gjDNEQwN5AAPaNzn2ITVtp4S+Ut6TrEMd7SLN440
eyAlbAS7EdRzdOMlOth1IBkDRMtpuUOtgKKq5+o7BJHvGvmPIZelCuY/JkieLZbGgPLWvMAu94fL
2b8Y1v55VPv3G89fYtnO1JdmVekJgl3eaNz9XXssmTU+/ec/xnedQDB4kEQH/xLcHRY6VqLIGA90
mI1XyG6cYvpu3H9XknYt/frzBe7697UIkpvcCLnP/TmZaAWGrf0ACWKhY+8jve7wjPW5EcSwbZJw
MjL1Ix+I8a5cjaf837yZ9p/9Ptd307KIfkj4c5Lb7V9fpgJKb9Stow8uyaQtEw/9aPuF2LrXw8GA
lHzxG6eBbuXOb9lcTWuGEa8kJJ4WThfur2MGZAiGGpxqsJTulukema06CAdkzNHE4/oLhSjJy4wq
v+tg72V4MrHb1ZDbWpot/k0V1N9fEDdhU3JlB1djk/v88/u5OATKgPrXhwWoCDo7Q5maUJtCgerF
ELDHx7nvHP7nD8vff6hjCtO1LJ+TqZB/rTFsI0jJA5BAfmi8nB3pcJbWb2YbH5WcG0K1/+0s+xcP
wJ+bzK5/Mn4YQ39eIN/Jdf+aKA0cu8z9Qh9G+Bkbr7W/pszYFuak/82r+vuT5vCx9Ijs4jDDGnH9
9z8AEOyis2hfVSUOzQIvl2vVERtnaXn9v8EdWP/i/buaL0ghX0dD3l87fBjKuqm3ePlBu5Y4JT1H
iqifkviM+uH0a2I7dreDSMg9r07G7i4be8e9J0gUshElX1DVOf3V1gATvu2jZT/9Oh+2v86K//Ob
/7f3xKJiOCDkzKfLk95f++tjMIG6rZAacaab8lD7vb6fqonL0n/8c0gpe54XXJUk55qZ/uN7LxpQ
43HcJwcovLJft9Km+C2O8vz3Euz/bbnv/56jMxDXyrX/fu7+pgrefHwl88e/9HP+/qW/64O+/Zvv
+a6QlskH15Q+zqF/xt6xbF6z7dc0/LWw+x92Tlv85vMFgR+gHDIluXY1/sPOaVu/4Xmz+aMLErq+
Q0fkf2DnRFnkW/1he/llZhKCfBnZd4kP1bs+eX94hpXFHGTJlm57dZC50Oav9cFdm9whMpgviaet
bz7nTYYOi8zPiqSXdfTLWh/8UTFRdG111zZM/nCGzO6XpzJW/hL88o7qJVucsYD3yUtMGfS8MozK
fxmi1F7ZtW2vJ8MxV/DCH+DsT8/Sq7xQJ/1wV5dAfFNcYEQVxieOm8VTvJTlV+9J5641i3Rvu7VP
9HZJDmAU+/sim3KqLqSHK6rLdVGHTWIsBB1nvUtwyphkcwji+SbA4LDt/fkS9NEwr2DC59XRbpsH
oG3F8jAEHQYAkSzFY20Cx6PdoB0eC6sqcNK7IwncAJ2diLJrJ8PBjnPuXg6NwF+G4fczDLSSrLdT
sKWd+4nejCP0KSmJh7t2e5khVn25rVupXRxM2fBiWHHwVVEK8blYWFj2dhs0BTKdk5EtHw2xVUFA
dNPghlPceb4sx+NieMNPLji6Iu5QNO+53VtPlbALZvqRf7FdzN8c3g8JcX3jWIPuN3c0oohPEBbu
cHAELItVA30pRhmgLXaVTOiUYmgrUIexC5fecomDBbP5BMFQvfW5G38BK+OUbXbytpBcpzadT6Nt
lIyxG3pFPZ4kseZdSfDKX2VeW+x4V1zwAB6kc8hSQwCEoF723pAxH7J0fHZyQp/vCx+OB07GBm57
szSPBhOcFe4FRlYLseZVTdUOIxAnVmHdF+0KO1eyJrslCIlktk0d2gizoE5jStGy733Bp2UqG6Di
qqgIx6s4fcQ7B64cyxuoNV432UnBtXax4Ba7U/Vhgv9ccYR2fsZ54X/DZ8mH3DIZlb0nNSFIcthD
KPvp06G4mtDyYOzTiWqbAOEYbNuiExTbQJ2ELh5qJ1UoaW1y9rzZu0jmAm9tm6ubmGCW2OTzkuwa
LX0s/TYWicw08tcBWBcNAbaHk0yoeIpD6dr0I/SovfRo4DUmoZRwvzp2Jcqp9PEEruY87s5jNCj4
2+XDlYO7UZXlNjs31faKpMNT7rrDW+tKpk010ZUQQ42XhMg2gBv8ikZv2liK5cMjEpx86wnFq1Bx
ugdSgFCBFdUyxvFgSo2UPPYL1+4KkF55sABjxitMAslrN6qpISIY62pbEWedzg3CFr7c7DoDNH3b
SehfEXYTJsZocaJTliRF3Yo3Z5FYfZBPIMTsoqJ3v9El1Bi3ntslLYVdKum30xWWsUb9tOcQM5Pj
bcd5ms11OvGHXmGv9jKedZqmplu3kXF/g+cLyxMtYGbxCJbTLR8o9+MCP8vIGr8B8+UybMo8o2gi
NrD2KrDUoMjmYOFTtmBX1onSTygf3gE0Sdw8Zl01++CMdZBeBar6PGB34cH2auw382LlLy2/qB2i
v2c/8lEH7caJohaYDiEzcx17MsfRaC6EXzoat0DTMm4Z1sWSo3LD62VqONJTl9ZZd+CTicujRldZ
WUHrXojwlbdl6XlfwphKe+/iB1DH3vXaTyfIW4OmK3LnBHGmASZIoFgkJvu5FK713AC24zabwRzM
M5cIFrjaOEx85qjSw0YeLlYAWy3ysIWvGCAnesUCKbuwT/umCnmJxZo+g8jgH6n6WOVTxog3Ldvx
bRhK/2YAlvCtAsBDNtob59t+tLMjAgVEDOIl04Z1KKYkqAvGvbD0eENTTHAfGQSSKa5IwFAYYrpA
qp9DNynth2IoEzccAXMA2yjj6hARs+1AR0yU6zSzOmk9gmk22uYJP6Lzjcv0uLVa0oRLGQjSbyPp
uIItstgAmsRoFQ85DA2bjh2Uo3ghIrP0O3PugzMzGyPEVeAQOq0Kahbcsr4zdNV/EJqe3tVouS9d
YmUHwcSY7oghemC3VP6usWT3VFnp9NmQRPoC6zE+jS1FKYNXPgYsSxiUGgmRMxmqx7R3yW92UEWO
DX52c0fuPN5j2nPWSPTebmDWrELP1ZADvTRA0fa5tsH7z8VbjHuhWfcE509MdPyfTCH6ValoAjGj
wNynWhfvUhZgOyrPtEeIAL2zyQdmV0S3q31RDBXOTqAqHt5xhj5M6tLtbPGCoZkQSKqUce6jlOIW
u8SrdqYXd6nJOi/Vc5OPOdO+CW2GAXTtHmq3p/gqS2KN+Oq73mo2tXr3DMO9DP3s3KRNFtyV8IqJ
Agv/O1tze8bB2b2lA2iG6+W/PtZTFp8KCxvdqplZqDxnah8KRQiCMNkQ3PG76HdMXOZLZnXEA3t8
5A+2ZBCmvLnWV+bwtpPpD+Hb+bOQS7oZo0LpW/565Zu5mMt6gui7S1vt7SqbHiJV1V+wQZb7BKfv
LSeXiUK5siAODlmlCQzFOZmGilVp0WCVBdXA8yYnZ22ZSsB1vibJij6YL1ZPT/YjvlTjaLtV+25b
JR8wIKULkdSqgUyKtWAYcWZ0+lM0g/vORHK4TBjTnIOXlNkrGO8rPNfVjBvM1C0/q7HT36HbM53s
pqo1jh3FGCjUxP7S7RAPVC+5M+lqx8vlscYinawAQvC/cwL2MeS7sZiZhpQDKUWFx85u+McMZNfF
TXFweGPHyswf13qB5lJqrLI+eHm+usDiE8MAqOnP2AFT1j+9KqAYBm2KHcxJ+p+wfIcDFs36PIpW
Hj1D1ZesorJg1XEtTdZePqTPOQ6yXdIU3UkllJvRyYYJD3IuGfRW5eSP8biEgejYbMhFDh2F6AO/
4ZDwj1fPUbBv06IjBk+n2UcTlKm7aSZn/lBgz77rbpJwRrqB2XAMvS1Z2aBOs3uLKMCJPzxOOJsv
LyGj4+5fFbIr78BVLg8cTBMqyYjZYIn0Ywgxfc5kmu8Z7+wgrd5B8NO04znluCW9pywcioRAtNfU
b2WlRRwqyjk/gOx4JzeK6OLs+24zRC0ISd+lQyqm/oaCM4ucquRX2sSsmfSLYBz/pv24ob+pauaV
U0nvViXeYKwgQ4uHpJqnK7WifKoCbN+rtq3IwF5ZxWQ7VHcoyR45G9uNq3tWffDKrWREwWGnqmGd
RPFzZOXXdWdkmezsAKtOEVCq10YcmtZzxSwqdKa5efdVylbjI0TfIUt7LgmYqf/QumIumaRdFRZN
lt05yqYyUY4FbekQMeDOW7mcbnRr9SQEGOU/x4sOnoKmzvyQmwBIqZkOIcjoJdFHObmvtLEPyWM2
9cE9Qr6Tb1hgfLhHBtvHFYcC7YOd+b6MZ+9ITVRkkkHU/t6pHAOBlegqhXC8Z3sKRYadpzUBE89q
5UUhJ1OmSYvco2DXWSPC9i/JotWjA933nsQX57YERMQlx1E1bM0AIxlHEoRuTvYD4GGmluJxEIG6
g4dMPQrxDNRwp8loFJ2ch6Zmod4LhwqTlQKttPEGz/hixUu37M9ia89++oOcbr3mKOQ9E9CsrG1n
GuLBJCOGCQ76RRgkjgoJrbUUCM4QUBJRybdMDst9YbbGJ1Dh9NGck1ad7E4Xp3KY5U+cIqo+k2qo
IszaXvHluJN+WcZp3tO4OZwkyWe1dkG7piHU57RkmtXOlJ+UrEL7pinEfgar8kx/Sz5scsJJO1N7
cDRxRYVyVox4G4ySG2vu2z4sbW78VNeNSejmjAYXP4KznKQ1xUCzbOQ6AS6wZaJSn3UF4nhtxKrd
jGWsTgwtzINV9K+TScdrFFdqvYD05hexm/eIKkwuU4JMQOL4B0WIhb0rdi9qlEDScJ5i9ZtHpuYs
XkTNkxc7w1hAqRKWX40Yb3fBz0q6+0447WGKo3jT+BrUOcO9Hc0g1S6C0fUjguNzB6mM9W/Gerui
zYfpinZ3VUH0AVKAS0XxNGAUYSR2P4GhPjRp3W2tGZ671WFcpP+w/z7SAXBhkhX5YTRwNCKUXj2R
lI3hZI7dfsyD+J3jTEfQP3mg05N7Z88vSjUDQeorXVYOVURohExMHbTXeU7fnWFlsFOTbVqPavzO
7UEfqBbEXMBOTNthOeqvrCnNcZOOuX/I08R/Txui5tQkCH0kUmUwqJ/bUwvlg8NixjyHUM7H4jdf
S21wtiJBcN1OuY3VSUmsZm5bGDv2suMKFG8HCglI9IKxuAmUV25gazthU1I718ZkpVU0iYsuzJlW
OLoaT6LJ9Nmsk/owGxgT1r7XmndIZnGI9C3OThU98bG/CDc+DVP/AnHfheKSMen2cqjhGbCbzhoD
8PPXhtcsTrm4LWlyQ0NImYXp/2PvzJbiVrZ1/SrrBbQiM9VfnlJ1QIHBxhj7RmFsoybV99LT7081
997HYAfEOtfnYkV4TRtKJaVGjvzH38x99oBlTPyFzFQfRnLu9Gyw9WdHdNP3pNLTrYMNM35NTpde
E/rkHh01WhdlaPvmQUytRXlD3/zVUeKDrtrmA2mLYATtyjkwCSYuerj0IjP7b3SdYQCZ035sGeo8
VUt7ncdZfdVmab6tJbbZlBi8pTFlEU8R7UaAfQlBKP3sXdPoLVcDHio3CKv6T3nMZ+Pqb+PzRiZt
nZHRxRKFHJcvubopUcjcdy69+Ux4J+PpzOi+omG3Lzuphl3BoH7TzWb75BUYgmW+O13Zfjh+CiMc
eYXXiT38enY3x7H2psGU1IOLQAJkFUVQMkhnFTu6kduM1Vgz16thqpe9zHe1UaOpI/+sQNGiXAQh
o6wJeuXUxmnYMKtvXU7ztI2Nfnh2M0zL0C9MHoHTzME5mXQqJvewSn42ykA6pLN8OmJzWXybogZ4
ojcVbmSukVbRbZ5W4iFMhpL2W2OOmJrqm4oN54NKM/mzTddptrYYwuAEKs2LntPN3kF4JTbuMiUP
up5GG6YtQ7pPKMyL4jhBFtpVEe4JJAfXy+MQ48PtggBdMH1Xa4ipWdzCwFHOcQVIvke2IXeDXlzo
s8MEW8q00JoEHYF1n2Q7i003DlbA/lJ9ijO3+04aLQWglflR2QlJj2V8ZbZtV+yyPtJbMYKzcK7L
sB0LS/u+dufu2BaIpa6jCRoW6vombXaqVYt7QH1pGntzMqCLeyNuKg9pnSjSWdk1TVxZsrVljE7j
WO2TsYF9rDu/x42QPFmoN4MvniHR9DceFOMvYspdl7xHM8TBBA/4x6RImksQnAJFQ1pju6JwZbw0
XPg49yNG1Z+KTg5Itiao51dlPOlpu8RzvktGYwyY1fKSm+5XP69zf1dzfGPKKEyXipQIlHDSXq45
dDbfmAAvJXIRvArwMB8DjmbGfeWF3slwljaghUSm3JfDN165pCEtEZz+qu7z9AMMP+tHhqLkC8gM
NjPsR3TSlX0odFbd2H6FWLuJkMIlfmSeUCzLvfTj7GdqVEZ4JKeBoCIRNzj7yQX7lY32c9gmsllT
rs1KIYJzqnG11E5Qq6WasSzHwj4Cj8jwV9p4WKDhjtIW/bipUNzYgdnitAFTvLfzTWJNvO7kaM2w
6kXe4U3OSSxFmMVM6zC4g9g22iagzmqq/tEM67VVbksYaEmbZcQdc0TGFDLrP8ALIdY5yaFAB3HO
wtywT2vnssam4XtkwHJpeuLCA40nCh0OW9Ts4pGysRBcXo5+5TwRdVd9cXLpPS5OUUwYOcbGbell
5hy0Fl445OC1896bO1rYJOubCzrxbD8slc6CcO6JyMnR8DKTTrsKyyAMcL9Z9Uyqu9M7N1hgQG9W
RU6iaYeZ2NZOPPuHA/5hbAnk0leOlemCKq+8x7Q1UN5Khxl1WjvmLaEQ5jHLsYBgBZvZx8JA7TyG
JiZGccPZI1B+RG42dn/FSeLnTgRXTa4etkKQtndDXiIbDVVuDNhNdGFeXaQ+kUW7nuTqgx5cfOIh
g01fB4cDFt/Eax/62cW6z8EJjG/trh5gipQSXND8GQBtwPPpe5/F8t4jFWnYWZ3n0CfgLH9FGDOM
KjRFRCHhug1uQe6q3M+RFEZAPAHEGt/tly9p0XPoYnk63lZHk2sTVi8mPKRwtzsQl+5cAoi4CSxT
s8CXU2Q/8Z1UMJpmDEwzGIQoQVq3cT4kfdQ9QPxKv9SjGIgJmEOsFMfFwz1KG5gSsMRIIArI8C4u
uznEJB55xRqqNET+fZ40nOYnRfmZHZk+hfNIukqvVE0sUuElkFahHbJAtZ3LC2+qm+IQwTgzr8Z8
6Bdioohzb+y++Zw5CqqCTpAZbbQC0tskHZmM2CGCPXIWMDSRvg1ETVg0ZkRcQuJeTaoBK0381LtB
lIT23KV+UrDTqM7gDBgmRLsC35OtXXQYgmSFBLBB8FcLeH5DdZPm2TQC0urpqxOmqLrcuv/Km9So
UyMExKkqavtTJRQ2h6Phmv7WMNvoJ2S4NN5Pqk9p9khmqgO2JerKVExZ/jk1B+ty8cuFYIq+I8Jl
ZJu0NobjjwfLwRTSUC3WU0Ml5tNcQFpbT5FGFFTNRIg8yRVZuiMId7nDBEZXB/wuC6yXmHhua8E7
j4zCCq/HyQjHoCGmZAdHEUO7UZMRsNHC76wNVdUcNngm7g0cAfvTPNoF4c0IzhYotiS3kPgnAJOg
Yq5M1Nj3iItDQLjJ2Nk4gjlzQYp5CsfZQwvnHEpYWrSnYwRYNJdccGRMbXgNF86GL5bL50Eb3sfG
cyXIIykcG8uANLAVUBo1r3EGrcLIqqbYtZTNCApbbdxFHDW8B2iBMzrXAWGKl5J44Y1yMPYc6y2Y
qpA/v2U0ZPYuTVTyERSXGA8a13obj27yUWONesTDIx726Nvchyrpq6tlHqKHNI/ppDE5S2+zOnus
iIDelZj16wvcIUDcV0VmVHdDuIWJTOi04jhTJtV8n6LLNbaEl0NzwSq1m69WRjLJsF6W33CGnLwj
ql2wbD34P2jmmieRevnnBYZoEpQ42OKWZMSXhmTYFHRQiGCUhb25MR0He6I4s35Jox73oBbmfgJQ
uALSIV4IWvVtK2a1OnaVpiSabVyOJgv3Y1eP1UeEX7wBqSY2LFaR+oRbPjW7w3LmXuOCPF3FdV/t
ieTwov0yugOZwkYLEiWr1ln2oYXN6dFj+eJDWw4muCW8yxQr8UzP+2WRw3KqmI86R2h0JuOZuPMs
DIKVvOjm+FNcWw4SKDl/F2GyMw0LhwiBtMarl2z8wUAGt0C/Vo/0ZJPN3pbGzicUoIAWpfYwymyg
BBGj4t3Ti2KWKbAaNwLBKMqgbavrL0z4y2d44vSiZgMOEHityH+hjPV04Jk4XhbOBNhf9wmMMTWZ
Gyun0NNRNk5+OA8d//989h1HcteXyAnMtya0/6f4+T3/Xvzre/HzXzfJj/Lpe/Ovizbj/7a/qzn+
9zf9t6DD/LdPmIjvMJtFfoEz+f8MbH31byVwCIcLA+UHEgKj3P+e2Erz3/yXdSxrWZYrGFH878TW
QQViYeNDIbEVpAznPxJ0rK7rv89rYYpKF36HKbkyQTbdKyMK4jSJD02m5hCPOboqO38qKrIH8QBq
NyTvVFjoZM+dgwHU4uunUmLd52O/jU8Xm11ScsohdHYb0tdjBJE8DCUJOL/d5L/QT16lf7jrJTKY
BhlyMDFCyvLqEhmJ2kLqqEF9G0ISRee6i+KaxMrYPw11/Z1x743T9ts2UkTtOEB8/08XADdLcatc
7H1fzrRBIipvxFP7EKIn2ZjLRAC9zKhosAHjulJBD+C36X3seKlCm1RyHW9fwksKzj+3ABt5IbG1
d4S3Sn9+n6q3FsBblmf1oekjxsbSve9jcMK6eIfMZK2/6P+yw/7ngxw+xnIRz5qvvqqzcISecTI9
FBiUHruo8/duVz0CVft7uqYkwCu7DGp0a5C1RgCkUBQnY1J3NvK8EwJ5g/Joht9J7Bt3zaTER1NL
9gpW3wFDygZnZaQgOJHpnVHRMmptuYhviLFq+qFDAxFRrHt1Cyadsf64kXPtfG1DRltN622JbA8v
o8LwGHRW8wEdTXw9h58BH1it+cJwxbP31jRON1OL3z6h6bt2yJ5wQGS00YQ3i+f/gvD/kcnhl7ef
0Eta3XrjeCWEJ4R0LEEfvz7B33gP7lKILEpq5J8mdoAJjrgpiVCINrsgBMhgSBX5G5f59f7tz1Xr
6n/5xCybrdP1oKCdy8jLD84r361a30sPGGji2tBl6QWz3e6oIEVgbdK2mGotQ1A2yr7CaLDCZDjF
qtAreKCoendZHJG/jWOO7fJOmVJpDABdb1NCwDhkaYgmG2cxIq6MQu3eufaVOfbq2h3puRgfCGel
sb1a1qL3LSDOODv4QBHb2gA7j2JdYZHvf8zGHvN+nAIOiCbzG5jcF4OJFFNHl33GZC/MnYt/CpA1
IbQ6OTgtbLyWRsM3+NLMG/DEyMBb0dD8ePu6/3zWlqNMuH6KggSFkl3j92fdqcRgqsdlj8iCNiTW
8sGCjMzzjW4cjF/rvvORvWbqvffzLzdMWWj/CHfANO3MvvltlfUqR24DjeMQ4jIVDOhLNj5nne3b
3+8l52xdy5YDRdT3PMGXo+C8/H5FVoF01Fl2iGe3OHCa0JeY1j69/SGetf6a10+fgTP+cq6EDqpe
Pf0yb1xmC0PGyC17xoUSvazT+gWMP5NDjMVL7hsje8vQdbtCLvoyt7NnGVnLXcUEzy76mH1n9gPJ
CDDIO9vYxUskjlnLItfpqIJGGAkQjndvOMa8F457wzCouUiQPmyBiNLNIDN/b5ArCsog1A7zRrBF
6pstJxUkzPnomPlnbWzLk3C5tLTPVn9Mft6qcW6dF+gHauFPYKbwOeAlbcC2/H3RG0hkfIwdlWof
ps5rAXRG3Ae69Clfkic7Ne/yagkvQ9JVN5aZPjcKBWQLEZEMt+JoTD7KK0f4+6xMnhucqDfIbnA9
MOFN03ez4CTru4haFQxV9uQMrEFLR59xSUHsnfn3uOazAjvNdZt3ReIbxzEeEC+q7lES0BpgM+QH
kIjaL9VkIxOCMIMtZaECbfFhmZ9a36WYKcsKkD8bk6cWyHBr1rUK8CKvg0TZ34qG3MYIrubHoUQK
kCYLG/HiID3L0mcZ86WHqPO2ec71Rl33sVH6l6PZPbGrPEUjwvHBo3Dj69TuYANISBkLguzGeHRF
1W6tkAkFIxNvC3EtDHpYHRjL4Sus7eTJtHgcdu2gdmvZgbMZwDW38pOdVZ9S6d/XLWrOum86IoQ9
XI8gubKxgA1m+NjC/W8+OgmwZF71H2gwDqFbPDWibS7anuRvg5HOzp94mvlMsWzq1MHV3NnXdfaM
PAUbzHq44ux0teT6Gbdv/zCR3YWDA1+0HXPOyeZ1aLICEbV5WyXcG43MBFIJe4A2Lb1V6+mbRA9s
T9Ytc+bgFWjJR82DfjYigxXLk4XY/2wzaoHgU9sPgyYjAeMmVKkWAvopjJ5BplkEMdWaNERva8Tl
aXIhIZMfngTZkj9BvMg+kJKJ1zqpI59ale0B4Z8cU5THeBbA/KF7L7qM70h7enJS9K3nB0NncNM6
TbfTks3jvHbnkWUjkLOuWCeOGXHy5IX0jHZk3ple5h+6OXvyBCJ5zQqXHa/GeeE2uNPjvzztmf8V
O5k7uBp695gjki1eC/3PK5CzwqQ079quabf2QPNpIR65LiYeFrHSdBur+UuZI9n0YlaQKXn8LcaQ
AM3QqRQyvtMosLmWYwjFy2PRll3ydL5wLpcupi8WQGv2NHjOzRX2t+0X1JD+vu8E9bqaeNXcuCLr
2q93ycCzc2df7whEuZAO/kK4G+DIDIcnSKfhVI4lmiZ85PZTh9Ihp4AZ7VqwXJuf4XuwdPU/DzgX
9p3K6sey4r1ypvS5drjqsE6fzuWid/Vzh/UMBupUgiKF9U+kHAaCGTtI5TDZb2TXwmjgJnIYoB/i
sIq7ne9uBlsePVulp4wx0lbXVCUKld45S/Voq/J03p18wSoWEXfAllZ4CV3sGc+L8BbuxD6nSQoS
Z7F2TVtUe3uCRDn7PwtgvI2JInNLnmu7advkM5A5Jc/g9w7UWu2U3JDJPjRu9tTRX63lbC64EXHm
3JyLUm9TXsCqH1MUWNsE6FKVznKsM1gG2M4fEsmrgjvNE+JVPH4wnMa5kYd7Pk3Ea8PiYPGzW7cd
ZqQ3528I5Pq8vhKgTHfrVgCv9a6ruLDzM6iUf5PkZP8KIqE3ejx5UUpyT7EuG0gXm1DZ+a6UzSMs
Cnmym/RZV1G2g4aqERuyGM+VzsPNBzWjd098BBXVWYwd1WT80ALYQgzi/U15M3ejsfBTzPWPmW7D
y259OoBR8AOWklktuSIEA/KfqmW6PFdijEloxJACMPzz2DPQhG3xy713s6rGPi4qHK7Em/Ytcxm6
GB5AD5JDUGqP46LOk5vSF5ohXMX201IRWMP8+nVfMTUX1a7Ns3bsO4ndEnyH+WCGq5x75kauK2xa
+JdxRZtOpQFs5lGNJYuu8Sk8WcWyygeqjzfwaEyfhmJ9um3aMJfgDXdjqj6noOJA/MfA0Y9Twbn+
Zmt1RKhbMAWQJjK2sjzWadvt1j2u8fmAKGZV2z0vkLvok+Nw1YrBVZBWUm/P7TDWIRkJFY2+NsJs
/iziujy62PdgqENzJSb9dF4rRZc/pV78XCzTfSjSmQ2jIRx24Favu03oUxd1xysQNp2+nlyUUo7h
kB01kGkDYAwGp5J+01dFvWfgTliI0yQ3I27qW1uu/bnt7pmdxsesKtnw5q6+oUrWV4kVo1UZiWJl
9u5sJjOetj0Wc3vdj96uLBEdpTVwY9mO5MTBpBPHhniS1ecU5gemf8l+kLj1dF6CosAFeUum5Lms
y0eMyzvyLOr8h+Hr5ZMJNfNKFAx2ogoxalFHB845CdI9KR+RghAtn5MrpF0TBAwG4BaLfYEhTL23
F45JQwnpa6Orobxo7Ni9lT0WLOMywyscVw7ejLG5tx7gNAGWjGKbG1PG1h7YXl5iePjUGxnugi4I
Hbi8if4fCrcexXK1NLxO5HQ/eesxr3RRDceoWLFNJUPXtsf46JPuekOqqN5OKyVtLDMm+lYughao
ejNlMHuHCqw8zhlNQJQk/kk1v9KFhq0b7Goj6yKDRVohbnati86vHzM/d+G/4MozmA7UPxMCgPZM
/J9kkwa474Z8PPgbZCCMsSWOM/FKj0yk7PdNb19mTLCiLBrx4GriY1574XYkuYTpqPOjcpmwR/MP
phKcImVM0TLIHCg9YH+j7uDsqoS5oyb0EVEMxrNWqQRnOCSwKjGRFuLMgvOj2A2RtaV5vjVGFPSA
0GxH/T6CGr3DSeiHEcXXxthcEXWM5/YwfpZivMSIz8NZN8dizDd+VQ6Lz4X2uENGqgD2je843eIf
UTM67RbrLtKwF9JGnBrD1NsCnjdD775lRiaNY42Pw7adYKd768lnIedsIxbKEnFTz3Iq/X28Mjxk
SKUpi3j+jL6a4GqsCIMxYweyCid8HpnYBgCT2UNRE7xsLTjh4j/LfWlxPwTiyHXdwMnzLcpb0e8Y
xHcHXdIEowRf9qOmYxKc4fQmhSoJUs77bRn6ZAr2uYjiIKTd7QxG6Ie+avip9UTPsJByYPKakorc
ssnIOyaC8BcKktianHVbrkuUA/PBGscnf+jxzSiGO/x4jF3I3BChMJQyjKKe1+scPHEnQR8OLVaz
BHXys4j2n3oZP2m7fBR4dgSDLe7aBT5lJ6DhjHE7XRLnUmJui9alcqNb5n4omiUGqX29FwNksVao
5nNv6K8pe1rUuYdazf4ldD1zo8ZUX6cjV+PRVW1av6O7Xsvp0uXLte7Z8Qavq/aj7d2biX6q5vxE
gzHdLmj76ALN66qhrzGkz6CN2CPcknGHVCPuxVP+yScKeVA4MnUq47sCHt/gUBLfikZWXxPBvS9o
k3dSuxeZxQqrMlZDDxWZBot7Su4V99lyPfgVRXMVGcl4n0MkZmDFclMreJVg8D5CyQxmj7oWtvQ5
uo6nG8MwFbJjfy3SOaeVYUABarfdwpelx1TLwBgyQeNWNuWR/L1DKPr2QvrpM7lVzxG7fdOwDwHM
32BFL7bnHb2bOISt7U69rtWIZXITWjanPHoCDtdql+KhtDO4YFxM2DMLXJ1zGNbm3TIBELmOrbd9
1DyWOVsPavPxAwOpcoOAkoeNEOPQMay7nEEmVznFhGNcpz/WPQS5XKD9j8TAYAq+cMaJHtYEa7Lp
yoJocJM2ypo9WG++PEWwqCC/sobhJy2YdLjxzyaZkBe7/ALP70kWwrAx6A1Wk4/LxPdsbPktTf4M
f1Q85eFQnDJ2vfPq57yJ8iJNLjmsPgNC8K0y56MHTZIsyzvYyRz1QnautDJ+rUCVbS31sY/84dqu
eSKzXvfAiPXZ408RwIhbi0JU3TVwUNnM/CpAK54GSsQ3c0IZA4zUu9xVDCvt7tKAXUrFrXCjWZad
VfPxuJbQr1o0WImhPmTNkGOO4uKrgxXvFpsXf89qZ4vreURDYd2d915/4j2NrfD+7YP/n4iz5TjC
RQWKAhTDoldIWa96aEXlqA/WepvWIxUUDpoMLHB3jQ0jLGL9vf2RZ+Xga6jB8SADSQT4AneMl4jG
kMIBiNJZH+BJcfYnRWwDefCxrsAhIfrjn2VIzY1jYXVLhmGDwkxl1NWDXSNXqu6Fl0jKBmfrtbPp
XWHsEPHe6yG6FWpaAhNHhaPKmp6pHF7b1TjcOsyftsrr6Lm76PMZOz0fy9C3/Ey6PH52pm4I7M65
kwyVt6PRyZPCXOTSqab8xLibHnJY+2CXYxfkjoQjGm7LRmfT7hmCWJf13AfLxvvYe9AswuaqaGuf
1Pe18YxxyUTtgEtv5IUXWsrpP0flGUKYzCZc0EdUka9AsDRL4pzYIQ3pimOs547hZdsDgjiKPi/X
9kNyrvWMDgLd84ZL4gXfeax/weHWHAI4KMwS1wHGy6dqelCxEqX7Q+pCzICkEx/hoLPxkTW40UYK
scEZRIAlj/kOQvbKBusMkYEY+Ai2TWoU8NXLj6aYyB5tWn/waviBNvsI6i5DfkxGImOspaq+9SIN
Madfyk1pp7flkA+f/EodZnLSHt9e3etnvVrc4KMYiTOeEJLG++W1mEUnOG5icdKGprfLatQmdcSf
ZFbeT22DHR/CGTwfm+yYREN+fPvT/wIWMifgAnxsx9ZR1stPz/mGZlcY3aH2aMY0gE5QcKB4Z7n9
pWiAMiOTsD1wzz/GVOymymZKRjaCTKygX0jRbdLpmzG3N62ffZ07Jvlvfy/5ty9mQifE90ihDHNf
fTEIBxFtSd4doiRtr8IOwDzprOaC9xMoZ/TuY7ZPjJFAz5QTPeVTNh+GCSdAOG249w7JzyV7ePua
XsqW/1l1zBEdW7DyAIFflc7KyJrEFxULXqffysqef/3T/OqUHi+b6nc0wWczt5crCzG261qg/qt2
1H0FBPfKNZyw0O3BS9ybBp3ytjCgjuI1ngSCrnkjB+c7yZKfK4EXpnDxrCQxcUhGTNf0z84jJW2x
k+X67buwTmVfLXjbZhpus9R5zxBxv1xy2PdWc+RGUHz8AZwmo3l2at57pG5smZgy92V9igHJvpjd
ap1d8oiMGF/VxCgfZTMBTNHHbbJKqU1SFlAAHfNmxLQCf8T0h9Me7U7Ar7NoQTr3wmzNOxQAz30U
V9ia9+nO6CLosyA1Lqm5cA+ZLa1TR03CFoqyLA3WAJKgNdeztRBqA2srR3lj5NwaoKx1bHfeZdJF
NBdv3xv1571ZJ8k2AL5DlDVS3Jf3xpfD1HEwrA4Y08NIttFsuV0EhXlEvVC52JTMkNCBDsg0IcFH
nL8m0Cp0b1Rbs+cC1YZsOyhm9WUlegT/ginRsPbNuDgt+zaPFpIyc71pPJDQKH93t8aS8PXzdW1P
qNUCwGEoLdbv+PuUY+goug3NJk0p1EkcuLdgaqSwu81jr6ANxU5+Qsze7GSKVbSRJftmxJn87Vu5
vkwvFz+ySsK9lFpV1e7rZJo8XcwKQmdNeEVzqUZujGIlJMXgvPNB6s9Kw+gQIwf89YnDwfzj5fdl
CoJYDduiQ1iACqY0IRK3wX3tdsVzRkbL1nVBpZIVXcbEqySWG2KYQl8UkLqCHU8Vw16OnpKReZOb
c97THAG5v3pXrmfGgsM7+PYJsRvAKa5uR4yZjXdmeX97aAzwGIDariCY/fXkGMsraDio1Q5xm8ut
yiyiA4upCvKWrnPKMQY0x/7nel6aNfBTX8fPc+69U7H+LJAutAjmiaYyrT+3CVjZrVtJWR2EVf4y
/bkOuA18WNaoYJzf+zT15wSLCHn09Mx9TYkW//XOW8rOE46qmF+O0V5X5bxdx5JLq0gSwQEKAJeG
ellVKsqzog/5Uj6WU6mvnZzm3hLRU+XJ+RpHseU4cPCGO605meec7MknGq5Tc/zw9qL+cx/liu11
UOw6VPTXRILGnty8JW7ngLoBr80WcZyB9G7XC85PQNlwAkX2ztDyL903n8aKwDlUULZfv0kZrcNY
1gqNRgqwWZemxUF8UqeU/LljnHfgqRF+4FL3Fy3w1BWGI3dnzBC83dhhK0x0JCnph5BB0bbTQwsQ
aspLoBW5r2ktKwz0afU4dpt290jWAmj6iokUuNlvFeNnuLJrNUts8Np1/GKpPrnTnKgIfjfjo7W4
eKXrljxebJWyWi0bSaQNYi2HnG6GDvvYXTtrjL0O9jqhJO+BjA5wkvNso1xj/5i5/VhPwk7S8XGT
YEIRfjMN5AQQ3UcoZizDtx/lX8uGA49bcnPJELZedwMeia2NRdmI5i6+RbMDKMBZYq8QhW4Alkv2
QA65ia+egM1Bs20edDHizjkiJduRGTheujMY0bnW52pkNDonFZhpW9nbrlNfz6NNq5I+nJ+8IVmy
MW/QAr03b/6zgfWorzSvME5WV4tX9b6JLEawjdseCpfNGFe/Ypu76ytBNOgV1mJ54HtL/tXyMJxE
IK7f2TOtP+uvpyzkLnBe4BrJ1/we35u0P05FeRAZU7RSNROSA/B+LwMJN2vfeigqsrATM9YXsIDF
VlvskBN0Tooyf7J1gdpWuPk2Wlim7F1MlFwGQFirfxOyv8TI6BGXPeiR6/wBaEMSkMjwOt3FYdw8
2tU6DbAB2VNAyYPIV4xvWuHcpUrumnq0HkRmQzn0T82AKMZ2FpuQJaoK8ZrP/I+hR2aIX1abZofC
g2CjXcaN7yy3PzsLT9F9e9L3sQSynfUu/rYrYwOqi3RVWtUMKc4DgtxaR8KSiVCF+HK3dBmxC3q5
mAgH2mCeA+6TPDA8wJNsHcMsooc41RBqwG59l631rXbuLaQmzMWrrwUT/W00M4twRT4f3r76P+se
3kx0FLz3gjPj6zNS3yEMywFeDoZnHWTIfHEtFXoGjjyjUVmYv1P1/mieXdYU/SmHMkzT2djXS/rt
fsUShmujwTmAtqsNMmR3k6yT+/Mspj0/3p6h0EB9gckBaQTZEXPOrvZQgU79rqkbvbMhs2ygarxX
PF5vlOeLs+lred9W1tD6979dHKLwFAVPoXEDhkfQNVwDHqNMAXhO2XpX3r79f/m49RWHqWTiGa3+
2HZ0ZbcMIvVhtNdV6+anmbBeCg1rh7Pje3iP93qt4p9mUVFgdEJkw6v61VqNm4FpI7YKhziO7ZNP
7gS1sHG3k+XvGTX5MVRxOpKkQN+AJ5V9TGy8faU0ihurtNwvo5X7t+nQI/jsP7QOeSFo8KB0j4Rg
jbyjW6COlgTbioQFIktICCgSvNmJkAqHnOnm0hV7ZNSA8UNDhq1h3CXA4eTgFJKoz7beGqXKtymx
aUfOMFZMKG0ybq2I2HCE1IifwnEPIlnvmqi2DjnKwUu4HAYTFf0BlRNWKdDBDq4yuYeopk9ObaSw
1XX0oeCcvF8GY1jjI7xtH/MXsTKe5Mq2k2ONjSiN2j7PwnTrxpzUwnIYgA1tBSKIxgyfkpDBr87x
w7apBxCU/XTr5HWxLyoL74i0Qa+eY54BZBWaB9OtvaOfcA1GFUbgu58Q6nyI4kQRJURIvecYC1jM
Ir/12GIeOlfb77xo5utG3VUeTRj5lhyIoeF5r8A9PDYa38jY5WFQeGsgF9PrDNZI0Qom2/RSuEGK
D1WN7DysRouks9naoa/iAZbawrO1Q+6b9vT1boNPdpLFPzKVEo0F9RCd0ohHDAtoNxsk83gUyK1V
NMWeIYIVrKjE3jMX434uR+vkr78+LbsPXazubRe2yTg5MEls7BX6Ji+OKm29d9Cf15sXtD9eKN5g
+hgKjXi11KmceJwhYd/HDVm38bwBInrn7X1dPM8f4cIwtIm/k7Z4dYM5hdkAAZEHYSBFGE+ERYAc
kWNGhbyj7cyae2O8dyp63RTwodROi+aG8wRl41WFwluFbI+YPLi6RO7I8KsJqkXUjN20hDDASM/A
ivGibEQYWJ1u34G15OveHiHL2iArGnjATRCXlxVyrnPMCvLS3fdOhRpjSlueNlqaNF0/EB3qRUUy
3YFqdw/soA84OQ2f366aZwbc70fQ8zWAVyvOMpB+V4L471Wa1wYftgbvJly6je0w1+0xt5C3Llq0
ywZzFz9IctF+n8QS3nAjrRtMiMJt0Snvk6HdZRsPbhO0o5Xu+3zxHkWruJV1S3cXV/tcx83HcZ7b
CxvXgIuqi91TjdJhzXyrH0iHiValCe5Eo9/dmi62hvFgZO80X/Z6uH3xHWlgGQhgIWWCIrM3v/yO
M1k1Vs0Wuu95q06j2Ux7UUUy8IdyuDx/Cb+Ps1uEN+6pjfkLBo9h4K+mHcRApXgzWcvWBIsIzDiM
jj6xgITqpQbvtWgvpkU9E+DXHvHkh0Lmob5OIvMODyxzVzXJcInrV3vMaqeBAbCQMDu5A1PtdmfY
KQkci1PvMuwxYfiU64y9wPewUsu2CYkzrWKU8OhQbiZ+cl85AxSLOPo4GxhiO+GY3c5L9bA0qUkR
6i/tsediMVxFdRMP1ypxu0ejLH6+vWRe5+l6mK5JEHE4lS5QMMG+L29n5fthsnBu2ke6ATvpjSYg
2OWUROMnYhzDwOwtuV86ibrFmcNAgXgFqV15R+2hljES0CvNfJn0MV6ztCBMGhcs8b2eU5fxsr9c
8Vuc07AaykyGhYC3wwGHm+4ctBh+LOQ+XXHKE4HooOzZXYu3qyK6NW9UExhO+UC6QL9H6nWPn3Gz
1UvzH3c264FIuhbILS/wH53NPCUxgzZuwJDZz1Dmvdv1gTcEnOIkHA3vYJHuH+V3NbkzoVkBR+KG
95qRm/cALqLvKBNwgrCIb/1H2FHxVbUUMiDMa9qT75PeIOCLrxRJsRtGpDXDEInnzFDThnr4+zKf
+jL44Qlx2XWIMcVeQlWZnMs5SsttPbM4hxTeJv82qGhstgiOw6BJqYFqZEnSez6Xbb3cqRJGmqyX
4Zcsy/aI5kkyi5qKU9oKwsUiM9rH8Lo/j0PWfGRqjWEuyrG7ihCrwFKQDbQlwWmcpd6hdR2uYST5
F4wV7zpEHkfyx1n+C/nHuVO4pwaJwPUoqC1tpTW+HVwOM7hs7SaHzzYeXtt2oFYaRNrl2My46b6s
O5YS4TQ3SpQCLW0hvpkh+nCYuMxk47g09n6Tg50OkbGvuZGb2JXOLgbQoI0CJFve2dr+aEwtBDku
gMJKql5L/cvXpXWcTOcR1M7/4u3MduRG0iz9Ko25Z4GbGUlgei7cSd8j3GNVKG+IkBQijftOI59+
Ps+pHnRlNVA9N4O6qcyUFAoP0uxfzvmOD++IF4HPr2sEJ2yNxwuGYPYvuqh7EsxfjjuLiRD3CSgp
rhfrL8ddpoZF8n2InTVRWpKy7Pxha5KEKak4oPrRt4kx8of9gLkRCkBpIBNr0zOoc/+wkKAQZime
8ZJM6jeV3MVHiksB3qLAIy0yY2fPDcem5MPvkG7CX+QEW3DhbS3lZ9vR9K1o6cY9BBoLpYv7Mk/O
h2tYpMgG3kucql904hDEWGWe8Y56hwRJ0UNSKf820O0AHPdJ+JgKhkVV2oTlrIe9ZHK1d1lI71ib
cwxPfEkdFM6/mDD+84+KFR+KdEosGnXx1y5d5tjdjLUWmC1LCpCGr4dsLjiiOfIP6Sraf/H1rH8u
LGnbBI+FRcPLqjr4SwniI29rAZO4O3RMTqQWlKEQeeUFey6IwtVMzzpwVZSAf2nqsTt0PT8QmbdO
VJd8vN5MGpw7e/EWVki2DUYuKnPiLTFrt0OUYA37puVbUbKGZtVzXIvqfrmLuOPmUcVNVPXncv9B
JXhMUVzzvkqr+ES/2EaZRBWaAeIi+dKB2uhz2a3SfyimNN+xZfjdwmYK11n8Jvj20075uxuwNXaL
H69n5lp2ZI2awUrdkRTAMWEZnPx/Xq1NTqnV+Un6gaLMiYISwT0pxQ4aEQ6iAATFPuXthUJQmOd5
cId9Le+3aZkjBm+oS4DrctWWsA/M+zG32By9XTkuP6qVJyifOCLWlgc07zrytWdqdkKIwYflTfuu
FGhhPjdwZB1/oYaMiJCJCzHABtGe69Lqv//XgqMCugz5zR7+7A0QrTEcbZI0NHt+8hr4E7LU7o+u
yj3OGU5aRRzNUQ965UPU/TEdTP/BatmmjwX/GAyJfyALdXwgxISfU0IFUcXBEPY14m8038O+S/ru
UVmoiKohrnnz+DYNYWVkAK0rbCyrj3AGyz0epeAIepHPrhD+vljlm1y8nyV6XeAarn3kYJsueGqc
iMOfp1gsMOrbgpJFUUb/eVIGko8PpSlfAexm2ARUOkBS2GgHzkDTzo/jz8Lh/5vv8/6FftasQlSC
rPd//c+/f+E75vYf/iG6JycuT+NXtzx/9UT9/Adu9v4r/7v/8d++/vxT/oWl02J79J+qp38i7uLn
TLv/mrj75+/8O3DX/RsaI4Tb0Awtl4U/3c/fgbtYMWk5HVJkHZ/R4X2I8h/+zeBvlgT4yzSRYAJP
/F/3pmX/jdM/uNsYmaDh3/x/wu3+pUehbMYFKgMmcj6LcZbj/3h7Sbhyk0UGLqLHZO5f0tH3X1fP
qIBQ1YG8AoXy+9Agu3hXmTBtXHPIomIgpuY/fWy3/1Os/1s1wnNR1dD/+/+guPzLwIVRCw60gLBS
lrLS4YT+x7+JKSapjIXXGx1W/577cJ9iGcTHKSnt1zFXwUVzg9+H4GVcMxOvxwOWAVQhMFAP/Cu1
Q4BT7+s8Le9xjCbqFqIVN4VUiuCpWNxMqAtHhK52SLjJyBQa+ckma5HbQ/y0n9IemKVq7eropyWV
ZmvgJNFJEUcGMzj2At5y7yGrbWqO8wcXn2fvBskuO0MUe5ZjLrBV2hNkIn79splHbR27WOrPGtsb
SEv3kfeZXDKZkVi00vN+srcsHoRTxGyN24K3VaMW1nLgOF+AvDrD+svKO/HKyDsg1MyZTkM+9zdV
5AizszRHoJPM9Y/B8/sjoPjuSgYEUlwCvUOZ+uOO9c1wS6SDwLWyl8jMHGStzUErsFblKJO3xQ3A
D2UAlrbA8+WHNcaEIUjTfkvnwNgR7+Mcs8qBGobf/YKc0tjxS8y99mIZ1nPaHXqKo0uC/+k4+Xf0
ylLsqiVZiFhpx/MyGOpxVG4S0Q02kTe2dr4dkaftFm8WUTy4QAuEHF5Fa5KSTCETsiwlE6eaxYcH
NyzqCBWP8LObh6Z3Vr619rbmy7IppTE/JFwXryNFzjfij6ZdJroYDjOLlK62VdTW3BnO2k2/2jLz
I/RE1ZNb+iyuY2mMD3PDNoKynjhpadObzw9uSkJmZZz9NiVeiJixHRvrq+eAhIFhSte4mmpvgwTZ
AAKEaZfj2cmdZcDdIJvQTZfiILlgqnjN0duVQBr6G1FaRASzm914oDTDuezUAaxFGjZD1z5S8w4f
ihynfdUP9RbEFqv1yjB+eGurEYZWy2MpSJUKZp4nxWO1c8c+Z1fVl/f/J38lHQkXs26Sb6tt2Hc5
6LQ8JEjN+Zq19WRqx7qN5aSvZgN9um0mHc7sAzZo46+qKDr01OO6b5JheCoKIfdFwUVNwmQWtSv7
sNKR9XaSq7rli6quzCkS3F9KRNWYyWPa2gwRU5KMqMHRx2LyPdRz07wXlUNqsWKtXsG4j6qg/O3M
ZJnA8ipf47tmkJWRF/Jn1FvczvJASvF60akGziWYh1RVgssMlTe6p9Ijo8UIAqaYpr/VOm5CNDXq
0A0Eu+fJYuo9JTYyktzvxG50BBjNFfrVIwGjMjQa7eFuKpfygO3OOS0pdLWRdLer6g3nedLAgSua
72Zd9wwLxINPZsQ+K0ANupO0HhI/vQYcMhGr16s5ltsihQCbmNV4nixH/VzqLmV5osdtUAzV1grW
+LJYs3ldPaf9SDj1D85YyFOHDPahmt3huFaT2EHOlFfYJWDzRhE/J5XrfNqNr04yG8RhmMfxZ4eW
4pmTGYqbd4d+tnT+lpcxtUhY/LIsISdxA/1O5keAqFvNw0/gtTeOy16sbTmHaZIReNc37biLwSDv
WDr6zWM1mWzGxi7JHsa5ScK0owTOEvivae1DvCMUIsXw0nlDaLemUwAym0iSRzkhIb3E7w4YyqtL
9vi6tUVQw3cGkdViIIWI+B1g0fhkYNIhUBQf3HvfNiuWtDi5Svq5E5ffhKUtXZh4kKLYL2N1mpcy
/d5YFfNjP+l4rxkPQXF0gny3NiABEZYH2rmkTS5O7AZiN3Ka4GvJZZ4cm6pikj4O1ckvevHhqmA4
rFmNKAXxB0oP9jj7yvX0uoFq3/xWNWl9JDt3w2+vZ+8aT+vwUVrBeGhkfa1S4xtksf5Q3XWRSDoE
JEhFjhLS6KCEyRMMvP+r+73wchnAvknqD7fsimOQLXwBc/ZIN1X+dinL6pgS8wcm3Y51vx3auLhZ
6TxZe4y3rj7KbJkAAJexhZPREP34bGWl+5I0sOx2UCybz55X4TOO7eq9LlLjoU0k0SpxzQUdWR1f
rQzW+a3JoMZxScXuezJNH3kZGOfFFzo+my7xWVLOq2R4ohijKAckm7w//0nTOZDlfazswLr7rVaL
/E14t3jmKuz9I8GtRfY09H19HDxLvYyMpl5SqnzJjq61xeNUBu3vpOxJV0qVJ78RueUAL/GXIyop
QT7jJM+kXvpfuC+YD8W2mR0M3xKXOHN1ijlibl/sVEhceXyqeV54+8lCaen2Riuf81i232li22eX
0/plKdv2kIEX3CVwGcSuyVNfbgLX1w/OGjsHV6gkwqs4AL0jaHqYZg9osln41571XHaa8mcjmPxz
xsgcL2CeRGZexxiHArM1v9VBp77PIhttYNEKvlpZJAMtWj2KPyQWouqarW1WR4OqVowZhU8csGXQ
Ya1Al3ELADU2LCN5SkFPfxRdY705oO9e4ByXp8DqxY7NSn2NCyMBhh2kR6qavNngoex6aq05C5HW
s2HRat63ZImemUf5tEa+8QTKst5b7YgKcl7rL09pFgQsgBYC3uLprdNWlYWkqlUwmDD7PC45USfR
ilEH+0A6EYSVlDX8PYt+BvTvMe5rjZkIAWfdLem3xC77B89JSsYqNIYV4+AtOYH2dp24P8sMwhGA
nmNaEpk0DgU53m2AU9wxS4NazN9DRQOkTxRp2fdbTKmDPjfAm1z43IgCDh5ZmfOJlic9Uc7U9G5W
lr5SNrCnxZwMG7Hhft8HmWfd8pZpDMsvHoW1RvCZdU73zO/aiQxpSccaf9mS6RVKhIHnOemXCIBV
UrKW6fqPJpag8TKxHK3MHnaEGiZcRw7O6VYAxbE8LO71mlyndRG7weUZddPOv0gDoi8CcVLf3E3j
fqXmUXfVB3F4n7HwNpmTn2zvgw2VgyV4YlDiaqNHnF/Xu8ESjcY6sUzfjHRpb0gps8jJY2xLjO79
x5oJMbnd5j2kvc+DPTnxWQhxqthnsXDv3m65F6byaUfl1D7W9EFbX4zWBqdVE+nYtJZbr027PtX1
Kh5kUE63VKQGoDOsXWfEwvnrNMbphpgvcy+mvjhmPcpguJxOHxEEu3xNdll426Ses2/+3dmE2DJT
YUBQrUMkvCMbJpg4epku+LaONPst4rIFcQu0v8JLj36v1TYDoNdv47gE2a5BZq41dngJcuxSeaP5
iJOjtalv83ddp459ghgNOm62vPgQxHFbHDKMVRcCRkaMWasA+07YtJywmGCYsH6MfeLc3NlmQN6x
iHzhtEkFD+5IMl+qFbmNQ4zLIp5O2BIvHWsph0jMiKLnrkiswCMyXEe7VhifK1zDfj/JwTixjP5s
HSO44m9PDSyudvE1Vl5yzTkVuf2HMtl02r0ruZZ4QX5hVg9eoajejMl8b4AB37jg2nNtzu4Za9Ww
I0CZdHRt80zoOv5N4mWBldnxrhrFOAW0R0xqPXtsE1RjvAM/5AxZ2J3obUBeCDG9ZY+LXbTP6yzd
GLmk7TxihGPfEqz6U2RF/LRwiu9h1GMiHwRlmVUV27HovzqXoGOZmC3zQ6vh5kxiis7Vwmc4P8Yd
RYGanTOI/zLCkeBFkzTrt4ZVWCS5aFCltllUqth7WNIifQcw/tjactj1ed3vi9rusZjT3Fw6kYD7
yzvSyqVdjIeaHiNkEG9jyBLLk6uBirpFxY4T5Lldfhmxf0WjV29yizyIVufmTqXVTBAgSvGO7VZ9
R/5Ia1ivBdTgn0Rpjtea6mszUAVcUsSfB+knSIasH6gaoPIO7i4nXcQElXmAiZXSS61zuICl3Flc
SAnu/wWznEqSg1Rw+slM3dTpUSvQzotkfpyccYrLB6S81hlMXgc4y8FMtzaiYbczGZSM5S9/bhNr
00/za8PLtHMRcWylv2AtI2oLG+CUPyULFW2MjOjsD6P75Fqlf5rMZorA1gehh4tyH/O2n+ERanyl
dWdRgla4xsdCYPPm0TA00Si10Ie4kGwyOnXy82FvpnNo3eEB3j1HEc9UJQgotkhQiIEebqEf6HOH
ESlcJHcTSrF6PFpeaeEzz7C+uqLrtmXeuSTmahCG7YE9F1mA7uQzDkfnksisOMZryfk3Tfyo46Y2
mPIgpWGDYJAe2QYfpmhchP2L9a1DxLQN2qQAh7+OIfDJhKRA4UZiDqbDOmX2H6xFnW/gF5tnKuDs
OEBqfc+ruD46VUOm8TSK53xtc85K4ac4AAkYwbgIlLds18ikaPsJJIsW2iKABJ9R/ctJW3it7gDQ
Mzv3ZSxCzOM/TM3dB89yNXKxHZXx2rJnOtsLG/RmDti1LYV3hAwYPMxyDl586Py4F9sM+RMF7HSf
KvYOe3ThNZd7hjGz6TqUJsHObLRC1D/P2aRz6oSq+7Rk5YYlSKEtAYDGsXfsg85X42Q6qoyIfx4e
B/zKJ9RWz6JO0UUQ6WK73WNtf2tNwr9zMyJ1ZGcP8nueztdqNq1DnuoXHwRoYpTPS9kd4hw6btVD
fIytekK93X3rkuADbkVoT+qzY7BBEDWJCsAX0ud72u8hGCQH++xUFzefbZ7jrj4Gfn4mHKU8Jdpd
z7JLAWEIvzjcc7/dJSdxOkuLA8AkdZyHItk70/hiOvhM/aWCsVDQ4CHcILkX8748moLmihi+/KeD
V/+Sj162EjZSyTBD1EGRbhxS+LuhIBmACKAy3sHjjs+6wOZukJ9wCCw6feKMM4/tnx2DUPXCtfen
Y1fkxV7BNRjZK5C9vTplGzWWEm9N4wF9dj3nDY8tkELcfEEk7IWLMS9L7M85XM+R/A1yx9deNe/G
HBSh79CirBKhEsuh5pzW5vTSeOUtF+YmWwS/frqvcLLTULZflRZkmrJJgu/pm1XEAX8ysRm2nVXu
GDGBFfXzeNs6GrMiOdAPq21NofRs86fD97dJ6jEftl6l3Q88j+1xQkRzI6JR7GJzssLKwx2VFPBK
W23u5DRsR+eOA7DqD0ca5jNxUWSv2JpsBsAMnr3xDdntBuHb+xmN6WaeTT56wOZbb5oDfP4GYPKm
E3A8QYfLRs4XDyz4BUvyQ6LIt1mtL7awKUEd3ikIXpC+kejs3BZVHEsAFHMyfi1JJ3Gys7kLHbsl
SULIpD30sG93XJvGdhZ367VtmFFtlPPjmE8WXbahDtxchNeKA7Eh4exO4QyTfkMffvD9mhfKKyNu
2y85249GJYJ975GLZFhnwZb7DgvdtdP0nZl4wrLBcfJjy3Xw0kF1eXTi9Pvo4ATuauPdUYG4lkSq
fxrCaQ78dwTmlC2wW9uj09KNUaIYLzpwHmqnJX8UcatXN/LS2l0MMc5mT8CHJO+MEsdB+23Azgz9
xXov0SCHmWQ1v3bpjhp62zX5dqmHrxElwmbiaoaYAX0Ty2y3WUrJrsImMEsdieDapnP5Ct+F8lLM
wHjAzuKL9nYl2BSGG/uiWj5IlHV5e6Ciqjk2sc+6xfBCk93vkJ8/ZOQaocwebjifKPUcld7S3nnL
aoTzhHUQ+F2AH7EtJkaY8saN06sdYbKwAJRdMMqz3EeNfCckV6ViWQEaVYBpsHszkiS5sqOxppOb
k75snptZKV7H6uVOQx2n6hQHfXBQ/QgPJ9AdcrExCMfaInqsrfVHUA2nbAVrXNBwbMpGHyTkyP1A
hANkasJnj0CdRsAP0jpiUbcPeW9NN/a6yR+oX5AqeM4nLf+rA8V0vtkNNsD2l8ec65V8qPpoUfoe
UyZDBMhPkJ2RZVYSCqapPf/g2uxVqnm8JiXjlnGsm3fHytZDDpMd8rHhEwXQ4CVH0N+FbUNeke3d
6aMMwnZEosiXNZ0RdporkcfrPaIms2V7lKBjQsKYVFgF+mJ4ZbUJ5kzzgzKTfUMYcITxYYEB3zjq
bRLafeQ5i+wR+quM+0sWu+umzkymXsc1s/2I39t/9L1rHNHGKIiiJtJ6c/V+Ak3qD1MwvwRx9oIq
I90j9mj2XdDk70bF5LsV3W10yPbIlKnuOyuEQrFBRj33PHUywRqk7bpU4c2zNKdps1InAO53k41p
tNURDjN5b/P8XdQT/hlO8SNpWu4DfKg8THDSMSLGqgH3PeFndpi141+QxmBKYS7UeHA/+HUkJk9h
WqVMqFrxy2PUBft3sW8VUfFPWZ+0Fvwp5uGBCYwgZitHBFnyLV9Ffun9ujpVjtRN1KssVhuMAARV
xYvO9nOe5jDMZ7bDOUFWNZUmBVU+hghxpxCcEVacDqsI3BRYPNYDJMMpuUxyOVesht9jG6BC1tB6
RL1hWa+kQZJBZ/s5CVjsk7OL7inJvLixDtNsmWftocrflFW5pgQiQ8/CCarOcdK3LOx6JzJtNVzo
5e13xaLraA2y/d2nDaVj7PaXuaNhqsjke7IrkVzRfjj4eboM+TBQpK0lW4tkpZGbd2pKcTGnIewo
/gD73LHvTCkuQSfsF+hSyQlFqv3KwV9dR+mk+ylpB+j+Xdvu7awkLVabpS02hDhrGONtw9UHgnpx
2+mOiCIZeFsvdvrpS86LDUrP/A3kwcMY4EL3lrm6ZS2YZ0u7X4QjOT9Yp9ZpiOYw/hUXqnylDPme
BezX27x7wmDyagf5ncfPwGtc58OwLuDGqJ3P5JfwuAoGX8RpTwdSYqrPRijv4Dcuq8wkhhlRY1xM
GA8idM7XG4JoMqnMAuz24vmMzXKiHWLTZUAnIQzf1We1yppHP3fGbdNqIPTp8DYtKXHadvdNWW27
7RSC09wW8hF6sUJ91Ld/uIkPfNaMvXkPVhc67eg66aYRNDZJ/EqodnCEdUu5g5lI+uNZqyzjwNPZ
abG934ryf+NkJegsRlCcBFrcFcp+8Eq8MpdJvwIpGQd4j+Aib6O33mQig6fUu0cKTAXI0MH+WQHo
2HSCVHZdUht3uKnOfbYYn5NMSCurgz+CwfIPsiEYjirJhXxFYFgVODBxyY7KjnqyrQO3Lq2xfVJU
TW9EDIhH2+LxqzwDCqD2jQON3RxRvD8Nd+ehZjG1w+N2sSjUe3+Y9s7KVDKa7LU/5n1lPE4Lnn5+
Hq8p1py7zJX1SkdgBxkGE/vjjBF+xzePsn+wnKuxtuYFfuq68WORnSxygTZEWwRMhmR+Hir9bN2z
XCC5eKTikGRJzvrLogf3TLDxC9tvMpvEvOsmL4j0ULxCtX5chtXErAJlTNsZMUJrbnneVozAXGTV
DTubCoezkNGoGw2wL8CQExh/BqYzpEwBOpeHGbsMLxAHMiFvzdsSGPJXTUwcquI02FJYEPIe3LWR
PIbh4jd1SkudN7uGY/FhSPv41q3reloG9AJ+APIEdsibSEjz6DNclG7wKTPrXOjk4jPt3ruipxRc
nKeAuojQphEgGqHoZfe+jNmHmGoGrX2TbhFqboz8CeNSGq4sWF46Ary2tlEXz/DGunPb10NIyk76
DrRKHvJupqTRfR0OePKT1fLCNm3cyPMbY18OAYSIJ82uidDDNDtlvGufpY5VvC28hrIbmYq1GQVv
AOqIizXa7MXIrDMjvxlOyeSChbK6I0qHmqRx5BR7f2ElOGJUQOzrEZATo4Em1VC4JiNHCfcIxik/
Rr+0380WtTgFEFkUvi6qHxazBt6fEagWf2h2qvzlbfAZURWGvas53x6Cpci8rYGw7eeaU5hxH85k
26zTMWmqewZmN5gfQnXGK32/c1l5lN91BUVbM2NPMeyl/ZVzoW/5rt3iD6mD6WfqDfR1DA2CiaVQ
nov1DFpD5Uxv3fEdbZ26TobmNV5yfgjsmOb0MV5n5A/kHlFmFs09v9GSaB10vXJcdeb0fTY98Tam
cG/2hcecqkpEXTHJdN2aatAuronwjQqboA46uFTlvPKRKLdBH+apt7HAJMQ6ijKuGm21o6N2Dx7B
WIgVaoSRG88u73Ev8/SRedXPFI7kdliGn7TlBM20qs5Cs7V/gt6nL5JAqeD5ZoxEeoRJ58keFCdF
zf9COE39wyLrlJLSFB8V4G8IJhwD/YPhyP6HUyCg3KKPqHfNOIlfGQU5sndXHv0YER1bVv2Iaqdk
PMZOuJPzsGsU8LERBTVvu5fwoLQeP70xlc7BgJ7A/im953Gx9mHSBRWod6YvPp1xV+FVg2CbqYOp
u2epXdaQRUwaQOai9MzirHgYCCN8YbKWolYut+tK2sfWN9pyICVMSsXrl2HU9KROQ8+KxY8aJRyJ
B4XZnnoDXL49BHgmmcoePF0412I2cnLPYn9mFW07Wwch+jgRg0qAKTLMThPUmBn7duYBTlb/s0qJ
JvLbOLvx4LfRagTjsbZr+2pO6WfQ31FJipp2M87Td7cZxm3vJm2Ei+k2plMR2k2JCsZcR/hV9rKV
UGxQHX40Ksx7k0xau35kI1jz+1vrLWlalMh5tw+Uv74jEDVDQIldROzjDEHS8oiB6E5OhYhOe2t3
oAtMd71jxM9jA07JG+UfOh7SJcoqpGRmMHUPGarWSDMCe3bzmECkrBLuK8smOBxpFj/N1ayw1Bn6
ezxYX8XK0CEPYpfQwK58R5nGiZgTSQLPWD2Nd5PBJGRRbsm/JVuELYpct9kaB2fFWJKuI8+y13Q0
h2fPZuETIdRJpi0iTkUaz3IH0/iuBTiXO1nk3jZeHf2il9zCIjJOe1cHNGj1faumjouLy4qHxYvu
N7VH4xF5AdlyDYIAzIOt+U4ODeD8kfwId5iK+2IWyKWap6gWzSudGVXK4AK2rhuSm+Zs2pVLocIl
t/9g/xafKUSg+1FNbsuWhmZRpTyLhqN2yoCmLez+HsiJEt88Y43KxJx3mXKWQz8M3iFvmg4RqqUA
lfXmczrb054lA2POoZkbZjdL0+6Hao5f0kkDOOK15E9lKei1lXtmNW3d+FRd6gN3aR6sGAAO2zXy
TOqVaPBt2vjrBRab93tZqrLYs32hB2TrRgpKh9HNd1eeHmapZC2749UZmxshmmHFNO+h1YM8uoUH
GQ7MbX1OqoRhXGsKVFSsVcbdHQ6Hwrv+3c7SglQnWal4tTP+KpAO7AajiA8OeK8E6BpEDYtC4eya
+lCUy/CZT8h4UCgas0eASKXe+fn+sdhtttcMEbi62KtjWrdo2zRyuqyHrZal+xSdmNrMViq6zV2O
znCH/Z0Zuq5jjJvVGWU054Q6Q2Oczsuq4YG21fidOKflli3cj01LtACq+nbTOfXZq0RP+KgUXDbs
zKn/2yVVz3i7WsbFWe9cnYQTeqjNG7uGHfBO/rVY3qxC5L9Wo1SvfdB5v9jABRcxYnUdM6fZ0G/j
/vMxahI/oiwytDVAA4OF7LW22g75YIW6M7OM0MxJfZqDbFg2Op5ye6OVZBRMzfCTGSidh90618Q2
nQhhECmaflVeWfzrY51WAcld2jXPSal4tbOBBZOBuJKEpe9xp8kQSqk3tkjYzDPTZ26bKRPZz5hh
JW2CO8u9M1sZNhwR8AMa228Mhr6rdP2Bb6rgGpfdm2OnxVG1gkg+rlP1YdF/fhsWk7XOaJrLYe6o
0+k1wBBm6OVzn54lTHBxRXmuqyd/KQmYqXx5JdfKw8lTzIe1yqd1y6Rv2Fl9UruYlWY0GfMmi8k2
mQlsXQpn+2eDkzOW2K1e98TGy9p0qraYYiS9PviGHbDKMPy90WpQd645XTyDzevAefSMyMPAyi1U
SNGub4VI3IM9DMlHCr3ojbS0HK0DqhW2PSZiDsOd9ri1mI8beWc9ZvbM3MkkFJqFF+EwmNDCWgnE
RF7CTaCqhUH7pPISj1YSDoZlX8yxqIBLwA7dVCsm87D2cSfJVlaR7/W/M0sN4VDHAOf7DDlDlxdr
BC7j1WO2v1WmFewlp2nEfre8EIR9ExMEVGD/YmOL1Xtcuram39f6x1Q40Pl6f/afXJbfIMfEGjya
yiqfWdIGL7bh6hsLbPnD9tPqbCxktbmVOZ2yziM9MUmKcevUqf/iLmwZF2f46JlDw4cYu/XBUTrf
oaTp9lyl6F3QbF7BWD8j3ssvmprrkAVkHrmz/96WXRr2hGpRSvo6e2vR69zmSQuwd6ObvaNOZUdg
+CviJoJrto2zPnQ8EKS7xZMDqtc79mm+TwkvPIlSMY6Mff+UCfHYxHkZjk7pE0W5VEdmGQAuVFPy
Ruj5hDVufcIDzXyz87xyG/uL+RFXHaoPTCvfDOk8+11MpGMz39IuqUIvpovDXpGE5SzSEFfUU8qe
UKGGOuBA5f0JguUMG5PJa6Grx7yeui0Rt0eHcvap8hRzA5qoS7CUkPNonpyHxgvqA3O/n37fvLrm
ck4SFka+IU4kFrG0Mf1kPOCeNz/SriXMtijvPmO3fLPAe6rNwE4aIXR1smo5oszN0YS4QofKstv3
IueDgik6bGiTcZd2LKpNlg/9/Ugnt6eVc7FL8CcebEMh67hzzkqzhV+Xk63G9bXYECAT9rIp9pUn
jumJkFQ31xE3B2lilmOeR3v6ajqLWU+fiEOsZkZ7BavIR84tMAi9s5zQE7hspxP9Og2JfvSreD4E
I9GrSCyLaFUxI6nAqp5biovneVjuKQ9l853UyizdpKOezhqvEwJYy/8ttRO/k0GuAT/SlDKRjtuc
N39tr6yXgm+VKpawUTVTAzwF5B/hfBf3tMdsFvWxTD37yVJSPTpVz6B8TUn1DWZnuDEbwPw3s0/G
B0kqjcMgErmDJc/4kt0PK58159naMzXU4jyuC1JpgpMKdFvqLuR1g5+If90ThUrykyEhNUR2H0UB
HHtSNOEljQB8Sn/4uI+Cvpkxqiy89ebwfY2l/c50Q31Hn0YIa4uKHH0/rmpCvr9Sw7WeFy3ZHMR1
8YrDJo1YC9DeVySiOkHjvQjTMvfp2Iqt7cv0eUpYn28bdyxOA7E5v8mLml4qrlcWM0t8bYNWCLQT
RXmAVeNGBmkFp7F0nF3bc9fQPFcmSYPL/J0xi3xgZUW2QO2PxIHNbn9lY+C+lCMNuFEv+UteGz+y
vvN3suP+HIv4REYa3g1HdNek1danqCbGivndkkRYLoQBjwTptOlI7mtXG+pDZpCBbEzPKzhe5vPz
/2bvTJYjR9Ik/SojfR7EAGaAATj0HHx3rs6djAuEESSxr4b96fsDMysrMrIqq/PQI9MifaqFwnB3
OmAw01/1064hv+pS6NMgZMBIJ/jiC+tDEDI5x6FDmVZldA3n2qCLTorNwY5hXHCWl9yHQ1PnXLYc
9Tk6oxYwjRK3Q6mD28T3y22IEeC+COI7nq7seRzO0jx+5aGhko9ZWpSe6zQbH9QQzYeprRg8GXAA
VoJt7YY9cvrk04aKGG0E0XNPxSJc5iwZkB3Qtwm9MxcyYiPduaa0z7VQ82tRxWrvRUzvKHWVoHsd
5ngJNVRMd6Y71LD2QNphcfct2ntFavYDc8209srQuZtraz721GWu+d7gQIvYP6vSQaFpMInhVqVd
yc7pAOy1i64wKcMCqw10DbT71s3Hqz5ub/KZrEGStf2u8wNvh5uMPWcYG/uC0c2d7qnYDnvtHEy7
FpyqPIuWxonZ+8dsKIcnxVw8pLi+2QtqSWmdKo/47YOrJumaazvQ6Vlk8f7DGaPgKnVtkiqZ9c6C
Y1z2wQQOWGWGZ6ycjO7J1f/GK5YkicimXdQPWOIzr3x36jLYjk6QvWTttMSmsQw/KPp/Dw7uq1Nf
BMlXyr/6K0cydEGnxQxLKzQVIXZS3PyXOOH37+XVa/6uP53uvznff/G6//Y//z8xwjOqYDhskkX6
Pz/a7X+10S8f49//bR1F9DnHOnxtoh/rjKy///JvhnjbNG0obJ5kIEea6W+GeM/8IiBzLU0etmXy
BOcnvxrihf3FMgWIPnp8mKspi/eiEbGif/83y/3CJcEzR5HUV+Rs5F/xxLufdUA/BErx6iwoPGRi
GiVw2v+cViZtB8GYAfLOtctI7EZLN+tBJxyjJ78gsCyrWSdb0lGFh0Nh6U533YoWPtwio7FqVUtq
21fiohislA1syVrTBXl94bhudpdSuHnvINkcw7FcII9FdM7CwfG7cdx8ryGJbF1ZpStd6Oitl95M
lzn0zYjELaQZSnazR3K1PLIC8vnnoVUw14uEQhAfgulGjWWOpW2+C7vP+TpnGlbZlcAXtmUP1ZxH
Hh720XNMsZvKrktprcQADANtMoZ9Qf7lKi6X9veOztW7wImzZzmO4R1iAEYsU0Bh9abwcspIN68m
o5+/haXvfB3hxWLo6JrXgcMF6KL0yBzDh+AELmpdJlYKmgS17DRqnV1Xc5psC/z6q0KM56FJd6uV
RwCqZCN2FOqGa7sjz4MpzPrmQTvPWfO7QCwI7BQfukq/DQoXDQ2kmf8WlnjsoNJLxE2XU/0qRpXh
/C2YubUObcg+9ZMrpv3jCjKWOOP0bKw5gdvrViVsCUpUyLgg9OyKESr1rItxnSUFbdPzWNNybM+p
XDDN7mWnhuQ1Luz83RQ4efZNP6E1Y8QjsmT6k76Ycf4hkmMuXuX5TF7VXzYqa1WENOUZkoe5UEN4
CdbOPxv9onpBSdX0VRBpNVdqjGmwhyKo1g0y7HOe5YyUwG9EB6l5HWtaZkJonh78/LCtKah2cMDQ
/9D4bNhI7R44b3ZvNAQO0Q7JZTzgrPD3budOPNJDxbSMqoN8BVaV+kTK6PRDa0txShnVXwSKuQQD
p/I1hB+RrFRLdfB5G3IprpHlq+81p8sX7WMs3zCRiNOVnzTVVwuVuVrNGGbTfZIUzR3QVv9kk+Wj
BhIrx0WC6eiUR3VNK2ERWWKNubC5YbwxPjKbyxtaeEzjnWyt42w8y2qebTfNv3FGKffeOPHzUvjD
PUW/7HzCNodtv/hNOOGJxefVGxwn2gRjJeSyYW+0I/JnNAyPvhqqW6ct56PEq8l9m9YHOkINvBmV
ohmUw425qUNnrJmWiPRbyM21/GqQUQDaZPSamjH0+i0uGO/YO7E6YZTBcSDsbDSfwpr9PQKtJFVR
l5jHg5wv0OtK3rXEj7DyZA3JT5vNYCGHeOFh1hFunUC9B5mYX4Zw3Fq0xMh8kN/L3gfebKZJ841n
eI7nyrLHl5Ee9k29GCbJ0Q7349BVFxETJdQwW5whmCDoOmHLjzkMbOtp1E+zdokWhLqFTQEuC99a
W54xelDtSk5Y/4qpKnbphPjJmCM4kAvc877nbbng9PthxM4NtXff4fTD5eoGjz6zsXUBOdYnk+ir
tWF1DN2ntqnq9RDmFEjOBSAuhBrTWhPkzMutCFIbxT6q4/ekq6KH2Y2iczOlfG1bt9RAYwUSw7PB
jQJ4S0iCorQXdi85MYuGW4RjK+E/zE6rOXfqU4VeNVGFkxB4yWfMl5ZRtauWpBXn/E51V3W9xEGm
osSxjB/1WZtkJRlnvaVwmju0INbpPsvUeeSnkbX1OgNKyezXD2YrEsLJkL5WPm0gT3YQNheYGqIX
q8cFvSqcfN4yEXA0FywFK+vczc14XdcMkHWB9Bzm7XezXmRtGlrKMx4lTroOk6x+s42QjIPRdOzP
inYYLjHrk+zwnXByNtpKMMoZpHQjgp1J6SHa1HSTd34WwQFPQktuaB/V75PNrGM9jC5yWcVTxga7
2uRNfRYoshg5fymTAwZTCbbTGU4zyII6OlBSL3Z2rFrzkM8FpblJKMMYurNyajwSMkOJ8k1bb7g0
6w/8td6Z2ZZiY2mtu5VHQ+Zl6+PxYOqaY0iJ45Hmnrp+iV1IKKuKvif6MhrxOLk4qVc0vCMyRKV4
8ImkPzNG9zBiZqFEHkfPXnlVKK8rkt/XiuD7Qz0RmmHZUFw+LqVq5ICQ6fKNjvvLyW0RWe3RDh99
qzPzzVi61odZm5Z3zjuM5Eb1Dj0MkTd5L+3omWA6M6EvuW+d/BDAfV2QnI66Z21qLvCpJ1ecc8SO
oBnMngDTObQtZlZ0s8ZGRLNNZu2Muowvkilwn6bEHBhgj/l1ijt8nYkavv5QxieCHyiVs2Ux4SWu
gppaP1IpnT5UjBk31tS9VKYr79uqt09suMWmw4B4qJ3cvK/N0njHdzUGK9pGYcTLUh4TM6G3k+lL
cJ+boXtyy/i+LE3jFJQT6NupcGmk4LB1MhJBaNeuyg7qYOG0MNXhTGxjs4BvBrBlQa+7CabrIPPG
5UrIZPUacyKmD6ILHXwWKRr9XA6HyPLdYxuydeizYf5OW3K8YSqZoCd0ZXRNXENf5BUKdDWo+Gvc
Ni+UVs/7sfPHfRB3xdpVefwadBPl2d6Q3sJpLpC3HJxCfVTsamPwkDI9LAOfYLipixCbhdaiuXSd
PP+KUjJnlE2J0duaWUqde9GY9jELKxYXZB772EVxe1/PQ0n6ooku/dRstq2eXO65MKHWtwRbZGpb
7kmZc2BhPnTv8Gi54VQlQ9gkQ4rvL/XUFvOufp2tZECrkKSYWBGiY18GEeJ0L+5MGw3Z6nzKi0kw
uhdm2Ks76WDlXmd2au0HLcU+8UbvaprNsAWGvTiCfDPKLlVCBLqieOKlm9L0tnUt/6OpM/rRuQbw
5ZWUznM8RcMb+H8ao1o7YVdkp5jCInpDJF/xysoBRDW6xXfe2uX0JGaSwxWplFNaQbAiBEH7MRYi
S74qpj9q0yZh9MiBKWp2g++VBpSQJjq3w2TeaGBTwV5GuGSwa3fTcKRxT1O3iI/1qQcN9VDkcX9L
nA6JPs2t60FEol63jm5JQBksDwpz9F7lWfuCj6C8aYAt4FUMO/hMNTFEFaXcq0zvEtxqcroAAkDZ
loGUfcMGdqhXtd9HzxHE2xDff99CkaIJ/t5MxvoJWaE6+TpJt6Nq5iuvU9BjeWzZ48apG77Rpoln
QjW5+1baWJ0RvcV0ZfRBcfZpnQbAPfbrBsmVeIervs9U9FrAWOzpFfMCkwc4bMaWoUL/jUNg4u18
idUJ3cXH6D0PN9RcWfS0LJ+ytl2GKdg4XvzevZdJi3GdRDvGThCSTBOL6uQNNIVEdf7gpNltFuXx
hr4RfeHnkc09C6cYpEXPOZcoXrg2gLBtCrhDzKhIpz5VTMqJTVVDmK4J6+Yx40tPPiYqqC98CBq3
flmq2z5X1SWHl+xCh1P2bCxWgLXC4Pydep1oP6ckCtcMF5yr0VMYinTWjl+9eDKnsxKX2XRIgfJy
RC4ElAXMD9OhlY7zPchoNAW4iSupMOhMgSfjVvQaNJ5/RfnLfLB4cr1TcKHewzBoqLxOUrIs+AS8
Bh4X3zWzTRmLvSh9LFW+FhRdZ8nzbBhIavhB5a6fSp9nW9Q/WiDPbt1JZITIuvk0x7J9l58P3wZD
JJiYmazgEAa3uLf1txFv2aWLmeqeEf05rWWhImwI6jkqY7KNg+1FuH8CaCj4VKZu1c9CXnupO2yg
9NCgHRHd5XvOHL+jjclO00PXJWAB4Z2waDAhpeypE86zGVo1RUd1S7u0GTcDMyCz+m4bdUudRhNf
wlQob+J8qJ8aNLo3TVj/kNE09NgjlMzrcRrDIw4JjeaP3kjksWjDo+Hbs3GEyGgemFiPzCjkZK2c
KWq/RhySs9XYtN0FHk0SCanyWqCrlk4uOBLEB9UM4lCRYcHeHiT+1iKKfOtMmLMRIIuq2sgqn2tG
vtj51yazAXx1pT7L8yQAT0IbO7NULMQnctnzgczWsruRXUJuRCdUdRVYFAak/duQK/MwYDr45pVz
/nU5Zbe8gsyzDSKhcWd2TXfKM6t5glI3HQkuYPgh4TataRed1xUJJX7Sm2wxiOxRVYJLr/RDkj0w
KstgXWZl8pqXWRMxoojDa1HmfIQ0rVy4+HaS3HTEOptWKsntkiOYZcnJaOIYK0HW4QOYP4s4Rwts
9GSY92BR/FvcKpRJeDMyFggf7C9J3bMhoUxbn+kYA+2GIjF7WkHDqBhB1nD3Gb8ZHE2jZHkoA804
NK3mq2Ebb+YI5L0zNGctT6TXOFVM1Io40EQtSJ+jEpIAsjdR2wY94woccjMVW5ggtMIv1CQ0OBHr
VVsQRBEiG271hvnPW+5ZjHbGkQoZtpHEctwuarw1Zp346KMfvY9him+3SVlJDEBxNzXmnofcWc4U
rYdnCO/xhCfEs9C1qFa4yFVLrMrsi0OfuvpYdFNUQx3Jx0dbKGHuc2KwR6Pug694WGLKudWcXRY+
MtpRNs0cPrnd2LIBdAdGwP8lMtUlk59Slx/tzzrVj7yG//vfScyiw4MwDICBf65lbd6zKP6diPXb
L/2iYbnuFyl9B4mKslO5/OffNCxXffEsG92ITYCQnvihlFt4XzywihBhLN+y0b3+jnXgR7YpFrVJ
SSg10hF/RcPyF27DjxKW6Ql4hpyzwfsyM/B+oinEhVMRMxH1Pm4ijDsEL9v7rg+H56hv+2s5Dvdw
vYzbQrZ4iEkJUfViM211Kgvt1BmS7IXYSf/KhC8+BrRUbKmfcbClsB5bdtsi4cbOzajM8ZZ/Hu96
MlSnMM6z90SpbwPhdLRo4Ax1wpxLQUI6Vf4Q3MPCYWKIzP0kSzvHgEzHmkHqgz7IND1NJeGSMuuZ
qXE7jvR2PcpEmYALZlz7kd9t/LQt78rSfx6NxEbvgnNepDxPlIF2hbUAp4QQ8UZrPBPdVN+ZuYy2
kWaSJKvWv61Ggyagrq3v7Nw2tpqMNF2VHGm9huB1HKRslkx/eBITSAmcQdmHz5wAp34YffMAWGIU
1+23rvD0PbnRnFhfoHpq4KRPXpx+lU2S07qywjBsfSWpgQ/GdjqWXc+/GBgTEuCc0V94fvF4lzmz
rVXmO2wwars3X0gs4mZgK5GsvBBnP9EJ59JpGY3j7Ey9R8/I9HlUW+z40AQrbMd+2Q3/syT850Av
v0rUf0p7OYtemzR6XYB6v/yjxze057//5q/itvvFx23KqWoZgtpqgYn+QnvxJEuGaWP4YAWQC9Ll
b9K280V4wDGhzf2GgflV2hbWF9+lFgOjNYUGDuiCv7IsuJ/Myx/XBUiUnhTUMi+OWEd9wv9+oPaa
uZmEgTHN+9yy52addSbmRhYr7hPdMV7HzRioJ7apJvbXBhT5ttKp169ppWOczKnOXra7dX83mPik
8N22hGszI7/0xm7ZREXtbcmBladvOQBDI86zqjAkHaKuLM55QzlOcw6lg4+Wejk53jBeqNLEZxSW
RXztoJRACsehHW8y7JAo49iiKfiKcIDaRQtiZc6niU2MO9PFNdYmEI7SjWaJ9Z9k04qjL7tawqDe
gRJkpz+kxHVuSa2RnIMXnG6ssXgGioWFtwsstFINozBlsr3sq2V372pFVARMVhashtwK9oNTucna
IIVGsocmy51jqx6pXtZuuYvnAcabxlJ6FbcWEkIa4R/dhC6Y0TNBCSLGXvBmuEUJJLkHIs/SBBVP
9n4bNDbuQ1RKNa4JURpf0bd9f8VXGV+UFG++1nkXX2gG3gvPpHTj8xFM9EySZII0sVDSFFJwo5GH
+sB7hgPTvWQiHeyV6tryXcyG/ECSN2AEEM2/COZ4uhwHct6r1vHxiHbaZ2tJnjk9WIYYTsZs9DeJ
bPLvMgf4uwTNqDad6sF41rU9GZugVrrc27WmrlA4cDiEHWacEDVNmGsIwFiTZdaDSmnNlnjJrKqS
/btnfSig4xkippW9zC5Ix11n1L4DrGJO9nHcxPgMqmaJAbnp3DMnMfxzK6ZzxapQu0WjFxXQqE5R
3zQH2Zb1bZR45lXNkJ4cxpzAusjIIlLmmVevpm7HK/qD8bpzfhDrsnLp5GqoB1BQ7lHyAM/r2OtR
rKdi2rd2Xe5KIgy7KEzHJ2JZ06UZFv4BFp5+HKsyfrIZ1YJYnOEmeqbnPedBO99ZJfadAvsDnjxO
qulS75pYXrrN6JVGYK7Ty27pBe/4t/ZuRnVpQGxxrzVNsx2+l0WjpbFgbgTYW8ptPlvDkPGDM8tq
S0L4lM0R4CjY9Uf5Y2MhMpaefOBRj3CtaJjTOKzoj+4Ft8HKz2OqZ1FBbv3ekcc44pMOuGE3MYWh
53VAaWLQxtNDFRYVHIhuPJNLW9pnRW5tKraVakH4W1DaOKaLIDxZjjXfSAFgfiqS8ZprXe4rkbgE
tEun+PAgmdx0QSXIETrWHR6p+RElXx0yFxTSbkhqEsVyrIrHjCPrk0265hHDY/fBVjp5dC3nqAav
O9gp/zYoXNLhOm3VaRJ5/YJjR9/AJLBeBz9wyjXTZP9OxJ25LqIsNtdJ3pGU9llTcH4lMtkOcprx
WirxOsyLWa0ytP0gRB1e2z3BfI6f+TeAbu6110j1NYkMvY1yJwg3vdL9rfRIrU9VbB1jDjtvrg78
aVXWJoGo1sAUhwUZ8co3k+pDxLX1uFwIxDnc+SPCrV9tvMHMHrD4uzdTPi5qHh7lMWrhR7lktfmc
7Ow3GVvEF8kmwth39lg4G58x9pWUbnc2sUbcBmMcvudRyjZF9eP0lPoF7dgYmsuDVCn2jkQG8iNt
ygVE4Uv4BToV6r7zC8YpXQd5c8ZLdtvkYfGqGmpLRM9Rc1VCWjiZMWxFnA9Fg+/QGy8cEbYIi3M8
70a2RBs2qfgL42BkZGBi11ZcA00zcUQBPYYmFdjN2Ww6NdydrFGkI61uPmSMOLDzTVF38ixJNqxM
uUkqxV5m7bVC34ZYzvZxOUYljrRO3yVYsrZKyfqIHVGdS5WBvclsGztgkZ4B5wu+GtDHzCofL5Kw
GyQehim58RuFn5miv3jFiE0gdsqwO6ZjIybqNSZxtJiJXajUay+zOsWqC+ksuk4dHLY+oWqaT2cD
CAHtGvPNoHQ4HMgbtXec0zPa7UPnq0iMYdv3oXtOSNu8IdwwnMXUZl1kzEvP4rTLkXy6qFpcg/51
jsXu0Jejc8asBiruQEwP6oU5xHQ16hZjKQe42Fkzm6wvuRXEg4p0eUNsOTwXba/O0A/z15GKvVeU
y25fIy3iGJWyebMw3KLcxuK+h7K5ne3C3QKi8i7Cpqm+h0E4vPpVgtsxlE7rrVODrm6oXENzUBM+
7lXcLhweq/gA9kGcZNltHBDAEHBqaUwb4WiHLPdYXiRDKnclufdVP8k4InPiALaYp+kYReTgDdfG
mdmYHo0l2O543nqVX1/5jNRIL1lOjjVk6IdXA2oZzqlcBLdRO3Ufsnfy7pr6lYiBt2enPU9Pt7gM
YtiuBYmJmyafMOv6jW5uipJy5rWmeR5JNHHtdap51KEqAYJRvUqvtB7DnRvl5Vnk6AyjmEzEm4t6
SgeX6AaqdElinvvORPc6te3mg4Lk8MgzO6XhMK6wXWOF678WjuGcZxD29z50vgc/aohouQ2Ktlcm
WHZSQeQ8i4PZPMa9Lu5lUUu9QkpKzufaMJcEziSfyspU4wbl9RiDeq1Wji7Ks14P9XlbYgoaOYid
2T7EzECbxpp8D3C3ch5Oc6H5g/gsuivDbdsnx6/LD1gD85M5NKC2mN8e9ewhGMxecesHtX3hNlKk
BAa1empFE3WrdpBsh7CJOsGRYSuhhCiKrzKMauBrLHXJhg22f4CNGD2WEjvsgJ334s9MunHrPpt2
Vu0BC4wb/JdczlSJbkj72PewBdIjDVgZPbeyoviwQGd9SFTbFdsq8+N9hBb6UoTm8ChYOisCmk11
7jNJ2EZkjwhDz2I8iDGLzlQMsWACbL8Vba32QQBTkxgElVoJRc5UEvRYpyeqzeLUVmsE8/TFm5ri
U6vyDvAwvCvJyEBsasvs3wNH+9tuBIzAxmhrVrHEJa9fixi69DBw+Xdt6pxTmXRvT0EDVbxn3txX
T42dNfvebtpw5fYeK1ZCXe8ecEvJ2pSF2V3MZQLgyRxXMeCnAw6AnrYgacW3Yvb78Yy5oA9coKvo
ZUPetZ993U7fKtfDLT2xqrergUbphsdPoDuGuRVV0FAsm7UZZi4jQiYm2KQ7wCS6q7KXGEMkf0Qf
LRcqT+1SW8Q4B8ZJitV7mfH4y7inhHl/UkyAsmUUFC5DIcJyzIfKZVTU2fB7rM/5UbWMkuiPMe/b
ZbyULIOmpAybXWhGaGkU0d6DaQn4k+9mUCOQR5xLnZvmRW4O9hbqHPVZvsngv4jyY25RL+oifJ60
11YbQ1lXbh5bV4qt8qpuzOEmWOZi6TIhSz+HZeTYwE4Nn0M0tx7cTb9M1rplxmaNY3MR1vmQbg29
TOJynAmXzcxmcdVwnHl0Pqd28+cETwC3U+c1G0RmaI2i+GUZ99WsdTzBJue2cgcBF6ljl7hbGr1p
zjY8H9fXMjxMmApcgZqPTuHnbJFp6kTXyTTOZ94yfKS6WT14mZouVEYAFXtxrx4Xr/INix0sqrw2
oxduYHMnCWyyhf6ccC6zTneZekIYYxbN+xQbf668M8GU8MNXPRHGCG58vUnZbx6LIWeamn1OVm23
1XAJl4Gr/Jy95qSlClbNCfd8px2YASGDRBQ9k1HCug1DiatFu+SYPdQfJFLbeMXkre8K6vLkumXP
vqnQHKHHZd1L6aqJKHI/FZed565r2wMMqRODLc6EXHDtaZW9YF/lhIaDLcmvNREeiRRe0/PjYLO1
V74BjWZj9SN8cLMgjXQYK4s8RsmlfCDI4j9BjOOg07tUYuO641LFikLG7szIbJSSqpioxFOz9aS1
YYf7lmKcc38aYOAlIowfSsPLgSBAlQKUQxPXh25s+nEgEjcTLIXWJRDtemG7ybAwRNettDlyZFmJ
ZcCLLOCWbUbvkPAmcj1sIoj66XHdRjN7DVb/8zbqD02XF+ejJ+0nliXnVpU8Dsg0++dFP7V3hGp0
ym5qfhrm0DWY5Md4RucyadeUdsCWYkmaf22V+H+Guf1vrpqCbf3nqul6UUfiP/j/fpFO+c1fpVME
UsoZffsPCgnSKbBbYZqKW+B3Eok0v+DTw/zn2B66q7c0cP0qkfCjBWKL+4/uB0tRXvBXJBILeeb3
yimzEh95xOddINaIn+oPSPPh9MiTaa9wAT/kRFKfaxdQjieCqKVKshlf8F58g/jSvHOmKL6idqL0
QbjotrYeyq3bk2VzHcN/JunDXoFxOgygOHtzsrB7+h8J/z8DZqYwkSEr5tB/fi3uu+S1eW1/1Op+
+61fr0P7C8xl6dvKkZKk0lLR/ItSp7wvlg9gH78ppleKILna/qbV2VyiwpH4TAVI20+H6t+0OvOL
hb3NMy2bxs9F4f8rFyIv8fvrkFdgaocPzbeEyxTp9zxkX8ScULPR3bYO+vwKvt/0hM1z/Gt9l/B5
GTwzK1C+S+WHI396Ga1McsZQ8BeFpP/am4a3w8oekl5r034f4gzZ//AtnH7RGv/XD6jnP95gvKLC
YEvRp+kDafqJie/nc0oKICDpaC0UyCo3s2jd0a671LNKivvwm9x5wIoObeDdst9nC1DzW1/Zjlt7
s/aTM2Z48syqe7FFUU/OsMcOl5TKzhfWmFb/op/j5xa2z78QX7ntYEw2XdNdvqgfJFM2ZOlEA4a7
BXaYvw0kV9fapV6VCGkBnAYq2oodghpWsVe+NaU5v8EVGB5p3qj2TsdjMcRl+4DmSKh8JJL4539O
8cfrxFMuurLLzAlzqMdF/OPbc/3aJN0wqW1HCukyni3AN7GzsJT1EBEhGl2GJFZVnmetHLd0LoeH
NgT+x3um9GCkqkzAVLyexujcsqqjGRk3IwEHDtsAGyI8Xn36IpG59zA5mhP4uPJbF1rpPp/q6vbP
P4u9dGX8qE4vFyNt0QzNpCTmtIDSf/wsHoKq2ULx3VZdFl1gb/VwwI0i3IyVFxELxdS/8GCcrVHq
4a1AlA1WWV74+Igh6B1G5Rs33Ti2L4p5DI4bABM55orn0aJdhE2x21AqRnqqZ6Zs0HQmu/7I1jQC
L5y8VM5ChgycZ99p5VVrdGu8VtfeFPeHCkblMW0ydcX4pb6AgosnT0QDWV8RW8EuymGGJRjTt90E
T0hkg7xsKjN681TDycDqZHXuUDB92QIbCUm1CBPPt0k2G2gTDQHlPCbPf/63/Lxxf/pbEhBxbImq
TOG3+uk2q1wQyI6eHIymMr8uqV6kN24wFzDj3pXWh5EM43U3sWNa5yPI80PXZMMHRJrmGwpmC3cW
6WwlEOCOeEuyjQu9VdEEDPGQ1rbqRCwKjA6KMgbuKp/e/G6w7roqADSRjQZVM2l4Uc24VdZZReJi
Cs3xwku7ZNd2yvwXFw4r6x8uHO7M5ZHg2dLhVvj9hVN5sPrc5SbQad1fQYzvEJQ59R4rlvUTeUN/
V1uWgM6WzTcNhtxzQmUI9lSFwKuabe8BhWR6b4bQ/P7n38PyZ/7pa/CWJYR6GcX+WP0E2M/CKadG
CNz5gEN0LRtEgH46Ujc2btyxP/vzF/sHfwZa3RkXmZTYIXYRkfjx/iGsgLI6tc6WSi732SyncrmL
k3/RAPyH2TI2zx9f5ae7NPOSWGkJ0SmVcfxu4h24AOZscOZqi2n355/oH6wIbMd4RvNEZZu/DMx/
/ERckklViRrmuCPFOW0289uMOfzCbqR5K0bNsluUA6hwCriLk18EzebP38A/+JOyUbVp1mb9t/mv
v38DpcEEqI4ch9YDFxfUgEg1BoRf//xVxPLP/HiZUIvKxoFBBUu4MNnO/v5lBEuuBwCEUJbT3FZL
+3NugiKP+5sxv8eedT3iYmds/7aMkbsoM65JLWJ1mUtYznKYNn4HMLiN7PJG6WrYkwluV854q0VV
r9MpMrdVjDRldtGxIqayJP7mButw/Z6E8frPP8zP1wexHsx8PCsZgi77Kjb+P35nM4GJmpC2u615
7KyDLvaYMACvmBVByj9/qT/82XxTLQ8+IP3Ktyiw+P1LRXMgMrczSMxkKjwLptQ4MCVbKn+LjGN5
QEcEJ4d/8aJsBZeH6o9fF6UdrDdsl1hZKbH8+esaROuInLwN5vIBy3FabmVIIs4PxuFZYk9TKwpi
bo0wPjbh8OL6RbJzh0m8kj+xVi21P+x9FmCTu5KBOumqMgH7ycWtUSENIt7rIH4JhH4pAYfHJsNH
z4OxBT9TrOqsBRU2jEcn7SnAwpl98kk7rJdAjh9PBOgMJ0MSNidz14AKgWqPDBA25kUljGznjgMw
mUAYeCLyG0rUfQiPUIm4n/AZrFn0j6nt3YW4C65n9WpX8xsCvb4ucORvCscJn3VpdNdGnQhGPSSY
gzmxkFe8fMU4MtlncAJAEdRZ8jItsIqxiwsSTKPu30TmN3s7YqYG8FbaL2MsMG+a+X1V9afG23d8
TvoQrO9B7DRbJwABFxsh7jbHAQ/TZk6zc+qUBurYp8YCTOVaTE1+ZdcYpq1RAWsWSU2FdQIKzmo6
8a5l6l2S8Ne72GJ8HcQpUgheymALlJey5YCn1FeoTsM2JvVTwJpcV5m6c8j9btpawgwuOmA6a/qz
pvNGRvZNEPWY1+NpO8JA94nYgDuY9yKTBwDXXY98O9obksf+xzTIi3To7uu+e0/YXT7Gokx3oMDy
re/1T0RiznQ+6p3uWrj4guFSnSTypk8bKlOnqsz5tzKImD4jdIY+N2DfH8ew8y7xkdkHXPjUN3Qh
BsLUw/lmGdh6mnEe9xbDoFNLYdpbofnaugaTAlSW8MMDxbkPF/gdjpTqZhnOPhd1lT0NsdwXSVvi
6klG71SWeXVjpFmHmwaB0YFsUk+k6vvpIQvn9kYGUwdtOKGh2mimeyMKqj3Y2fTKqGqCLiO2opSN
1lWX1AtuSpgbq85dXllVwIXg6KXDaG4727NejQDAEqEZoFxkSjYR3x4M/7y9ibrsW9O707dk+YSD
6Rj7JuhPZmjv5/LetCwKPPPpumZgG1DetMdXP4BYT8vvQWBF96XJJVnLLmYD7mEdrlPrzKAkbtO2
dbuhgxCO3xg6N6iZ0VVKgmdjVpMFFqthumnqcWf09nSWky6+LhzvHYTtS2FiV11pq6wADImYabF2
y4Md/gd359EcuZJe0b+ilVbCBFzChHaF8sUqmqLtDYJNsuGBhEmY/PU6NTNSzCy0UIQ20ubFvJ5H
Ng2Q+Zl7z52ATS8hNlIHKojqU8BZEzJDMhbeOtm/IXtSUD2E1f0uG2t4TYLCI7C3rXahszQbyOk2
vN6pv8PbIdYdG689k/5y2xlBshHoTiPC4OpXt6uNM8tFJMkWsMOuqJ84Yed9W7UT2DyHYTkms53t
T3fAs34ckUBtnj10WSHI69p0GNkR+bSzjSS9krcRbMZ5NIAvB8F9TPjexmKYd3VI2OoD0TyV3eQh
xuBU4B3E1+hk46GsxIOWpvOo0orfiY2gY532kzq6Vj/xUg3pNg2nKVKkc892I+8IjUQxCoRj9VeI
s4h1+jIgLuXPpD6ZZss32LR9BDEnR1bRL1wQYOOEleafvarVHRu66ZLpuASJ30znAf/VxpAdE9kS
QaybfbSkFmxBINdrrAC4mE3iIEcCU2ajyi9NwZJ7MWb7y5lytZqCNl8DGDHXWZG0D7ZRIXeLae28
rVO5r07cCs7ABMtXmtZryy/u0Y+rJ9ydEG7HSDmEo5E3g06t5juWxaNjzjiPl8z+BmRZPskxp9IP
Ju3u8t72YSRoMP1z5913tueua4kXnLSEqwUgXNQuWckKYarvK2LgpNoQD/a7HttTaglg8sXvOnO9
VVaP7m6Snr3rDPPKknXd41U6o2sh6FE1ebsSpuzfBw0yVbZTHf9KaM/GVRpX/nbJl4HuWnenwRpI
0iBgbe6L5KIg+DJsnizwqI4GS9XMBX7oTkE2C2um7X3t3qKDbnTz+EjZQaZSnhenxjHGB8PK2u3N
hHKXNo08CjQhT67XPqYFHEjmysZn5nbNp+7M4paRnr0CWQFCN7vZXRZ3zjtfdYPQqBCoyLNyhxdQ
71IIfp8h4X/HNoCa4HvcnGx4W94LGe7ZHwMuxPJ3t7B2XkNmqQ7SQWZhE3ePBKYwz+Uk1XZoObzz
rHvsrD9Fyhxh5RlL/xwMGAB6K5UP9lQuT15SBCfZlcvJ135+Ml0cfBBf4zeC5ZZ3BZYzCu3Seppv
xgmYLdyFqZ3v2Cxlv4JGIJx2+5alauC/y8RkcZiGzTF3Eq7bdHlgl56u58JJHpjsDBuT75ZAzkWc
Bqzxd7GjxCaNR/PZZu/7CBDOOXT9FNwhvEQlGObJeawC/lcfjhdYQN+yauFMsfaJyFAy9zyiG1Ih
fgeVSLd1Sb248rvb6RKmKU7aUlL3a7YGB6wyG8fojlLdw97HBePV91OZYW+UczBElvTItGKpcAYK
1jwNOhPfImurd6hMgrA493WJXbFuIIJRGUBAFNPYhatBD/nOdMmRN1yvOg5wUTnDXHjqvuGsWVyB
GzO69mqIEc3SrMtw3PoSYEbrQGEwF4ippUUghHYrHvx4wCSznmvPPcCg0oc6MN8Cd/AfAj5+pWby
zuswL886a7+9Hh6TWXQOFXDZYU7r1MVgm+H37p+abV9S6ORBFKG3JpoBOCawv8Po8HPGGimiln3P
inHUuU9gOidxRKEWb7u4miAxWku6GQ0rvJ9Igrkfhj55ocX0LKKLMmsburXHirwfuwt63/jV73zr
qaoG82wPkzzCq5rP8zz3373IWK+NbZo+TzVfDNtj8ePMZvgVIO46FhlBEXbKx1lYCdcdlEYLyxa7
KIwgDlS72Vk+7bD376qxXwyW/E296UK/fpK1T55Mm48/5TQDzckdQ57IJ4YMBPBLrkhpsV6MmJqE
PLAwAEDPfT0y/mlWlRebO3eSMN8C1cbPrsSrGyFLooxkjbVbWgd2UI+uCy1RCngv6+3ytRHh/N75
uiTWCRtKR8JPGsebnJ2ut2qbPLxAkB23dkGciEMzhAggNsRH0nIF+RL6gmcrfxcKA6hIgb9xNU1V
eCZmTPLFI30GX6IJVhyl0YKMJWPtfsa5RcnU9fJeLml/zsf8qfL0b9fP31TlKghui33s0EDgAdHv
SsMO63XVRktadHvlaEynFbS94HbdmLbv31CJxM8yIiKso/LgTZeBusNram0JPk23RHqB+TB8rNNd
Fc+HMZ22EBUR7yLZ4nZFRuJU2KR7xE8neMTytZ71ScXf2vWfgsl+7oLx02oJy1iSXwjF3uFyuPsK
FPxjO5pEQJq1H7lm5d+VY1Cw/Wqyat2YFhaVBgH1pTJlt2b/oPdVaShCPkubOglvB7TdbrgafYFM
Eb0X6jJpq0tRs7hfoUsUn/NExkHEl6Ae2lgkj2U4X+O5cvaNW9cfMwFFqIYnQCSMlqafMY+Hq678
drfMDe48KX0MdksSrGCKLd9KBSPDV9BVCbmxq7h25I43OcAl1jWPQZJP+9G0kg9oKzCuLBVsvCbB
Gp+EoPkK+egVDFyQjmbA/AC5H3xRT68AuLh0gmDETJ0lQF89tBDfs5mxtiQCJvvDx8Cn7jDzrhFk
elys8JFdhOW9cSymIN9Q//f3Ptu+FO/1Umw6O6zuiEwzBHHTMPKg1fk7TJoDR67bOID/bWNbwyO5
GvONGe0zNHxBk97AAfHhizlZs+vgPPByA48yEiNB1KQfMQlGI6S9b5ACSKEcUoV5h+3N4mDSK2AK
PZALojazHxKTNuMiOjh1YJzNFF/hCohjcS7TNr7vKD42Ii1qggnKZqfiAKwpkdqnKgleyhEVaNU3
v7VKsh1Y4fSKk6y5agHTEqnBgjOJ47SvQu8xDG3zVyrK8ElBcj6j9YxXfMrk63YU/qqSJr2qqWoF
f1hYpw5mOkwbI3zx9TA8+yTDAAcfsi8OlvICFGV+mUyEQesM8Cu79J4t1VLDYq/TYp8mgPdKTD0X
Syft49jNBM7k0jnIRA2kk1ZsiA1g0plU8b20oVVhLrVPkxdkp4qC7a0KMweMHZblHTWPlJt2RE0f
VHO4b0d/BBKFo/OeySDRES6TwdlYqmMTjj3BWc3UP5p96jNO0d2yh7lGdmI5eD+T1drtCm1shgxL
ysc2QClBZNRk2wfh0x+nJd0kyNebAbbO4E21eVDvyR/JWU9X3Uebu6a1cUwWByj4tIm2LZnyF2UJ
fI2w5DduReDMygeH0aGwr0xAEmN6MTwiBCxBLuIYd+PKcCzkLkvaPXBNkuTs6BIxWtUmgHGC5dWw
6voFUQTJaGUggJsTJK/bergU/vwIbdPn4R8LMsX4FoyVDGT9h39F+TK5JaUlQBys4SFYz4neKhBP
RppkawBAVCGxXbhRS+zCizVYDExNk/qO/7v9KiXyvFGP9r01VvgtDQoeYmCM8VOkcf6BzqnuNrGF
VyBqanfKnpw0HXZl61DsGnpRpNpgJl91yQIzDQZ2JDswJRPmiB2X+rKbfa/aF45hOq9VHPd/RjuH
LmIzOayPtlt5bkRjICZW/5mHez62/GVdLkU3ramkDeMenccQnCzo6ICUhXhX1VztpQ6cp1I7MOyN
rAUdC7g6QF9IphZvu5DBhj5zuh9wpnAUaK1mQKdZmG6repZQ6UaKWzIg5YYIyMW+Y7xHJLwHIG0D
jzfXKzG1xmFuRXMunLB/yUYslZNhequp9enTjGD+o2WIzZTeezpqo6l+C0uO216WXJELNyzqhGnE
oOVX+s2u3f5PSuDq2dTC+OZbbz9UPPWQHGJgwFyFHAP8blziJlQVdBcRJMulb7xAgn3Q5XYUo3nH
NCzhPB+BM6yB+GXrNm7kfYaZ99KYIv9Fa0m76E9t8DvPO0h9Ngf3W2sFYbEJnOmUD2nQRNNk1CiE
Jk9+9C0JzKV043dWSrxXY5nR6GXNtUb0fRffAny24PZ/lzYDqKkHKTC4LE+YZ+7yUR8LKLr8sBmB
wf8zkqds8cvnGT/Z1jFlcpJpYKGWLAwGH5D2QPmPdb9daj0clqq1N9LIumEDIb97w4cz7nOur9cE
/vfACZ96UG8mqz92Oi8+G8qlzTQ1w55XNTm1gbIeJGoVGAAQ4AJsORD0o2EewM3O8xLDZfRTbsl5
1OfcsmgM6IZ/26INDkxXkUuO809vjT9db7yYtAA3Epx1cCwYUQHO3a07cYSiRVavnUySYxBKSCNu
kv2M/k2ho5tsuTDZ4maoKKyJ6LB9hc3GYgzaZUC2Zmn89DiSkLf4zp/eFlP/dfsrAD0D+sWqmLqp
2Hioxgpklhmtvcc6E3W7s4BBsAhMdGO+OVRctOD6lZgegl8LPf3ODGDN0RjMw/0c+0RzDeI8cAaT
zKfjdTaAv1mFhaNOI9iyQ4eSesXb8WHyWUBqksWzpjEpdt6wAPfkiJjJVNW/AsUcLtmFlfvhd8F0
b6LIfu/51o84qCBOkwZxYMfVbJguOa/cTpFrpC2o/ngRFwPrEVDyHOdoWRCTYulzWlftKfS6MYqH
Vn4v5cy4rVLGLpb0usack/fWTkMMIxMbPtA23gMD3XZPSQuolMtqWg0zV/JQ2PMOk7exI4STZKMO
Myv8aVteetuot6bb+QdkkgnErTSxrjLovC9GGWQqEdpNCoiRk9Zg9U9V3KUP1i1WKzSgXPqecs5x
rKIh5zlcvKWBiB80y57f+ACV03ZZugbwWVUK+mYM3yfD8V9T7XnHYukkjg5tMZqtMJxz9x6JGnXO
wai8dUC58j5aXn6qYBNEFAdyY88j6SBj26zcMJxwSQTgggbTWDahk7Ktq+mvHv2FrtgdMTN3fph9
JR0YKElyb+QI1mhFltQvFQyc5yRR+onIF/+VfX1DS5TFVbxyFSy+IAEpVMJFh1VZDzdDV1Yygy3t
67DU+KAXwOS0QPJg6b6HtO4EeOC7HLtYMdaRW/OohO5cZTsCiPod13QO98E3J/CgAgB4mLoJ5dYy
/uIYbQFGEP0WbsNmorTH/jEc2EIH0IL7VlbbPvPV02AF5p5QjrjhNA3aibbLxsAbisl4zEiuv7RN
Ex8DGNS7tCHdaoKvcQfQoN1PoK+gRet8LcaeHqgviQmMcf1nM9blynFesJ6v6s7+lTXeZ4jLbSUa
+EYrKr5246W66mGzeBEZE2dPxWKP59t8ko1wIsBswbFapvKc9cVznYb2ijCS9E9r2dbV71yXLOgm
PmSUIBvE9VciwQoOaW96mqrJxDItisvMTYpCob45/NRTbOjk6ukKttbQeVu7YsrMQNc5T7WrdsKT
w1b1uKBYhnyQImOe0HQauzmuDmPZ+Uj2eYzydPgz0K18Q4aIHGnMkVoUnn0wqDCIJMwaWR1I7oPE
g6J956c9s6HYJ9UXrW2y0Y5OnweltsgcN05b8ztm17Uxl/7L7St9SqYJ+7saOoCKRNPJlcFJWjN/
2rmxqYhlMo12JQdSTWxx3wKMQaZcSBgJAvBBvvgyhb2V41Y22/IUADXU0tiEeQ26zwCuE4pvQIvJ
ThlkUi81IHrQ896jMruo6b07Ww97Q9LfNQMBaF2b3jP7bdgdVDvo0Y+NIczfqSSYjewWwgeniog7
2IgnBmAvRegyVjD9iMVDZGcZw75RSazLGVBmPJpDN5ffDjFiUeF0v7RO7jC/WskqyRqcoLArwSxK
nN/CN0j4hIIvtMgOPqBCdPthW+HDqNlkUXr4J2GApe00DbJXLhifHMK3AyTkDClpJwRRsb9qQilO
1Vi4a6fxaNrVvE04c9emn5C4gWf1d0MgxNVrk5o8l9QGOoT/3du6Sz5ga1iky6ylSY/CwFC+I4pI
fHQjMZ+fMX/A69kR37R2QuvZgT9JrzUybSsWqMK8tzKil97o4OaBYUHBKKND+B4bbnwlswYcqAob
7ECBfQiFQxBYax9bYWcsMMdpwljgazArfsyt6Oc8Ul1mNfkz9qCclSP+vPAzAXAqVpZw/Ih4ASM+
eRn9SZSQ8TN9hGFePIaJLxzi4YDwRItiP8KCFvy3uIGNi3mOJpBLCMwH6EkJ96FnskLgPA094EBd
9pRPY3FVwEmSiHODPINcM9MEES/QgWSe/yHrUn0ujS2+yXEAz+uGqiJOiroZOxnUl2Yut1oPNmjr
xRr2uP7rqDT5VdMMjnSLMQF8j4HRvTMo7jYQjfF9zYN/9D3BDN/wYcIOWMN0eSHREKSIbO/R/h96
rF3oOcGpedO94H7HLHjvGAlxIINxda0J+JYLA/xRUJCceeLSj7jNWzridjX1iQnCxPruxKzITLHl
vhxxo4iYcPgqD3ewgn4RYfkk2vkdEuU8QOanzCBtpD3M+CQSFKw7t+4g2CNMjLyOB73KGDYmwr6J
bCz1xN1dc0MWTMnyUlYb2gA61QHoMXAUPVY/GhV01LlOj3ExPdR16gCxgswaoORFZeKxlZJhP13D
ph5eEkXIzpw5DKmJj7zkCBjg5pxvAPyNNfvWGq8KQ4q+ieN3+gViCFClERUJoxfYjTP8yqwcSkZH
iPxJo1FOwCgUOYUvUbM+6uvIqFTCkUf4KPOCJU/C/WJaCjIpbR7nT9VczLIW13YKLQot5qeZabAc
EflHj41vt4ycuMxW53PWiA5cxazfF5+urYpYZTHZ8HhY7r2uep8my3kkliNOtv3gLL+I2QTkQXV8
dsPBe19aDR8CvTKlNclFUAKX0DzPpUFigO/zY0APZuS7qk/ie4fR0Be9KV2IzuNLNiY1gwp+fvwk
jdS3NrGwyhdaONzfXbcjKinCv2me3NBgX9CPxUs1tMiJJVHY1fQ69Li5+yZ5YYG8k1bg70t2SRul
uz4ylwWKNAxdZty5ce8krBQ5V7IXDB+YUQIA7WLkQVuVntn9qXV2gdx+M1EtO9WMJE208HLlJrXJ
B+tR1oC6tmWyBdVMhB42OM9buyL7bcMvkYgY5bSv6DffsbIyS/Xc9gZObL+J/DDRPdk8EFPWkeJU
Qdy5lgKOUtRaQ7GHzE2XAO32zk8D8h9mr4fdxnAOD697A+VP+AzG2kse07a4DD4J4v0oM7TdLSsG
cmL3cxcSmNOZqiGLipiOJz1n9R6h2dSvbUgn+6Aw0VuDXmR9sOT5e84p+KWtjtRgxDRXT8Yjc+FZ
knuAmB1vjD8+DAVrshG+7oZz4uavsSUtUtu4h84egWnhry0uE3XLcVxisIiqlxBV0nQGTavLhpd7
MG13PQ38iCPsPq9FT3hUEOhgg5UNz0dg5ZRxhLz5xBisplTsRE/FtKIJtc90bM0q7dgijmtYbY+1
/O7zzPhpitmIOl8Zd8Wtwp20nT2hz2suDvSXqKnK/CHX2tvz6jgPIeOfVze1sWCFBlTCUdf0dzC4
yD6wI1E0c4TinnMKJvQduqYbcXKkVo7b6cQJOwNwJy9ScSrvPAfANDHxt01YG1tvJeOFY8zWZy2L
MF3XmeM9KR1mZ+IFxReecvIJmeJxWWCOdDCL3pDZE37cMiUbg5mRszZT4EayMIb3LkvF1eJ5fEyl
xaOUONBcXN08CaRZq4a9E9A5p1/nHKoMpEb3YLZmccvmW7J1gGH2mlWy2AFrGN7amLOtMR0W+FON
km21mDnfcYX7bYzKmow5ie8CHnCTfrnoZj/EGGT3i923a9aHRmQjTMSD7YgImztRlGZC/HhRNlFe
O8spNQKumIS3g4Fw0wafxmR8EIHzk4y+c0YJ/sADxXSe6VEEkip/SA2rUmuVd7dOwU2BEIeaVfVO
0uWqXcNhmUZp1497HuuWctFhRDpVQQoaP0te/NZEks3FM5rrJiyXGWi47yMR0CE+MwsksF91XzZs
f4cZe+w7w31rVMuBJAM/KgoD1vow5chlUvJiHom3kVeeruytqKX1TppKufb8Ptkkhki2cRPre69u
yqj18cQSszayZi4t8x2V5fCCU4pBVFBh18u1FRzSDgwXMrHkJyR2ZS1js9iEnl6u4LTlXY39Y8vt
UG48v+uP9WzCgdWwy1i3WH/tilU041M7GWRQQusqy6NYEhL+bgmmtzvDwQoaLNveHfWFwcpw0Glh
fBbgl17NgpxSroPwPhMoTfhVrMlb25T2rL6NENxMNkEegl81eWUEJA7P+DQ/8CyWFM9u99F4Y/7l
hCVT8zTRV9+3xwkrimJ8s7AoRquwZj68QsnIPwvmIc8LfBwVscYg1csch/5qzVV/cYumFRcTauJx
WCycYMKY1EbQVe3h9rMr14X5sDhpQM/oVRZJbGm5kd6AGsXCZeqTHP4MrN++pLKh5LB8xjOwP3mT
eelkgkm9CXT5knYVYhFC09l3NmejMV782oBY1ZXPlTTap0a5MbirObvVr7fI1ix7NY1uvCfD0H92
5mJ8MpaxWef548RQdWu7uXovSCl/EJYzv4PuHjZgvtTJabIgUn6s3jlQ3r2idM6LcasEpqq4QJ61
T3XZm7sySauHZMjg7Yqx+B7HuN+2k21GXTVmNCUm5wJSqj1dYJZErbTJ6kLoIQ74y/htdYH+qJKW
yLiBbOsvUpGovHoJVq6kIj7lmUjWtesxgXVriIoelqpEKhvf0E0EUauAQymRh0qSbEkBuOtu7mMJ
IpEgMct6F2FJxFfAV1VBRausR8aq2WnUOLGYzuZ8Vn/eYoUsDglQqgfpt/2mCkkcgr8anJTF8CKv
/0xMZryZ26KM1byjYCYAanHclpj2FNdmn9f71mM+7AXJR5Cm3+iRfgLmqgTW+9sstrbkBcLY7L0c
E1HzU5CJDAwC9lrWlatb0AG0PJBO1YgtNrmb/IZ0HA6cWYN4JGFzZViLyYY43fCyRspy12PmW4dy
lNelt/ZogyKfOKP9kpOzLaYMrQH7H6x9MyurQDHYqXpMW7ax12Z7LB13r/Llzm2Zcy+Wx+6HT7nv
yZXYukOC8ljqjLYRMNkvXy7d1oBWeA4g415tNl3PoqY3bHTG0LtqrN2/6Ybs1Y4l/cYvhuTTSFP3
TLNrbnWQFLu6z/qXv2rj/reNSv+XwE0eAsx/EAiuP4fPfyKQn366z/LzHy0f1t8+5O+GD5hNZDvw
XIJqQDVvoTb9m+HDd7EkIXYxPYuqHc00QsK/Gz4s+y++CSUU6Sc0AI8b87+cR8Ff0G2ZFp/P5nPh
ofgfOY9s7+a1+EdVIX4oD0sJkii4MY4D6+WfhJOhwo5ewMrdODHE+7jBvQpSuMwibOTqrs7pgBgH
2CePpeee8f1waCpCW5BChfLMQT+8uZNrpqs6SPN3T3aTiFDFNgeixjzepKBAb9gSNkPMxBjcm+lw
Yxt73pQRBd82X64W6tSTf9wdlekx3lBNpkZIAOxEIXqA3d4MRNWyscqI8KWsgFGZVmXyXUshKuok
HFrrwMnB8A3lzQO8EHNTn0gi81+w88ODrK0UBIE245PuUZwcMd17b62ebJyIdvBMZPl03+iBum5k
IbhCSJgcRxwkt3oo7Rn5lQocoVXoC5o9kqRoFbJhRVnpjkeijVC50lF2xtFbUvtqElErtmQtwtRr
Fyyp4MIthsGTMH0UQ0R4x/ep3yvNAk/jCm8qF5Ji307ldI/x0+/vEO4QtGPjeygj2RQunMjcmpEn
+EmHKIOBy58WbOCdrYys35jZ0t01oGQFosDecSMPSCMZ6VO+XCk4K4cFh52l22GYywFU3XCrbUID
FTrqzeKrMAD9HhZLlc166Qv+AvJhg/cbhvq+MGKgJLXvPpusufdLHC8XiLEhopaRGzQL827e9L3Z
vGCsAICDhm6Odx6YuiO7HjpAly3fK8WE/1iA/PgysVRmG+UxIiCCdOZHE7AUpJXPSbJXorffWpWp
tyAR7ridShfFUAA6SDGa8NsTDI76SlHGkDEPWrzdcrCM6eDOZLJFcZXMay7vOViLwcRlrZTjPOVQ
f/YiabPHvnKRr45W7n1ZZkrUBdoDZswFI+VLzqDvFCbUV4myvB8XzyoaLS06CDNjyHqxj3V4YIea
L4T0Zna8Vqwg+O8s7xfVFzOWyjPJSwI9xozKq1zpbicTzup+IUo1Xi2K+L+18gCdrNWo/I+2TpgA
mY4HgDDQ5IW7EpXPCnlkJlas6dUfz9IIOvkUNVxpU1IkUzJPEAWDVm1ji0nL1nTq+LEa6fVtuZBj
Xsx8YzQmISIPKDOSEYI9dHctDMFvdVPyHILKoO2PBRElXpk3eEeocQnm5o2urmTQIXPyVUCmKCNs
27BXvQs3RSIdQOs8b2rVTT7LII+kdNNuQx5H0CvkAuV7szfzVxj+CD9qwN5+5uq7JOzL05KO9pZI
qriN0MD6oJdYGViPRGc1r93krFnOOnuLtpZ6zRlkDtKgqq9Jmm+Gsl9GSGck4xyq7jZ5LHJxNlVA
kBJkZ3PiL0AYC7nMyORvh2nmnT1aNKGF5Dk5GgDBl1dMna0RtcsyoilySKEptqNioAOUZMxheVd5
kf2OjTZ9mlTt/S5gTsu1CeM+PUxLWev7rCitJbJ4ZdQ2FNIz11OQsFdeheHgBAcv1ErTqasFmI5h
5K8kRtKSt85A+KKa3QWomkht5e/xT3PMr+I+DdDZFECcCFlsP5tZgvu9yQ9IXyc9u0VJQjEthXIh
uSAizVb/JmS4mEoqYg+rWT709jjsLCmLvzke/rev7f9/VEY8lVyt/72h8/jJav5f/vWzkv/+L6fP
HhJv9083/d8+/r8sxn5APE6Ik8l1kekj4P/7Te/8Bc8nbhLfRcBvewLDzt9veocigI9xb7ZEUGyW
iwnjPz3G9l9s/JEWXDe6Wyhs1v/E2vnXcuIfbnriJ1jBegLC5z/f8LWNdQ6jBvg1sExEvMXkA6Qm
cvWUPLKLdAuv2YQMEtAgGaQHMR1xiw3D//a0zCSyN0nSbpfUFxfyE9K1ucz+mskAwYVOgzZ2iJMq
kkZiNVtFtPwaJEnB+PZGNWmG5VDZvrMq+3R5I0ev3/kD92UPFmFPFdHeW8ou3hKuz01Okw8fbmKa
gCKSAzkMD7UGyuNkiNfJK+mOwKWxuSH++QyQLJ/8DFDumgUQ4tueufw6yF3YuFVRQRAm6quR4Hdw
STr5tUEtATcusII7VnNMNlKMkT94EfH+C2O0n4faQJS4tNlyatsxOy2od3AuzMY2xsiwW1L322VW
E8HlnNXKqAfkHgXks4hwcpeFhRd/sQMa11rTeqGcQ2XY1/rDKMZ8M9PQ7K24gODjpwubpBCJUJ/0
MZlKJUXWxlQVQj7Lq4i17Vy1Su0boNaY4pOAg/LbLTTs8F4a64BJaJTjEViHoPR/mrwu3nyxyLck
C9XeRLn17kN0YlIvEABmlbPsUEQiwJND1n1xVcVHhzvO3qWkdptIOAH0ACUBa0+ks/FsGJU/nxGc
xXycKnETWBru0qyhQWWl0Z08M5GfhswKsvhcTlujGgYOrxLWl875LJlMZRIphwV+j9pjX994eSxI
rbWGkbFmmo7jxLPpqUhQt59Q7VXUMvwW1nbnyNcic1EFB8wkkpfemQAAVqPNQll7WF+ZrFQEc7hF
kNxX7M8PYdWmD8KubLSlVGH8utk68mPrmiVqFcLYOIEW1Hckjrp8Svuh40v8VPmsrI1AZr2ul5Yh
sE98B6kwU7PFYAXrv+ZvOaSusWyr1Ir/LNLja0ItJcrNaLHcjywelXQTM3N78r0+/gxNVpwrATUE
65Nlb3SViXydhkuIyLvFDBpnw20X1HSPIsg2KAGoeXQoiThVmuBF29bZU+aWyR/HLOzHggm+vxZ8
3yPWq9IMVwDOypPnda1zjEmB+Gngu7M+mUUZvyD9b1HHFWS9bAdacUwXLvvS1vNQUc48xd1+zvuJ
ATuBejab5a1bZxa1PO9H2lPoKImnFTApQXOGwDlyHnoCp1csdzOmIjkaQyoDBgANKyTGGjBDfsMl
wLUSpvi+IrJbpnMfFuoWvcbIE1mrvuJ+CDVXfgJ4ZaoIxlm5Vo20c9D0w33JthexbkrkiZ0wbrQt
Mf+OFaLuSCou23WDMvDa+W3zisU4LNY35Za1aedmOSMwbqFN3Wpl4ejnLMnKaTeMtwacn1i4q2i2
spXZ2pazyuzMxrfUqBb1YhF0NtGBnjevEmup6dqdPnFACiFA2meE6Swb35bhPY7K7k45XnUDRjE4
Lpsg+cWWun8amdyhUYO0gq7YMcIvLUX9NcTt8J4kYslW0gfu/RJOuflExQGMipSTKap18UBcu94R
FxLOqzpuhXnoeyf4Yza41SK43P4JX43zoitSidop48CdLVTVg9KEzSWcYsXWjePcI3aVmndX4gy4
2O4cXJfOau/UVN7WgYgc+G9HhFqWMswcZa6yXiqnm37NVTIR/GIuAohNT/ZHNk7+YzU7SEU77a1L
R093Y2e4F69NfXvl5lZ8TBJUtOQRgPhnv7pNgF0eBmMku1ZYgHjZkJRPwu+rTZbF/Ca1TLsf8hCz
9GLDuP5EHsSqYig0ODSzaESUO/N8lyKzhOkZY14xg/9g70yWI0eubftFKHM4HN00+ghGsO+SExiZ
JNH3nQNf/xaySlKp3pVkd/DM3kCzKpmyyIzGcXyfvddW59nLhx+SbTmODab8mfNvjzuyXE4HL6pI
RQfp2jRVcaoJb1zP3K1BKCIafllDWVxHHl/ctIUVj7RJx0bde+3PYPbKlTkXcjdg1TrN3tx/5R5f
5tJsh4cm5ABboW+le8sNvRPlkek7zXTU5ha+DG9C1h85jatNvKttbAHwgkAi9XQIoHq5/RVzv3k1
5GLccIPq0YWTeD+pkv20wZ85EvdKz2Ud6NsEpxI2N7FAA7yaV7Orn4KxaNY5BxHF7zh4AO+196Pd
zHipAveRzMwAbnK0DnMO+NKDV3HlGc51JEyQXYNB0fTccslyE8c9+5zIH/9PdJt/OQAuk+bPEsUp
hkD1/0l9nGUvmId/Pdsd3pvpvfhn5eb3P/N35cbmWSxc1zY5On/hX/6u3KCVOEKQ/iQCiubwj3lO
/MYiyHEAabjuH6LO31Ad7m+AP8DJ4Bph2kPu+Vur3e3vggyvGy9j+FX+8e9/JlqgRf9FuGHb5VvE
RPkpwmPmXOKif0JEpCbtGmkaFbjuDO+G5Ojo7ujfQcufWZuFiNc/bGiMxwKLJMVZNSlOW5PSEKTV
Dw0kpmNCrunBR5QoNgO11s9l71mvcizc63kW6im2g/aCWmzhzLOSD4hk1jURMw1PvgkPfF1pbvQE
6c9lN6g+UwYFSn1r/LxOJuQjjgLiH7GRF5RtV/LSeE72SM5lZJMmaJOKLPO2rS3g2NNSmhZBOwgr
L1yx4Uuec8/G5cdXAwEhSi6wpnbx1FF3ZbDowUjmb+OBiG+S8CB3XOKndurJtZVY5rHMvIAmFPCR
S81BSAe8VezjlnQl40W2seoerYt6twdqZzDSUBV93aPfbaiY3HgRgSwcp+IMUbm64Gk1TjyEFfvb
aLhWLBOXkpv0YYAndsG5MjO3OsV1LVV7DLPW3KKbD/dZEXVHgo8YBDLCRWlvXweADjhg9bCvde//
MNnLr2eDdUToSmpMZZ3eZJnVHGzOTPwrFcyqvpvfMd9h14qTakc3Qs+CdNHimVNA+Xb2qQEj8xSk
1XdRdBU52a7hWafzlPbTTofP3YJen6KgffSDPviCOIA4TBUCGO/4F9J7IrkQHx3mT7KqGHcX0w5k
cPWLEu7Nrn5LgPGqXUohyW3hEQCLMVxf+Uakt01F6H+jMHrGm7L3/c1EwAkjC20t3tpQGc422gmL
Mw64/Ntc2ObBYEocxqVJoQLWpzMJOGMbaLt+wNebbVRN5giL2Pekk+JujqgRM7RjXVIa0zc5I/eL
Tpxw23p+/+IOSfxMvU24aWvjnhq+6ioZRvlNcMJeQZuGVpv0dU8bWTjpOymTzyjy3mzbDS5VM4OZ
0W5wRX7W3vRjYYMnTkrCnUFn9SkmABxBAwCD+6gkxhnP7XSiwtm9IRi2J3H6pCMUxdXohsN5qGXx
3qDmHSYMv4fluXVupmqpIcy2TDfBoTRazIvWbDl3S53OzdiNE7sQR5/qMLJ/RFbjgBGeB+OV2FD8
HFZZeizScXzDny/ex2Ag6xKREylbz7sarbrdxD4WaMe+i7VZ31uDztd+nw3viVXXz7a2on1T9taP
aqjC49wP1lLlEeDFLTGvXVTOI5rofl1dhy2FAStlKagUEasomsWrG1vH7W3sVdVLgC2ZJlzktwM0
Dm5MAglql4CsJks2JShuyrwnfWKGBP1z60Zatj50sFf5fUUO3X6Q5vgMVMc9kb6bcHEZ5QVvWr1y
ukTexLPXXqqCUbwDaHhqBxfdip5wInZOVTmXFA/6sA2yzvwK6CH/8pyp++odu75wx9bNhlQCVSa2
HJjKKXypN0XLjQMIqhifKB8o6r2JdzZbF3afuht/Io4PC5R1cGAl9lVt+XW06QtY97Jw+22ZsRHp
g5pzsHQ7YW8qVXjeukhwVHSWy6psdg3vuvNMbiNEpKwfNHnO8YpazKnYAPHL59U0h7QPksxngd3E
lH3iUR6jc4c58dVSEXdkTC/9nTaG4hO9CgJ3UITyTTW2tldF1UY/NPEb6oGsFIXJZR1OrjtDPfqB
CZSCp4iUzBNdpTbRYXN8hRY8c8XztYWOR5nx0SCvXOy7nMmLNGxs0JBJIJYQcOW+9uT5vK2feZh6
KsLcVjkthzbNnRyMmtQZvO5C73o5TP3ek4Jur0L6xg8n0tyIsB4Y+AnMVuuLQ4CdgRl/BSZUJILr
MSNwvYV+A+YHzAD1Nq0xJg3jrodXa5R2+YCDArl4xPfD4Bc07YeAqkgjEJ6U6AoLveweqkgYV24z
5wAeqw6QWR+FYGrqfHoQIZremvtJ/yNuQuogcpDr6On9qOJl/GNh2RsOyiTwQ8jnmZmQZLOI80lq
v05TkjlH+NbscFsr1t+N4RQv+Axb9rXtlK1ZtYx0/+o6u49TN3jpR7+9ZL76JifUvNuxf6+05mY7
w0N1VzornR09cf6pt3v9NhFux5vTD86b6gVydZin01E4IX6KGDbEPjQH9z7AAOvdhmmA431SuYnr
jQTlzk9Iu25hDnb7NPM7KLTu5Ix0guXJE/ZNfdUGU/gsVIwtv0cM31SmQLUfnWb8wkLbw9KA8k44
AT0lAgp0QWsAzN4RjEYjBVh9NIyM733DF+G1sjPncepov4GQC4QhNws+gCXgDm76QTDsA0gFT33b
R5c0t81wk3KHiLeFUySv+Gv4nd3My0+OIouAxsG2eNVGfnsC0VO/eA5C+zF2kwkzIsRcgDO+lbXr
RrTACAreOMC9mNwN0fIL2kOYfdbGAF1M18l8XRgD35gORs4LG9L+ijPUfBdmN72M7NOOWbHwG39x
20ujYL8x8p/GyVnq/ofPn79rBwvvDzlEfGa2bfyoMWBfycmjH6foeOgN2qZRrvCfw1lj66/87E5Z
Omw3o7apsO2s/GJlEFyWRtPxi0O3u0kChUXMx377PAxqIrsfW+WbkZYVtyETkGRtVdaDHZOIXHEq
Gh8EVrkzU9mCvKaJMyvWNx6jAtJL9h7jYq32xjAQxUk6OkFXSVw29T5h/f4KtLt/KAtRfLkRho0X
6B44e5ppdO/hjEcQiceJV3JIZsC8dNLdwsPFmdQFjmxZ1ZCPCejmXroHoruxi/B1tt4YACCPobjO
2QfvFWDbWXvV89h2PAUGbJhKmfN92kSLhRgJjwrMejE5UAhXwmJe2N+yNgS3byID67lX7nlAxMEz
i4cIjlfc+P3ZDWUzbVNa1rpNENkd6QAq2ngqStZ2Mo2C18DR2THHswvfKuNVJQRXPfetdu66MfYJ
mMS870lTtLdmls+XWQtOVO6F7T0Y++p+9PBxYMuiMdhpTI9vPE0vRJ8n50wQz6rZLlWcEYE9oa8n
vbkzS7MnQTCk8TaZRcdEa0ZAy3Hz3LB/xWQSeoV8n00W+AYJl0Vwa8W102heET9L67MQmleoUlV8
MAlBvKdxZv2k04dfK/ST7tkn0sDrG03RxlVu+JNlb3ZwWA4+x7hN9ygxBodfJ69RFZJLNtkAUICi
zPtkTOwDT1psT7ljUteWJ2JyCbi3/jkgjX6lVceOZ5Yu6kccR+0bmQmQBVnRWt9Z5edfAd32JySm
8AOfK00UYYupSGqLS7AljhMeyv/WNP2xs3+cKlrD3z/zuNjEeO/jn92fBf2F1uhIduT/+tq4L//p
yvj3P/HHpVH9JlmoC5OIH09D3/nHut/6DVUK7KH5O95xAc39bd1vL+1NDjdDF6ywxRr+70sAczEJ
2JgHWBLgB1iaXf5yS/x3t8ZF6v/zsn/5xYQDr4zxzTUtwbLhz3dG6bK6tbNx3CZhWK6A8sy7IME6
bZp83gBY6P/ABvsrlen3n8cPBGMleD2WO+yf7qi0srYpl8ERuHybrGYVfg9onqtpZKL403vwP9yH
pfVXIwM/i7Ya14fxCo3N/muBOtMh2zMehVtu37Ti5jZJYIZs85hIWV3SIBwuPd/MfSa7YoOryf90
kM5uYfCknFMKa1NtMDKIaSRFmS5LkFXqh80LIUrykzGUtWvHCU1sCrL9mMbZDmA8uDTowa/hAprP
cDNXo1V+GUG/RLdS85HQXjfsLJfr1lWnGnEbUx9Leyh8EYo2XfXVORFoCuAtw9prM8oqtBF9hU5M
LStYyk0ZZPMtipeD4biewj1YH1pSMDzfJc5sXNWU1g/YpHpaMymi5FfBEha8IIJyZlGHzHUP/hZE
5NCbXEV1nOHuqxkc3ArvqVEzJ9IJvWLRy6DImNt85wkEB7d1jm7I58Ecerklsn4uJuexADhVbSCB
Bycm3fkqlja96jo760h2BEkFdT1x9WrkUYIoIO/AIRXALNzzRJAZs4CMVnXV1MwGRnOeIuibou+J
gtEFAqKBRQhQcA/0EtHArUnm4oTZ+5W1BuksrdINqxmKKpjCV3pwrzuCZbus9dfR0jtimbpD0ve3
lHlO+zSUy4p5RRbsfqIIwzbp5XNMHe09l6RblvtHWZsUqFQWP75pSFab4XeR4Jmy+4R/iBi/gV8d
IBH46yFzixXOClQGxQ+XTi42gyfuxh6Bs8fuyj4gfA9leskLSsykE35QGZCsTEhHJK6MfTyKuzJt
2N3wiqYkKjaBih46EylUaPlp98HZTN0jlINsjbS7F5VGoh3Dijpb646mDua03PxMnHxnpaKGld3t
LZF8C4kzJg2aV5t/IZhJtUfyje3knHfhKayWhqEhWHp96wdkzD2d0hSJDVdRkO47yzhHCJZbdst8
7rRHWKsO6jo8J5YaBR6boL2pO/s6NsrXYiCXN1pIoNaYXQlffzn0pm9SIDO7NOfNazT16KzrCuCt
o7/trRj3qAcGh0AYU77yriV4sGsr0B9IES86lM7WliPzhkV1ghMYj4EVnqcEMWm2AMlzYw7W0sWP
kgbFSjvhVRikJXk/+UpHNX8BUnhQkYpVNrK+twmdLj22mUNApXOJ0y2+ylzwo51RGse2JB3QtPQr
8cbeRfnk0xsEAtPIspYID1/UtJbzY2e04EFa93EU/E0Ll/R/wftAKurDD6HH/Dqr/rtt/w8PVwVm
+98qspf3CHxyy5X/nx6xf/y53x+wnvgNedAXWE047gVL279v2SUPWJJc/4MqK+VvGPgFT0+Idj5r
cP7QH6qsaf/G/GfjgrPYzFts2/83D1hT/N+YvkUp5uGK396Byuwuz+A/PfMkNFbdSUNvp66Sw4H4
OO2+A3731RzB5U07/Mld7vqUmPoDYpQXDjV1aKEwUdZcIybJk9DuWpAqeM0n4qHX2FaW/0fRgpWq
HROaFOsYV4P7WDVuoE1WhCH5O7oYsurOphD1xSDsET7AvxnLOzSqDNkoibt0TfQbH1FTOIHcqGxs
GkKGle+hKTpc150BAiDVThJSgC9znIBoRylZXLsIbympNb+phlDbRDvSX9dp7x/rdNHf0siQ1z0q
Vr4xo1Ehoca0Ut+MaIRnwoH5sLIzQfFK0YynDn3F2zQ2DWLXQT4RaAMvItJ7L5WvxMcnGrENwY69
dmVMuD5wJizmEb4fGG8qOZO9Mds1ZYgRsIBUh82mHFqV8KBPokflGbmzaxo8BptJApQBLJjEyU1L
kH8bxlo+OTV3UpgDU7ibW2/IDhDPxvTU6KonbRZS3cBDZslCTjSbYG5PPHUnOzMF0UeRN4xDO+LB
jUg9VqGEGAKF1Gy86E6bIcF50/hps+WkMEmnqLWpnxPn9rl4rcre8QjSZvEL/zVnFw5hcxvYhlce
7awaaW8pstnbsV9X98DB5vBCPQP5LG4Xyl9RKQIIDG+VoXdj6ZRkD0FFzhfIRdgOQxdoxFrAADMO
DYUiL7i2x37fV2EA4q/RnHh2DGaH2ihp3xZamwSPPTbJZ4+O+3Q1+LAfuRhW5sHufEVT5BSn/lGw
FqiuUqK/rOQdmMVbUCvFQYIE6DamBfJrG86Sf+7QGCfUlSgOdtSUD9lRTGU7UXjFZXkbuRX4BgUE
CqNlZGSHRFvqAxhU/ZRHJXCFsGk+yzYw9YlPHXdrkQdTsx0aDIs8ukuu9mSFFm2dmhUGGuoDoYXD
CGY14JySRFgflW9iRiGg4uXbiJs9IRxf8o5NTVierLFb5O6qSc/cBaK7JnZv3SJ1ntq218Wa/a2B
u9yMTt44ugLUXl69eEVi3pNBad/gczl0/qSHoZRIlyRiPfkAsQOHJfCBTj4iSblgN9lxMk2B83uI
C4s+34gL7WCLBj2HunvzpsHeX680lhGmU9BrA2bvML+gAZEa0qpM641IhhzG/1zfkDUQ9aahbqza
BMKn6N3gWvFYT1GF400CF2IL4lkd/VCFfVZdESFYhlPsghDBhnPVW5wJqzbMFThosyfWFJUTW4Qk
j986v4TC7U6KT7vJGId3YpIQnEh2shkQwbMxZ8F+Rntc57osPrPKAIPQRKyAA6VfqF/Psconnrs3
6yb/MVEuEK0IxnC9J5a3ViovrwqRDY8thLxolU0ZZwHEIAqulHXb+LbGwuFbyaEf8A5hRchgZRA1
yQ+1qNWTmaftVTuNIYgjGflbODNZcEffCAO4a0VDsPdZSCBUhtGHJlCBRkhkjFZSYfZ8PLL6kdWN
dcSbv6wxsgLFMXLwEKnAdbLPysZEZCE+WusABtxzb4bFz5o0rb8bMjShPSwOr9rkqRvCRxqHrWKB
ch3VpXEM1FLWPIRlNj5U7OibdWQv0M0oKwb0Gbwo5skhf3YanCrr93rCHLZqZyDpmxSOebqeAz6r
a1tAshnITt8UgyxJqcTGmxkGbvHkJa2Bv1DzRSGX6OOoMUrb3rCddLyfuUHrTMahv7ebkY9n9II1
QHx0fWZuPVkmWxWnDWpTBM2y9Rw6SfJlZWDG/Ej4FPUB4Y5WrRYHGsc+ZTknXJF+8YiIhqJmQlvd
DqoO7tk8i8dwSnlFHTm6A/xjMx632VK9LfqAKwR3H/ScZZA2rtQsk3eHWp6BxQcmmItaSr69kCNn
DW8g31YyFs5q7pv+Fghq+Gh6HHObIcTesKixUEZMu+aT6P/eMB7645OPZXrmvDLjAKWFSqDtXCnn
LtO1IeEesvhbx9TMVRvYvvwicik6j3/tJzgbSuJZVezA8MMwTrToV206RYXOtuA0o2zQXXrVu1gc
+DBTtt4XZnjUuqxiwqq+3x4k7JFg19X0tReAOT4d7dcvLDuRxdDNEMDqeP6Zgn1ELQTQa/N86L1y
w4/o8jVXs/lo/qqNb0Eq4R7/VScPVUwqooTLi4ATD/xLmie3bTpPDAiNZb1DNOBB5y219ROi9KUU
1ag2FGiB3lVL1z3JQIt0oxvm15riJuoDo+F5xPcAdgIb7E4YxozXWXgj97y+HS6pP0+Pwyw89iRJ
yuMoTJsadq3Te1/uqKYDOHjzOiDFuECX4KyTGEnHelWM4VziqIcjacY6Cm4IqOvpoIiL+reT51As
ZYxudDGsxv/h2JN9B+2cZUpC9Zfb5feUM8VXyI5dtAkKM95bHHIbrt3GIUEBBFmjP5IqG9ZxxZkp
RZtab6xOPHo65ey9dFR4fbcVfVCR0uV7asxmtC4pAjgKveyvlweAiMPkYSIUtc7GPgnZOebJegAg
cW/UhXsya1fI/WDhbc5DJ1raXGHJmeGS7wkojO7nEGiqwvy9dmubLkc3mE9GPaP+Cq4l94pO2fQt
Mrvw7AyY+5wSfqZmB0afLGywVVSNbFcyful9EpYj0QBTdvsuCscrg8ImtRZwXLag/icXHnDsXg/A
an8OmQo/1ehEP6J2ejRMHqz47UJYl1y56XPVldrkkSNmRg+3IunGWbREmGY5HGF2OB+1EVVibxaZ
NE5DkhxNNdl7kgfeHVso8kRUTT1y/6neoJi2pEuTevim8aAYmQ1Smd84XQRII0pGw9nZck7XyOME
xoU5liYUt1R/hDL0P0esYcNziU8l3julWX7WtiWaOyq4qBiQCeLUSeX4o8+xz319FYZ+P63UEFSf
VpgNxIKVjIZjIDIgogbjHCtss2RXUhTW8FDj0RmgoBr5AysWmsYAxebzvdXU90NbpeXJbqidWpYa
090ESBPgxRxdzE7Hh9ieWrGOdEOALOKR1WVdXq1dFelyLeuArwmDeHcbz010zIkUnIrEiA+BD91C
KBWNYJ8pyOm07rn6VdnWF1nIs5wZ5JMtvH6yCzfa4umXG7cMofUbpfdsGEUwrYj4e93Ro4W8eIdg
4Vd7Dlr/EcaZ+uwHtgBQ7Jripvfb+rnXmYPNaRrNk5VOGS26BLfXWR2aL/Tpms8Os9p129kAdbIh
VBt0dyff24Cusq1Ayl1hLKuQR9JK/eQBmW14ZHnp2vAM66UL2nfZ1NS/6SGjYQq5ofqu0rp+MWMb
scr0IwrcbDwGcFniqXiuwz58HMt0AUU59GkI5sWHsc40lOcKPemVDuF67ddzNv7sFAA7ZdApbAbx
FgLJ9E5m1Vn3U/SQpJKcp7Q4+TuNFfpU04bkHAQR+vmcmlmKSzIr+uQ6LglHbvzRgINmKDSAg6xa
Z97xT7nLmecO6D1m4YW7uO6rXevWbLj62eseWzhx9jqWoXyIk9SMN1LxKI+mtLpvpjYEVlbNBKtn
acKc5jG/Kea+Z0cdq7XfWoQRstbaSWoiaIdXX8pZFiNV0VA123iJfWwTVoQv2K5IFPuSBj02Ns3S
Y442eqnwgtyqEZk+T6qVptV0W7PzPLHhA22FMrUeWsg2/Qh/Fv80LI4oc0lZWpFtUwbsd/cjpRz7
UMr4teK1BbKwYJAo0U1LCGS+QV1yTsZzK6iOAY80GMYP8k+9cYK1UZChsHL3abQGkgVgS0yK0Jqh
/Ckyz9WrgAftdaiWy1nptmQSWx/wYjzpINuVZG94C+35B+v88U3yWzibZMQrtvZ4vauNomBxr6xG
v9VUr0LsMVN1E0eWeGTA5YRN5oFhvW+iU2CV+isP6mnnwOk6gm6f48Pgl+rCpcELTnVSyY8E7OcG
kQ4WO0PG7K6j2SeptdA93rScCCCDMlOSdzHY5lkdw7PlHetW0CHSZMuXmQUiRYrDB19f59ymWVet
IlPwdB9UER6CKMqqzRBlu1HAmGJJbOc3UjAMbYNaxOap9aMAtaloBQiT2Ei4VXG9cdZccuc9/iX5
Znc8wNZz13N/JeyiQmI3RF+4KPnO9NQELSFKmkn9ZAdzPfoc6sYGwdmbP3JdEHyJ7OaQVhzzM8TO
eGX/CqumXbmlNDLd5DZgyhW8z7pYo2bijMyl074pAxZj6A723jGb6LmJofPB+qiWWk7Wzndz05Xt
qS4l8Z8WcRbc5VJ55IEsRBcbQ9hYmEqZazBr6xuv8vxoHXax/xkTKn7An/oU+T4ZVDtx6Ogu2Fjl
1ewuarLYY9/2TuRLx5Wn6uJY6bi6dYdabKoGp/CWZ3NGkXbcAzVe3P5W04PPi4u4/ZlgtOp2iOhd
c3C7AhaDGXWfVTcPN7rBBsPfTZBisXH985DWk3hXHZoguXbzW6VqvmcXCMsH4P5ZUVt2l1QhPYdR
MF7KAaaQ69uIcYTX8RfkNKEr52fbM/CkbMWx5BbACiJuSbIW+zbBDj4OjvUyz9EnHzfNa4x/p3fi
z2xg2YdDPgef4/F6J0zI2gSukxvVKbeRY7OhrG49HsM7bFzhGzMFCEkOP+dBpe/YJOxtzOeIQb+A
Ewzte0sJoX1MC1E9ANcTe3iqzZqDc1OWrbU348L97DNYj4Fo1NGq0sNceGxCnT5NNhW10ruERsuH
BngvFGdPfPiNKq6cQY7vfVMFGxWkeb7zu0mQiyCxHW45JMefM3E3WDupWa/bwPYWgDFDVy35u6+H
0ajf7dTxpi2EQps6E/xfwGzMbYqYuU8WSEcVTFz3hyq9HT1ruibdgWXdBip9HvXAVOiN3fw1JS2x
rZQJcm2r3HucbMc5TxLbhANWmztxRqNRlYqNZJL/ygzd7BtSTsvDBJZL2+PfLe3+0jocop2TlMm6
IkQY7PPSZ91rTvs68wgLd5EGCbQ49FLwVU+MuzUCBcyktf5159BUztWUmH97qNxHm+bo+3FK5h8A
RZ37opyALYoIYDNmObAbhYBCG9sclyg3e7vMjqMMq32Umc5NnypsHKn2QDzYZcGwY+RqZ/UlHGW3
s89Dxv20d1X9OkLOoharSFeCldA9zo0ONl6j7/DsIRzRZE5vcZG+1jh8XgM8TBsoU831aI2gOYtJ
Qn9a5LN2pHcSZjETjX0LeB+F2o3jUyUwkNMUe7C0e82OZ1yr2lVXky1NBil/3tDVQSW1BB+UNQOB
VlA124GH8c7xBeOdE+ZnDqqEDETnvRRGvcTymrpe0/bKgsYMH6cMcAVdG4N+xBPW7kb0aj4ffm/f
eMRTnFWYONNlzGiM5sTFhm9RMTJ1YX2CalXJK20mVbdFTTtOQdT+MBJPPNL5BKcWy1r7NA8+016Y
Wi+1TsTezVPBuzrTIIrXe92QGsCwmCXhqdYjY8gYgZCkkYY5Z07dD5xB7w5h17UuMbw53Zx/DZMb
7DkfynsCtCPjUGBcZ1btsQAaX7qEB2tPWdUmzOAk7HE2Desk0xjpMve6olqDGhKuA5C1SKlwOI92
fAViuzi6ovG+RGfdGgFjd0tukoEsmG4dRbuSJj63Zp9iYDOHB6kNdu2YNo+OntGmpnJ2nh2Z2z9g
Sq7JCvAkCfv4yq07eoi5b2yNicH2GqPh9DGz0n+iVlt8j01vcB/w7Vts9vvEsefuujKmdLxEA0lg
/lvRgY3ez9o2ZbslLaAPjN4TZcpJfpuSNjjUA1S5RuQQdUW60PYmgC1eB9qYHqSISQrPkGQcpsJq
nSYxWQCPS8udsIjlrGwshFH2+wr0v2uF/7BWgN1Gqs7/95uFeC6b9/zPq/5//LHfFwu+9ZuiCMmm
0OeXOfuP7J6/pPBYC9j8CN8jI88O+4+1vaTL0VoYnCznBXtEm43+37ze5m9UPDqU93keWD33f5fS
5wD5p8W9R27PQaS2gZUTW8U9/pfGRMsPDa5kwXDo2zrCBBn5hMNb8z5Lb6OwuZ67YNiOjnsFkydc
zQ1lPgFbP8DiFLTbZr6Fl0rTsHIfPLO7SKvqV00zvA2zpmw9uSBEI2kUvbHBy/ndMsTe2M6gYdXD
lLuFTASAVM3Zm9vG7yDBzN0klP2KtEYHHqVPDNXsc5msNuSZP2qfiaPnso8eRmCEJ55zDxgN6Afk
jw3I/zbsbgunb1cS4/ba8SXYuJSS74prL9LsNydrcBRznr3gNBLbrhvza4/ZXE/0SNVkimc1PrSt
dbEwU2XFRI8Ia5RYWtSvFPrbKUxAdJVAOh6r18AwMG6nY7EiGQ5iJ3eBzFAFomV6xRoh2I5d/54X
YKtLPY8rs7OtrWsjYUjVzSuhs9fKcMfbsk1y5Iea+h6Bz9BxBCuVFvgiubSh/Eh7E9VvSM8op1cu
DY0SfMEec2a9y0aUzkTF0Nwhu5Qxa+CaWhTyLu59pOBCVWluLE/B7oADRK0GUmnPXnTryBRsLrqy
DSvf9/xbVY53dTFtiLW9dJ4KD6lhNpcEavlJROzuc0a5Uu0yMT8LLz8MMluxCcGxNJgpLSOwZ1Y+
LNzt0BskYezxZ6Zoc9C11d402XtYRz+dQd2aAb0liuVGgkn6NgFnxXsNvlyW+a5CFDzDz092pUvU
3lTjuJkDcRMyk25jsyFjTrsEnSeruFHe0Uh4vy2qDCErw9gRMwLSEAWYxG0yQ61snU0O4ymMUHoz
BocN4hI+Lx0oMOu1fden4VvV+OO6IZ3GDgxrRv+jntKXdHLzfVfxg9E688S6n8mC3k/KuPc9FD08
luzQiA0FnlrTAoJhT5U4kmlrPGUALtej1rtg1Jh2TZltksHdMTYHhwjPLVcjt+ISbYwnl7TrNTIC
3lfpBufMAScjE+NJltZZt1O7hVzD/zJFBNdC+gsBFKxZjDwNCc+5qKOBC/LK11RhIJhD9SWa4Fy3
kgeT1z/MuDuxCmqct4by1kwP7Dx0fezMvtj2yriNaUI91zq9Vth61wTdPgtbens8InsTZ/uqFOIb
bezOmFPrqm6I0Ltjsa5LPpsJOMG1RRZgZcPFOGQtnpGmLDcVeJykAmZfOp+LdkCjx70ecswRPY1P
5LC63dRE5qWppb8yGpmf6JFgE4NlGwk9N/uj6Z71zDjtNdm2HX3QQoO7LV1xoyfERwzYQITsxn/1
AHVMZU/2Prqd86UKxegOKsPSifoR58ZHVEqJuuk35m1eTKBLZ974yLgUHrJ11ZfE+9Qpyr5tbKSq
69kDROLGECUMaN7JXa4wGtgcaG4hg/cxue386dib4tCkrnUJC7QCu3Lv0cih2ermI5+D6IwNedp1
ymayXEx4JzLIHJXeTJtgSGTWpj+Z2WWVK0uuq2p8nkx76w5MoCExEKPe5YOLog+8FHBEIZobPoRU
wfPKGfb8POvZu6+5wadRxNch3hqiv1e2JtIyCryMlYXTIX7IqxIbDqAGXVOeAg1xSwGWg2sQNIFw
mzVdZt7O6NR3BdCDv2v3bsEmvso9oof/h73zWI4cyZboF6ENAY1tIrWiSMrawMgiCyogA/rr30FP
z7PufnL2Y9bbYnUlE4gb192P5/kQmGo4dOXj3IFEwjOOI9M5lg0QqBKlN7BAyz9jaK3ToGW/sSuT
NP1Vqxz/MolI9TI0OE69qeP2PWFEep2w9ipQHMb0nsgyw8nPdX1nLlSnOff6jYFrB08MO2FJRHxL
7Y23MjvB6olHbT9pXLZ3Vk7b7L7EcQS7omzFVgE6aWBO//6jsRrlgZt7+H5HKrOKwCuLOA5UWcp7
vcGHFfD0UnWjR34kNnmrFVSzy3y5GZvSD9cM4DarF5HkftDhzjKDPkdIbYmi3Ke2Pe8Vy/GN7Wvl
5yQxcHVEXskE1U9mUZ7sOvb24Szm+0EvQNtkBTdJzdPti0leZWOJSXBq1JF89AZHO7Nqje4hoyVP
UW+4HyaVGGjTRHwDEdFhlkCm7Xa0AVnPA/DgXU/r6BX2A8Oj27/5Pe0d7D6gXsR6bW85rulI05uP
wh9osMrILp1dXN4EuclCbSxW8W+eS2qx0BNnPxo1YsIksuStLzDECG2qFmN5IvfdbGV37LO8g8oG
9uX15K1NNif1JuUueIioU3FWeB6sZ91NFHD3yme6h7WHi738srK0esoMxmk2SO7VSjEXL11phzLs
5g9uqQYfN6SoYJCMz9ar14t5M4vSwHxT/Bp7v9lQY4J1W8LW4bNziXPLSPviA5e3oRZhy1JNqE2q
wYexSn/jdIC3RiL0LNgMwjpanRGJdVciJNDZFn28LWlzWluUaWlrxwyLz3ou2mE3shGcA7Ooppyt
ziKtc5n4wIoFWFYq9cR8H270xuY7n+WUF8LwlXce2Syg3JQXVrMAbhzbr2YXca8d0/xHrVisupQ8
BI2JqW7NAd3daKch3pkQzu1wzt1FevgoPIgypSkJNLi5Od8j0goBiqeAymMWxHqbMtv8PhrF0yTW
pexZlqjPekzGnQdg9gAFp36pPDVvapLOMmMTPhgcAYGfRv+o1/33gP9/DPiGxUT+Jzvof0Fw3X0l
Kv6LZeiPP/KHZcj9zSKsaVkYctDK/hTk9MRvFuli3vqUSP1tuDd+Y2Ww+IJc9vN4irhf/NMy5GLX
NYTDnxGYTU3b/1csQ+5iPvqrK9ezQU+YSNMeWU5n4Yb82TFE53rNudbO20qWmMjL3JYFvjpNv8Ru
Q0+0q/xtV4lwwwY2zje8ITENOmwCQoTRU5amkGhHjBPrHlWVyZ9OlZVhQF+FUT64zY6KreYyiiR2
V35JapqaVg+cajI0xwJB/W1ObLnuAIkfElNy781SOo7yvt30JEL2GAOLuwS2SLuqo7b317gR2P7m
yMTYICaLBZdhNdziDU9ap2RMyGN0laU22GC1C2EgkLHc8on9kwbQvkPVNRSWDML/THy6tkm1eBc4
v8mRGCFHY57N5dmzTedV6R5mBbhGCnsr8XraRJKmBxbBU77u0yJ9SVv5Psx6ckma5ClsAHTYUd6T
vnOaD8eZ45NlgPchK+ksOEl50ZPUYEzX4Ga56HlIJfGhnzS8D71Ovr2RWyDP88bno9sI9lIBFXWw
UYEcPDaseQBGeRSbjvLEVj3BhZ99sbNaNpbIsqFnpwc6zyW7o376QUmuc47BjsGv0DXYf4mDNwZ2
lWkeM05mglK6iU1XdRV7tVLa3klrcdAiCmiYF6QULM2rceDakYPreBbRrN87AJAffTQgH1UqYYTS
06i+y8zl2PNyQ32UbjzUBwjh3YkSbANdkz69u9IDBriiLZUBPG9gipyGSkiGFZbVzCOu1eFAqiL/
XvWRwaTSupa3LVibHNWoyPpVEKHwXHp1AiMrhweAnwBww5ClV0BPBmBkLf2h9Z2xDRUEb/Q3YoC8
KeVjHfneM+9Le2O33njOVN7ftcKV/CqhPyEfjh77YmNoei6myyUhT0zjtbMH56WsBHJWNTTiwcdq
f+cYFv4yuwnLfWe7co9lm/7Zoeun11YnDw+bK31QiBwbk9oHzsdkmuA18k/qtxglSpbisgmDwnGS
xxjS1R5Yk753smjcLrUMMgizvtzXlVtepCFbPFo3g+53mI1UymnxSzlA2ijhrl+hl9cHQe3s++gi
IDE59ixeQc95iIHtKK4YosQ668YZ8BlkzrTW+MgAkwTMEDW9ZLaZ7yRsX57qCV/y0DREZyZsrFDN
GqNh+QVbbQ40NCVKJvXh203D95YaunNam8VlqP2RqPTAmMRtpWYlkFsw4GhUKjC14fM1RHiXKqVx
ncYSfeoSDVsD5YuJSygrcR+KRKoXQQKoDUYULQAeonnjKAXiKZqqJQPrlc7JrgBqHgbPUN2Bsl4H
Gas3vekHtsPEvCmoGGtlF+WX9DGlRYEAOlKdPb77frMSoNzEK72f43jgWmULkri9V2+oUcn0n6YT
hkBxS6hea3tCLMS4m/lk+lxCZgTGExOxsJ+eIbqJtd215KKM0cqPMXMPy9IsI9IEZAsxp+M1jfAM
OYVLeydfERGGXec3GhBCy3np2EWchdmqK/HI4lk2LH9wGzgIHJ4c9S/XTd2dQlK7YIFnBodvv+3b
FCM9bjvzrhTj9FlgTnuX8N0Dt2nt/chTxBsWtraXttXTkDD/sAOYsQMR3qvLr6hvy4cZhsl3qqlp
n7nd/NWwrWdPrPODEVlFtAG6YY27kfFNPSVYAjwgd8qL6NIuvfFxUjXmG1cRltqilM7WISLYvm4L
xBy6ytCj96ExZuE6p55LXgokP+OAl7nLcVYnQ7cSWTQ/pZ1l5GiVhIuIfDlWDKLFYimEcT9a4gZ+
dhltOtoaNzK3lYhhmc4dCwhU0nI3+eUc6D5rIdb3d1Ll8gxMJiLZPY4jEi+Ifi4LPK+Dqo6dk8LC
7gDl0/o25hf8JsMz7Y7RuS19h2IIy6h+dA3/nKDJeCToAhzJq7tdbZ4iTfPmbc3sBeVOVm66z6Ji
yIMwyaefukXB5qrPJv8zrrWFB52S/lxVLjyS1VRDL98BnQUypOcTsSgrsdn6E52Sj8p1lcFAnrrx
KXQwJ66drot8TrCySO7cUm+IQsZDeUgxGB2GyrCGi2TDsjdth6dAafkJ01yyH0JWLysaY+iyLXlN
siNvH92xa7dKNvpH3c6PFoaZBbMYdjedEpBiFWmLl6tNmwUsXfTEDzBdOB9UYelynVWj89p0ducH
llOlbHGQ3vAf1M5Mcy6IJJZOZdoGxFAgVQtff7ZFO9xaP0KJLPupvbEo9E81zzDGUMN6FKq2XkmZ
5yde2NZR2RrNKmkT0ZwyXWZfWtSGOKyBPDs7U0J8NFoeWIyOEp+iLHFcduYSsQQzTsAlodxWI2Pg
O9jpEFKgOjc0Q+0saZm/2IpO3bbSvHx6MClpfrZj8uf8dN07ZSJ3oh05SfM5HfFfbF3daSvUT3TG
TQO18U5zO7rjgW35r5X0871A8iYRYem1ubc1sbDMtZDInBMzr3HbbTJ7reCwEyTAf5bfKZKELTsX
Jd8xfeh3TYouAL2wo8+v6aeCGcKnxEt3JUsikNZ3nTEvdGiQRQGEHnVTs6V9YBC3UVw7xcaqiyJe
NHq+cIykgSyDPpbf8a+uj2FMWnXvVIjQXOk79a1kjPgMSieC4+eBbd2X09Ix1eC2pNNAqyl4ivWY
F7YzC01B6cqHiwtKew6oV3CwZtmi+sIfb2eBW/TlEXebWQXWUP9kvyz3Ff61nx0EbWBFI32dlOUS
2Qg4meZNVdYpk0OqR+92GDVnEh/9Kz0+c7GizCW99KJ89gZqPRCyEu7RgElArzcq3aR5n3bgUosv
3TKAYgzkReaiLA9NvTjL+s7p6K3B27SE9ttVCLGedwoKIHkKD3MH4d36Hu1i5pEPWw2ljFAqN+y6
Jo3dZU23inRfCNCuxkKayFk5gpJNo43GfvLEZit67kYn/u4kawlwmrCKNmVXEt1P5oKv3hjl9XoG
d1HzVu6gBnBrcwK89Q4xGS5RmOq68AW1vkCHi5Etwe2vqlqyoYOutJmneMdAus/0bAmipGmxRTCq
yB/NuO2zEYSEuaxOhhwZVFdYhtYJDlO6x+k+s+hoCTj3eZ8AXzeOkWeG+zaS1bnE9vnE8hD3bhvm
a2B/I1ljR8pANXr9GeFZS4I5js2f43J1ZvNOQGV+x6Pw3WMNhSCuR1BDjR6kwWLmXlmTZ2Pjw7q9
C/HX6DT3xBCh4MVO8PMa/U1YnEavi9MUNNho2vd4QrzDDIW12ZgNIet91FZS0HrS0VfY+UX2WUX2
iOOBF8R6sEp2H/h8tB7Lml/tG46LoOUMOIwJUdrST4aXsB1ZCA5AyxHemTJhaJ/Yc+D7rek5nvaa
yr2RZEBBWyrh/+HJy2SB1kxbL7CkLP90BUOCkWS09NJ1o303lkZ0mMAHP3v0mgfeQLqBCdqsMFdl
pQI1MPhnS8dmvEZg8e+ztGhuunCgL4UQy6vVQDvkDycBXr1SVVqINQPa9O55Y/UTvzRPB/6EmsSP
bjIYJkVcfvioBk+2oECvY013n49CPXuml1UbFA0MEmbkTJyztB/TR6v5O7bW1JU3xRBDc9O7L4v8
dbJf+Ngg0Cht41XrVksR3eBBkZrMol+nCvHU0I14L2XO4ltTbvRmgGFmcTCQxZed5BfYUnnS0m+m
iQ/fU91ROEMEKifHSzl5ywjWtxHzQD4bDcOBGYIxRBVc4SdX5yl0GgJX/YRza8Yc4u/iwsqJAg7p
R4oL/SI9PTXX01gXGz4z+rtoPaDfoRUxmNCkCEOcWuULwPL+xMPKOj0ZtKCvTHEUMA5WHvz3VWx3
w4a3KnXpLmRIOjn9kEYfJzUxmcxT9EzTgP8V+RWPdgNk+ROoeXpuKpuVn5tAx1n1qhGfZpeAMtSR
aRItQy2fuDfiE6w22MhPTTiBO6WgfAOMVVKaMxf3peukRtBruHNAwPJiqcr0MDSqCWxekh++1OGT
e539A7by/DnKOperik7bhQ2bflYG/e4Um0e3LhfZmxHm+o0sHPc/lzPk2ldVOOwMgjCAD1yDPAsP
FgFxIiVY+ZOmOdF5Ym/GfKD1Udf2g8dQUBQ3vJRwLCgQmB58V3ikYMj+gfH13dMUYYEJaCeULyo2
4/04M1xQliznRR9X8Re+SobFMvQ2tY3qgLNsjqABFfGJrWB377DZOkh+AU++3csb74v6HJn8M5iM
WPH2GWlCYnGM9/PUP+HUOlIyxI1KyHc35W07+lZ0q8v5Hxj2/5EO5f59o0Du2AQNhc9A9xEf/5a7
9Uw+WBNTzy5rRPpQDajbFsz99VwI95jMEv/+wvL8087lv4ngonb+dY0BLMs0TWrGQbGB2GNl8+c1
hkF31By62bgb4kiemTLae1IsSEA62ZxqbjoQTpNzUMNQf//vf/MSqfpLrJm/mbWJoCrEgmdu/U0d
rWx7cGUO4RSIssmo47JoHUtHOzWTmc0rVsnF178jfDDl2un/WMWxCDN4W/N9+58D8pePgpre5m9a
+x9/7A+t3frN5VbGwstC6/4zWg25fVm5kU+3LTR9zyVS/k+5naSevyj9QHLhCTGo/edGzjB/W/Zn
Nj+RAd03zX8Jio/s/5cvlGfhYiWPz1eKb5THvLR81f+U4bMxpVaanvn7UmbannohEygh/md0FcDj
2KVZNI1PmZcyGvfSDqJ4Hp9zjo4bxvfXiPB9UCW+9+XgWD8akK7eVW89CPILK2KDd3S24QHPw5Q8
VanzOlE4kuMmfLEML6e6UzuAqq+2rEgi3GTqUcNBRjKWn7GxWXwFcI9gDKaeR0Up27qVAo+0mrNi
Ny5OUM1N8CZVKPhP/kTRxRi24WoepurSpBZPPaTskQBSmO4S4Ox7rfAte+8r7KVoKPEbHfHfGWwy
dx21Zk3fYJL+SIz0M4tddIRYXsjyXFPQanhvwJuMCMODl7drZUKpAdfyC3kVTFQUndgYcY6UHbdm
Njr044b5I+cOK5AMOjpVzkxmgna9xB6DuaF6yQL1EQAboz6oZcz7nfy6GWiXq0gfrFhHUG/s1+46
dX0ugzqNYjEWJBQDZr/VgC38MRut5sA9IgzMeEI99ElVDblx5yn9R04VDJ9VWPS7yVjKPZd3L3U/
yQtYdvnQS1o/4DeFdE+TZ6fXzcU/TZ9zLAPem2i9meN784oLJ55mdp28XDPyw9wMin2IuwvZLdXo
CJS17jJhkyxrBif6iQ0CwG4bbavY6c4Ns0jCU7GliWoAX0JCEo/6ydaLk5Fm8Ymqb+Z2A5R8ZuBO
zPOIls4CVFffoXPnRGfS2lFnB5L7ribaCUW9tQNR8pkt+H2zKAwgv24LJKgsnhsiSxtGZ6nDSuJW
tFOZWGTgviSE6sy0h0G3Xy7Heoq7zLfoOw2sSqQZTmPcpaepZgiX6WAzUIzGZqS+lRpALV/7flS8
xLU/3zsh1Fml53jAm5TzVFj3nVUwVnjYXd8nYbEeqd15a5ccBS5ODfgnFDLf9VXnfUWscTZJkT40
sjQ4GoF2lFGeigsr+exKngR4Qdu0AE0x/c+E25k3T/GoEaCCZ7/DVm799MJe2wkkqvsQ8Dtu6Sj6
Ccw6R2DHbP5jYkJggqLIGva9/sCyXRKNEp8WBRV7fYRhqkq7hnmTN/eSr9MqsY2dzCEjCUJd+gBO
ye20/uRFtbd2xqbeDDHjDIFKJEGP6Xk6V639xnQxbvjkXiV5cYI7IBzKyGe+J63DSgUWhE8xJ0vB
fWNxv2L+3QHv+op0MWydWvtJjIbmcUyIuypuj1RirWNBi6IhTioPX8OIkgvA9GVP26/AFlj6V71n
nzx11E2Mc0fmkMVjVpvfpRX5l4wF/Fpgq9t6o+btS9F+2J5SR8qX+0A5Wfw1UTtLWs1TD3lpTCBp
bZp7K5CKeZ55u75XP3kV20Fhm1+9Jf0tw75D5jfy8GwkyclKtfc5zqMd1xlxZUy/sLGciC+AjCgK
bVqbLkBwqP5hUHfMbz2kU9BuHf79XlL0aBwzOio2LXk7nrttWan2MrPxXTMnTTvXqrj7jgY+lXC8
sApPDoCeizNdOw6bK4zASPbiIbOhB7HN2lColtBHtUSJBh0mV0gG50h+nMZgQyMWoEKJnL1I11nP
BT5b5GxrEbZznHwrMzcWsRvZO10E8HqgTSqQiyw+/q6QO+NkvLq/6+b9IqET6G5f6tZCkMA3lP5i
R4Gb+XfdnYxi/DyIBt6AAWeFekYScJjB2yCCAbfpwfWsRha5LFeaej12bHukdO1Vn5hh4PtnMNOY
mIYhO4jce+wH/60uMrWvsJZoSRyei674jGb/Vml3Yzw4e8PfVUYfBc3ksMxVutU+dHl4qMfoF+/Z
dQlRw+/1e6NNtDVAgwdd51gpsbTknKXbzDbG9aBXn+b8kMNJUB5/RojqLdcMdum6fqgcXg5DQ98L
f6J8riBRERsJoSJUWrhyNHUPmY9OMK8/9Ljk99KeJQul+IlyXgqlNB72LCMTMkgz2tf0oeKc4sH0
Jw1ERk5V8QRpdBM3oMdJfO/GArT2bBI8z93oOFGasatL+i4tNg5B6pvlOhRFefEIpL0lvbjTWnte
MwX3O3+oihsRvG1m4cIXpssGrfA5S9vevpez/ehOQ3yEBAnHIvQOVUS/LnfI61jyMdvuTdVzhw9j
SPeaQ/6kJbkNO44GLmdWewVxfWTN5EmsTyiNX+TtaZzOxM02rB8ma8SgZ+O7tZT3pM29+B5a940z
xbuROPv178Hz/zN4Gox+/6sGfN8V6cfnn4fOP/7IPyZO1/mNGxEzp4FjUzi/I3v/gPkyO6In+vC6
EDEdfWl7+mPiNNGA6THlIujZwnYMZtF/+jv935hPhc4f5PuF3c/4VyRgpOa/DJxLLQQDr2EaPsI1
/1l/GzijiELdpDCKXdf1at+IrGPIxvi3bKXuTamp01Dr01qS0zoVPZEurqDRoRm99EQ5EshHlI0X
r5jsL7/RMYJZrrZ1Eb1R6dLxpGUFz5VFeTwKSEiMDzE2GucP7Br3ZZqsTV52K2fMTzADyYv7HvXu
WEQQ6RLELE479pIvRml9hVYHYs3Oj5mq6h19ngIdQM/GbV11bjAZAO6T1BXP0k6g5dRZLI/IF8UF
R8p8x90z/0mRNql/z3E+p4QlC3/fcAeHRtsalsYQXDlW9GLovR00Ws9+lPYcovBh9oOmeBp6Zv7W
kPhqzgpNVl+9bpKRrMvo1cqxRmnF8rJwKKGoi/yBngJipBOnaSqmnCWEN951mudR12CTt1MKeWeB
W3b3sRzHvZY5xamMhu5x4lSgyacAWRQDK32emDVJNZO+Ss3oqmKLUyXsyx11CfeIZv0zpN/ou5ZJ
85Y4g/WQI2lj0MOymXi1GYwNfe/5Yv/CGWiAEJxesAzV9zEx55uJPRZLF5V+bR4mgPa84mVAzEfm
0skEqgjJNWJEpvHoYyA/cI1jj2V+nQhBKGhw+5vlp/mVMu7vkH76AEs877HOqd8c8i/INVP105np
MUgnb167/vgaG9U+i+1jR/XGJqmEeOg5pTaJl2b3gK78N8sZq7OglfpkEnmBfz5LjEQ6dcsZdi6I
erF9nQpTuwIyYNWFScL+WdldvSMaQmhnZOORxZA+ct0K4YPS3O6yVw9a4WHSKTTjUk/ud9ichPFm
pvzNOl1nNwSX8ihtpTCUFhyIRtpVmzmaoigg8lMsVs0cv6FTZlc/ntXO1+bp2ZiluAMa2XC6loQh
1Txd5YRvLNJ7nQQM9KeIdX5guj09poJfEBsww7/kA5nuVczQsdfjkMbToie0pDm/gIqCeWV63tRG
7W+dFskXr+J4aFlHXB3ffSa2W6+5vrTbJMGrp6bGffLZH2PdyElLYBRcOSoxE1y7HJAh5V+btGE5
XTPWbOdC04Jx6iA6TCAenK7UN9acsEUnKn7JnXLaGzW1gDLV80MOcpg44S7HFYUgO1eX0AuttZ16
gd06K3caq90c9fQH1qy+w2BCAwkGo/y0Y0ZXUCMnNsTEPTs9e0BzShBuFB3FLNkZralMFIsUCBnz
BPDVe88oNujZ5hf9g0jq4dEpqnfLyT+LOdrYszrTA/Yzpdj3foZnuq+0xtoiZoe8fJafmDeeGQxi
oLFsfhyU9eiJBG1GNu26Jnl9i3wa08wBTBmyXs2NMv8y7fLaJMzMrPTxzXaO9lgyH77G5YDXgLa1
XZM5OkodWlg5FeKE1aE9ktWyNhgY3e/Wy8KtUwKIRoLhYaJBeBOy5bxh8edTHYkjWpM/Uj/c1wBs
SrKos1yq2ycW/oh+42uUMwgwaMcbrthqS+ytPI7wdwI369Wupxj6QHXBSKOCgoimaCXfgdGe771o
trfsp+FHmYTapnAa11HDb3vK7DiwZ4KdQluwrn5N+CSESVVNnbUzOnBGK7Dyn1Uqlp66rJxgkpDZ
zPWWzGlWhq8slOegL7Pq3PpDf9TrsTgWcvD2wFSKz8EuWuJz1Hd6fqY/8pCTVMHUE4LCqh1iOsZg
PjtJ6RpBC3hjkxVjx62Zlq8rwSTP28SJZ27THjEJ42j0Nfr5sznU9abCxajRdYV7Te1RQd01B4aN
F1F76NRwnUhZUkARxH1SLFIbwGzKGNK3JkKcyqVH28REKURZpt46bKQPlYOUBcJFjK3Y73j+Wxby
CqjDri1s/V7BL890xNSYuy1Ba0zXvnvuUrsLGB0XG6p1SmfahLFs3Yq5H092ydlNaMZqb7HmJIvu
/ZWx594PZSTWAGwvcZE8pJQbQqiDkjMv4T7s+da2LYd5R/FNtTNt3uC4f2f2IaS2unzuqcNtH+Le
fU4JtIFY4AcEeOWntwr0MFjUMAfc2Ts41tEOw0CHNa9k2OxaXS2unnD6AdvEftQd2Z/46YH0eijn
0XuLUXWUyRO70quRRxuQZgPidsRVs9V0YEihRp5dxecGzO4Rx6F1oNehxoFiWq927pvvykyHdVJ7
2YFTYg/ItrpFNPDsphrvaSD6HmpxHhfVG6iT6FSz/rlz86k6lRo3f5wx2opv7nIMUkwis7zAlouk
5s7Kf1ROghdo7DaO3r11Rn8N0/zUDaB4RR5dyiY2OGZlQVYeYya1AUkJjCTlpUrDHLAEbsqDqc5Y
jpYLGlfbGGiqlZq7UqY74pFoI3VKMl6jiGkt5vbQAJMaR686G8iBuILSb6Em394SkuZTlMpobmY0
1OcKOMVoDr8SdwoJV+M1HkLbONlt4xW7fkhah6jm0H7MHEPfKXQLYpm6vBdgivrV5JB3W7sApJ7y
glQ5pDhTg/udUQ80yKR+mHqQsFOFDw6uYLy2Ae/aREYm/YVXT7quq3DcqbqgL8qYhp1uoEbNS563
G5o0mETs3DS6G+ELTHNOxyFpu7UZq6cK/WxUtYcX1aY6nqqRF0A8M9kcRpRIr75lNY5PVQ4KACEJ
eLQlOb1NXN0POP5eRrrLy4K+wqKIrwgYW3zB+GTN7k20zXMz57ANisx8ELZfbgu/mLYce/6lCHMC
ZrgJ3LfUVuA7GCsiO/uZxtbOLKP9rJJTm7h7YPMdNgAy1uvZykGQL7jfTUQAXCIOl6ldboVe7wl/
3kN+ecz0+CcHGj7x/ksB1iMUaF+J8NRbljp+AGWf7+40C85dprAwhgjlsItz5ulSKWvp2s0t8h5W
fQ3teCvRqmOINq5a+7HVXSPdYndW1YSDNBTIdWrr5hOvX+88/d5s0i4lJ4zwBbxupk4rvupllpy0
UWlrKmvMPYFG/YEpbrrBSpy3Vo+zWnhLn276RWCF82a0OkI2ehvUsrs4qaJBIAYBpGybFDV5k7VO
l+IxNJKFYCXGvUn3VVA22keKaryfainPSEYc0exnN3iSuKYrZ1yXc2yf1RCKe8bv+ojFydhTNkVq
MkxPuTbW77RKuS99yPvP6HGgrbJJA1iEy/KxQZG480MB1iwtPzxZ8P/rN9Vm4PSBP+Ic8IZNgarb
txrPIjAie50Y0MCnvN45bZbSzyy0VzvJvbciH7RNAqnpubCade4sLk97wqEm+ei+2fzi/mE39DDg
ewvoUCBB4OMCODp1JvdtjU+s6509QCyHDzWPzmGkVfeuxyEF1mhttkX3yuqpPtvkO97LpMTCZteL
xYH1FC8ehEMcf2orwrrhu8PaNZ7yMBgiX9tiqIJfbFv2ruq78LmY4voBooq3rmOwQmZTmVcniSoy
GnJ4LA1ZvDZRowIT4hfxCXt6JOCrswRp5RewS3dXJ07xy0ft241DZQVezQSNNcg6oyWwYGA5nX/Q
7xSf7X5O7ZXApHYq9Sm5RRFTHgJ8nbwoQCS8aiv8ol0YXYXU9V1k5vpVuHjouz6C0RordQhZqu51
t4h+FNYs4C64xnrQhvzLqjv/qnmVTRREEBZtWWE7ZqfewX1EjxmejBubFOM4eN4CohJJz0ePTszi
OtnwxKSBUsvhWsQPKrW2c2PHDGxKvXRkoNDbx+HqmthenKEurpZq1YmljLuBx/49FNgel1YlZ1vI
idFtNMNtNjveuxgbPFNFbj4Os6M2YyvqU6RSh/nTYafe2vYPrqz1ZmZv/F21YP5opMKDN9E94URJ
cqXELNnbFsCi1irqY0lhDaeG5W/HokbcNZL7TBvIIEVM5h6kF/x4AnXV8NOrMTd3uR4bCwtEASRq
SQjN8JRWFV0yrSvMsz002S/+ofUm9Cv3RN+d1axkS201kfVfdjj/bEHkrzwdJ1lFmSZ2Q+LX/C1Q
G3qqmYCJhKcQWmifZUyOwr8YtJuuaVNga5nZySvwh2k9zPK99HoqxqLUvVQLItae022BCSwoDTWc
lks+kPTiux6qne3l/qkkIURnCvTVipX2SxwbGn2AUPvWMc8cMAH8IkSii3XXNQLIYJkRUzeK54gB
npWy3r9Eug3WptZvKQ3zFHJt4azvRFZnxzDvH9LBWbvRwMtlYiTX9S0gtuk6hXO9RS1i5zSNd6ml
Pvl6Uk2CDHHtwCVgfmzUum5RNAafXVczCxM3ir4E+U2+qDLM2X6nBOJlzLZVv0a8Pzd060CArL1k
i1mcvHmlQem1qJQimoy/zEqah76SyRrfdL3vlT9vNDvN95wU6VH02B3qPvfuOjKdO4V9lBVvdOld
k5JUptHomIwdWAmJSXIdZ6CTCRWGCv3IN14Ng+Fp8SrWkoSOLGUUlBXZRQbffVyeM48UWBf1wxll
i2ZZTxv7m7LT4j0PDR4ek0K9n01YzNoqjF00Ij2uRz3Q+/Qhb4T2OFp23uaHxuohK5H4QtLiF38t
86y4pm0qfnACNqS0wRnMMSjhIs1qbzUnYsR9qvlvnTmHL4borE3dc29ZtcnE/TQvxulQNJnYOazg
dxCWHMzcAIan1ukO9lTaj+ZoWbuuN5qfTgNcHgtal7yXWNcw+FDtoaqKh7Hn5clH45/CWpQHojze
3jcgyfaOlQVJqSDOG431xl16QE9K8ltbD9Y1cw3i6iwtoTsRGjP5nT6wyuZ/BvjNS2QM35VMDVoB
5+QY66w06VxMjt0YYg80zZ69gb34JTGa3HHakpGyqAVh+shJmWtnLaVrM4MvtXUZLFa+qEmgAGqB
VsKSmjE95bGl88C9uXLUiA8YAIIgiVz0XN9gNMZ9j1YZVH2U7CGqZUe/MZsAoeKJttyPphou85Ro
q/Q/qDuTHbmRNFu/SuPumTAaSSO5uHfhs3uMikkKbYiIkMR5MJLG6envR1UWkJmVldXVQDfQi1oU
UqGQu9PJ385/znfG9Fueu9nZ1+1NObS45nCnkCmdPnccfiBzbEhQzzcmnL9StWld0ixJPv236J7/
m4rl/7ZK/8vY+u1bTLf8ak74/lMkPX/7v//n1xU8P/frLt37RUoc8KuICMEWmfLvQFwS7Y5DX3gI
LB0ziHAInvx9l44cKj0OUCG+eTRRF9Hz79Km9wuuMVaZCqmU1Lv0/x1pk6jM76TNdZeOqOn4/H0B
eXgeA7/fpec5k5TD8fkcxHFx27htTWiqG7pbvOzccCMx7RqbZoWZr+7OHvMFKAwoT2+y4j3hz2c1
dNahcGa9o6SsSzd9Z9c7L07FQdFBsmVlx4mLk/m0SevYu6e/Pbvq2UeCZnfJ97GibBT1I6hjxc0c
FwDWNNbVaCKDgHR1wleKz9DuWHHO3lPbUhphsFXfsQYIst04m+ipGUFJH0NvJqPW+YvGVFXxF5Nb
SMIGJ1IzH6sliRDeUgqbjqJcO6yHyK1fLU766U6vW1hvsatnzKLBayfjS1cQ97Fk8GB860gtO2Qh
RwEh4aCse5riU1GoY1qy8nJi9zSve19jnIdm6q+TpoVB6gccMrhF0m9ysQr8YUsFvguAVr5xLLNs
aeaGmpGUVxxdh6uora/9FLYkUEJWz118gPImt5mhxAOPKQHRdVOdDN54qQYav6w4s9bwo3dLtzwm
r9AuDioV4SvwU32V/Vx5T0E936ZpW94mPH2u08J4tFhrFkXldd3kakdC1zpqIvRv3Nn9m4zFHYel
4Jh5iocQLMhtCUc4t7LH2C1pBKFZadoY/IA8UJLtmLvDp6H1KIgHyrQbG1M8BhqxgIakzyZPLpPN
f4Ok05ykUyOIu+V7P0SfDNUCigGJspXoR+mg9MZQ6Igq40vMEr9+9VO7OA55yN5XUqq5ZNQa1WVK
rEoNyJvBEm7rEGERMwRpZDmwfYuoLCindD8u7WG08pO7wJnC4HQGbbXDMMAhF1EPBx0/n/f3Gb3t
eeq9j+Nzj/50tJIoWyBgEcKBqCY2GvJLhJ50V6dlfajXpCTzGvHiob8PEml2Yd8419kMWjR1iIBX
/TGJPHtnDbFgntSC8R7vbSPn5RbPCCvmm0Sbi2PlLgjMsRQYjasfPKKWXaiyA2edHYgeMg3ZU77S
XowJIcM3DdotE5C1sPSazSdLesOe+XR6NuninSWx+Bpv+H5eJyySLvGprOPksSrbB3zfoNexOsSk
LA8T8e9tP/L1CjE3RPbw9ecaEC5Ys51pWz4GPeoJCSf+0hVNSVT2Ad0b8ifkDLPLymR+FAU+BDR5
oC29lcV3k7qJxvlFB4geS6aq+5Ed4bYfoFsyMgfdyPuAaknVTlwg+mbwpnozAYMf22trEQ/kap7G
eGyv+NQyAZKrxjKZV48C8zD3kRDPud+AiaAVbN9DUWVrseHyb28RCq5zbyTAOsw3tZ7PUyee4VOA
YUMt2pVSPsRtdtbCAtTYiGdJ9GwLWR8YKJae7lAlFatr4m1HHVGj5dlvLiX1K6Zu2Sb+dZncNXlx
oYoPgddmgqDTs++1eh1awZ9PYaK5BtkrVNUhLgzP8zQloAghY2YHLCKWGKTQQ4+vOjap7oASyMZY
en42Hvw0mlYpA7IimWWnBfTpJpTFVhyyqYTWnIIXP+zAFlEeHJ7sMYyyNTIUN59pJSGUhzm96bdZ
5eT9qY7xjlzLQsREubqUOd4QuzZ7ypJm+oR1CoFf0EcN2zRJ5hitZdLxvlyYxDcT0WyxbdGPc25p
WX0kY+vccdqWN0E8eZSg+fahCJ1ujyHJfug4MUDNW3B7HjFGQS6zcFbQrZ2Bf0YMjd6xQ5M2CsIC
9jFY78RCvisM2FZ6kcjlDIP4shQFsaGFbj6eE3OWhexdMHBct04vH/Je875U+hNQoWVLPeaIHZy6
KqTnU4cse8j8/rkfrtXC0SmOxA0ex+bGpVsL446Ftk474oYIIxqgj9XajuaVCBpjlq8b5BwXPDFT
7NeGFqrDnI0fdkVBUcCcFISzJFSux9u6536ruvY99d9BaISXGfGdZ8csdwNi77VTa3cD+fnoJ/Un
cqcPWe2HO9BdEDlG2BSlr7Zx2QqSIi6NwWpSp6KOSsy/1EIHiOe5yWkD4xBmcUVCH2s+oJNb62cU
A4ZuHGy+4z0X2fNiN+kPzx2TM8WFAyezernKcrS+aaz7F7rF5l1m6/lHWNu4eE0M/A/j+08Pzk8/
zn/LXPdPi2d/2zv7//4XTX/ICO5f7rMf3rK3rk/eqt/Ofr/+1K8r7QAyEVZJ92cEee2T/RVZpMJf
3IA9h/LoH1B/c1f+faMtfrHtFWT0J3Of8wsRaQLPnuMIGEPev9VPy7T4u7nPx6Npr7bcAEMuhlGi
17+f++AYTxaZxu4gSlUWRyuauuhGFh53vC6s1RkaKB5Cxq9OHcMsw/ShFaWGO2g45W3Xhly3Jc6S
KznkzmHkQX6tdEhlCDp3y5eedgG+yuxEcIaYUprrsKTC0M8c2rC1P/ZH6MrsYYcBujX5H2vcmtSN
bkyLnYUYSKXOTI8N0A9Tls1RMea8UpY2jUiDE+RJOnnQ//K65CEsqii+noJBvTtamz2QQ4gFQxgA
drCXGw2jdQ+aMQcfl9f7Rpv8YZCN/hiksODGTkX5zONNvZd5X32RpI5aNuWGWQGoQZIcYreL2WT7
WMewUeoN1Y48TZrRx4flD+X0iBHHHJnbWnktCJy+QpAAjQFA+hV77UTpGlDDW/x6rdiVlZ0B7656
IJ25lPQgFL3lLDtFTriAgAPfejO0NhiFuHKaO47dmuOkTSNtU9tO/CZgZJC1qGcr34+5XqHqLrw8
5drea0BpTYWZPbFJtISc8rrOKRhAy8EseE5BYFwFw9zhMSRhRA0vdQ/AW1AVjelZOcm+73gBnFaZ
O6a2PGgS3O9Ob4ilZW5zz3bW/ZbY9vQcGk+QUEE9qaAB6erSALGmoaihxzwqxual7ComOKq+FQEp
g0WwmjXJC7EY7yUxMeYs3eTACJeQUh+9uPWDreJMQ5Lqppdh7Iv7qtHJp9wmX3OI5j48JWnfUasz
xV8ynGXEVaXHehdipqGhPiDC+dnQI9BelD3a1paUBQwsIjSzPFnukL153cBjIYSh4lzZJErIzeDC
4DOzBwBF4MPA3K79fxFuKaBa2JnAPiEZROBAfNbXIULFi1FkGbemGKfXTPXBNY1E8K3IyEdmPxAs
aLhgeWgghKmRFWObVs5xLNcqwWhk47LvdUkDkait4ehmVPShxst1fxc85xmnmzBH6uL035U0xg7l
ck/xl1M8TDFNvRCMnVOqlXNvgyq8mgaAUseiqxiwbUbJV8DlYK18K7JQg1r1AUDT3+FmDqwD29f+
kkazgn49OSkGkwpWYVWr1zDO8EfiFgR+WRva/3aIw9CcnEZymNASXJQz9bCk2sQcRC1Mvx0Xy0HD
G/v4Abo8DHWdZOEXAX/3cwYW910NgUsL+0BhhbD4y7NxBqtbB5/NAH11WzvoyXNvu2++RxHAXezG
tWJDOXLoC6fC3OkKGzTJbONe2sFtEUgKVPsDArX54tVJ955kMRuFAoW4OLbcB7KDzBfjnPJZzt4m
VoLfHBGDNpBlUTevdBPTd1mnPhCExAkxV04qbECQeIZRPc2dDl9bio4yL5Nr72QjW5ApAaER+iYD
vuaoXDOGRBHmkMq5YN9q10qBn2Ovw9yXFN/Y+NmHLIyd64pvOBsUEIcfrVL1re833nES4L6SEGYq
nhTH/WiBrd7R9qXcKyDOaQuiph6+Wgt9TFmFFdcWdXgdENF75ooCEFqCeImqdqkPPEzm19zMxa2O
AwF0SzBoYOGJ5dGz+wrgkj98ZC2xZcxvejuj/u+rZCLDYjLbIF739qCu40Itj9xsvPIJWEL0FmRW
cAtdvOIXoB5dGDbzLym1MrApepz3G1GU1mcOieY2H0KBAwN3B0g6uqOx1urC3/D9pppR1t8wo4dr
XVMq4d/a3B1f3MnKOBeL0rEO2KboVHSrlq8ZFTSi2/YVyeCb1p/7kx/V3lNAx6iNwAC1vETe3rmc
Nqp9l9WYrr30a9zb5ckpUuRt2Zi3YjLNoxkHujw7Al+wLK1Hl9tZSf5JE+xFpyBFDk9e7s28DG+E
Tx11SienuscPAnlhIPCD36X3zn6hly994eNosaHG7+3GqatTG/Vu+ijckv7fgfPkC7umRWxMEhQH
gAfOOZ8kdnWQu6iPchT2N7bY/h0hZOcrTLvyXs6rw5Y68ZcinoL0vkywEPGPR9HbON5Yfc2oQj0R
Fp+crRkb6gzIAW+p0qmDPT0jeCMwEI/+U2yZ4cfkpxK6QllqmPyuT4Vs17UJI3hstgT96n6bTpGH
Q6T2yz20d+J73jCT6PeW6N60Ay5Ojh/xsAt6n7uWa9nwO5RyeXDnEcBwJHFZhsXWDaPxMeegfyUt
KU+xGZKnulxLRGyIUw0QjUuU9+YVvtoYbeKythLC65A4N+v30MJ271dsfVrnjkPTgyn8aQdk73Md
k16PYubdJCP7VVNdf5VCPaZArHO/TUkmznESBphyiZr2Q0Nz+Zx+zdHcNpH2v9N7/d7HLjZyQFi7
PopLrAgYFrINMQ/3c58jt+/rhjsxPvguJNBdu6NzhtrIpp+FZ9acRzdis0v4una3jqXoluVgyikg
Jo+8HCbC8xMnxOBbXWvECmn39kvSBNayaUSfeqcxL4Lpluxn9S2CXEKslCJTiF4FwQqE/JqelwwD
USjWfHxm7eWgU64VjAdk14IdLVnsWQua4s91j9k/yTL/IfdQbbwhgiUPB/aD1Kr8EaRR/1oETreb
lrl7t7SDKX1RLi5fQcB943qRuvXx1WwgV1WgiCkmAt3XwmWko622rGc3SQt6tMchrbcB+eBqJ3U6
LLd6JZLsSy4Y6tobIqUcpHrHBiAXT+cmtZxbba/x5mJyUMMoa3WIVbJhOIeL031H2cFGpAqIkm7Q
UBxb0lay5Y6ACuFMIrhbfpacLlUb3oxLE16Ln0Wo8PKS97LpaEdtWwukLBnx90b2CExU3cxfhVw7
VWcQCADEAA1wtyAQ7h+R0ulh7QWZ3HNM2A8b+1rXmvMu39htIJ2NyR1/BWCrS16CDSGZyHKjVrJ7
YYiC28LxW350em6/mLpPLkXpBcmukgFgXx5K023chpjlCtyYFoHmtX+2c+zszvxspUV37XeNspJl
Z+d9q64R4EuQyXZAHJ+b3WEc2/Xpx3qm4LH6s85xLcn1Cr6m2wkrK1ByEONjuNQvDlFW+HVBWp8D
y8cSMGqTnQDM6k9098U0egCCmffmZ28v7qA5vWvtKL6Zsq7FzYmC9oY5RH+STakeoq71IQhJ1eN/
GRaMHPDhuE4Gjyxn7hRGoB5mu3ZtGR5+Fg5bDKafvJgqYhPx9myjnw3F3Ma9l3xkKuaWkcwNfsYq
B8uYuLQcx15Wf5dtKVNO5msjckxPF+3IP5uSo7U0mUEhepiHCYILbfSd2NTkLBa+NiEmmpxWebq0
dcZijRs0Bc3R2tWc/6xtphqrvzP1HF1VZqC0yi7a77Rh2w9jPiTdzl4LoAlrgXHUInyRaz20HMLw
u3EGdB4rGK8Cz7NeZxHB7Y3Whumxzswr91/GBVf30kXd6bIjkXIS9GhtwVlU8fy5TmfM/GbtscZ8
3PQ7Fyd6yU1AZPmRwz8uLYqPSCTFhCIKJmWB60fgugo2HZne9oTbhIbtn2Xb9ZA457STqjhowdqT
hRRPt42bJHo+Rlik0svSU+btGXfWZ+Ould9phqqwI1MV/hhwlHx0LWvptSalkvuOs9SLm82g9yBB
oIscBSgVCz5jm7gXmE8AbBwra7KDt4zj4NDUVofWW912/mnOZLF23CwFeKOkot0FqXnguLPDYl0H
XzCJ2MGDBwUSUyZXGh1VOcosZVSRefMq1Ko5RoMce9qm+6nw97F0awunv6vODt8nLswFosQ1VPoG
loTjDs4tLCIGVqf2SfEG3hN9Unq55NFMFVTITHBfGHupIMsuYSyvqRuxomOCp7PYU/9h9hJYr3K2
TjkMnFQK2FeYoKpEa32TLDXjUVOntGJJuynd2z5zquji2d2Q3AWjb+AMpVE0nlg09LT2edUnMEHa
AkjFTAKuW0gaB/TsOYduIjh1xlCWZl/wNrTlCTYRJs8mD+bua7lAzg9ptFCr+8+LvgLAryJWzjEQ
zRgcQhTzuY8Qhghad4yZUOTSrS3nFGdRPEvx1WHv0W/bvoXtSeJC7qLUm8NrHt96POWBbS4ua4F2
L72OFhch6fWEaIBzluLtx6Tqy/I8pyoThwT7RUCyyMTZTY1U5W9xPNT9vs+RK+mWGaxdH4/qCPo3
jOjHwhF9aOBUURBSRX50qbSZtdxQdyYwideIenvLUkX3OuWM242e5vKmoFvRh5YF8AoSAfHr5kKp
+RyeIloNSEB7pZ+88JBS3dmd+ooxR4zjNa4emGwonN1QPieKYp93op9D/Sk2/byrVLN27ugI0ono
1ACMNgxfM4a7tSEdD+iu4+XQpNKm83KyY3w5V4mFP2QfRJ4P6BAv3MGXraaDKmitK9APr2GGTQb9
vYnvk7zhmQg+8KvlTNgFYPjcZxSOZNQomF2b5tTMI/ETHF+cITvmk2rAR0RGX0nYHoCPgQX9wG5t
SbioGScjJAaAaH2RzB9z3DoOQWdUWGb7gRYIPZhHY2v0NBWjJUoPR/rgaMvdjG7xYOKOe1MVdvlV
PPGNZWqJ8BlHASj/LQLe8N75AUoneQTyRLVqCSDOHIWLU9q1iHTdMMcvXcyqiDD96ogp4IDczcop
5A3xgCHe8dMCk0U1CGun0VVp/FsTY1tW/iuHiPYDza0fxrKW3TNtGZyYYEdC1LZUdbaAr28LBQQX
zbxb2ysXMmhF7FErtJSec+dR9PyAU9AlUZqV5wxf3fLu2LwdalQtSfmpf+KdD09uGAt+viYcxjKl
Ozeimt7iTsQv85z2n2cAc9nRzmx5GRzbp6ErnMk2BKTl43wAzJvD3hBbv7ZFyZbQayhO0ZlV3IbG
YNVeHLweJNWSiQacPLwKsKbR2pXjG6RlMho17o8+3HVtpPSu91JQJnRviWE3miDijq1Dtf+fVTdX
NOQHZRnQ8ZKeou9fUZErAPF3/2f/czv8yXxv54fvnSn6v3eEr3/yP/sf/3MN6Y6ybZTGfx7//vy9
6/9j853a4+K30uWvP/frzlr8IhAmBStrf41/r13of0vjBFShy5CMDp3nyJDeb9I40v9FOsIHfu57
ofR95zc7a5s4Dvv0wBc+YR7f/bfiOP+IE4ASSXrI8SThH6X+EMbx1yRKwTqbvimT8wjO8AbDP9tR
gQ18tprPv3l77v/GKfiPypT3dVr1HQv8dQP+e3xB4KLKuuTM17TEH/EFzDERNqwQKAM3HeqE8uy7
67iMbzakDXz5466MCIQTrAsFEJF5AElFCsO8LG1UcFKQlBpQAT3s/sW/6x+4lKAyZSACGNNSYiBY
Fd7fpODDjr1PNpfBcZTF157FMKdnYj3+4p3wKF5Cpk9svw4aWlpMu2S+8Voj/kWDPJ/pP7w3ju1J
pl5lO3LN/P/235AHWrHVMsGxSSeUrryLLoQL6qe/fql/8olTUMRDHBANy7+1S+C3v8XnTc6SJQuw
z3onLx8/B64P/IuMEZtx2kH++rf9yWvCv8WrcX3CXlxIv/9tIP5sQbVseAxZsR/oz4buZHjC//Vv
4Uv5x3eOMwjui1AJrmH5B/1dRrTOkGb3jzBDeRk5azuyMg+IwB9//Yv+5M1j16hsNhFUIJCF+/3L
8SwaNX9evhGhpU1pZT/GdKH0AimEgM/tf+GXKcdBAUHFAfjw+182GbemD8v1j6AEBY57FpDJIClp
WlTBWlyd/vrXyfWz+MN3M5TAWR1cNIr71B8+q9QO3AVCHp5Uy8039HOF16MfiYcCT/iZZ+i64dTq
AO9dnpY6Wx3VZfSuCox8YzXphywPWlL55bBzcsUpkD0slhEnKHYsSZd7tCZKaYKkChnksyplbC2D
fsNug9g4yEkImP1i77AWAEAQmfrUQkb7m7Xqn8Ji7D/5nq8ITcKHgnvxP1yPqxVkxEnsH+MqkefM
s4IzC22es4P3bFFr0mQR/cNt/MN3kmbvylyyW3eDf/FW/9n1SjW3ZLnpC8/5YwSyzeDXeVERHovC
uOfJTW8rXEob+K9q+9cf6j/+JrA4PD8kbCh6Nf74mSZNAr0+C1mvEEfaTgaOBsm2r10i5P6vf5Ot
II/88QKibFTYPz1WSAY///tvbqK6tB3Llx3aZDjIfT7QTdhyx7+XQk0PyuJCkLp/ivOJlgjG3nzX
B4KTJwGscU0njpA5muI4E1I1wGI99WjSwXvzBh2cRgUAd+swnz9Sj+leE3aur/KkTMEUIc+iqWFM
PxRBiKmI4XMrSt+cBcuGE9xXdQjbaj5auqNsuNVy74Dut/mDAkOBR51vdBx7iYBV2mzNksy7w8ww
YWpOOkWGYGJv7QfpHaVK2duKiTi7Q8havQiXE/EOAiiD9s85ZqYvKRHQOxxUKcEEJGiLisjVBK8u
gZDRjY2jN8x7Z19ETbnGXWArcD7ZcAxpnlzZNqzMquYtiEVAVYRmOE5mDce1Hrs9JD0gdWHFHCz6
7NESjb4LRBnAIPebcZe3E8Ug0+ho6vmG6KalfQKxnMKfARjuhxo7TGCRcPCRZJ+p1wwZei3Ip1mP
UxMr5K1fJjsa6E4OEuipGmi/4g4QyweWIsSTnEQFV8KlPwOviNjEKJJkSNr8yMsBQjdgw4xow9t1
C6LtZajTSUA0obsrNCEfJknN0oBdjkjOGgCCx0KPw3dGJt6T0amuE/I95GWMfav7KOItc6Q569rt
CDpWwwsZ4kwjAzWdousFLYOxDQqMV4X9cwC67GyMQKbWAKVb5bnXelDlvtYi6jZpHKxchoVH/waD
M6pxRuqLwnJAYyfE+vZQ0Z14J7uBt2+wOu+NbceIlkGtH0YHG49K43mvSSMpQ8P89+okmnxoIPLk
bog1wYNgyPk9gRFdsOXmQdlT686tAt4+hi9j54HbcnCSbAYhsg/tZbwGP/K44sMh6x4LEorgTJKx
oTmrjS4lCeTCdv0fS+zMqJEmJdEiOENjLZIN1irKbeZrmZfUYqle1bu0GGe+QrHYJNFEzHFhwMGi
Kst35XhDiCTFeS10W31uQ45STpyb04AR8UYtVpxuMhAax7q21rJxat12QRXd5maKT56DNLOZKpt/
bzK2DiHSoCd5Rx9gAiXUSpdrWMbsImx9oUx6PflU5aNTjaCj0/kwwRZ7kiKc9mnaQBDl33YarTo+
hJodJCizks93QjRSE9dHQWMiHTaFAQJLzO1lcAL/Chvk99rGYJ+aNmU+1fprGIXKZkB19Nmy2xYq
AwS2XOJB3tiLNx4tsnM7TYUDR9Egv4HnH5I+o0snoVaA10qcz+nS8g1TfgbXxx5PgdNG33Jn8SIO
geOIjCgoTuMjfozwidPmaxX7cR6SozXxFGYUbT/IhPefZAjwlhLQ8th29DJoGduHQKDa4/M7gO+c
b6bFdq8wg2f7aV2ZteDrNkNzicmcXHU1NqFtiQL1vevigN1D9BzPg3ulWzu+s1jBXbVtH76l1NET
QfL6fRED0N20EV64lY17ksKrccr0HGNBdGwgzmFnz4mDq4bhuKQt+ipuhi+UMXeXoBb5lqceGp4x
hm3MUt30eNTMtnHHZQcl1mXf17K49q0i21KCXO+mksHb8ZbbztE0o2T+8ii1392gcqbvU8odVwDO
oOmDpKPW+XTfDfXIadiKvjQx/nqDYvWstLvsp3YGyDH7y00cZl8MLZXHuoP5g+KCQqjuo6J8EOzK
z1TJq/NoHKRtYMkxLvRjYVi71o4av1djBQ8THQOTemAs+wt91c6NW3Q3Y4SeEICX3U6jmLfSne1r
RCd4hiqgZ7Mt/HznFfV4qF2A8Z1N+jGzwQ0sbTugATdVemghEpPdWCSLQ+vHRIa5HH3viSFpORpy
PRuv5qusbJqJbeXtx7G2b3AqErtvr2HZzBvftpot6N+WrFj1Ztc1pem8cqdlqR3HWE7dHnWQtUWS
Lu6e8CoipBlZE9Cv8VAJ4kx+FM9XWeDeuDUgw3DdlrBkm1DHjf4ahcTdfXZgWzVDIfJ0cMjGCtKq
mkb1hU5f0PFFPB98aLEYsUSM3cqt0Ghg1lfNM3PZ9ElWqXOiOjk6QuBGXuFmc5uWmA9sHFqPCa/3
lf6hod3lU9HybqiSOFi3aCgidmHIyfo07og9MY582CtSxiHWlsW/L/Dq05DMzevzkLTdO7sumie0
H7bmHGfzFJB+pBen75Yfs0whBgOH36A+vrHoqs/8dcumD6gDzNyWfnYv1LtuBqZeuzvBzYfYkNC4
IrtoK6nAekXw1BcZoyjahkoREs56lxcxnKmUsI2tAr7GOCHbJZruiOK/DDIVO2Jbzw5mCpqCpL5X
lB4fOkrqc3C3duWz3h65cvMO9JXv6kepxCP9ImQFG4zBYU+FYN+RTpvmzj2V2pgzHtmEu7yp9FF5
XBQD+ZkjwTJ15JZikb1BxB/Z/F/PfSnvzRpQqURSEeShKUC73j6y5uwKvOIaqAzrHzyQcG5WSFyL
EsNzjCueHiQ4Yt9bcC4umRxo5Vm7BnHZijEzeoQj6TFDR6+BPaTdDzqGCHQT23t07FAfWjHfpy0Z
h3nxWNmHzgQn27aGF7JG8Q9vydt9wmdzp4NZnH1PRwfAaO3DgrZ1AMH0rQ21uYVfEB8KvI8XFWQp
2YvM5CfsEjAPs3reGhYG+74UnzCdBNvOSegqCwbyyJEHWAo7QnXJPK6EYJLiYDum30wyWw71lOZX
LCQBovWlScfthB0PO3FUf8hJFlcUx+f9oep5R/DzFseoCu2zCyp8Q0LsKnfNl7md6pupnm6nou6+
eWVjrnXjNLs1bwRtQ94ap+72YdR1b06nvGMp9HAuvfmY19YLVdc5bUSo7ntdRdUFWyGVlc0UQ/tX
5fPUTf1t6I/1UfAQPE1NfKnmsn12mwRZOQnkTodD+01X48KTm6GA8EmdYvmIadWU3JvXOtRbXDHx
J3uoaIMSjVrbCljXOYJ1K0LGcD8l7edmrqhiscx1At8Om9e4rxPu20sP37Uw0w5lOkAur5fjEPbD
tiB93C2NfyMXG+9qmqafGOzpR42zCIwULRibygnYKk7VS7ciqRu/2g/g5yuVnsxo9+fCzMC9kk6e
2DVg+bIHnsKEgU5sZJdjYVUYY/wDeDD/MCsEyk3TWMElrHHZSod8rVM8DZNV7nB84e0YPcTIuDky
yuf7gEajvUoyNhNDmB4dfv+mLb2PXnvRF78kbtYAZxEj/ZZLtpyg3T3PfccuaJgvvWVegkwO98lq
4B7a17DHC0cJ1Qc7vhfp5DegYR7jgSdUWtp3xeR/j/PvMGwHgpOpoaYufiLbRJWGbi6N51+nnn1j
SQBHeBC666K1rluuINi8ISheNPiPevKzQyzLLU+pbRU0w5Glevl5cb4hxRWHQGp7a1NFAcmNYiLj
zSziyy59MmDnuItVRJWDF6Bu/E+/Ydj9OtXedYJq60qvB2DmtviaWiJ6ZfKcyPCEz+BpDDJ8Rfrc
9G6x9brq1lE0egk51BvVDOPeoGlv+tUWKC2T7VwP/SLRko7tUR9GVTxkfKvORZa8IzucFb4eK9De
BtgtCfSB7HuWRCcIj8NdFcbeHT1s3fee5gxEM3qAI6u8hKmnDkMEIKAco3f2vRzMOe4/9as1fT3k
85W1PPWR4Jg9lB1W86j0Dm0oisucF1S/RSM1jMmk9N51aAVL6EradVOV7QI7bDdhVd1QjAKCopqY
VRoiXWvg9WjFHBG6Mc051VvMMLzgDPQftwIT0fnlQsCt+bw5t0KutmhsVPGd64yYhWX7FePWoeuZ
8yvF9FnmkgxwxD2/iRnonfAhWahFzKLP/VzdwpxxNxVwOFYIRLczv2jPSbIAAHOrZ9EDhm/Z9ckp
a75kbF3gxQGGTut333I/q4IY9dLyzJ6bjg+tzV8aelfu52IoXybE0M1MqvrUjrFNGkJie4zY8zSa
ZXI6GPIKOM+5pdQZNXqi3cw+y0ldjsy2fvu1sg0eNaV4pSKD9ZUNdx6O401SOvV+Ycn8w58T5y6t
WWe1LDGomxT1waK9kF4qcVNxZjlknH8uYxUxHKl668n2nlWZ2nhNoL8kjeUdKwI5RySWR1yM9SFq
KFIcYlp8y/6u05bZT9w79thR1E0dSqq+SGWmx9Ru9e0iBfU76ZQfhOJwHFTtZ7hwtHJAbzvg9xer
syHEgaqmJ2lVHF2qhlmyHQX1MX79MfGiLn7rFzs18ZFK2xBRSSxz5HkrbnEeYkap8+pS6hM1E9le
VbW8EcTPSV+Y7CbH1flCxkm9BJP3PZpsuSOKOlCN7IjPlKr07PYz67HBj/g+cm3f922gbrCoN9vM
caxj0yfDcSonIjRF2N16BsShi4yz8xMKgIROWWSPTPMVc1/nP5Oy31qYJp2DsNlXMpHRkVE4HYFs
kzTmTPUDzDpRvM6aUTFG8fog2F+RRLfnbdIyCvUckXHwUpw5zRmzUibMSenK2wEJVZem7edX0qY7
DkxqX/D1PYiOMsHIzZz9mHnj/2fvTHYjR9Js/SqN3jPByWjkonvhs7tckmsMhTaEFIrgPBpJI/n0
/VFVhY6MzKpE4wIXFxcN1KICmZEuuTvN/uGc72zaIhoviSlI9XCz+iRlPGxK5d3FDKLWA5nFuBCD
4IAq1tphHbCJONT9Hqdvcu2ObXtEGrhFrTLugFISvQa64wp/+kACTEtdSdgKvhSy3cnNAM+SWWQc
kwd4rOeh3fej7e2LvBNXvM6ikcjwaAs8P+QQ++jqg5CZS9VsnIRqngbsQSvbQTeUWmtv7CCoOPqF
sI3XUs75dTPG4Zc8mT9ox9v7QDdYMqPW6GFn9/jms3a4IlXgybbFF15WndCyHEGCulsVUw4r9ATr
NmTkZo8qgavUtPGNbRrMhspWOduClekhKAyUtUXCVtAHrITQtt6JuAqjHU2f+6WPWiLKZFV/WZQf
KKmWxER0EOgoEVCsJ4w0d8wqyqfa0MG6DWIy1rLYuU+GBEhg0zjbeKI1XEEGbS/wR9+bvAjumcfh
ETWcjnDEegHez5BO0XwzYOrlOVNl+5nlsvWCMTsOY8lItAm9bWNUxd6AM7+uFRxCgJDJCdUgGhyy
wQGoooXDazK/atgRhwjW00tcIZLK07RlwuG9y7ECgimCCScskSkKoPVt7oTolYYpORO9nmKvcNIj
X7+7wPVQyRFo3RwIVYnPyMHS7VxVCerxgf2xkTFRvULTh6DQRepxNxGF9zEglbFPRGhOAEak468d
b5YvkLGJk3G1HMW27ePkR8WXTCJbJU36HEcglOciQHGTm8TqbDE5dy5ijzZ/0R4wU2PSdHpzNz8S
SuTCQ8i5HafMBb4iHlKv58wMWhbPYRPvUt9a3LOozc2SnEGYauIpzMqrrBtufHb7p1y6AgcMdwfP
aj5fl20RbFOJ9n/lAnNBjVY2rJzJU3rmhdon/PPVC8gz59aqihsALtkuLWt5FnGA4cbSMcec35WI
vWvnxFLeBgonK8RwVRMeECkNT7qZ5ocsHJpHxKsuPuHA3GrDNQnBMqYV2Eam7Cqv8wNCmhGVoEx6
dNYh2SXdZHEmkgEA36NCy4JjnHDbSC7QCrmYW9zYWDCufbgDBMksfWpIsMkyLgMAqz3yEK9R+c4I
df3mZZhXl88ke5ScPzd94bP6LAWUSNC+QPJ4q/0z9zfGrsRu70OBy8DK7j0/KPbBEI/EeTK8IAsR
Kr/oL25kiQ2THCgC4YAcYABeFjRylYSkjSOQ20bsEXYG+IJVm9UNsvtoUydpzbbeXQeGoTbGmIl6
NQRNdi2QkiNDVc+yweeMSR71qSpq782jlToEg2+vW8SdW42Lj11Z19/TUoY8/wWqIfBF7Nhrfqou
ftF4hZAC9OPWsDKS2Wf9MSvbPZbjMK+qWT/3E/FrUFz2TGrJOfJD4El2qbbADPGW9Vjv80S68IHw
Uk5x1pwcP7n30Nxvq2E4ha45Ij7zsf9BfC0AMoX9tVSp/T5WiDU3RVqQVOuY6GaRASBGDtEtXSH+
7PdSomTk8DJBWKdDsO8nu/7C+KO+IzO5u4+0372AgU9h6ir6YkZ3O2to5S21nF57CIh3BU/fxhzs
7x351IdgtsZbgeWRNLUgD9+ZwVLhu5RcV6UToYN3OfMggCgp5a7PysV+EDV1us5w4Xc/SImxRkBx
4Yw5n+Deal8I8iCQ1NXBE3dpj5AaFZMPDwXWBw0HWXBHkA+Al9vCZKXqA4Wdka5edyJLnzJvCLdW
7DdnFXmaROdl4xImxuuEYxFwE0SwGIiv6rW6FwBI9kVtmbeMRST/aRUwvlBM9ISU5DMF1LLBukE3
kePs45iGz7Vi0zOuy7bciNodbsM833QqhS3kYAsuMYfWbf2jn9unshuDp3LUJdduNGFBjJDnb6Q1
v0At+DKTZrZykensIG9tyCONVz7w8XU1JckpqpgJsdA5RnliPCttJJuAmOBl7A6OIAYiANJoUxBu
AwOLrqtBdHfwzYBmdnCxyKoYth8VLLpZLLzevDM7bkWsfj7mEFjNAagvn0AyV2lcIL4RI8hmq2Lc
gGCbqp0JDxhfsAziB0c64oqirzraqVdtuySuH7xhwlQsO89SAOrA764ZeHhQJHq7uygHzDEHmOM9
mlHdkNob0UQS8FCTFRC67clwbJzNE5CBXeajbWsixpqmlt4Lv9e86wA0LosKgfZxHjpn6VhyXHZR
xeBmbpwPyH8UvWjowX0EpWWvmSzWTz5xI7j4hmWEnBHJ8cP1MptSyPeNfcoOgeuNeckXMWbypZvw
arKRWrLgLHnP4lMePdtxnkwRYWTwhBGnVNWuVgh+VPAVKXRFIWMU5dHkhjP5bptk+c0eQ7teFDxb
ILfLZmOgb/pOTJPzhMnTfA7NFCSxLJE3d4EqbrH22qwYmpTUwCZws4/GEOYxHKcRUKFIHhIcQ9Em
iwkw9FlUvE7EIdyKOs3fczkToJRG0W0/Vu5LbzgD3XEfFW+pIPQJqRt/LnXAGCI3aJjWY4HoL6gr
8RBUwq/XVeFab6qO7INuu08fdOxdMjNkGuE3KroYs8tsN4bTGaNVN1XQ/ahKu3pmiRR+gS2F151n
f2so3nncl2V29KgkD1OZzF/CqYpfysjm0UTf1n21W8N7YwrsvubovIkuwVYdOvAqXEUJj9xKAsRy
rVNtuC5XSpVuC3CHP+wZUyhirZ78ZRfmuPLBSk5N6TwbooiPyISn61ZrNGKWneHUVBX5SD4gaMbM
8NONrt7VVRu+zQxZeACqvPnqg1Y7EXjrUVTPOXhECkCk74XCljWIRy6v8vtQ9hVUgRbXgU0VtBKi
JcAtoQiyMuM1YdxTrdjDAz7jmAeuH+FNipZoRIY2JVFsRbN1qrq4sC4jWm/E7gWnKacoKe2ifkDn
3gYAo3LgaBP5PGsXQe613en86OrJP44hANPEreqPlCINJ42FD2KdkqGIHNZP8kcVaJO0sayorjkw
4GljW/UucHPaak+bPAI/txu6aFJFUxwbSb6k53nS/malrb5jYK0vphk2D2KQ1XfR9OTJIdU9zah5
fxAM4F+HXV2fI1fiv7atwfkh+q76ntmL+M8A7v+VjEH/JW1bBfneka238ZMGr/KkXRcmYokrgq9q
sImBUDwq0SCq9yuBgtoNlXlvtJ37HMmi+Cij9tkKmIqWioqEdBx05zKPYLQ6oskuc6+nN0ThMRmG
zE576incg5LROynQHWM9QVpCsaMN4E3u64ECw/Dq2TylceMWm7izMAO2Y5jcTGMnAEiwdeWMiEp/
56C9uopT7q9Nxrxip+eGrw7JbYRC2j6XjY3lCsOvTyDr0Lgja6uyt2/MXjKwk103rYUno7e+rcMM
EqR6IVq6TjeFBNg+FG11H/NB+TvXV+4TSCi02GbRyA9KI2JKgiXnLv2MvMs/4+/qzyg8NsZoSfk2
p2ofWtyZq65V5OfJoPRe+89UvZqS/yoKHf3kdcvNFhC/FyF6JJG8tIJTJKd3wN04hrArAvx2Kp4T
aiR+A5YJFqCqquHKZY49sseRX6Mczmsb6ZCRJYkCsTchFbGss+gYYXIXuPBCHdymMZi9aUQPiq6W
xCX+waOFLx8cweRa5baOnIJNhyVRmGIVYHSmrPRbCCfgKN2E7LU86oAmSNNMcGaFzbd2kjixR9fi
+md1M11lmYHoXXfey0zSwYolBs0bGvwiO7R55nykeWdeTa1b0uDOk7WfBnINnGzwCCropp2XswTi
K1keddSzKJMs0y6YsgB5tm7PbaJC9W1Oa8gHtW20X0gIXLSEVBNVXP9wBgg/Ah7WKUVtddGzQ5A3
v7Y6gWpqr6epNzbsaunxp2wHZ8pY4Z6x9vQ2VYz/QtU/Gn9A4BnkaXKJfXGbs/fd21ETPcZFARfW
VsZ4SAviFnfs7eNdqdw3Abvs3vBS95sByRH19QKvtaqPXjjpggzJzcOsSdeGEdW8BNzmZyOqrJu8
roz7CIjIXwgx/ih5CUwXFRQX94Kidhf5xE+KhTgzZV3Hjb/09CxP6ZgvOELi27yrQUeymzVvB8tI
n8wBo/3qXwsm3D+TSyBBYQuK1xnhzS/6ntk2PLBjo7+fvKi7Dby6PQwtDmGuRMaoGl5USE/GYtxM
hw89c6W0OHh39ZBZqO/Vt6xWYu37GHigM+A2KVkwlaOHg5gynn2zbV3KSDuMZQpPki0IOuzQem51
0m46X3cquVH2wKpCMBt0UGrleKeymXOFCpi7HiFs1Wf2vhizBc1gEQkRcpb1be9SoYjHsac5EHqy
LjDsvqUlbiBDDt0BzB8ir6qEBkszJvdEpjl/8dbZf5QRLtFHAW5woD8sg38RsRV8lXj7XKp1NJT0
DebFdccJLgkk29JCsqTRSU9OwN7dgidxlah+2gX5lipg0RjoRWIeBXJdxAPYv77wtiD3h6NZqXhd
jcbVaPb0u3lGAeykOEzSTP6FMGcRkv6itsJ+zkLLXXjr6HMW5dxPX72Eu6QegjbYm22d0uIEw5yv
/XmMr2aju7fGwdsMXM7rCYjnyTLN/jsbr/7YEud8IAJqI6wy4xHTJmMPdBt/8d38sx/OxdCOlj1A
mfrL+xsxw/MsHJN7XN+cofiYsCFhnvyLl7GWcK7fS87Q7LkoHnkEONqtX16nZmHsqrAO9qw/8beS
0keUmW77Dbk63rtNA88ZmdXr0iKqJuwH7x5woho3DMazKzQ7wW0++aSn9TwstSAJE6Ao0v0snI2t
m5iPJPyq53/91li/Sho5r01LCBPppOsz+/lFptlgcWQgwXdvUDaHwmyXYi1NhoNpmNUr5v7uc5Dd
VmZSfcVQZq3Z/5jreMjj00Rk4wYxw/Qh0mA8f/5cf5dBX/72rqGL/kUm/fMf/xP/IP/7lE5/+4eU
+vd/4z///6NLeM6i8vvnIu1L/9F/i7+37fSzRptjY/lrf9No+/ZvNgUeaaumsBFb/7dGWwrU1iix
OQNR5v7tn/ydL2F5BHuxdUYzKUCI2Qix/8EVs0yU3T4PN8eTLQVu6P8JV+wPDwmuNp8LFsGua/J/
l8Pwp5NCkBlg9nXfbA1ffA3pCZQP2DuKEFPlS1MLvGDccZqd69L59tM79ffv1M967eX5+93z+ctL
/3JI2RTfWWaqZkuHBrs9Vhmu0/lQZ+G7bvBz/etX+8OxDq8caJpPMC2Sedf+VKj+9Jum4QAOwIX9
O6SZe4qaEAd5Koll9O1sN6n6xYxS0MvtBBoSbcg2kAPwh9oUm8HrX5a2c+XO0TNBYZepk9ciHdFZ
5GLVmeEX6OwISBpssEmVXkGfVH8lgPyTHz8ILH/R5PNd4Qu1fJA//fh2WyjpUXRuRdZVB+k4DEKq
zqCrx7pH/Oks1ppcyc2cOeMl6NPkwQ3Rno2NCVBxyRfomxccqtE69U16THRxDjD1KnuPkKeyMkoY
ADOnGDX/rl3oFKcHIggmVHtqFuAgPha5qLHNR4OusUWR1x4qI99MQ8Rw7m4ijSIFpjyI+N5lQhJN
+h3SKIIJBD59sRnDgeyeJLvDqnpf59OD23xQe/YrRiivYzLOe8lqeNMRCQY7OwCeYdXZMfBRRNix
BwtDETclfH6ZkT7VbS1nb+d29Ohl5l0Jtw2LEa/sNEN+tqNxekuLDmlzkGLKiTvyLFN4oW5Tkprp
sVPcuFaf3JI5oFc02w3Y2owwSsmgR+CuObmGDs++T83vBqm6aBB0hxlYxqlDW/VKNIpcR2VS3fqs
W1ltLwBhNjSvJIkHWwFY/r0WQNHrvjNPg3Wl7VjfaHOOYlx4APIJR6p20AfnU4mQaWV689odSguZ
hKw/kiT9SKAtHAkPIbDMbjTVsXVnqLpFbxOzisi/Jn58alwGdoOHGo+PRkCbPliKv4DCmAscbOiG
GMfm2vLJGuurR9Qq5d9uhH8qdraXm+jnpxcZnctuEX0xhgb63F+q24DKuakZVm/7PEdGyKa/YkPR
dHHGHIn1vcfR9Zgk9nie4954XcBrxJL4DST9pKkIuHeeRnvAAxmWV0jH/O9j6U/keJj5XgnUW15A
Wxs7VfZFoYshAzo0f/zvpfbpX3qc6u//8e9vHwUxb4nq2uRb9/PtZHlYhaBV0q/884vtqeve2rcM
btLHP/m7f7/dLGhHto/c3V7ie7it/uFAkvI3Aa4UzbZFGOxCVfoHO8n6zUZbyEkcSNsCvERqpKr6
Lv6Pf7f936gKfW48tFdLifg/Yid58ldFvgWCCb0u+CRJOcUF/PtDMw5hHAnHQ0GVCthJMvf0DMIN
42wQSvGmptC+syYGT4BuzHWUzeWIVHXy7J0DSXqnhdRnmC4JuzLGHmHaN+u4fuqhK5UD4GQpCVeP
vYaevKuH9zjpu6OZJg5ZZV1EAkYALwTCry/mo4H/J1v7MjHvw9xyUCE1863tMCTOEfAd0rLnp/B6
EolYbjGjzzSBknX7HXwcSD6ZsQAPigS6I5fEjdn1yZlhr7WdbGKHDNk3u8J24i086mSrutS/Sh3W
SES8tGsmRcY+Tp3gIy2w669EMyGaUqG7r6befJBzktxmtce2hnJjUzjMbZmW6/lkWIm9MXEv7exZ
lvbaIZKPhHO7fcMuwg+qI6IKEIm7IPqHKdMgRAd7ZYnev9PgETfkalQXSDP1u1nkzQ3ZN2d39l5J
+bmeq2RBciBKm/LzMMirWUx3rPbTtXD7iywz4gXqdjO6WE8dBLrcW+0RpctIPAaeWfLpjKK+rv1R
dyyOQu+xE8wnUHmjPt5YbnJncw232YiyywemH5YCIJRPYPIuLqYAGjQ8Aea4vV29GY4xXU9sml65
LcQxnf36MrNYr9ZLD/2YAxk6McFWh9FjbjXGcY4BoHOizcQYEq5dYDGiLUYJIrqRhzzqh6fBoeBb
EaGc4ZqcBxTuhgVyyjeOlU1EoXK6cN0TGueTt2CrVV9q+UXnnn0FHwgZRxQD4PN4R7ahWyQfiafb
LSLWZWxcYdivRFzuzUqUr4OwPZJdGJnmlpm+t3X1tYNZ8xVDmdzLoszuC+CfF4Au3nOFMHOFEdg8
g1yV5zQHL9FYHhnNajyH1RidUd+Vu7ZxjENgagRNkWvfodlFvUPODCsBN+MbLTJIPFbY3/hlnF3n
o8sNmGf2uCaTyiKBoK2mFV5u+dxJO7bXDFUJW2yS6WFMwFcUWlkXm1GZu41EPbw5wtdcaSwHnRkW
wJDN3Su3lz6HeHgPUNGcR2WyM1n5utKAD9P2NfdCslSRkahmjWhMNDdE53C5h7owlnudsR1VpbHN
HA1VJdR+fTC6bAQsa/AypfD0ZfC84hnzfKuJUuWjQGEs462KbMzO5eBUV3NEuI6DmfokUzvcGgnc
DI4LLFIZtPwbLIPByp/d/KK7uTsPJK5dRmuAKEm5joUEPunJzTrVUXFY1Tfa0+jWZBMCu8tK7d3Q
NmqbjBI5D95c46oIqbHXpP5UFi9aprf27JTX4TBnF4VpfduFY7ntcivfIKoaD1Jq2ew7Q9d3fq3D
W1+6rNMLP2b+340suKnxd76YmNAFXp6c7TS0Eb5P3tmK1Xhltl28Nx27O0M709dxkRevos41Stmw
Gpy1PT3VEHeDtaid8NFqC/vdspnd4vqFMTs17YMo63GTULJgD0CgLROLZ2vSRXYTRrm+83trvEPU
pJFMVFCaoGYzD0afZ8nuAPi9PUjE/7BBQ/MQZGI4ddJoLpYXFBemnOK5MTz9jD+7+q6dOkKWOlb2
IZx944HoSPuWvlg8k51gEN9SawjFTHbx1MuU6NeAr3TpOD/KLPTJJoVwxkQQ3Gs9ts8JLHK+FBla
0ZyZ/xbOtocuOLD2aMZipDSxJp0tUkS+taDfDODCD64swl2MNcFYOb6ejoiNnHNUEOMzwRPf+0EH
hIi8TuShqXVM2z54KY1W7hpl9/cNwLELfwyPdacx72ir2BdRG++AZTY36Fb6GyJUy/dJdsMOCGDx
CsM0eA188rl6b2DYObKLHOcMEwKNy3bhhRPaiW7niEq62VpNUbhrkUPwZevRnxjVNxsM2O2R+IXi
UjdjtU6z5JtNuB1bQ3WqYb3vJbdaEVavtTNj9J56eR/BSyDFcTr6sYweSWMYvpfK1BsPbhf7bF0y
m+8RLm6Rh+PxMHNsX0yAtd4Zk0M70bVOfa6lgczNNVOmiCQC5z4ClJD0l4NIlyjURKxc56Wd2pPo
E+PaqoZDgfBmJZPoejTaltUlKvOJpQW79OYQ1EW77VqrXVtjjnUXu0KCABuzW37KnA4FNJ9JQbPY
l6CIYhrUDDLeMWZmyO9iReW2HUnLidv21QSqeGCnCp/fh33IKtEU+qEl4WzTu/a8pcAWOJ+K4d4x
YCRv0bgFh9GqwTmTc8gqaQxWOr2XjM1WedGri6m4z2qMBIcwsOt3VM7Faax5e0BOi8cChhbf2Nq9
jlXtbKYqrDe4jKYrS9v7zpnngzfQ65QYgV+sEXMIl1ZehG/xKBV1+yKgKMnJrliHuuR+iio8Yhmt
GOsbzr0CBH1y08p8cEEa47Uz0vE2liWjbiy5PRu1GC2sV47WDvUzqXuonn6MIQYxy67aZ56P5kwU
c39wkAJzzfTVBzkBw4F1nDxhoJzf2lhkpAmUFzyvBE7kE8jHoQgf+AAK3lMbNUqTtf6bb09sJVQT
31gRIl7+RWcTqZHMXXOuLng2zbNKkuJFD+awHeKoJp3AGIZ6p+1UHYDijCaHkxn8KAzHWYeGEew0
YHygtA6LS2xVOtnCyyPKwSuT+FjiN7gn9DRKtvHoDodyHHuTICDMAXsDJNo99UVSXucRKqmNUeQx
AcD8d+MjArmZLJmmSfVtMI7tSQdtfhd2TvK94MRBKel6GpJSg2DY8ZInTKOERlPuQmSyrEclB6jM
djl3/Fk6hyKMk52T2hJlTmKiHmEw3kAqOpgFyKZe6vpeaX2LXmtVAorlBdURsXW16UfSBnwT+1ZH
abFW0ODWrdLjh4aU+UPX9odiDfQq8+HNqyHarATEvVtoM96hn/vuMMskwann6LN02pxi1RyuFkfI
pgrRy0oVQ1PD2LVSZu+cnMZ/tGcNsZycma3dG0uaWIk9RElrRY5LhGNFlLtY9clViozwtrNCYx9W
2nhg+9nttbA8tqelR/TPFH4AMHF2PKMRStDZ4WPoi8dEVN514vjRxQQSQfzF0CGcKxDzxTmKahlh
XSm5OtepPacb4Xb4v+0hiE4TQ/ydkt0SuSmbdyCbIxv4OrwAg+q3pq7YSnJEIZ9IBdEeCZLKPHS2
UWNEmzB3QBVrn1y4OMHBsIVkBTcNJ2hF3IqW2zg00YJ1uF2orrRxLIIKyqHfDlurRYxejJ71gOA0
3rYMda57vCQHMbnZHke39dy1aAdrW8Eo9AZ9TPKwukidIxfqvdlGDG8ayYtIWlYQOqvvTceBa2Mn
SIoTbB6+nBnMSvpszk2f7iDxbKRvfnZKCCCGm9f1HC11+cMvM//aUyJ/GrKSBCwYLltizvE8Z644
QsRxd0BQzGM51BZquDDgqplKNqWMdTawn8azMrs7YSq2izWEbYnu1c/bL0ZYbcjJiG+GyWCTrGPM
eJV4csDWrTx/IbVWNC21J9W6ts0ROXvcbckQIZ4NhzAqcQWazusL1Ep8MTDdFB0RQ0CT0Ja4s9hM
iIv4DUaJwAd0wE+d5Z8MAm2Xju93w4Rf+7RlVPjTcItQvTnVZhIfRvBDK8MRGZD2QJ5AdCU7G8wV
GlhtPDWBPT76RHa+TP5Q39rxHF35qFS+Iq9It8TN+AyUhB3t436qH0cnQI4jDFw8MiPsDhTupRxa
O+ahTVC/unwC5pqQN4GX1k5eXA+JGkVNOaxDuyvRHEp365bZle8nxjcgu9HGwal3a6S5OhSt99w3
yiIuu8Z0A9mfRUEPUdoSoL+bgIx2fvZ1mQlx4+ZZtsuF04oNftn52MZSvlKpR3sksky6Uv1WDeLS
d/2DS4WymjK0n4yGp42Y4+lu6MtzmGTzORnYFInMRw8LRisg4W+IiTbKxxY8mBm14sPuGuQfhgsp
BiY7ReF2MKzqy2wXuY0Sz884YmNvOIdSTkdMwOjWydXx7qpKDbeKjYKxGzkOrhHB2d9FbyYfdTgP
m9o15FZ3sX1fIfLEoYltbQ49x9xW0+BduV1vHISNDFGRN9iw7Id8v2UkOH4f1PiiYuJ7yl4kO7ct
IOmNTb5D2WHiTxAOm+85gVEvcKigOO4AVSI2X0HbVFuXDJfbmQjFhQZvnwjY89A3tyRUOOOQ3POg
B8cxGPURjOBwnE0qbPIy1Q/itygFC61HlsVaGGtgkBiB/KZkqu1bRnW2lzp7+Cy588/yG3WSccUt
TFGe1jiieSPtHaZato2mjuNbZ6nk4blzNqFksE7WZ6UP0YSkhaX+h+fRnYOlJyATNoAbRJ/Q54MN
Yiky/FuVagvRTKAei6XBaD97DY/KjMNoaUGcz24Ecm3xXCwtSvHZrYRL46Jb/GCFp+21H08BGpi+
MbYR0qVV8Nny4Bam/bFkW9akk8kRXrpnncZWBNvJJYARJSZf3CBDBBgJS77VpWkjgQRBjBi+u6D8
TvcTqC2sj0u/NTfzQw1ynojk+t7ADXSoDd4wx6ir+6K3XCCtVMqE/41Y0ymFT3Ism6shXviSqDW9
VZ/29Tr2KcMg2iPvjyPT+mI3eMXQ/TuXwNfyueEzmFbm0jJmS/OYffaRWdpm13HWMSmgyXTLNF3r
z87T++xCg6UhrS0n2yOwNg790q72AInPDR1svbSyRGfwsS/tLT/k0ujS8iKL8J7zpQ32lobYX1pj
YUT+19Jtvo4qzd69pYHul1Z6Xprqcmmv/c9Oe16a7nhpv4OlEZ8+e3IMgQ5GZRr1YWnZu6V5H5c2
vvvs6NulucePY3ybl4Y/5ZAuwo5/CusTJ8fnZCBbhgT9Mi4Qy+DA7vpg869P1D+gcP52oFIbLtt/
VKa/7FaCFh0kS2t/X6zkw/zivDRvxktzr2/UHdjw8hbW0//dYer/i4QmJpoMDP/5jPTxrUjyf7t5
++h/HpEiGlj+2t/Ho+ZvDhx46cP9Qcj78/LP+822TDtghL7gmZyfBqSW85sL6IVVMGtgSe3+38s/
/zfWhax/2GDxqVJhev8nyz/EKQvYBhwQr2aj2fj9tcuwx++90Wu3gPfIRyhAvhvNa+E6lKf4Cxic
nFz4fId+0cz+9E79yZ3PRvSXO9+HHeIBoOI9YUrML/r7Fx8NZlYaEBr2YmM+cHREa6OL8W6MCi8M
4dFQpVP7DNQu3vdoUM4duLJvwPAilBYjOuy4Q1S7CuZ5vBkEW6txHgXO13lctYI0h6aFzpa0Krh2
EkVSYTsN1SH0MEgcEGhTE9fyDjCqyK5rkK7rxvMenRi+qYxs/oNyZuQ1A2W8dSsyDze9p66Bi2Jw
SjKSlFFz7TA815gwcgXgwp2NR8tsoEvWhTPftRNERbZuxiOF4eIcrYJb7TDNkCyIr7n7gJobxvSU
Jiz0GgmVwkrHGUiB1+/tyRRXAcyCvaDMPc6u6y7h51ARmC/FS2qObOwzzlpPoZRNevLaaRSdqwbS
Zr1HDhzuowTKKFHKXrYGGuq/EnidOrAMavuedXJUrxURbgg0Dd415UwHqE3q3OGxgZ/bxMUdyfDD
9yKcTE5JqIrAdoxyWptzyV8lrE2/6CjiVoLyWTyUjvrClSQIaqLlDOzuyi/dK0x79SHCV4zqyE/2
aWO8er0ZXJu9O3K39GOzynvVszTF+ptceakz0uYU43jTg+/mw8qyKyZqxT6PvWxv+5GPHLbxq3PJ
gXckaB7G9BDrx8ipUmb5mgVUCx9YKTIE5p6PWyGvestLz8QWVuPwDmQx7jMjuC2mhpl+lkS7DPn4
NWE/WKCkKFEb4byThvIPFirzbcCTQxBT1zPWTHRcr8l3ojtJdYj81SA4NW/xEAZ97R4jyeyPRPZg
NzBT2Hhdr754keV/YRJpXtf4H9oxEle+1TgrtXzPuwjZfoME6dqZ2uBx8Ja5etF3G62wFzvmqDai
CGpI6U08wmnx1aMkpD1YNLPZgx+pwNoMAn94tZ4CgxzerGqwf8AZ06+p3zvUGpiVGQv3JmLpTA0J
T4ulBVK7eS7AWmvbHXZFkszMcaXzXrphR0tDr72SoHD207KKQ9wlv8+R3T5IrQL2Rcpmzrfs8tJl
q5f0hfsIi4kBG4bpRt64cRYgjB2HqgWULEK9swwDF3sgloscM20EQrCJyPzLIv1eTyMW24FgxHPK
pMd69X017WfKqjXKJsgzweyl72psmbIWKSmWUY9GN7EFZq3mqEpYz36uf8wLD7VoR71jNuf8wDfI
DpVr/TBFIrlusj4+zm1HgnJYk4IQNc5A/HxcX5kiAXrYj1b3RGkVfEtDJzyiryWBQaBNK+nj43Wk
CnHIzAY+TGIpdT1bbbydnMXHCJAGL7W2CNedwbrMA7WIrpIftmdZW2JHy/vSGHyCTQPrrYhm7wJS
oN+HcchbOPrqCZd/tc8HZZ67MSpewAI1zxW2wycSc9xjrEgmqIEshoR/DWxWehrafa0UkjNI0iN5
VmFitd8oM8voKnbaCKpEmvvuk03grN4CsAlf4BTsw3SKf4Sh48mDi85jxq1BhPvB1sjQV12STtvK
q3Y+TqdpFcAc9TdEmSF3iswGMKwYJw/DlMHCfEQ1/cY3DVNbiUOVA0kG0A+MhNN4YrIYreP/Yu9M
muNGsi39V9p6jzSHA3AAi97EPJARnEVqAyMpCqNjnn/9+0KZ1ZXJzJLsbdp68WqRVgsFYwDgfv3e
c76DWyTZuOWAQ9KyOlppLraGq7akQTZbkwkj1U4vRSFCy31ARupXx3D8m66e+z0n4OBLY8k6WCVG
PxiX014M7IAQcByFsUGDTE1Yzji9D8cQefcTjK/W3QdwXwMcyul8a9K5BMtvRf06COPxNU/G8tQS
nS4PNMd9zkHTy4QMXXKU5YfJ+8y4zzur/KgC+PKghaL14AJ7WYuOruJi6ieyjhQtyWdu/vmSyNQT
jwmS2re2adAiUEAUC62oGnpaSGiU22bZoaDgWDmU5stY9tYF7JzSi4tEbjPaq9oXI8ekt3bT0v6C
BVA8c1iLl6Ka5TuTQwZs9uyTWYaKX2Rhcx5G5X9rrLk4iWr0E5LXW8ympsImtszmoNhOIWTdJf8s
PlaME4tlWLrWQzCNiuGczUO/KOy22mEm5QPodE5JgolmePCDmeCpQlyvjUXapGXJmomQbhERU5lt
i/QCEAhCp9NLlE7zuPEgUBtbTaVsLORl30FkUzyx9eCiICPK7dA19uVjGrfzMa0Tf8Mly5cDHrmN
zekEhgJmMzSRtG5E5bYwnPrL3Ciy6BrrQuc3QFM7Rn88DqXBGddMJ+emCQAtr+EKWeek79UJmGq9
RIGSX+mpBi9tztFR+9WwjdIuhj/gqSRfwuhB4+2XVnRnmEgCwbHPjbEg5FpcHnSgGHNby3UofO8b
SEbu2w5eBJPD1G++19MPQDrp3kz4RtxoAhTs0odL/ozvw14xlGhvjbTYWq0ab6LB9O/mdAifzNZJ
FoWkFYdjlQCTMpI4sXKN+htUyRW21OgMoIXHVirDfsyKqn/He5nyzMS1S5s2nDjBRUrM8FUssbBs
p7725ugKkts6q3s2ZFoNW1sUJRWEjKAlJMOpn0teHNlVepKFQah2nFknezQVWVSuEd+NbSsWINvF
kTH4etZaw3yAkQupmP7lTEaxrzaxCHFXWda73RvOalD1OZ3APWlC50ijL3k/Xnhx92taxAXsijlV
cqnRNW/s0houERO5dzNESG0WqjEtjfTflmjAVVkci9TzntnlBli73FTUQRRC33UfzSf0VmO2p68y
3ynsTnDiLRiZYMj5QCh+IB0sJG61Bdra+oNgCK/d2l7cvjMgr6eNRigfEcBTlju3l7TB6NnIReVl
Md5tPC4OS6tDCL0Pk4twwViV/OlwplpLdZeTPzFVx2Zqsdj0mQ1ayw0d9sOyi7svrdPIL0OFFdoN
vRnyPKUKpkyF+wj5jmcDU6mEep/L1L3lwDs8mYxqadX3cXoIPYuMr1ZSfa3rRhSPVagbBhvo6DBF
4b2+qZpyPqWi7nd17toPP1i+QsrkbIXKex6btMZRZHbQPFJPjSWWpRiFbIqvjIt3EeotL0kZ8aJy
0vrDT4nu3vQ0d+iiDMl071iOwzG8GYGrE1IonJ0Yi/qqM/yoWU9hUVxFiS6/t/RnWeITZMCX60I6
SYCLDWyPslnEYvLgm6u6GrLhnGubViAdDHwoGRzweW2HxhScQzHS5EzCS0JuOWEvgBzmx4QmUxA7
G2eK5H0PTso4dIFLfkvSS9kffFX13sY0U4qOIvMPXe9mHmWPGKmAVYCFgmYsbrvEb6jWpPdQzoP8
4kZCfeGhTvqDaZPZjeIfRRGLTsqSnrqPZDj1+ZGYXVpSIgb0CDadZC7MM35NyVqO5ZGETOPVw20w
rgIDJcMCbGKNMRIHKD4CTg79phWK+CCuiV8foinAfp71yVMNpSFGvtQqb++0Q7jPihoFQV0ZH8JM
AlDqJt4Zwa6yn8aBpbjwouTZGmwRcUow2i9cbeLvzDkB/6Otdu+wmO+CJpN070mv8p2gvcKWlTFX
Dy5wZb76euJDdMtR2eOp7J0Mm0gUBg1+42bqsOFVzkMrZAWU5efnsU/xsshjHOkL1DiWxUnV/Jtb
AelB22Wx3a6xyWSkX4RveZzfg/h+tnx9L52cjdWNoD438dcm6efbn7//pSHxVzkZy40QHtxeE6Ws
+NSwAHMnNU37S1MaQq8xl/kVP352/Pm7/DjRfn4bYnw5cQrehxjdvx46aXP1cphtkqBC4j66vivD
pYsExNvZ0cWfk/allog68uhbzvYEMgL8AIoHEl4Y2E3OfjLy7kqVur1LY9e/vvxkS2ULeWIgPz0T
FVYu4wujHrdA4rY3IPSLYPPjS/yPGPsXurVLn4Tr9Z/7Mfdxmsb6L72Y31/yRy/GI6vZo+HgKOH8
Li77FyybtoopMMt8lqqhR8Ny6NKe8ZDdXuTb/5aqubRiMAYDCeDy/hBv/wsW/kf743c9ffhR/EM7
5JNZgUOQbfGpCN6gQuEpcD61YgKLKnHIpdzZ9FIPcz2kS9RW13YgIXmMAxt9NeNJJMJmPZTh+BgP
Kfwok4qqEm20MlGpLbTsvfckaswVXkP3LseeuS+Msr3W7vir/s1fzU1//7yfdePGpNrYm4heBRK5
w7JG2QNAjcy8YCVKwbyvQuflY+Xc/umS/sMvZf1QOv/7Gf77W39aKkpla07utC3wj8f0aNrklKZg
61A0FLBfjWI1+5mBd44oVoyI57FHjaAqX69gVqN/Lp16N805RAhjoET2ARi4dXQG64vYuOTXU9Z4
IWSEWDa7aQl1oSC0NBe7Zo7vyj5Z11lMFpygImgroyRwLPP65zQ2pnlFc6G6KSJNWD3u2PveEiFk
DwI4KINj4EVSH0BBFNdO58fXNTFqL1GHhg3EX3FFnrJcT5phSV22oCzeQUOKPeLardFCi8t9eC7h
YIpHeyjGvdvnwzaz2EKDMYw3FOGkioGvJT5Pds9l7IhtlBvJBlkuISKoPNZM9+GMy+TRUcG5m4Zb
8pbqPVTuITOeEXL5xzZL9GFK/C8N2ret45fHerLFaooUp/Q5vKaGjNG1uWyvHCoWiDmwkkGy6j33
FSXBvKJ2YK7gJwerDzgq9NN5xHC9YeDdrjsRWEsjslqkKuO4IWkco1QWn4pgtgh2EjsmsMjtxkMw
TwH+T/KFoS1JA6M+EjxlBrRDAPZtUO+TdE5ltYln2W8LwIZrOZBKnY9QfzVqzjVfLCIWpGTHrZX4
OoQ4jVXIAAttWktLX8e3kGysA0/NAqjMkRxaxP2epAaMxoexN/pbwD8MeLGfL0rVkS05lFjH6fFB
GVhD/vEXNRkYC/AG0dnvQmvdw2G98qOLPD8x142ngj0CBrHFxh/sbbtEUiA5Y1YUxsskVg4hl2W8
6kdrfjDG6oAiYG0Ufb/sI72frdpaZeRDreOWu3l0IGNwACNf0POHBRPC6TiEEZVi3MZb0es3280f
WtqStQ/uo0LN4EfegxBs1qSvL2TGb+mQ97FQab9TFqOwtLLcZe5Ka5mhQkSQV65IMV50vQ+2nasJ
oSbYKucpz5t0WVtE60WIxFYgpZIV6YVARbMEJX6F+8D1km3FrNjMhTgaoc2jNpD+ORKZsyjK1j1O
hJjfI0c1VpPrbsfBvk8Lh4woD6iGniIoD11yUqD8aC65ctWiFF62CWn2kyG3xlAzJDUwXKnwrpMI
OmmMHVFW7ivt3cUMGhfVND60Y3x0ynjZtkzAqVl2OKNXg9tDp3qas+rsVmaDj6q7i6LSe5RVGm9M
11/nontF0hcskZde1ym9AZ0/NAZhMKO/oRH6Dixx3RJOsspcMgkriWWuseyTP6loawLxjZPqNh78
A0HL59ENDwmIwWutKkMuyLBxNyH8aQ5DQANR0ZkOv3su7sdm2jS4F+4MDpgw/3HZYdAb33ucC/Bh
agWFj9n1a0QcPa3XMt6Pc+NwqXx7Wg4dQp8AfNwGiytKq4g4k7GyyMEr43wvU464ZYfGo9apc+sF
HEQzZJXXiai6XWaE0cFiXSSgSzzS/oPowAH6OImhe6iZCW7m1kbrFhpiSzxps8vIyQLsmrviynRH
gT6hq++qQHc3oFTLXUzjFOElkp6M9D/kc1a0bLNaEDAbnMtpOtTSmtaOSh+mPGkpl1v2h9QGxzJf
RBgu2JUpBDd0QbEYsqxPsqLNKzyiewCgpAtZY0OhuQMxg6qTNusF8G8AEAAuHK9d0aOJLhoHyIdx
cIOZ9S4hVWr28FSiFV4R+osndXDnBTPw726Y74iIa7eQzOXSgFa5a/z4BdkXQ/44uHVjK1+aUcAE
vCEMltF6D7EHXZ8uk/wE7O7uF/sYQ5zy0zbm4fuyLceUlvDdyw77J82DV+RDkjezueMJBpmHyp5E
VKaCl2w+d4WOEC1CZab3LefWHSiXCn0lTxccRHEUSVAd/aHFFNIUzypO6lucNj5Ii5qVLzTz/ORA
stilpohXSZ+FO3gR+U6OI1nhUMBWTS4OdSWQppTh91y5+K8xtyx1rW/5HAyYCQ/7+fe9SO1/9nU/
+ZcSO8twGznmznCa4K6pSVOcaGyvCD+dlz9/q4ta5G9v5Qqs7vwHE/QnNYk5EE7E6NzcxZ3LaZeY
vcmxvyLhzFe1Uz7//M0+zbF+lCMe0fH/990+HSmMmLkZiC25c+IevIJjfbF01O2TIfxmxnXFYClt
b4gYjA5eK0FUGkThypTmPvrC9tpPul3ClVwRlLXNVDVukqZrOTjzwIcjzqk45hKmziBgLyTOSk5F
fiOSKF+UKUzEbDT5a2DamOMYV+Nlo0ZDJFbgiH9xdPqn68cZEYkAqmSK3k+GctOwI9NILxlZfnFb
xFrtdIJOI46cX7zRp5Po7z/on9/pUymctmMeAf2ydj3ggZ0d+B/m3PQES8kCPY16U5IG7ejAvvEv
lUIJUnX182t6uWSfbiAqfnDLtBlQPVzMl39+NKGrQyRgH9mpykFlQ3NiqS2ZUrop4ybuDQm8ExL4
L27bf/rif3nbTzW1bFGBiGKwCEN2WAbQ87ipyc5cB6Cea2HAix1PgdHUN9mlynEHBhs//+L/+BG4
yL7CwcG42v+0KGXwoZpSx+bOium2NmyJsdNck4IOFacljSAr1dnxBPWmpb6y6le/n23/o63sHx5d
/8/v/2mV6Aa/IfA6BB2bdV+tJh5PbR5YB10pHmIj/IWJ7XJS+HydlSeIqxEmM3Dn07eNGDLULfKP
nWM1yZU5pAMNR5BjP/9R/+HJ4ff897t8+k6NJawemAYKxHY0F4z4yLDM7XWrVfmLy/dP73T5KgLN
AKfVvy18pd/lM5zn3RwM5Jl75pdMwUaEG/3zb/SPt8mf3+jTmsf5o2txgNo8naX7EQ/tGVWsvfXJ
/1rEU2fdp2EL25SWY3SuLoWyLNvy+hcf4vK7/fXq0SdC3uJ5Qvr0rj6tE0E0DhX8NWtHWn0J2aPu
H0ppm3um5tautMbHovQByfQhgLp+onwj9mLpVmA4XW28Gm6criF/sDtQXYACCPUXNO/ZDa6np6Sm
sffzj2v9/WazhUk+DHTTyyd2Pt0GhkmWg55rPlrYHVGLQzuKAH4WMwhcZczXo6/GddkJ1BYMfcMB
OAeHUGMDQJXy3cmzda/ZOuqebqPOg3VSmATEcqZpDHPCR1t9L0t6lKJiqGNZ9tF0+wouh8vxbPIu
4Mm4XZfMuVZtyRSyzz7Al5sYNyq9FKq3r5qm+b3E+Z9G1S8aVRgsPTQ1Fuv3f25WPXxkr2S75ZRR
Hz9cm/tvRJr9+5V/9KzM33D5KwvwJn+PBgo3ObkN7f/539grpYUbHGURzHb8wiwG/4IH+L8x2nJB
gNiYyEgfYZVtfjdYmsTCkfkEF8PDfykcloj/RteKv/iXZ9DlUzmWqWiRmewVli0/3dRx6sWNRanD
rKy9U4R4XhY5jhUMDze+oYePxJtyCFK+v+sKPS0p4ZtNHylrx0jD2mD0RgDd0xJL8LANzm2jhnZj
zkG+b4kSQhBDBDA6T3WN2NzdY84uNi2xlN9qGRSbORsT5O9j2b41cSAaTjkX/FE9xuoZcUT01JZ5
c10VNYqETrZxgDtFeEd3nL19PAzEJiDL8LNdwumIAJcBunZnGz3ZL8N7EM81vXjvyOyzf1YS5qVT
lHLGs6XimUcKXmQNYmdT0atOKZxtDIpNkTzmGkPWkiyrAbBYNgKwNmzPAMdF5O4ZoSNujsQ2y3wV
GT4q9MCL8+2I6OsRMlr/4gtvnkjdidt96SfBAycWDj1SpCQQxJWKTlNaDzQCjBFzShtZ8RmWTv9U
52TqrdM6FtBlEDr0w3QyJ7PfoVsY3guh9VeD0Nxq0WRNc6Y2xiiBs6dfTpnpgM8brKsW5vFDlLri
2Shy5F7AG/r9VPXElgQXR40Vht+8KeMHD9V4+eCZRUYrn72jFnUKDxwAdsorkcUsSVzm/E11pbMn
DIpZHmM9yYeEeLIQFsqHVCTmWWqfKXHqTtMqKJIwQxpgAQlwFN4nBoVEE5uYmSK8XH0zHEgrE7gZ
pJGwNkZ33RgbOHPC3lyM1cxM2HCSYBl38/DKMp8chskdoIPedkmAAJ7ptdI9rsPL0SqqfRovDTM2
QaaJP9dq5xo6firRwK+INK6OyFOzO8Nw9VJ7I90DAnm3hSaYwGgH6xz5qVhnXhLuEMyLI1c02Euj
wYI7p+JrNc/zIbLD4KbAA3E9JdyodTG4b22ajxthjc0+LWS007n3UJFLhiWlgDjYRTdpOg4MZevy
kWD7YBN2nv0amxfAkCC+IrTqYqMYx8GGa74IUb7o6OKKcpnicZmeGr+n15N3LaWF6wM51GRe1WNy
U0qiPyPnoMpN6M6cbPNsWHTjxcvTYQZycrh0S4aQ2H4xh8QPPAfudWMSYo09T10OzWNyyEhpfW5c
4T0Q7V2kq8ICtbHlH8U0BMcLqiyuoTrISlS7lHvqJPj5kOS1MEnpyceYMaySAJtC2U85HbuToz1r
Z9YVqg4Ql8EicIf4u+izElibZlw6jUHzJjIcczyUnv/g5iaNszZmoQiVwLrJfTLdRED6bpmAK2Bq
AbsZaMPwphyrkFYOIqu70fOAog3Thdrqq/7lAqM9xbE9HCaRO6c0tFAODFY/85eyapX1nXnny8rd
efAv/UVQOv2D54/ysdPusKOxNb35WawfphZH1U6CGnvj/o6/o6m3rAUwJnpv+SSjVzPIwPFXowdC
JUDuf06gT6wnQXjOwkq0VW1Suppb4KywDaFRRtsSXOuZHHfrodcS5nTtyPtUN9ZVbVT4T/hR1A0G
c1OvpMJuho8ztLed6MLzPCTmLfHwwL2GuL1qo1K/J9zCXNXAkk9IytqrLAV9HUD13HkYnY4mYqFT
nuuZvN56yhEJW4E4qqCkn18N4dExe+phL00Z8DsO5UVt4IcykKY3a1dlxprn1z25aatvvToUdzb5
GuWiNJUVHRjbuo9hpoW17KAnvg9zgedei0sDDj36snaqJUb3Q1JNDs88Zwh61vToSS4p0m2sB+yx
aQzjglSLaDf4+UkkNRZM03CMFWVdsoj81tyNnqlvVUIzk+iuYt0IsPM1/1mYw5zfN+BJAVASq2DG
/rlPMBqSDOe9p5YfXw9hkG7wxM1oRNv+GCotd27riLd0hkvc984IUDsAvq8d94gMhWsoQ3UVQC1G
upigdnEpGPNpSmaUoN2whrv4ZjZZsc5Mo95Zdq6+YJHYKK/7Aui53PLoR3szVeuokjjUkrT/RizL
R9KU7lo1Bvx3nLTLvkDiiafpEBt2tXU6B4KxGZ+hWLkrJ1DGrQkihMlFmO9DIzhcDB8IK9QocAcb
0/NE2lAEkTCsb2VgWzjyiCtY17ZcMQCHte2OG01vdwOe7zkTk9xnZcuso47fLpqr7IBuA5AbR4h0
RSohAjT0YuOmDez+zuzt5Jq2eIkSqGxPtZT4qpyv3VjukLnApWowoKBv6WjojibjfXll2u3sgQL0
QLAqCOnk8mDHAqreJUdp5R6Ou3KeCAEjqnAbR4L/2xW23lZWcqjTABJA4EzVtJojZsU4n4HVwtah
C9/X2aueMjLeEcu+WBja/CWKtPg6mdoej5pZiWVuGdVdRStyO1eDh4LB9qgT+rE76ihM9UYi/Fk1
04xXE8Lrh24JAVmzxTvwyqmoKWaMMFuWAxGB4G8b9oFYNsW4mGSTN0tkyeo9L5ru7Kp2OIM6ha6Y
Z97KhYiwIJJuWpLjfV0U3pmvRSJR6EzJg9WICq+j3w7F0gyG8SkIom9QK4eX2VEryp5rJ4JPkDZV
8sqCWN1hIQND3Dra+iGJ5ksVFdGVobxFize/kK1LgIKbjYfEIlwJYy5ZoeAepyWRe8O166XOW4Mn
52vIG9MSbHHakRe80NpwN3h268eCEdIuVNk6Q5x0IAy7u4EfEz6lji4vEG3nO+wqcOy9XW4k2PWc
zmSu412GUnhHYoIDyJtBHIwF4rCxLNr5DXvAsO2ytD+RETsfJAXZUzy76WEE13io0PGurKoS+1I7
LRuS61yhnCywtsjY20c1v5WD/u0du4jYeWHbrEgJCzaNrgCJa9PZYq7ZYl59nBTkHJKnV64zVMvS
qleycVauGAIygQhaJ1YFw91Qf1g2QVVIHhnAjWotmcZjys9XuiVCg8D7lZLTrYHD8YD8wt6n5eTs
YvzRrw7r2bKxKSmcRpPnDQZvU7ZxwQ4j20VSe94tGXfmVRhA6NEIjK9zRHWcfTHbl3iWV31QL1Gh
y1PYd0cpp++m2YCN79mmoKpTV3/rMhxOUB7oc1Nqnfy0sDcgFatjCypoa8woS5qBXcWvzf6hDer2
cbIvzf547DeDOZ5ESO62y9l1RbJnguQWoGozMIoilEUh/Cr9jcVSFi0ta3zhRf0Vh8H5rQYDuA4S
kWzsKMyvBLDtiz3HQ++lOqh/ZRm7jMFSJll4Hnfkt0U01133tuzZywOU+Eey5NOzdNzsNAVzcMvJ
3LvSwG6vGF2n5EqWqUPAiUZWh06svuIcom/BFjsfs0BDabdBfrZGaRKpIdWhqzPnw48C/1rBcl4g
tY7vrbqq8PMrG0lMlccvhqnba5bNbF8huFvhnHnHQuPv3DzJVqGddKfWNr0X227bdY6nFZUkGz11
kZVACZkqkhnr2IpJfAib5jLKmlg9gHWFMx6ijKPTzq9dtTccd7oLkqSZibzsDkXsBqscg/EBJsr0
NABnOI86ei5IcL8RQZm+DMKrdsDXY/JUrC2gkhSZVVJt3FiZa1TJqCMjszjVbsJOVwYh/QYLpzjm
0VXn07VHlOl8ERxl+Jk9fa46Fjzqx+I5Qt/8FZZ2esDNzg1cN/aVZzLUX8xh15E0R875bShRKutO
dWu82+N7MNGRVDH7XuBJ3nlC19S47OOj64bHwq3g2/bhF49kgCXQzouloX/B17ufw3SLH6Dcmzp7
Rb7d37Cj4tC2KHlXwukaAg+NlRBTSZM6wABXDu9xzMgoxah/SOph4rbu+z2DDhOtQpetAf0C6tJp
sBsib+kLKDdllSV7N/uGJdz/FnqltU8uoRqUsGQiDFn9PhnRdMx6hZTZBq68kQOUnkAPYo15otgw
Kufnswf7bDgeQvEorRlCAWSPVFG+CW6YE+lRPSmBLU08CQOeow/lROXjp3cnNBC+iJZMyqf7IIgb
6oUke01Nf+ar4EHR+Ry9cxiT+94h+yMJDAIV/bZ6NIx5uEv72SX6ObfMF8ijxleNRGsD9bfcIZH2
ac76Wekv51Fz6Gk986b2dLsM+mbVeGmhl73vpxuPgZi79Ac05pzk+nhZNlwvx/XT54mhMnfWQHgh
CmEE1h22hAj+P1tKQeKmukTz9LH33afg71v/aiScdBmU7XLsc6KtmONRnopDqsjU0a7+qIZxN4T+
g4dckiymPr6J2RLRIOTTrvHccDPZdbXHidju8Zm0L5Uo+te5NzG6uYECAy79qwJ4wbtBzZQtpi5H
KVk7UClVaCPJ7d1ra87KK3h6+sX1go7ayHH2haCk7SwD1K8/jQbGHlpMZBY4JFwQXocOOM9Z4qsY
9ie0IqhzA2wYSn1C84I68UClTMpGjegQkZEF7lfa7QqzPXGbTyUl0hpYoX8CTZQ9VxhAtxMI9Z2S
1viq8kizdxCCcUMYGeoTO59vwQH0h9SZR/BpDVJVZ0hBtSMtXAf4pvcznYo7X/v1azgF8VbVQ/lc
sr+xxDfW3p1svSatFSFuK0W3qNpSrbvWFCsZVMVt67QKiUnR1x+Q3XqgeAqNTtPbzbXCHL8euolc
KbI2vRf8QRfuhvwepzlsuSi64NuJGbrBIynw7VvxEwsHw3vRdNGKyKXuenRneagDKWFsTPq5w/P7
ns5udoOkh8TUNitOQd07p6yuQd7PF5oFjD7ELLaWzU3qtuWZ4jopLybwaUdMMktNxSZ6Fxa4ohbM
bLJ9qQikh8Ba3yOIwc1ICad3GvDgyucUA0XPRNWa5c2jEigPCouklqlJwyc7wc8T1IGFymDuk/2Q
K7lwGnhRmvLsUFXz8MwkuH/wqUJvOzmwm8yJ9aTlGB/83kwADnbsReSFnZzZgZOQlohkajsxr/OG
liW5ieRPJZmzFwhFMBqjjy/QgCjntbeNqFz4qSVeQVmlZKO78/jFTnFrLSTiSRoPrS2qdegX3dGY
G3NtFbhEFlij5s2E7v6afbx8icagfOrdCoRAaXMw8PBnTsgzzqjAvEflpu6B4QuS7K5HE21IfULq
T4mVkNVY4ZCJ+2dgNmrlMIc7B/YotzWgCYTcQ6peZmgKFA0Cjn3pZUcjdag64wRgsdHZYLSrILlJ
GhVyab1XAD6sYPC5ZppWG1jY/JGE9GiJpLZHnaECuDNAFBm8LfNL78HUXCViRk2sX5kmeVJUhyJt
un4NpUK9GTbni3FOKJf8VNGBh62jW3pWJSOsGFUi35ry1lDjfRwk2XVs44525JgvndG24t9b3v/P
+r//P3pCbbi8P2vr/uDm/a+b+vXbRxP9ubV7Ybrzyj/auvZv3mVOQ2tW0ftE9ventq7wLbQgkItJ
VfRMZo//4uaJ3xAh0mzl8CaxpFm86I+2rrR+82ymIT7EWNu0kTL+d9q6fx1/AhhFJkQMtFAKlKU0
P0OI2xwGft05/bZMWv9+wDl5znn+yDj14/rN8GfwyMBkyl/NP9UPJPq/RzqXd4YpSbnouHxxxRCY
dvOfNBFdg0JpdAjnVTb5RnFtOeWrlgM1QtybcOa60kyjZVwP3XOGr44YXBIdLlg92CBLssaE2oqs
JKmkYZLzElRBTCcJzdaCKIEQiktN5oNoyNhbphrLyW6QZg4hrzPB+5gDXJhFWXjTmzVUC6ud6pxt
ynJftK3H16mQ/pMWiY7WhCv2txNYtXKVMuY6xrSpY8qiAI99b6K+y2033kDm7lfQnI42MZ50ejbT
MKtlM+dvuCGXUWsRyVmYxaoJindCp8yrBrnLLcdv9wvet2rL7Ce5qnVJXmvEgaEgZEEFj0afxURy
hUaxZ8kiHSeYPigS0i3koQ2IW7lvSSJcYV+78aLO3fQjocYULZBUzPwJKA9Z5vCw+LZo9D2DMsmX
d5OuWAGS7KLyL8j08C37nBP87o1w1xGvkGA6dLywrkAxlERXGRcnEkz5hKOpfMUOibfOt3HVUfJE
GZG9Vr3Ng2wz1FTh1YXsTjttq1TdLBtnzvhHhJbJoBnOQ91VVxgb2v0ckE4TZE1H0A66hwI67JLD
PErqEGZOO8TuOoUgsGpGWjOtEyLWhO+zsWPL2dvCVaRoSLBYddcdmAVclIkA6GZstcvOyeUupcdK
fGGo8YOlaus7WbBCCgNbcKiNNaSGIlw0hI7s89ywv5VmH+46m7rXNZRxYkXN9ybFyt00Z026ym1I
LyEEHUI4LskiC0YIFvBCL9LhimaDjRTHUxcFERzJVxAEabEsZ4vrTqQQGRGd7V27U2y+4VvR36hP
aavTWnGIkYyGjm06vRIjTWhm/wLgnPSrfYtnJRS2cSC/rTxEsy6+aLTE/NZJTWdVzC2p0LUzxDPU
PQjrC7IelWLRV8WNJu5QLkTg4L+zoZitJH3Ik92k88VugnAxa7S5BXuVaTyykXevHaOuQCmhJKlU
Psu1Y5i4iWZXedeitiLKhWrqb6VBUIQdRlN4IM6HUoT2r/vSgDYhGkNi9KhcC2FY5RrB3TR4Yn8Z
Z+SXYCuNh6OQ+9TETruIhBfu8G3ZDwWkKcI7masQBuJ1CcEYkz1YmN7K7Gzpon/ywwqPC4OE4R54
lrSOpAfVw9pzaKUepqE1P4qK5DFlafMptaKq27batJE4DYG/sS05Qd1rKhi+i3lyjDuPDs5G+RW+
tcYjtVE6siYIqQKqsbAIRX3oyJXuKNiNI9QgfLX8z1o6YezedXREUGMSorTJZoM6YPqmwvSt0dEV
3dNtKQx7Q94XsuxeZrs+8q2zsqF1VnZ3FbckBXt0Ma78Nk4Xs0nnT3JMWgH+AAZaVqdczc0NAUbf
sBCqBRMsjQADHZdI3PI6Bzy6Iana37iTpq2v3fgG5Vq7HbEvH2nbyXU7jMXbrOp+M2lDncSUhCBw
pgtbsUnH71ojJuOwLeMjWlGM20nioYOcc0zyMDMc882lmXzIZJcd4RohbiT+lzLPbK2VaZIq+VEV
kwl3GbKgvQRapnkujedWh+u8bShWUL49phESyCbv/4u9M9lu3Fiz9avcF4AXEGgCGF6SIEVKVJ+S
MidYylRmoG8DQABPXx/Tp6qO06fsVXdwVw1qYvscLyUtEoxm/3t/e3yIyGNwssuY5aDaTKd1XL+3
bsf6MTSeR6SmTXbwbuR5cmHaeQXKXGQsFc+V4tau0+resoH+bX13dLdYZJJHUEsFUrm19nrDuYmL
jCJVp61qvB1meAUxTY0N5Eq93EGAoulAN8LZEDOXPFlEk1gt1NeQ3PvOqv3wyg0ZrV9AsjTBAU/K
jRCfwrJJcZXSTcIohT/B8ACrubgFBz1s0ZCvxpKqX/qATrpM5bkVQXoaA/8Hu1N2WzdReyj7TpGL
40kZjmCfzZbJO0bffl3pEcgGfHo7C6TiB9bxnJq4AuukBNXHyCThrBmnF8IbAvyk4I5Oj9miiled
EV0qpRt+t1NnPHCPMN0W+0l28IlXTVdty1AinqYppIqiqF5oVl8AZTpY3suk/hiZtd4Ppku+LiXE
sKehq1hm9VqnetdokufMcYI+x1R1kcosxOSYmPwK+mB1t/lof20xke/9aqDXWTjTtQRJa/r6zTJj
W9HhOwicvUPhyh25WNdBzr84GrE/hwxnukw/z+QDLyp17t3KQc4mXoJe4FHFNr+E9UPiMr0E1djv
sCFZ96X2kltjXYrYyfBnobe3hz7bObVHUXSnllipY0XfbjyHXn+dd+xMfj9hkc5opZHpOZrsj04a
nPTCYzyL4xRnxnLM1ijd4pgQVxaQBIBzibUTorzhwG6IwvawHScOywlVWwjQig85Nd517qsX5RJ4
puODByCZWZ6VqzczHIppW1lr+lgZyIG48fYQxGM8cg4la6O4SQ2k5tLSzsbGdvJhlOD6Pk76XA7U
l2SWIzaNMQUXrE5s1JD0h1aitvAJzTFnQXc74K5mZrl+SkoGngIca1wFvLElRePnJpzgcw7tp9nH
oU6vTX+lIx+S/3px/ge9PjTYvQ6sQCHOadrJw4IGWXsUxc6vveAK+IIHTDG6ZxLB17cS3p3hc0eV
GfRW9JOha7kIoGcaqQ59yCTadXuSngO3h2uOCwNE8suHmqIB7EdmLvdB1tKvCUYhjJs6mT9H0i4f
pV4xrkZl8WMwPmIbW87RmaL5NW9LmiuEadA1fZuqZM+MNQXHdvLDTlc6cP0lZPRXinbHNpscrCn0
UcYzJ71XVsTOWajJPqFMmAM18O57xFgRmq0wd6haWLqsto4y3m/ERhVVpEyniZiDArf5pCLHv7bD
yXleujz5Xg4k+ZGzw+rAWCsrWJic5Jhr2z8p3mobiSePYuVaGcMpmhaBbsG/PzQIFFTBC+cFWnq0
8QiTXvKeBviRKNUHgz2bmvUgkg0fQl3dE4u1nnEn51dZOizXuclBQtrL9Ob5urpGBKytzcrx4Rby
G/DlYUSC1BCAocun5AWKfFm+U8VW8TVlRPfYy2h6hA3cch/OwCBxtIUny9F+T2nI8BIujX2bpHV9
Son2HRYBiYjNj2EFqZZAvWVe51FwaJfXvrHM8zRX3tVUZ9ODFRFZ1CJI7t2hCc+lEzrgjkL5ZpWk
kzrVNW+ulxzxs5Es0Oq2D/MA6Imy1riz/CngOfMqTu4poz9WPGcD8z67oYVixeDQ94hdeGg2c5IZ
XFncLDYjqmOJD4RyrA182Oo2iWR6oGenI0pSX1TLBZOJttYjmIELZr52PrnBNBUbQLME35M5UPFq
USxxzxbB/jYqOS0sYOTAqwHGS4n7gYF/He0DtwbeQQ8UqqGXb2UZvedZ62BDd6h9DOvlIKY82Hdd
m35waCljStA0cNGV0gGG50tNc+bcH9tuGj7zpV0frWjgtOmb+lD0vAgdZ+LSMFvEfgUQNYCock//
rbidB3sy740rTPcAAqMrn+DdKokpa2XY0I1c8LbM8PJ5o2tq1gAxThCY5QirBR/DRCqnbfLHypvV
s2md7MeK4n5ANlM0fs+eOozISA8ttVefaTfznkczY1ZdehG9jauK1jjPSHWqyko/zBzkJ6DI7nvn
CU2LA6X3fBxtYB5tDqjfe5cBqZobhJ4qM93j0jusFSsBfA5sg8OqBlRbHToDNX3TD+5ITLey34tE
eiSM7KB/DokP69uk6Tw3hu8n6vhSUhCrKu/JyyyX+hpfkWqNKiX7DbPtJTu2Dg/hbmTAmXNuH+DA
VksAt7Lg2+steUgvM/vhdePkUUD9ZNfeqp5CbmQaRm6ksWBc8hexbJqpVceuGV2Kcub0QJVb+9IS
8XoXXImg/LbdY+97D5lFqApT0q4dwvBaL4q5Kc8hfRKB/U6n2fxF1VF+DDI/e8nXyXpz6HoMY+Ch
3ucgW8xp0jOVIlHYXLjNwYPCeKU2YFGTKy8v426hxoITdXpjhDdfdcMITYm38H2SaoJoZAX3Xtr2
e4ZyB0c38i6jFe6kA+Fcwqn5Y+1Z3jnS7vhzMmZT19miARuKMOjELZfkuunXnhVHJmeVhl9GlX5Y
2AQfGNMk9cZ0fcVqLQaxGYIp+jGGrdymYwWJTwSKtJZIX/owGl/nnG9OadX6NS8VqE0TuGfaKZpT
VnrVA5OpH8ojcISLM3rsOM7ekwbvOF1l7XcPagU76CyuyAoFzyt68mlVth07q55fCgcA/mAV6e2Q
+Pl9g/8xXvpuqOPKafWNSbxL3adqjwGN6A8TAsDObTPQS4B22vuRO+nXbhHeQ4onZL+sEZAbqNJ3
E1rukZHGKxS4jIQUQFqOB5VLHX0ThVtGEmIP6nmFG1LikTHgYovS5Qykc/FGR51gyo+KUVKQ/JYh
yX1JmL8cfMU5jW11eiQsv3zJOIvd1lqt8Yop+DxC83nSnPIYZZe2t18pRj25RLvOycAjPw2s97Jt
xi9Z1tdxsursfYHCQ2VpxJXaqRHNkd6JzU0L366MXWVHH21IvzN7Sjj705YJNlMXvAlrm+bnmgzd
S0nHyMknFP9iNTxXQxpU3ARhbzNOIOyWus69BO11SuQ076xpLJ/N0opzSoPqD282hOKBhornkPPk
rV2x59EkmbgfoSq4YY09Fe+2Gkjxr3SeXlk8aEimJczIjdbFCNep0GrXWF77qk3bQT2PjPNU+MA1
ZS+G95xWcgNvfWSkaqKufoNQk7zP2r6YahXry/XQ9MH9yur3svZ4928oj6ePsgoAPBDkC5N3pWfu
VyQJ3a9TUMOpF9WKrCubd9hbLWK7LV8bWkO3fqWbG8VJLcOws+T8B+XAJuqw3GdwOh8ji9XbCXr/
indyuOudYTqvxaTfx2qcrp2JOcMgwiQemqy8wqG87FeytDdMQ5xNo7L2rZe42jEHWI8wtX0wEnaC
uWqrWeKJHTRN/UEDUGBuofKm/pUV4KTy62hZNuOsnBegRE1KJMNkPybbC/f0CyzxkoNi2SRMrigE
xi7yWnCH3Kkk868GmUFM5JdXnAm8hAu1SAevQgKe+pvFntLPIsqcZ5nXPEAZUTPkn6F5XJpwMAhB
qn7xqu7HUGRdGHdyqd/XPll+NJxBj6lvsQyheO/SqqOgc7Iwv5nsa6EQtpyGVk+5vJfGX3ZkExlA
aJp/5zS3L4exF8bvzaWi8clOIFYraN3XKtdI/aph3BGV/s4KmptipEk9HcNHnQ3eHeik6sZW5IYg
l1SoACYp4CXU9LrghDlmZuFxsBD9TmsFHpxko3vZpiosUDB2IgzKbFUD3zRrvTbjEp4ztaQ7RI/+
4ESJ/TXl8fnaQiVY8a41FT9fdtdBCsN34gZFUaWrH/NF3pMqcw7szczrEosZsHZczGO0kR9KK4Ld
jyh15wv77qIJfbaDxIMc1c7kZwoLGignO1xsNuvVOYUlg9o1+KnaEOmEEZNz8cTUuHrob6veuSYt
X2w48gEQzj544GhQetuCJoo7+jhQ/mdw3tpLg23OeGeH9YMivWThe1kmEe2HYEn2VAcU8OnGpr/2
erTErTcKiqTUJPZD3w6f88W1zzklicMmSMkTDt7kP7jZ2J2pmSq3DZVT96lju2e7tWqEs6iR1+OF
dk5lTn4ScFCvW22315mXhThzMdbVpFrUDvp8/cZsWN8hrg06JvrAkSaUVRF3k7XMmxVqaKy85VvE
5GWnCeJsoYDZHxZz4uPEwP8pYGXaBHIEM9K1K/PJNSz2Kh/Vvvft9e4S1jukQmJXcfIqPJtCtw+r
ZeBajx2O99Qirhg088qwuZSnluLlT4HfsQqahlYH4QZEqhGvyPdgvrnjTiBegnTxGEbbE2cunLfu
wGamm2mjKDTmuudAQxfWp1BTtpEvGGSBycMbs4nzxrkpzYNMBHa8BSKnLoP2ZDU26DSr7r7YxBV2
1IBmu6EiRbXSO8F1ncFY1d1N8H72fUGPhMNsF2Apbpyj9sLqpjRy3pO9buWuTvN22S4hsRHPTfmO
k+Jl6BouyWEsut5h4xHTrVNGw0sQrM4LKTSFi2zJ0w3KFeiYKcgJM5Y1oyUP0/8z8NPK3hO7Mbif
mN/Xe/CndnMN61cgybYNTrsK8WPcpIWyXsk8DqfQToGsTRyigQql+fSItarPGPoH2VMqV3vmPIMh
c4PVyJ93eZeNP3JZrYd1nIMvhViDx9BEjbOXoFK6OM/xme59t2Hdyrs0uqDgAzFu8We4jwOkhALX
aiagRYZR+zp6bv51suxl3QJ3tb2jGfokOK1I/c+Zt9ZvnZvMByuvuzsD5Udhh+qGhwkMF3IbA9L7
dkaIcycPA0ShP/tOBpwxpAwOznP0xWrcdA8sDqIKPaunIRTVSz5c8FU11tz9GKRk5mvKMayF7h36
45jst+Y2yC6hex/nwJPWk9nZybI+I1/6p7AT8t5dAiSGfA5pZB5XWLoaFOYHqgHBbFULRvp2z+jA
Msbydpac+ys05G7dElE3b1kYsEEgoS5nXXkyHtOHrJXjuFN1ED0X2FtuVA8Aqgj6YidKac6JYCe4
wlzbYmKDJ/MVTgxpy3QxmCtMA1lng+rsU+iBV2fTzksZ7TK5WN1Wuyi1u6mBGw5Vrcn3bCPivvQi
/eAuYn1FOJ8fLIw78NscjHTwGg96aN1PLm7iO3A8XpyF1mzvmwyc9FD6+d0wUmsZN3NIFU9bpFiD
gvJaE0+57y1RdEiQTupdd6Fh6uI4JM1oW8DQu2ScsmgisqY3mtkD5H8O1/vUN/nBTjNzh9Mdo7f0
ChrvC96Ih4ZmDAskmVAfiZPCCMs8x3lSyQXQlVGU8JRnjOKNlXCBjkDrsp1SOQudj4uUqVz/tm+c
4RFgoP0oZre+Wyy/zjeM6rvPqwmz22DNO+7yXRic7cGykXHqIa+vMt05n4I0Etd4P2AtVvg0yMiM
6J+YTcFY5YuVfMuKan1vI748MYYj7p6T3c20jq9pDfXN5Rq39lP5ytNGJr8uM3YCVE9zN9hu8m22
yN2ngi8RPtnyVVLjeXQdvZ5pvJAnBvz2QXXVcM3azgY0RPbH4I19uosadj6C/NanwMraB8CrEM7x
C914s4Zf7abjj2H0sCLw2HbEty5kik4b8z3Ik2rXl+OOO0SZbzXY+KvaW+WJZFu1o3C8fPJAwZ0s
UWNpLJbxo847t6VFaPEObWnXV7kHp3kHarB7d1rKTmIKHptHrkio34QkPhWTGz7A8iohW0mIwaLn
Lz3r0KCm7k3piwUYJyzjjkwO1onmozkeeQ+fINrpb+xAVbjJ5Rw9W6vjAkCuepHFFN7eY5weHqFM
+UwPWFvqjTd64EFtre8rV5bXrcMPOQkATCiJ8j4wNWqCvVTjlxVZ7bIhT+IcjpRQJZJbyYaG7/IR
2BPt62mUixY3T7M+mIIRG1YrxiZ2Fjww3KqPZBnTx0H47VYUxt9OU8dVw2t66kScdLOmdOdU0xKc
+DF1x7fb+mocMo/8z7c0mYqYKmrzzpU5vB3lut4vpvroHAjuxYgxIm1oHsmj5RxgTH3KZnc+9I0k
2pFGT0s2iLigP5udEenyqAcbPpw7AwDJcSA+g03jXBFIvjxLq3deyfcag/Uw7yeur0xoRhQOCxvi
UXNs/yLTJrhPbBvCiuea/tHjQM9NoPRJqoQjuxw0jfaUTb5bbYDjDp9VYfobpqvfmr4Ac9/qwb9L
IY6f56DxHgxyxpeaTlDKGZ1Eaa67jG/SkadpttUVqyrJhYxiFWWjKeCDEz/aOpmsDTZSMGBOM1AD
heyOS4pU8lJtfY4I16Ml61eX5kUOnRFHlhSFs3DETD090xYCK077wjxVHyveX2zQVFiatA93trTd
OIS71xxs1/fYTRXt7JnW1ZfATQjvJOsYl8ES/oAYOFxjhMCmz3b/2QYM1uNMKkNrW9gTOLHE5yAr
c+ZW7jpygxFOOl8PAqqoqDqIJUxzkHtb/731vdrDcq2tI2Fankg0kgzYJZgEbXwWuUh2LQjiIaXr
iJkPyNz5OZPG+2jmxXzNOLY+d2Yce2AG5rL+JxckVJSHzWZ1jfnSFcwvN6wK6gWJlKPJWnHHwyPH
YjyNoWQOU2iXjabQ6Xm2bPtr6fphBdeHjD7DFzaupY6CY9JI+5pfinw8e7CheY4W6cXHfQsfE45q
P/itBwlF1C31wOXy2oWFYG6TRnshWvb8uqPkIQnsJtk2ibCSnZbZeh4zoBQcUckzy4hCdmUGAHJ+
schvEcB7tDybiR9+2YbdSmQtIBcnWvxbYsFpv0Fow6uUp+xiGyIJVCUFweh2N5ExvAwlLgrAWUN/
VBV4zqdy6pmjCDoUzCRNQ8eUZR0R2Ssc7f1w+T9mvnS4SjPxiZmtW0IAFGB2q9r3PzDJ1bctE1Ti
5oAm1pLtcpMQDxqO2q6cYgcT17yhN4u4L3LrGWSMDU4AMvOoIqO3HvPBeM7sYmey0ibEPImPwsNt
DBIg2ltJ0adbD49PsvdxEWwjxOHrtbKB59eduYW2N20BVyOSV5TaM6YRMZVADt+sScRWPj94Fsoo
qFZu18PbyCH8tCQ1UEOrtmJdOMNuXrrpu9P6+XnkOHErLquzWuloldKme35qBSZB/mnNfTJTzjjY
bzaYutsBuPKZnJeIG21joMTsBqkO/OdbOrbrQz9N9U0D8YgxOtFeTyTVsXSk/a1sJxmrNuxvqpHg
bbJ2eb9tsznbjRR8fRuUm17B7JPHfm3mK87ryMTNqPzfM9z/32w/hMX/s2D68L25fa++D7/2Tv8P
9AYRw8SWc3Hl/Nepz/N3lb6X78sfU5//8YO/u4Mi8ZvkUuMGGGZxV3jBf7iDwug3zlp4huCEyX/8
m3+4g0Twmw29j2gnt1NXglH4T3eQ/5st4N1h6wn8CLCN/O+4g3Cf48L5J5dOaAdIGK5vM1b0+MMu
tqY/uHQwPIR+JYOrnjOfugKnQ41VCCgWW0mUoSwXZYmGybYE8TAYnzDfhACYMMivVEkn7qcuz6tj
rYOgoJIGxw8CMwOzrU8kszugTbufokG6tILM9l1lWb6+d/06YHU3NAJvPM/LoysWGaYu9hJ27Q0O
RXNcBvrDfF+lDLgSrZ4HRFF7M1mlJkHmMBhzxu46HOX41npkKkmhRTGiApOMOny0V8aK0Lpul4Vb
JW0ZnFTgZvffaGRv523ukkHY8suqGzsfIk2ixFlvfEq+mAFi6eR8WYYHby2rK4mqdteJjNI6PzQ7
5a/u1ZIt2ZXwaNCrrQULfFUuwcOcujh0kSsPs1PMlFmWEQogDH43oljFxfkDfJTDNP3HWwFYvH3h
GoA5hLJGfOAdapDD/TjEzpMtVdwIbPY3QiSZOsGfnh6oQg4WLjONR0NGpvP5kITTRCvVXKpiE7HE
EYFxEtPuFPdxtpwmp4hOOfiaGMdGlvOwYlJb7noVBvUDnjNLUZ7WJf0Vay2tdoCUnPU42popQjLN
kbtr8sSZ4pER+EryIC3fMJ10XGpodRFkegkkg/wVXrElxXkZIgL1wJETDNNBssx9QLdVrPwt5uC6
H50XCOJRv+MUovZNPvyIIsMpgzEx9A9x0/QI6xuXgIJFxu5NBiDeUju5nw3m0aCbmWdoU0Vnt59x
PXTZg5MV9j4gUEhJaMJUnYTJfBi8evhwsTNfNcJKs0M2rZmzKxubM0bQhs8+qUJrs8iGauoq0+ET
+a7lhokVlc0m83fZoEtKs5Zux9wG03NTpwdkpuZky7raWQOzYjsLiTgslLGszvqc1Jmzn7qGNCZT
V4auFlc2x75TcI+KZhieFhwiHEGD4c5STkIr2qygzLmjR1F1j6sGoIIkuAkqk1uTNZc3PgiTHX9W
D7uqrG76jts5souXPfO0jteN7To56c4GYWeJsvyIh2BuN00y7irKU+B54KNS01zcRWEyfdZ8tgnY
hgRcFjUIC07l2RAFWK2Zw3NP0req5Au6f/XQLcDk5suII7LXl4pM0gegrjnuQ9k+VXi2DpJCPt73
fDkE8Oc+y0h7R6oexjO10d+bEcMA8FhRxZw4ARxZeb7nQmQVb601B08z9pICHlMhv8BBd4bY5kBx
nNGm94b6t10mWjcOLDHG/tSNe7uj3HDFFYQhzS+3FTUx9CLl9tbrVXmF+HGyKx2wwlQGg7Y9vmER
w1c0qPJeRUTuBiBPp25Jozvldsk7qSHq4X8u9P+7Lf4dDcFmY4Ts/Ffb4v/tx/r9Gzvjv3LO8uP/
+AP+sT3K3zjNsNXavn3xibLR/Y5EiLzfIobrDm4ix/8dyfnv3llAnnASgjCMnOiyTYawGf7dOxv8
Bj+YEzauPBeSDdvZfwOJ4P3c/f6wO7IHS5+CFky6GFl/xZKMl0Oxm5rxmJGcPftlo99bS0V7beSB
wrHw2KxTP8SlTiKMIfD6wSPM5sQEneRi2RpuCX3UNfXOo6fxra8mLJRMG4oDcKBHFqBdXlTb2kN8
bQW8s2QtJHoi9D6IzRcI6OxMRHcrTWFl4VEg0CGTdZgrr3xjvG/uYH1mRgeWrSfO1BlWb5CT0CUF
1z7J8VYW9Pi1Bds2OQccGQgj5M7TeSsz+ycAqHPWfZp1PkYJ1r/9mk03qR4phy2caY8GLq8id3os
/UG9uQ3J0bjxfPVcyqJ+7Txr2IkRC8RUu0TZrXkYX/qucaGvoTFvQCDEUT81Z29V3q5QSDZa+gyM
+qZmZjB1BG4h4b1ks3dD4uVQ46x+4q6KQXEaGJCbXi2bzoMUWWNiPrWhwXk6lpwfRDQNL1Hk1J/y
0owryEOZfB4gOpwUIbldoFKO3aFjYuoDk899XWcH3lMKGyMhkGYmJ93mQ53CYZGUJrZnjMoEuUIf
K4UXwDenotIjY3h5V+z0tgrz9l6Lun9RedAdqeFIDhCM1Esnx6/LrGYmRTK7NkO05LtU9BVM6kue
TWfVjcItsuldVM9kitKvmR70wSUlefREmRwMN3pSUQlSez+6RDWqR1UKb1cOlzZhO31A/PsmDE7C
gVzUs4vH67ZfyuxqreiBtBaqZELm1ztKxvdZt1q3RYbxj07ptvvE4s/ojUMf+AjN5DBsp3QfjGOy
JfyJj1DSYDAJJ3u2kOheuryqKdJZSVU1iHBbYXAvrwPzwr7y3Gsc3pgXpNQ0TNAvwAhM3svUgY9h
D0W0KRDo0OOixDtlnHMJYOkguVlV2Wx7xhubgOt9xOQ0d2/aqnmKorndw2p32AaXovqZykN+7pj8
sdnNrb/trA4/jhtW9o80o5Qj7lQYIa4wP3+s08QraYmp1FvnYWk8hAxjvrmBpQm8YgMeCG6NWz4z
kJVu703vqLPm6HPGpVajDbLPnhUMV32C8s+FybYfsE70u7kSwdFxuLK7Na52xMVaUK2Co/WZ+f3y
5swq1Buu0kTmhN1wAAwJP9N03RfBBitD5cft5ZQrKgdShVmta7cq5aFbPWpZXIxzzpPoyQty1lw6
tYfo5kavk647qBwwfuMyQpDBsalEdyB1jVt4UyrdZ8duGHz7Lry8L8x0VmYl+7yUafg8pAv+Gt33
+SbhQ3kTg1vEwwLWHTTScdRpvdXYvmP+GO8aJA2wgCKsljvHmJpDq0wn546uG0V/gCR3n88UozgJ
7hyPMTyzQPtHTmQ7rul0Y3omEuDD3KGp9xSbvnMEyNcBLyKZ0VsspemmchEbltXT+6xwoMQo3+Dr
UsHs7dxolE9TZI6opXAf8A9HJ6ukVIRE7tOQh+qWKfUrR4AcOltNeAiEBXU9H07FvYIZ0WxUfWBs
wkx/iJCTa0YsrKb1WZE9PwWXgTE2ausYUMzK4R4Xddl1lKV5FUMnFoUx6G5SnMXMceDvr0kIxR2+
TEgXFBXhVXdTpsS9hO2lH940lIeQGPxrpv36dnIL/2qcBG17ER13oPeZbk+DuisYFjFbH5tHiQp5
29fUQXik02JOLUAtDKdXqAnmiWEZqDM6co7LCEKmk7I/tUGKTTBqkp005Pi8Jv+KAcZ96hqHwVut
pktpVbIPgE5QWDlzAPQiZzMl0ZZy7vHcldh2wFCQjMoXf3ymwvl+avvDBCsGFIjPQavPU32XpFSo
+Ouif0aX0T1otfDFYero3VgmhEekGlvSm1K338cxuy9mh/6rxMGQqrXe1vkg71Du1JsKrXGX8m82
uIPqN3bs9miF7rM38fzjR974VfJROjBUxzq6tzCHfe/zjCe9aa9bBoukEwJsvRHBsx6zsqz19UiN
yrabLT751q22FnUm1gV2gCxEpbdK/P6QuFCf3UzLPd7y4SZPGXjVQ8VpUDRmO0sJXWHx1zeL/+59
nidrnJaAFlz4ReeQwkubdm1c5X7zFCC8nkquuGRXy4koai9jutc9CsRN/dAjOcWOLBVo4Gq9ZY47
epy+jX+VOglxNvDBI0dybvZbMvEkccsOqdZOxPKC6wMpiXnYLZHQlnyhLOIo9f1vuut/tB3pBnsM
u5MJEnefoozH2vGyLVfk6p67WIBhgD4bU7rF16at6z26MsEVBXT53tPMdssJoidPAiuhtuyBWlIA
mIC/2FESgupo2DI7IamuR+JF6rbV+kuHSLj1OYBdJ7m1voBUO/u1xKvtV+eyljEo5ZHh1Iy333Sv
/3TGu//9TPR/6rG66MV6gG71M8/zh7OSj5AAwAEtkOEPeJA/KglEuulPXBp5FFMmZiJuKjpldWRh
hMPPAgFAHka4mBU9GKdxxgZejn6FeYFbq9HEx2FchBmYz9J8ilI3vTj8Kp1vnb7IaHZlnJbFiHnz
vKU6dfnmX84XoT2Fd/ncWWKL4cq9Skx10Xqplj2gqlwKVjM3eM9WNiG/iEKYU+ITAIfxSGpGAT9m
2S6IDmysnIn7hvdWfZmaMZoAD6T9uepG/xzAA99isVkpfDI6jUncM+1qKE7NnVl/c6s8eKJtfWJU
izbXA0M4iK5nQb0s34R9XOsrUt7oxiZPcPCmdfA1arV7K1yFJ9RaWgK7abdsefAw47VRKtanwB+K
z74o23fAr/a4oxXcNeD/Ot4kvyn9W02ZXXqYvUAF/EiH4SVpg/rDSoORWm1/VD+4Zjbd/dLDkZkG
/ZXAwryS+vei4S7EahncFzYt2HG5VvPjtDDb2gRhrp14mQSSvje9zEb4bFGL6NW+yjmlb1weo+4d
QUB6O2+w/NdOYx6L4D6d18At30LoWawIl72wmidCB7Uh0i3CtHtl5bmU0Wr3SUyz9a2HEAApOlSf
pO2OFxy+yt50hnO5sCYscnbG9zGc7FeMu32cZql5gLWdc+aBcsnl2y6uvVT3O3dpXKATrrqb4YJt
ddjrRymr5ZpZr0udgxLbtPbLvWvKN+E29gPTjZOcHQ44l/MCp5rlW/vzEDEZzTzKwn9JdZTo/cf2
54lD/Tx9SIwmfPMuZxJ0H/mBZhfeG7/oH1e1Oq+2mfLvpQ87g9M25uJI0HKOae5KrRMnJsprtkzx
5HGu3MT8TczujxxCGdq+HzqQO0jX4bqnDOOP37mU2Rkdp8t8dPDk5gyBlhzapxf9Dcb1FzLc7y9D
jQjXLrRCSkX++DJMMFtnzO35CGihOAXr1F2MAbsIaOxfryL/8oUk6hHVDlzuwl9eiCq9vFoANR0p
rgYBTmyAupSZFPZrJbnv/w1i80/ap88lyPMhpDr8zQ1/weB2TAXQ2vvxmJqQE91wh/EecNm4gTu9
W8fi91rV/5KH+udfjpcLuJRKvi7unz4saidWxVIwHoPLoqy95gzwm0SMevnrN/HPD4UMJJdV4qMX
pqD/y5tI57Ko02YajxVrfrj02JaXv+F1/qtf5fIitnQlpaO/rvUVyT7bdefxSO6n1Dsq3ekJ8wsD
W7ezv/31r/NHjOzlGSeJBlGdV3Mh+F40+X9WqAUbXeklkohgfbGX+7417hv6gs64lMBL4VQIj3/9
in/67VAjIJL4vGIUCCe8PDf/lFwFRLw4ftcHR2wi3ZakyWskHT4xCVD9r1/pTx/V5ZUEH9Ul7Svc
6JcnMELYXRXw2OMIUparANUP3f/LS7ikiIPoslIEv5BVl9rD0hmp4Jj2uiehE3TcfsO/aX3/l7+H
xy/BEcDzw+CX34PGn3+j7jyW42bSrH0rHf8eCpiEW/ybKpSl9xQ3CJKS4IGEN1c/D6jPkCU2Ofpm
Fj0diuiOpsSsAhKJzPc95zlQGTrV2hFjye490sU+SIzmk+f1vVGAceKxtjTV5hF6e1/KcBLUS2x0
W42uITTRkGnNR9PfvycOvYw5uQUZ0ktkyau73xuxpsjSNNkkkBNHH/15nE/CHw/y3hSjtUMZi7Bg
nZX17VcBqzeFyFXNXRjF2bqYQEaxF25O8vn4/dtDUTcGAE2JyubPwQRwVTQEkZIDv1cGHU2+jsyf
2D+TV+AnI71zf5DHMMeI5uG8NNflXj83jjSLWoPXtxOpK0+cn2WgyPA/m9LvXDzGEbTBdN5/kPje
juNb0RCOctKwBNjXU+snS3iKBhq+Tv3kxffLG8JmhSOlk3WHmiJm/YORQg34X5hNO6uoM3nRTw0N
fXRCzZqeu+gWYZ2o01rp3E9Xhrnv9mY3PY/MwmqhmsBbbx/M9UBMTapkBUpe4dSrnLhcxE7uFX7Q
TRSjRomz8rpER7L6eLK894VnWIFgJ8X0O8QFUFBhFS9bdUcNzMIdFbunJIDo4xZpcXAdV8jdV0TR
KHcfDzt/m8Nv6xIXxqMA8wBUwtvrPLBLdMyJQo0yuuQ4JtmQkTVBBQqdctUdE0BCNVQSRLsQk0Xy
BFG64yeL/nvfnGKvZVqazjvtcDOgSzPqHZqf7Gyg+th5G+8Ht7Pu2Op+BT4onuVcd/34a78zkQmB
ZLdD6ZtOoHtwk/sJFBFA+HFX9m6AT2wu3iYc8zdTkcVXH4/1y2sUoCf0exyGtmPzn4OpXFh9Ucuk
H3eWUdX7KBw3LrlPy3wItSUCkLOPR3v3mzngMEif45qK+Wq/WkTrSLYZZ7pxR7uPCMfC7GSxzkh0
XXdN/MnkeefOOXQI5kbAjFe258/yaiysqZh44eDuBjNYVBC4MTVT2SmWH3+ld1a3N8PMF/jVMLZP
vQBn4YAyNTqhULSUmv/7b4U3QxxcNVQtgw3+cNh17onScsoRzjHpKB9/j3dWlpdmP8cFR2MTd/Dq
GdPG4UVeskqD/IJyZxmnVkmjop7r8l0H8WGgR7kCtpt+MvI7k+LNyAdTMI4UWLghI2utse8UY4tu
9+Pv9s49osJmGgY5LLz6D6cCknW36focGAFAgEXPEdeLKSD8/pbKdQBvcxISNr2hg9sELrwsLa0y
dnWjkJyu+hdTx3vh97/K60EOlkTXiEsRj52xy+1OPIwTcvcJFd0nG7d3VgWX5UcIjccHzO98QV9N
6qDPUfJllr7rnEJZUkket8GgAEhoY2CDPFj/5Fu9Gu/gWTUtWaH1Y7w6gMLWS3WJLS/85En99W1C
7OSMnZnzLylIHdwfhRNxUYWl2DVzUwjVtv+VyDY6RcAw85te6PlVJBwKoPkwVDdhL8Qnx6Nfp+Gc
R0kZYF6RDOIb3l5VihojqVxS7Nq5A9XMvagIkOP4ycX8deFjG8wmCDUl4qJfTmESCGtYkyK6s2Aq
tO1aH8QnV/LXJ5YROEbyjqLjxHP19ovAjM6yKeKLjEGVrvUyWyOal4tIjNUnI/26Kr0d6WAiSqk4
beXkYuebd6hjEdl8crHe/yovEie2phxa334VkdVJB7kLDq9SIhuwj9Agwi1ULz5+bN/7Huxf2ECY
liv0w45xTWIHQeAAz1DytttcFs1VgpXBQ7AHJnfuyuVzfw7zVPjJXvWdSUfZdS5GGTa7/MNaUOKr
IDMnxdhNZoWGqyzr0MsDI3/++Au+Oww7JLb4LrNbP3i4bAAedW4zDJUzQAnDBiPqJ9fw3SHm5YjD
N6/1w1k3VhkB6FUgdk51SpX8aahw/P2Db/FqiIPpFqschBU1Ejjee0igXVvszSC4/HiQd+YCigaH
RWjONPllLgjsVjgcWIdMd71ugq+UeP/B19AtIm+4Ezye2sFCk4Ot7RqrEjt8if2ioiMNsFVdffw1
3nlyOMuxNRcqeylD6G+fHJWuTGKkFPbdwDwNXJw91bHsPrnnnw1ysNI4dU2LNmaQit+Oe+smhK3r
WnH6yRX79Z6QqIOPGRGLo8MkODg72kOtOQE85Z0c23YTuYGzzMA+ZI761PrRelZqrkKHLMmPr+Gv
SzXDUk6gHsfjaRkHN6pW2yyFLMGy4EfuEt8l7DJWUw4HQPw1/YpGmuN9POSvV5QpYaFdcYRO4fZw
PegJSahdskN3xBa4J4NqyRv9RUIwiwk+HurXXQRDuUh4ELpyhDpcW0v4ExEuDthd0lU9JWppV1XW
GlQuk9Lyu/XHw713MbmEmvVSeyQU7u2E9AGS2nRNuIe+Bybd/fbxr5+f/beHUZwbr379wQoX9COa
yIZfn2ZhuqUnIDz49Jf/YBCKciavCZVn6mCQVg3rGF6a2FWAW3VLGgZ4L9r8n7xWX1aAwy9DoAth
RTpiYioZb68VPWs5pLRWdqOUebDASZiciiChNztmyUYqBWHumTkCgkWHAtAn2RizNiXu85w6dUq/
zmzDp3rWsOC6sT+5k+9dajae7NWpwPPqOngsxKQoThDD82lRy9SK/mQ6pAq8XOnf0uqdRM8V6Yk/
mkPp+Rt9+nWR8efwr/xnqtNVm/v5asp5j83jH+FDs8b+//+/64ozdvX4GltJ5/ePf/aXNh3iEM0P
lXcUxa35uPSH+k77onFW0knW5ue25jBt/tSmiy/MWbTnFv+EEuZcq/lTfacTyu2yu2K/SJg2RMzf
Ut+9lKbfzF3KX4KiOIs1andXPVirZZ4oqJy0lmQy0lLbpNFRmTnbrMtSxOnDPfWH2TEVpksapnCk
i+Y7rK+72HHuicpSL/0Su69Z9t+aMbIXSQNHvhksLMKKphBnUuZX4GrrI7sD7AUqMvfQhtUwauML
SyokJ+hdCAgDLRpAvFNbJhi3ozFcjYV5DxGMTIh2vCyE+j2T6TmiFwIlAhNcmhsLjHvKNxEYSFsg
YpmFUj6ERRksTKsbts1I959r6DNq0D1ENYvMVBxXadyFmGgyEnutABySj3FUN8nnKNHu4mXPYVrZ
xlETi2kvFWkdhzk+ugUe6myODBhvfTe4VqPksQ+r+0QlTAjA9DidKLYwcU4PeIaKFlNcO7YLnrn2
MhtjCDeJOJaWNpA3S87T5I+FFwDaBu2sRY2Llm0coOWaWvtDa93TegwsuIyGfYEOgLa8DDGAweYe
axMhI57AEzvGMKQMtf9klIGytQTGSDRm0quskjCpHstKUmlyr6aB9dRY40M1APAyiMompKGrl7qb
8r9yQz61lquc+FZHVi0km0XU9LE3paaABVG1cMuK77HW4EbGWnlWqbG7huAVL9pY0xeaiqcP8gQq
jxAkRe+W1b7MBv3SqadvUvrRsqDMedazs0HYON4LR4bLPuHQAUBDXWS1ekwSTQvjXYTeNCrJMunS
H6gTk61duA9ukyae1fHXqdKOIQh/tHFdpu5RXTIBnCTdqhx0jyI7vY4s69pu6hhfN8agLBiia6Bg
tZfYOoItEHIncRmkl6j0nKWWIWGaEtfA6hTW8CrEjW3E/soOFFKa4vKO+ep+H9ScSHFsmqfAlCvy
D0jE6WR97Sv+NTbklVUMGQzJGsaNSLxO7dxNndNcx//8Nc0HdRs39aVmymGVNBzCEZzXa0xGza0a
kI5iWg6KAPcaPNY5oHHmLM87Udao4uouI0gHDpu7IXw28E9iA60D8RKIwenNRe0iGCt5LqxBrjRT
UUhnSlIQAnqKbjTod2RRyrXFHDxjV9/toTpF2wCwIFaCkOXMrTcTyYItgbjh0kkrhIegai/rWDgb
XYIBUsz6Vgvq4SoD77DvyWkEnwzbrRHWjabG+iaJuuw2jZNoya0C2GmOwLuSmHAwt1WQghaygxeu
lzAb62A/jb2FlAoBGVBKs9K91q++F7KCV4b4f2ENk3sK3GS4CAbb9eQgktXQwyxsamvP1sQ4Uysf
OpRvkori9sSQa2m4GKXTnqnxlLVIgafnZnRxMaPYAilebB01bjBxTtqFnzSQkZQIUT664XWjuiT8
1L4NQSCA+tX0qE5wLSA0DOe0QOwARGhhjPbcXmnvxtq1brB82dsSNsFdqtr+UlHteG12aryJhB3u
aCSOR6VtRjduJMtjYOEIHEJaw5fppCmnblZNm8xN4zsr1+9UeoNrjBHw6khWJjDgXDad/r2TGqTC
3oJGE9U1cWkdBPdoACXlhMocVyGfIrPtv3c4as5safR7dE39tmmcdEmYpLlUbOD/2hTcOSKVp0rl
HPlKpnu2tWgC1V26SKhJmTEKxFolrkIg6YQ9GLGXDQlZsF1oH4k0i8/7yZfHvtbEZwhJtWWhtset
FXVI/JryjtzvdqEXWXXalGOLD78iDSHS9FU2gzi6eIpvOkB167Qfp0s/xF9s4ufQEcF4GCmAVMXt
Be8hhRasX65N1QyeSKubtlqKC3Egl2Uy4OIUet6cFYljeo4zQQHJHWQ5enQ8IDbD1y6KC5MYDrxP
ol1Umg2I27b1hTE4vodZZERchJmLUAq0dI1Smt4Lo0idzzqDgoxMybCH+xwRMIAbrMKR+V3TsK+7
VqotheteZJX1HOnOSLoYVgdkPAChVFwT1DT6OWl6wo3qs7z4Cbk8uX+rioK34vwZ9NQ0VgHB5sui
cfU7B+DeEjszzR1/ck+SJETeqHemIBnCCPonJWiRCsZ5X13r0vlh1vFJ1resvtrW6UNtRV3gDH+5
u0BtaaBfd8IeS3/YrjsnQQuoxJf2oMkTmloxiC7HWpW62a/cKbzFYboxsbl4nFkqwLGK+5V802ld
uvJbMTChrDq97kpUWzHcFy9P1dOpm8h6QB3F2y6+qZtK37WK4i6r+U4DL/TxJiE1dzKWnsbNv+X6
9IQX/qGzyeFYKLjwV6luhyu7xpVNokC0H/zgPApLkgBUDsyBoV9EtGiXo985ywKAr4c9XSyqCeSM
iG1jW3dJdR0YWKunOgBFiyRyawzFo6qwCllZ4pHKvrIa82kES9wL81vW5iZ0V0DPsIx/Hkx+ayf7
/h71zTb2v7fZ/T9kxqSiRbXu3xsxP3Sc/PzHf7lNBMJFhEXU6DkSzaf/vza8Jq1HavqU0FB8sBP+
c7/rfhGzQogDlK5S759Pan/ud60vs1KJYxUqLJ06uvE7+92ftYe/97vgCOkm0Cs7LLAURVWGcaiG
O0eH5eP5Wp9ZAJ2K8azOM+OmL+jOSGBXbEmNcsqwVnT5NZCDcVWRpPGtZb8WH49Fr2m80c1pq8B5
xHcwC2+XBcVnNkBqTyx9aPtsiHXOWirEFS3cmW3m9GcDdjTC55Opv60tI7kccTTj3k4I2TOPZDQ5
JxNiqHPAd6jDS4kiS40N0h3DrincNZ7IWTCpdepZiu1N9Xzb6k9caJW7vrdHyoNxfgTjfFjDeoLU
bLADNnmh8q7o+oWjU5anuBQgsfabWzdWJPlZ5EJW7UyRLICpLxtu6ZwYF6/tAY9A4xSEkYlJLq2e
0PCtY1UK8aKd1nfpJig0NpIAu8zs2IaWtJI2jDmQSPa4r2sOmilvQtgvWCAvE3yBYIoa8ywba+O8
NsLgquxHFvwqWYPDM8GETO1s9tcK8KOZuXRaxTkzG8u8yxVp4DF1oLpgKl2HTV4vAnVsVpQWxnOn
xw6ulNb0qPHrH0wQC95AwjbGcJ+PQEWdzSZFpiUvr+ix7rDqDGnlw6rIKGeohnXewKu9xI+Z3lZw
6PwFTplyN9ktRpsK3dqJZAdAenmmA2Rz9BNzcnP2QlFxVtolNprAfKbUPVwWLHU/0Gm1p66Aa78f
oSsn53lB8YHIkrHqbtJRECEHkp6crYRWwMaFTXUqJ8laaKca5N5l42diutLLSStOYlic+14DJQCT
vMseiBshKGjgZoXIyR32LkYkoT6EU85w9qybVYZgekTdDvNdKpUMif9Ju5Op42svDfZq65gf2uxx
h0Db9mqZ7qMXRa+pkKkMG0NJLvsX3a/zogHmpYkeOHnRBgsKJgRv6QGknLxFvov4N4GYD90kOCUJ
zt1bbZCBMhCOf5HDPr5H9y6+t4XVbvGFcJ5k8yGWhixBNiexnkFjbNkAjS6ZLXBpnIHwF1D7lhkn
JyCzxGnoW+1lELsgOGtDu44yoazLyg8uYXfixzDUKr+aQO1daxPAHKeM0M1PIgVp6/QdYVvCLICh
1/ZxmKRdvsQcZpL4ZxVHWjbTRQRScw+RpX0P3ftHJ1uFr9rWOiEAZgzJKhmHh8oYK6jLQ1tiVQZv
+1irYXcF713c+4NNsgOcG0DsI1rQatk5mfFA6oLWcXbtfX0p63K41sSQH8eWYSSLISfgaTFBaoFx
SWbnSqgzFhX8CqYiY7KeW0DnW6m0TbkyhknneBEBituKoRkfVKdSTntVwpxQct/sFhlnnEtFxOWJ
aO3eUye9+6ay1YyWalM7d5CPQXxDRCQENNLV4F5v+9HHuDpE2ZLJUbExxC341amq7EoOanVDWqpJ
yInwc3c5uo57pMiE0G8e+Lr1AOwNqce2DZ6XpdWjcTKIPnyCvw3+PJdOeVfCU4B4ldj1dNQ30syP
Rmxkck34IhAjP7LafRjrVbKZKsUGuE3KwkLDobo16YLewDAKz8EjOU/FoDVXTmeSLlXYyZBy44Ku
X2bgoXluSu4rOKncQows0VkFnKLX6GUoUwxIWJNlo0bK2RgPrGO2Ss7pYoCf86NpBRCkmpyedFHX
qsmMbXuX0LC8/TqFhvEUKPUIM1h0drrUSgudUxGVwX0+RMgtk9AOdgkVXnjPGURjXFfYj70SuAnp
m13Sgd1Mylsti6d+qeQIalLCl4oF7wD2Y4lDSGOj1EPiJeHUHNVV7J7Fju9eVqGen/YNyZtsyKqv
OWgDY1XheCAImRy4aAWVgyrC5LvxYyWUfgOdP4ZDhvosXoo8dZ/LfEgvLKYmMZBG1nLyJwGtXoLY
gw7AE98gy+aMUnguV1T3Iqdrn/A3QZaJh0gIsrlG3O6ZH1XY3YZRW44RwMLe18YLkjzzhwTPdQaw
HZDaeZcM4babdPPRmsBxr1rkDaeOJaevctAheZRG/WMIVAcHN6SQcomCMLgdeyq7eDs4JmVVFnbw
pNmZc0YCurBuASDtwiBWSBs1wpuqs/T9mBtNtU8gj8QbTpIdGYyV05/mblid2Q6hvWlYTpdWhPug
BzbuL2xNHa4qyp6DBwPX3+GRIiVIG4x0hydKusDamEBLXccvcdZORoN1yOnGjVr2xmM35tUOul5x
qmoJv9ElGGAhqjnGE3MUb/2wrmbqUKkM5woJuwvajf0ziJrmWyBJD6UEgk/fi1rez3i+VfmIe60D
zJg39pJCW+l1ucJxejB7uqBBPN4GeL9BOk+KGy1clxPRwpBhT4JBhyCfTmI2Qh8gCAp8mlPu4qlt
roWZxpon/KFgO5AaebAJFOKNKPOWJ44CvjudD5yt0w73BOWRMZgpmcXEq+a1SUbqaHiskMYRTKwm
O5eAlrtVh/Et2gylGLe5ahfTDO6Vq1GGeBJ4reBaV1N3WsiyCZ6najKOaseh2+WUw8QJPwsSgiUr
pzqq47QEvtr747ifXebBzrHdKlz5AhKsdNk5qMRR3AylW343k97ZqQQD3plmEt66JByQy6YDFOhV
RdsVmmjIOhna3ZhToJmUvP2RaDOS1jcEmD5A/H0Hc1/TdqAwwYQm/K3YVMQ5W6nCswaObBoU/2IJ
F9l8FnZQt1QLpHltd9W0n4Rq7AYKWyV1zFE9TUlr9XQlAaZDnlqxbkmfABQwSR3zmFFdGooZDTzj
eI55YjgEdtzOpwnr8pogrTxbYhMergtp5zv8YDWriz3ZJ3iG0MDUKehz1tHyDvcDqdkOJ+iR6uhE
7dPOzwpXtYk37a10O2h+AyesE0dQ76cjX3e6i6E2zI0sCW2FFKZREQwCcRy2RrEFJ299DbKa6Wn0
cAj9SUuOK43yXAj9EGOVnRkEp1tmeDJWjn5TYPxa9f5AaaZM6n7TJal7xj6leGqGqSXEGCQdNME5
Dw46iMtRPxj3gTakD2PQxVcuJdW5SFhvFUhja3R7xd4lXKOakQ3uP+gd/E9OXP+JvQNAUJTs//1p
6vgxqcPHb/337/JN8+Dnv/t5kLLFFxqKKph7OsL0hl0aOz8PUrb+BXzZC1Vm7nw7gp/8cZLStC+o
VYDaGFTUfprz/zxJ4einDYGgwHZJqRKW6v7OSeqlifv3QcqalZRIIOyZNKCTzeUeNJNNiPFhhZOX
o0RGe6veuCQHHwdZ9YCSs18QlwUTpM/Jfm0hqYBOMm31lq2delzU3b3Rx19bWZ1a1TRuCOtot03Z
nMdBzuppaZFXULfzSlnzzjfT+8apcVKS/NibvNG6cY+qF/d7y0YMw+tS7+NPpJVvm60vX45oJNoz
6B05qh5qkmOStBtMkcIbCA3QqNkn/o+csiuohE+ah4cjCe4k5V7N1fjDo3bQowwUKlldlgnYMgVY
8JwkbeWY8BVPk5/p4V+0+3/fMs69yLQwDvJfdF4F/Z63fUoYnn0GEUbxcqt7tv2SjOcsv2t4FS4q
Kmd+xxExtbrEU0tLejZ08SW66W5hB2W44cTcbKdWbkRkf+VvXROHfkLy5YTHv7rnxXRUWPYjcXrC
lET9WcVTBQN2KY2Q+IK8PB5FQKolAmBWdZVQprbeGfVcgGd7wYY46r3QHx+tbvpaltGDUYJtSRPV
/ORya/O0PLgGlBIQdNFegxelH/S7fBNX9miwNheOswljkm8zAmFk2Kw5Am7c4l5m1qNCZVgP2VlG
PkC+LvuWKuH3V8/7+c8RX3s5XwZ6+0Hoxxq6YWPnnI1lBx+EkjR0ycCketa0hLCXVOA6xb53Akxf
MN6eaZscIU5k45GiFJyuC3O86PzY3uDDTheZq18YbXXFbs4bzHIjAvtxioOHbNTW9G8+aaTrs7fk
9Ye1kXKwCEG5V23bZAl5O3NgPzkK1XSi3NSJ2C6Y17baY09Wr0rFgk9Dv6UtdkQMbKfB2kSlequE
0K1A3S7CISQ3LPY6DcU3iGniwENCaK3rXlafKR9/ubt8TupEOjlePEpIQQ4EaGZQQvCNbMXrovRK
0ude9xmNu7IfznpyJWu/1hZZ3KsLYTU4IavpoSsnhCHVqmW39/Ednq/JwTV7/VkOxe5oQbSU/bjv
+TQ6BqlS7NFwNVNZdvRN/elwL2vS4XiWymwS3ClbP+zk2mwAnSmli8JOl+S/QBYLBwNnm/XMCnFF
VJu+dkYiiruCsNxyzsCCEk0UXPhgj+Rm4/CuV0HPgSp383u/BbgICSGL62u8vckRWK102frusPbN
6MLN8Mw2sbtQjOnYaTisxpZPn1TLqQx1nPn1QgNi0R4hEow5GpmgCAQYAFxsa4KXAVZDvd6ikib+
xyxn1SjVY3ywxqoxpvOPb8TbJdZGG48hkJqQxbtKs3FQvZ28o6ESWd1wI6ZJrCYRrGN5OuB0TbJP
JKnvPCbU3BEgYWtiIFycb0cyiSHEQMczbcT2ERbq7zmsAO63JNDFNQjuqMO7eOivRDntGhrbxqh/
9R2oGV3tP1S+g26x/hYQzpqrybZK9eumqU6GIt18fEHEr1Pz7eecJSOvFMkqOTGBLsuE1AXreNT6
dZ3YUK/i7N7nBc35ueu8UHbRIgRdskiH/KQagHY7ErTtBDUOFrlyauHaWA1DaWyNOOpOqrrKgND3
ydbMHR+gryX25Kklt23PzpzzxGlX9N1CSBDOdL6GhaJzrM5dBrbUDg7qNAK2LMWsPxhBSZN6DKSt
aTe5KO6GJn70Q3boA7DnB5gMtzqBP97EzuFHJjtS3v2ggpdRBke5VUwc3NPbj6/Zr5OI3Y6JUmK2
W8yS57eXLKH10RKC4wKo808b4iHNpqP9YG98qa8/Hkp7b6xZKoIe0KCWfqg4BMNVUvkqOD8QkbJv
2+mOeopxJKsxuA17TczwjYWVjyd18COwo35ZGJhqdZcXbN/QrZ5GkmeM2KzOAZF+8uHmPcLbVQax
qMlTizaFp+lw24d+QstMh9ZhnKX7MVjbpnI0lTefXIH5kTwYBYMEixheShuv0MFOpdKToO2sNFjF
oIedwR62o0lpHmTtZorCwhvr9rIPpHxMS/Mm7scLszZWsUqd0RZ5C8QFGGBZRTldqeGcbOLwmDSx
ZFH59mfq7fc+6Yx1pLUIwAo/8Nt50cSGTzZE5HuOVbCqRNmasKyFGUrSKlSqlVZor1XVP3L05pP3
y6wqe3ONZke6RSAu8CzVNg8XG6qOzVSAnvMyad/6vc0SUy0zt6BxqqMugB+efWYK1N4bE++WDgCM
Nyyq+7ff1s1GVdiJ6Xpu6W8yfaYGU4reSxTGnh6xtc/a5zDpbspQkA9lPeqTHi595QlOQ7AMlaI4
dYb8B00/wkHtZRRffzxvxC/7FPJhLBR48yKMZPfl879a2Aal1ApVbxSvpnccxTBOTH/txzwuZBoR
C5lM6ZFgEkFe+BGb4b6drIe6qIY1NKWvVTkBBrYEvdbuRxyG62xQ10FXEMaRROe9hZQv5CRvwt52
ZfFMrdBZ2YQ4dKSq7Qp+PEnR72NClhbZUHvQd8t1Ytbfx0y9bok/0moIkmO+7mh9iMDvVx1NkE8m
xYvT9M2sQEzGsWXul/Hs4PB/e4fyKGo4bYS2V3f2tZ6ZF5NTbO0cHrVEpLhMXQzKlFxP5BBQ8PT5
fwpzhiin9aoJ6sum6i9FRdFFVXRnGSViOegVL3ibQI5MvbdLYpAyt+7RSlXHQQ00jRbT6JXE9VY9
CRTEYhzbASFFke8/OmYB9j5wrjrD/Uo/40QjLYp4h11Fuk4XIwbrVbIrpnb6RgaDJNOuPK1auKJ8
UE3NztJ0OB7i+DghYIZsJvLMm8ZTDCOYe+ebprFOCiXZlJxBVoNLFDhB6NNa5AaUfKNcFURgLtQe
5E2TDR50xGEdEkRpDATR86O9bsrnvgrOivTentxV1Hz/eDL+8pKlAUpsF94OxH9YnA9WhtbKfRgE
BvsxfVlOW9PedsW2RAZDcO7LSP/bPev/Q91oVJS4HgST99/XULzH7DH/12P+7V+UWd9UUf76x38U
UpBMctBT2ZKxUhL9zJ34o5CifkHNh4ZpVsbOFZG/Cym6+oWfYOrm5KNreLv5LH+2pNUv1OPZCXCM
JJaVd/TvFFJc/WAdx12NNplVFU4GoT6H+3ZZKSW5P5pYaXH0o7WtU5s8TUkyRuyDbFVjyGUjEsQO
5VkU6Bdysr7aFcF17kPYt4g0leAIyc1t0loblOhrTVFWMYjsat/05hKuAyKU7iTs1dtSNzbkU60l
eS3xVCGfI6fTXyEbOtKqpdU6a7rCq7jMj9O42ooy3SWWcWFV5qlpkcNQigvha6eiWJCF9jQE4Xok
tdJJyytHkVfT4INON5YiLLAWq4u0eZrSqzEAoUW90hxQqov+xJbOjm7hsSbFaS6GW0l8rWzyc5a0
lRzHTZpZFIwab9T9a/aDDsovcV1bwZao77PMF3D/QjejU1ttJ4rCVEjTiyYgw0fW8TIyu4emcq/p
mN3P+Q28gAWp4NauVJIVb8tnhTDeUmbHc9Dcq5l3/nN9fX2afzmtv152X24idnKImMwzIuffLruc
IPU6VBWxYms255osMhs0YV+emeN4ZhNWsAhDBI6TvVI4WHXcmY8/wC9beqwBLDWsNyY1Hsxq857y
1ZuP7A7QyHrkr5Sc5p+MjrF6rYmHBGs2miCYQv1M+OR4t/50HpfTLYmVxjFbT2WXWQaBiYvvI/2X
NTt2a4nqKFrbmp+tyIqYu+Zbuq0JbLdA2also7KpBtVlppm3gUYFZoj0sIXTp6vecGl5kPJUFL65
9V1aDwPwPDQRKgds/XmkXbAA3XfREms01RGBhrp2Z5T6ESLbEyduj6BrlXtQOMFP49ZvLZH/Pc3O
v/1b/4l15llszjnh1Vz5RaPuPX6rHl+WydPH4LH61/ax+55GB+vlH7/lj/XS+ELD8e9F0WAX+Ffh
+WeREhk7/j68zX8VnlkvORe4WPKoLZovtcW/l0usU1QmhApTG6mQ9jvL5eHZaJ7n7O3wevFJ8CEf
nMPiuNEHttz+qpdI6OJhQ/jpWqt1LxnEJ8dk7fANzssCoIvmMCDoAN4Pb5+pIFNkIc3aX6GRXXd2
dzlm5Zaj8jovzPXkll8z6pNNf+caa8WezoKMePjQuIeJxbZ4OBrIEEP5uX11995bauY99uul5uVT
GfpsF+Pj8Xp6+6l84h5dKyv9lQxHchPApVp9s+yJr53Tpydq4raSLXmO1w6BabRAvdEX2cIP5MYk
5EGXFx9/IP3lmh98Iiz1gPYNXmG8FQ8+URbaUgGBQlggvaUNkN1dkJviEqaifzaECEykqaRnMu3a
ajFY0z4q6KI1k4lEPunw1YX5g1Ll5gWSvvTIaB0fUz6iUTtfy6EFQZb3D2RSp+wX2QAurCI/sbpF
lPQoSTqiP8yF3s4BMcrKYF3SQ3cxZ9eWxeSVobkkEPBEpeZNy3UtRe7FKfQzhBdtGO0t5bLXi8uJ
tCD0LZ4oO4Qj40qhttW3LlUYfR9Y5JKVBB9a+jZCIFxW9/jIiCilz909KfkR+EWYtr2xl2isdbFN
3Nuu7e66NiGUc6zDpRzsnWg4obU7ZyTXmPBpg1dcVqdw9IKLCaKrHZ8SXLmc1ImE13GV2f7eJGAc
HPHC9dPj0eyvsi7fG4a9pke4tRIittusWZexMxKdTeyIbnvAiZYKwYitqE660FrXxg9S1zxHMGba
I7Pv1gYR77V5xwlqD0JuaefJTktNiL8QJCNg9k1KX7XYVnW/DNKay8MwLpEpZX9ZVOYF93MRgxRo
GyvjQNV5tjks9LjytPIptM9IyjvOp2YRRUD24SyqqsvJkCezc1bUlpZKdJX0xVapTkdprwmueuzQ
3QvxVA7FQ10/I7lbBE5J8KB7VvsYH8bzqMq3yN6WmWOv6fwvA79uT1XXlFdR4z8EdqacwHoVnt0m
Z4qMkclOiM2WAVNLhxd9jqqqeA4glEccf7hoWSfJkRvy9DsHsfBCn4Li0TUixNKGOT80/izC9cOd
3YsrW2v1GysBZ1xTyPzadzmxPMSZb5DcoSaxUjW4zWSSL1MAlYjOchToegJ/ksyVNrtCOtuuAdMT
VVzRhF/k/TBS9pTW8Ghy3NpSEoVSP5RdcBJ2vK+N1jj7L+rOazdubEvDr9I4F3M1FJgDBnOAqaxc
VrBs3xAlS2LOmU8/H6tKtkqW3aebxhwNLxptS94kN3dYe60/oDGtf8j72rgq5SjbZW7+0hY4ps56
gH/9f3SW4BihiOw/aH/p/I/MLHmxwP2wX55tHjaB+3J/fLOB/VZpIZOO7wgqFaiZDeLq37ZK7YhN
T0b8Q4NjTSaCRXFfo1W0I6J8a0jakEmE+P/9aKHI7KJoIHFgRKtGGzRd/oq2+pbh+H1l/oZ2lV6d
PdWQDKWEXdIqbIwIhAP7yAS5Zscihxtlg2VG3J8aQmwuKwWlGrHUjJMEgaBqUuulf9GkPfM3NkF4
zvzK61dNn9UzyYU3mHUBzpBBUYkC+X2dw4kfW/NaTd3TOsU2vrWJDlel4vhfFM1uL23HjR60Pi0/
ABOTnKmQ96YBENbHshS5ThIgUtXYXxD6luCJhFGysABtWJNajdg+LbkX7hrmiDQJkONDjBnL8gKs
mhxg3iXE7kXmpMrSyM2+wUEqtq5hfzkXbWpoCDBLvnZaujJMkFJE0rxOReumwRY2uHZUq8azN5TD
Fpe5c4WMMn/KW4wPdTxEIayol8jCKjOj67VLMzGKkyqMsanFzksFFZQrPhrxdXCPzbKGe6arOOm0
8B3/1E8t/Qwbeswzmjg8kQQPs8II/BwQYNFJyfQnyjUqtMEtz2HjiZLHFfp3EDOMCcYomEnLaqFX
U0Bt7m0sxOKpIwlZsJRhESD53Ci5DfTddNXLEK34wSs0mae4S0YDqMhzp2KLvxV1TDWAH6El4p1P
LrkDSxc1PZAciA9lnrWf1NZ3EdgxiVgCCr1UHDInr2CUiGa5smphSPpkbvNZRO41P84bnNkvlFjo
l9im9Riue+atW2TxhSZ7NZUtMwVEF5l2ek/e2K2XYRiWzQJPUv9EQWkeFZK20o0VprjKlQouapnU
knOb9mb5Ef3mNJzGTqTegNIrPXCHrjqX0zhs54hzIWlPxZr/olbAhwf8cJEEqoCAqZA8YqwjF597
xPK0WZsKKgXruJX0EsZyZFdTMYwrAgQt1NuPgd6V2imobVBLfozZ6bAXSEuvFAZ3vlT6Umimdx67
+NpMvIyi6+CHllWrwNMR1E0iT6c+BWh8Vati/6l2FC3nq+ENM7dwBb+p0iQ7R6FZPoZQaaWrCsBk
hFNMkDSTKAhj/byGo5WSO/O6E70NM+z/skpTPkh9kj2UhV21UCbVLkaFt8kULPiKeA2aOP7SoKpB
FTiXtSfTimIVw+tCt+aWg6MNNqqm2V1m+Cqz9TZolq1Kx5HveiPJP1RmXMxyI4/PcGI09UUXeZo/
U1toO5aLt4wpVoE50fXC3lhNBhI6pufnleQiJ5xHlhbOWzargMARHCVa4v3CyKv82OqNAWKOKQuW
YHE7z5H3w1FdwJ679NtKQgFZTDYKirny2q+dcG7Xg1JGKrfrRAypIqHX0cgTuHtwadBWx9Mryty1
DarqWAlMhL/FCDxpx84pESwBiUbdv6Egb9Ckc+t7Ks8k5Qru9IzKYpYRIT0loSdf5Qpa95NQDPRZ
iJLzTECgmcgAU7M8bwXWpLycIxSdOlObcxWwPQcakxOX5bzqYUoRWJNm1JikGzcU8tMAJK4zaQEZ
r4RSsp461bC7JeQqjqqkaoQbdKtpxXQL7dhhfoiEoZIuL0ulsk+S0su/YktalcAhJeeqE5vUmSiy
Z52adhIfp6VIfNi2ibIUhaKaQvsGeq8AhnZyOZvrsgsqMfaN/lj1XZ98pVHNrQSgYEXp45yHVk8o
R5CQxb4TpKkVLwKglMJMK0Pgpw2uw3AIM8I5wwEg4AcVJNqKLEQED6CgzIbDdIy38AcD5Ym5hCQy
HERSyqci9qnkhwN7Dr/hviVSXIoev5JUJSBwy3K+4L5Q3nciShmIOaPO5XRy8MUpEuOD00tFi25N
5J80iRAueyGKpp1TtjfwYtedW0qf8Y9yP2hePpS2WiNGVl9rcZitm5Wahs6prqcB/a57kN9CGKvI
b6NrFojyXZb3qHZi/kF50hMi1L4xrnSwT1XR1yodv/5qAVm/1+oGLqBQOPPAav3inCW4YhBBd6vy
muhdFlAUnzlKjyYsTm7eRIy85AbfXnMBdUBfg0JUr9U+UY4NvRDWCZSAOS6QTECMKeqbTMAAdOIh
enFMWpvsf1u7N6nk2Z9dXe4hVNogcU0LbZpJUeEuPAljMbqIQVeeKLarr2vygPkkY85ivaCLwbkm
KKDkPVe58IhczYkd+/5lHmZON9PECHKniKgxPgxdMbMrv7zu5NC7JVyv19iqa1+Zu9JacnPrESGa
YpFb+J5OdLmD6CU0qnQnl0nJqhT4x1qm+xDGRGiacFXVaVSaCmnViqpUZUb+MSulO8NoJAKrlUVA
FQTIyikoICTy21Mh5GXZgDPc2TGBxg3RSfS5FirVXZ6JzGNQRSFlLrzBPTjR15hHmzelW8Fw7qpU
puDrNvoC9Qr4MYrcnieJIA1Gzw25MIiU8Y3EXr0AauSvE1V+MoxcKZieXQAu0wzym7YSSgBErYHJ
VaWbxx362Pk0BIn+UQu15DEf0g+koUQb5Jhl+tOqTkq8C9tul2b73TH0/6voeMioELjKVJrR0doi
on6VdH8rm/TH/wxZ+J/l40m7/3iL76mmAYxILud1/Dyk5gHgaUN+C3WCF/HzkJoH44I2wxDOb4GM
L1Lz4F+oTiJNt23yL6kjSFvJmO/xMw++zc0zbiVdlREIfZXZyGCC+o4ObMRubqsuObdupIWzcJXp
ECXYWKCQdF6IxZVyC3/Vwl3Evy0yj6Pqnd0ShdjQU2p1KgbRF8uuYQGsEHaaVMLCMHGTQM3cLqJj
17zvWhW8BQoJlXdXNV9kr5wL6MpDML8G7TVBG/RScfOFImDR84Szabiy9ZtavnAe3Bi4jgZgMOCA
eZ4Qwtn6EyzQaZDLoDc4zaIX7JdEh6J0wQo46xphGiJMGemBD/2aQFOF0iwsiXvzBVx/Z5pU4UXr
folBgetxcy9aMaxQ8QN6Ue7MY6ObaEqXzgtwG2r8tQwvdbNmEamDEmeZYgK/dUDqk/qYNIa8lnz/
2gn7Y0XJF2InrwQ1OglEkER6dKa0sBmKNL0sKo4BxJ+QtYW57ovrEN24NvXZ95TkUYPCMY0z9bOI
+xufaQ5McZ6gSuHbzUItgkWHcEUO1dvHZCYMinMsLdZIzV9gLvE1MPR1m/CsTYcHAcK8mLF1t4nQ
L+TImjuqShKR49jE1cEb6jWt4my0diJMHDIQSmB3vIuMdIjf/glWCKzfqzzeLmMvIrJMYQqM0qux
FdRi0UK6sOZtH93mpZDgflGs21pbsVjOkSDLZqGhE5zGyzC91KJ2CajztIyobHeiwqGiQEnAtq1j
3QtXgSAuvKpZwEexJ5WtrJU6wfhNu0ZKOidPSpykeKdZfCpW6jJP41Opo1JkztmbYAr0H7TQXZkG
bnSSdVHyCdPOe1Jz7UoLPgt084AG83KU6Xz8U/B2yklgZc1gYVicQd6cyS2KFrmwSntxnWv5olbU
dSdaZ7rqnLddNbHaaBm55Y2f2lis6MveOlGlLzpsJogOJ5D4LkQ0wgj9nYxjHOb1FqMyoFYOCOnM
RPAiC5eCnQMTM++jsluFIdL/gy00Mc3A3urP+racY1O0Qdl+kSBHEdHghDJDMRGk7oTl4k6WnQs/
vpHz/BxrolUhNTdx+wUv2fY0hSMC8FYyPme2gqiAG34SfGXuckCAV+BPGl0llWNRvc0fOGBBJMDl
x+kqe0Iwp80sQr7TrMnwN+m/vMg9vJHtlYfC0cEKxNIJjlERSbeLAzf2MNvbJyha5U0MAToJHh10
CWy6z86lLxluvH2dn0hGfpXZwUVf1ZdOkR/7TXvhedg8BUW2KDPjDLiGP/OLFBdbOAByxNpVXhWm
Fc9ceIo+CCo4W38yutWtftzL5yZLDcYMuSqN1R/xm1e58yLNsOSQyO9lRm4ghaKc2AEPDDUPkUgI
lqQdUX02lyXrYuroKyFikcqkakMeu03jZeaG3cQQem2SQ5+YphzuTyUHh1/ZwzLUJ8OuhxedV1+z
sC6VsF17fnWN+dFtrwwMFfnB0WCPw7i3FbOcJYgvTGwv4MY6B+YWOOvEq+UnsSLl4ZSlcKZETclg
THGBS5srt67XjVmdprrtTDw9JkVnE6DoFomKHpuOoL7RpfASh61+UmnpUyz47lxT0pumFJ5wVgnR
Z9efdCG8LnT/E/KOyxw124UmPaUhxutYmloxT+BkmFIjZGNaU7SwPjaRtESsDEGY/L5xhePOg4Qb
NXNAq47YTMXaBZEBLxYcHNolKPa080grz0XBW6Oe7k9SUUYswFoJUhxM3Kq6o5R6m4nYqsfqpz7I
bh2vvcQCpZ/Vw7lEKAGJkdFxxJWGTo/mNivRIRNQ+l9tMb0GAn9SycqMswh2R3i++ebaicXjJG3W
jWrOiPGuI0nmSAKTuhI5kkr4J+GO7Ljigk9/hv3RvIF/rLfeXdhmq5ozDGIoU607F5OzEj+hotMW
pQUGxQABXXzy++uhhBx45sytTq00OPZj+46cqL/sOMdM8UtdZHG0NAOsiJo44mBYPgUu54RSX1ei
Osty/3OGVMrEKvx4JcvoFPeKmgHqMco7PzI+JM5Ak6FEG+dNA4qnXnMmxrMWkLsgP3lmhMO5dafC
NrCF5IF65yKt+ngoZ57FTEPOVMm6zIKV3GsLP8G3s9GvArI+qoyaQk/2OOs1lBSoutpCSWapWqBA
NrOdImZn+gQ6EmGDdhVV1ChQSqAoU0a3iht/cgrtrM2Vj+gGJ6jDfNL67KaNqnLOqD7ObOOpl5VT
u3L1eVMgFBFKDiRLhEIqdI5mOM6Gc03tzwDNTTIdHnVGeGHk4kYtOLrhxnSVKN0myEggBVX5CSoZ
JGlwklOPFHuulrd1b57UBpA1RfTmQnAcyNpHcpqovkgtBRX/Rir0T5VcnYptex+h2QIVNZxJobIS
mnbWiuIaNaVZoNkfoxK+eY4/lmpd6ZVw7gSfe07wCX6tlu1eFLX3ARmiecdoV/30qfeACtNjbWtd
t51yJ2feMin741zKroCN1YH5ZPXil9ahmC+3C6myvvpUFLwIMyBH065s6zHiXGhYc1W4yM2LVLrQ
lMu4usJedZ0LET6ziO8owOHkSembt+CypgFRR9JjvwV3rk7bmew/Bl5HJZsjTvHJIEWouSiwkGgJ
n6BczyT5c+VcG0601E1Y7uoHgfSEU1ASqWSGi3Dui1ftQNZ2+zPRDidGB3+ePcrDfzU3FpoazQMP
Y0QfHyH9Umq+Ur7AHE75VFakXzrmdSB/Mq111OIZGX4QHegArJV3mS0H0wrXXMe7b4pBPuip9eG4
pdZ9qyghedLiHs0OBJ4dslTSQ934ODdbLqc3oKMdqkcTzWpmcoerhpWYxz5WkxNk9JHTcaKPXgdD
rJU79UHIZQlHFnOWkJleNEl/Sk7yxgVKP+t96cYKhM9J192hXbDVK+ptGI51ivGSguDRsVMG4TwO
TaCWelzNEIb+mlT90uyNFdTXiR55+VQ0Cacct70WVPS5chF7Q1EdcPibUicclvJjHebptMIasNeN
+6hGL69xH82uurFinOoyX175fufMkoLQBF9CgMuDB5wsAEOty5tQgbCITD+B+lmSKk+wxKe+tHRK
/URVYdIk+XmAHyLh07mbaVhWl0sT0AHMSsVZ5CosXbXRhFmTWd6s1HJhWqhWOQ8DaJ7/6fYcZo2K
MC3VrHUgD8pVZnXjidGnvHfw901cGH2FfaW40gl9482RTqwncgrSITGMkiIb2jmiAFFXjfTrbXTw
G46jI8AK+7sPhZF5XHpl96F6zLurRyy5y+K5GjH8dGtTdpP8vV/6dUN7lb0/c8odYKgv4qlvD7V9
4l+1EW54seoBCT9JPIIqQpUf/tXu+scfYRI7+x8b+pEqAqlUJTIIw0WBh9Pxiz76WS/8+gV33fnr
3zl4AWZNXA6fwaE6/rI6tT1YHBzYt0/0Yxe8auF7F8gUnZCFxAlqQLcP12EXWAPcDQwEfg3bC0jG
v6ULNg+RFw8e4bn3tTzoAmAHpqwOxI5/pSNetfOiI5Qj4FMkFiBVbi+OZC/GgkndjoFAWW+Av3Pt
xt7//Vh49QKP21l6/DAYBg7YxlF9IGlHYMk1yQRgs7sO+sCwjixdI1U06PgM1w579K76gMrpyE5Q
FL60MZR0314UtCNwV/pAKNp1wrubEYPM0cg+kHVWhYFDzFDYXQcDwZKPTHgZW1Ot7Y/f30DYwoB/
KPb/ZHV8NadeLAoqQGAIBWAH3uwHhTylhZgVXJjnbnpfqyOmZ7tNa2ei93c2SVk7YjpgAqUpuy0A
xMLhwgi8Qmc3/nftjq++3vcVcQDfQ8wZORck+WjY/uG5s+S/ePFhEpCIhhv7fWy8r4+/B9KP7QCF
lDtAF0Cf+zDocAAQJQ0eghDk9pPg/e2M+xBh9KoooaIA3wulujdnAsoM6sBX+7fFiT+dCfuRQB5u
VHwgm0foRSMYze63vV6NBONIkoAtsVbsVsN3tzWylg8C7eM6QUeEG4w9xJ63OsEUCR/QWADuvOuE
d7c3GgjcYVM2thtYFvGJtL5tfa8ODtKRBkIbnXLg2ttre7/3FCvClBg7IRRpNxagCb01FgxjANPL
YADf7+kJlOLIkSARJEmiin3J252gH2EkYRE+vNcJQel3sLgYtypYR5KFkosKYv9FkMDmqEB9UEVs
SbbXu1sSMfQbCE2jXh7hocFPWmdVeXMaWEcQcodS/+6nA8uN+72ntcCCMDyyE2TOjfAgOEDvP/Wr
zREJJrRs4Q7uN8d3ty8MvqBjp4E0iPliTQEb6M2RwFogmtha7RMIg9H5+xoJbFfibwiYUcshTTJA
sl8uBtoRqUS0DaAKbq93NwQwSh6dPwGhA+p9UKIZpMiG66ATTPUIySOSC3TD9np3Q4BgWeTAM3Yq
sB5gB66B5j/MJG7PjbqISPZ7zaINK/XYOUAGSUPGBGbY99TIy6lA5oQE22CQ+l5Hwf7QOPa4wOmZ
rDEcFAAC2+twNJBTxdoLz/XnRNu7mw6kvPXdQ/39HBIBgoj+kgiQ5WAxMEwqLAgOgxd5bxsBoJv9
Q/3915aNI4AwHDPk7ymiF5PA5O1xiCCbvg+b3l1wyDeDtbu1JR0XIBpHBEV4Wg2iLC96gNEPrmnI
qOzXwt1se0eRIazWQYJp1NuzE7DhgWc1DuMB0zhC5ggX0+fS27ub+7u8kTJ6K9SPREYSh+Q3SyoW
IQEoZIM04u56d4vBvh/G1tdIpcOQp4poPH/xg9lgkV/cSheh+7q73tuiuA+Ndt9nxLqoAOLWBlLm
YWxIBxiqPIiy7BfEvzAh/oU14xuAAfnz8GELXfAei7cQDj/7heea/Y8/39frt4VY0L4HvzggGXb3
3tUmhj//8yBXuz0Lv/jh89l4e5/9P9+/4I+3PrjX81s9/+XKe8w3+VfUALaF4v1j7hwMAe67yEOs
883DY+EeFNW3teTvD/Tf/zh43Bfr4S/bz6t489XdhG/dYm8bs32qN6Ee35bcX96iKDbRyyffFT/H
PvnEczf5y2Z3dbSxza42ebeJNy8b3ueeRrfsRT/taWmX6Bx7i5NNFFV//McmSv/rj9NN4QLeOngR
ACQcGsbe5XSTx8CLgsNOGrjUv6FtpkL4quEtiGjsQ/+JovfIMX6+eXC7t6fpLm019vEvHzwEyZ/7
d1jC9nmAsQ2vqwck/x7zvDtofJdxHN947G/uDxve5m7GNny18TdF6W4OkFb7M/HYtq+9IPAOFqz9
OWNswzebyAv/uNg8VC97ZH92G9v4bVkiHvTGPrGvp41t/+6xKP+YPMbOJjx4+l3sPbb18w2LOQtW
eWjWu093jm19WWHDsjmApH0rsI1uOzmYlUO7aBk/d9GIXTN++MbXu/C+Jvd83eMiRE6veG58WAW+
4SfGvscv/eOGmBIfAU5+Y29z7qEDcBgO7ANWDjBjG/+13fPIJf4v6XSNvNegBDZ86ucu2YasO7jU
b+im80082GK/0fhv2MDPHx2iyU13MCv4xCgcDSeJsZ949hi63nMz37tlEJod3fS3+fZzvcqR33XK
jvXgofJ2GMlve2dI5459hanrbsrSK364w3d0zdhbbPcZBHhej87vqdixdzhhK/hp+79hCN08MrWc
1zH+9yza2Of/VwWKRo6lt9ejv8P0/uWDvHWk/VYX/vGg+4ybf+ufHZ7ih9/4Gj5u8n/+LwAAAP//
</cx:binary>
              </cx:geoCache>
            </cx:geography>
          </cx:layoutPr>
        </cx:series>
      </cx:plotAreaRegion>
    </cx:plotArea>
    <cx:legend pos="r" align="min" overlay="0">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tx1"/>
            </a:solidFill>
          </a:endParaRPr>
        </a:p>
      </cx:txPr>
    </cx:legend>
  </cx:chart>
  <cx:spPr>
    <a:solidFill>
      <a:schemeClr val="bg2"/>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microsoft.com/office/2014/relationships/chartEx" Target="../charts/chartEx3.xml"/><Relationship Id="rId1" Type="http://schemas.openxmlformats.org/officeDocument/2006/relationships/chart" Target="../charts/chart8.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114300</xdr:colOff>
      <xdr:row>6</xdr:row>
      <xdr:rowOff>41910</xdr:rowOff>
    </xdr:from>
    <xdr:to>
      <xdr:col>10</xdr:col>
      <xdr:colOff>419100</xdr:colOff>
      <xdr:row>21</xdr:row>
      <xdr:rowOff>41910</xdr:rowOff>
    </xdr:to>
    <xdr:graphicFrame macro="">
      <xdr:nvGraphicFramePr>
        <xdr:cNvPr id="2" name="Chart 1">
          <a:extLst>
            <a:ext uri="{FF2B5EF4-FFF2-40B4-BE49-F238E27FC236}">
              <a16:creationId xmlns:a16="http://schemas.microsoft.com/office/drawing/2014/main" id="{144DFCD6-BB09-B542-DA5B-D807043B0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571500</xdr:colOff>
      <xdr:row>7</xdr:row>
      <xdr:rowOff>15240</xdr:rowOff>
    </xdr:from>
    <xdr:to>
      <xdr:col>11</xdr:col>
      <xdr:colOff>327660</xdr:colOff>
      <xdr:row>20</xdr:row>
      <xdr:rowOff>64770</xdr:rowOff>
    </xdr:to>
    <xdr:graphicFrame macro="">
      <xdr:nvGraphicFramePr>
        <xdr:cNvPr id="2" name="Chart 1">
          <a:extLst>
            <a:ext uri="{FF2B5EF4-FFF2-40B4-BE49-F238E27FC236}">
              <a16:creationId xmlns:a16="http://schemas.microsoft.com/office/drawing/2014/main" id="{D7FA9D74-B3F5-731B-A814-A1D8C1C17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99060</xdr:colOff>
      <xdr:row>3146</xdr:row>
      <xdr:rowOff>76200</xdr:rowOff>
    </xdr:from>
    <xdr:to>
      <xdr:col>16</xdr:col>
      <xdr:colOff>297180</xdr:colOff>
      <xdr:row>3161</xdr:row>
      <xdr:rowOff>114300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C261CAC-B4EE-9BF9-2B7E-2C1FDF8AB9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66560" y="575416680"/>
              <a:ext cx="4465320" cy="2781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0</xdr:row>
      <xdr:rowOff>7620</xdr:rowOff>
    </xdr:from>
    <xdr:to>
      <xdr:col>10</xdr:col>
      <xdr:colOff>289560</xdr:colOff>
      <xdr:row>15</xdr:row>
      <xdr:rowOff>7620</xdr:rowOff>
    </xdr:to>
    <xdr:graphicFrame macro="">
      <xdr:nvGraphicFramePr>
        <xdr:cNvPr id="2" name="Chart 1">
          <a:extLst>
            <a:ext uri="{FF2B5EF4-FFF2-40B4-BE49-F238E27FC236}">
              <a16:creationId xmlns:a16="http://schemas.microsoft.com/office/drawing/2014/main" id="{D2A8DB31-B014-4944-AF13-FCCA430C6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0</xdr:colOff>
      <xdr:row>13</xdr:row>
      <xdr:rowOff>89535</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DF716E7E-85BE-43ED-BC2C-D8D516483E9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106680</xdr:rowOff>
    </xdr:from>
    <xdr:to>
      <xdr:col>3</xdr:col>
      <xdr:colOff>0</xdr:colOff>
      <xdr:row>27</xdr:row>
      <xdr:rowOff>13335</xdr:rowOff>
    </xdr:to>
    <mc:AlternateContent xmlns:mc="http://schemas.openxmlformats.org/markup-compatibility/2006" xmlns:a14="http://schemas.microsoft.com/office/drawing/2010/main">
      <mc:Choice Requires="a14">
        <xdr:graphicFrame macro="">
          <xdr:nvGraphicFramePr>
            <xdr:cNvPr id="4" name="pollutant_id 1">
              <a:extLst>
                <a:ext uri="{FF2B5EF4-FFF2-40B4-BE49-F238E27FC236}">
                  <a16:creationId xmlns:a16="http://schemas.microsoft.com/office/drawing/2014/main" id="{94597D66-C7CC-4B93-A445-5805B3AFEFBE}"/>
                </a:ext>
              </a:extLst>
            </xdr:cNvPr>
            <xdr:cNvGraphicFramePr/>
          </xdr:nvGraphicFramePr>
          <xdr:xfrm>
            <a:off x="0" y="0"/>
            <a:ext cx="0" cy="0"/>
          </xdr:xfrm>
          <a:graphic>
            <a:graphicData uri="http://schemas.microsoft.com/office/drawing/2010/slicer">
              <sle:slicer xmlns:sle="http://schemas.microsoft.com/office/drawing/2010/slicer" name="pollutant_id 1"/>
            </a:graphicData>
          </a:graphic>
        </xdr:graphicFrame>
      </mc:Choice>
      <mc:Fallback xmlns="">
        <xdr:sp macro="" textlink="">
          <xdr:nvSpPr>
            <xdr:cNvPr id="0" name=""/>
            <xdr:cNvSpPr>
              <a:spLocks noTextEdit="1"/>
            </xdr:cNvSpPr>
          </xdr:nvSpPr>
          <xdr:spPr>
            <a:xfrm>
              <a:off x="0" y="2484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6</xdr:row>
      <xdr:rowOff>41910</xdr:rowOff>
    </xdr:from>
    <xdr:to>
      <xdr:col>10</xdr:col>
      <xdr:colOff>419100</xdr:colOff>
      <xdr:row>21</xdr:row>
      <xdr:rowOff>41910</xdr:rowOff>
    </xdr:to>
    <xdr:graphicFrame macro="">
      <xdr:nvGraphicFramePr>
        <xdr:cNvPr id="2" name="Chart 1">
          <a:extLst>
            <a:ext uri="{FF2B5EF4-FFF2-40B4-BE49-F238E27FC236}">
              <a16:creationId xmlns:a16="http://schemas.microsoft.com/office/drawing/2014/main" id="{95F6A1D1-37D2-FA4B-DC61-E422100F4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320040</xdr:colOff>
      <xdr:row>3</xdr:row>
      <xdr:rowOff>129540</xdr:rowOff>
    </xdr:from>
    <xdr:to>
      <xdr:col>14</xdr:col>
      <xdr:colOff>320040</xdr:colOff>
      <xdr:row>17</xdr:row>
      <xdr:rowOff>36195</xdr:rowOff>
    </xdr:to>
    <mc:AlternateContent xmlns:mc="http://schemas.openxmlformats.org/markup-compatibility/2006" xmlns:a14="http://schemas.microsoft.com/office/drawing/2010/main">
      <mc:Choice Requires="a14">
        <xdr:graphicFrame macro="">
          <xdr:nvGraphicFramePr>
            <xdr:cNvPr id="3" name="city 3">
              <a:extLst>
                <a:ext uri="{FF2B5EF4-FFF2-40B4-BE49-F238E27FC236}">
                  <a16:creationId xmlns:a16="http://schemas.microsoft.com/office/drawing/2014/main" id="{66A1A146-A2E6-7F4E-44AF-73C5DF2A1B67}"/>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8214360" y="678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13</xdr:row>
      <xdr:rowOff>45720</xdr:rowOff>
    </xdr:from>
    <xdr:to>
      <xdr:col>10</xdr:col>
      <xdr:colOff>320040</xdr:colOff>
      <xdr:row>27</xdr:row>
      <xdr:rowOff>76200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74D32DA-F28C-4BEC-B04E-37DEA9120C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28800" y="2423160"/>
              <a:ext cx="4587240" cy="2590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495300</xdr:colOff>
      <xdr:row>13</xdr:row>
      <xdr:rowOff>68580</xdr:rowOff>
    </xdr:from>
    <xdr:to>
      <xdr:col>23</xdr:col>
      <xdr:colOff>137160</xdr:colOff>
      <xdr:row>26</xdr:row>
      <xdr:rowOff>175260</xdr:rowOff>
    </xdr:to>
    <xdr:graphicFrame macro="">
      <xdr:nvGraphicFramePr>
        <xdr:cNvPr id="3" name="Chart 2">
          <a:extLst>
            <a:ext uri="{FF2B5EF4-FFF2-40B4-BE49-F238E27FC236}">
              <a16:creationId xmlns:a16="http://schemas.microsoft.com/office/drawing/2014/main" id="{B075E20D-F494-4E2C-87FA-54551A0F4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586740</xdr:colOff>
      <xdr:row>0</xdr:row>
      <xdr:rowOff>15241</xdr:rowOff>
    </xdr:from>
    <xdr:to>
      <xdr:col>7</xdr:col>
      <xdr:colOff>304800</xdr:colOff>
      <xdr:row>13</xdr:row>
      <xdr:rowOff>53341</xdr:rowOff>
    </xdr:to>
    <mc:AlternateContent xmlns:mc="http://schemas.openxmlformats.org/markup-compatibility/2006" xmlns:a14="http://schemas.microsoft.com/office/drawing/2010/main">
      <mc:Choice Requires="a14">
        <xdr:graphicFrame macro="">
          <xdr:nvGraphicFramePr>
            <xdr:cNvPr id="7" name="pollutant_id 2">
              <a:extLst>
                <a:ext uri="{FF2B5EF4-FFF2-40B4-BE49-F238E27FC236}">
                  <a16:creationId xmlns:a16="http://schemas.microsoft.com/office/drawing/2014/main" id="{9B42419F-C1DE-49F6-AF63-AD4BD824C6AB}"/>
                </a:ext>
              </a:extLst>
            </xdr:cNvPr>
            <xdr:cNvGraphicFramePr/>
          </xdr:nvGraphicFramePr>
          <xdr:xfrm>
            <a:off x="0" y="0"/>
            <a:ext cx="0" cy="0"/>
          </xdr:xfrm>
          <a:graphic>
            <a:graphicData uri="http://schemas.microsoft.com/office/drawing/2010/slicer">
              <sle:slicer xmlns:sle="http://schemas.microsoft.com/office/drawing/2010/slicer" name="pollutant_id 2"/>
            </a:graphicData>
          </a:graphic>
        </xdr:graphicFrame>
      </mc:Choice>
      <mc:Fallback xmlns="">
        <xdr:sp macro="" textlink="">
          <xdr:nvSpPr>
            <xdr:cNvPr id="0" name=""/>
            <xdr:cNvSpPr>
              <a:spLocks noTextEdit="1"/>
            </xdr:cNvSpPr>
          </xdr:nvSpPr>
          <xdr:spPr>
            <a:xfrm>
              <a:off x="1805940" y="15241"/>
              <a:ext cx="2766060" cy="2415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464820</xdr:colOff>
      <xdr:row>0</xdr:row>
      <xdr:rowOff>0</xdr:rowOff>
    </xdr:from>
    <xdr:to>
      <xdr:col>23</xdr:col>
      <xdr:colOff>243840</xdr:colOff>
      <xdr:row>13</xdr:row>
      <xdr:rowOff>68580</xdr:rowOff>
    </xdr:to>
    <xdr:graphicFrame macro="">
      <xdr:nvGraphicFramePr>
        <xdr:cNvPr id="5" name="Chart 4">
          <a:extLst>
            <a:ext uri="{FF2B5EF4-FFF2-40B4-BE49-F238E27FC236}">
              <a16:creationId xmlns:a16="http://schemas.microsoft.com/office/drawing/2014/main" id="{9A51029D-56D8-43A5-AE3B-5AF5E02AB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335280</xdr:colOff>
      <xdr:row>0</xdr:row>
      <xdr:rowOff>0</xdr:rowOff>
    </xdr:from>
    <xdr:to>
      <xdr:col>16</xdr:col>
      <xdr:colOff>472440</xdr:colOff>
      <xdr:row>13</xdr:row>
      <xdr:rowOff>38100</xdr:rowOff>
    </xdr:to>
    <xdr:graphicFrame macro="">
      <xdr:nvGraphicFramePr>
        <xdr:cNvPr id="6" name="Chart 5">
          <a:extLst>
            <a:ext uri="{FF2B5EF4-FFF2-40B4-BE49-F238E27FC236}">
              <a16:creationId xmlns:a16="http://schemas.microsoft.com/office/drawing/2014/main" id="{881C947A-BD31-4EF8-880D-3DAF3F30E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3</xdr:col>
      <xdr:colOff>0</xdr:colOff>
      <xdr:row>30</xdr:row>
      <xdr:rowOff>0</xdr:rowOff>
    </xdr:to>
    <mc:AlternateContent xmlns:mc="http://schemas.openxmlformats.org/markup-compatibility/2006" xmlns:a14="http://schemas.microsoft.com/office/drawing/2010/main">
      <mc:Choice Requires="a14">
        <xdr:graphicFrame macro="">
          <xdr:nvGraphicFramePr>
            <xdr:cNvPr id="8" name="city 2">
              <a:extLst>
                <a:ext uri="{FF2B5EF4-FFF2-40B4-BE49-F238E27FC236}">
                  <a16:creationId xmlns:a16="http://schemas.microsoft.com/office/drawing/2014/main" id="{14378858-08DB-43D6-9EA6-C41285F0A29E}"/>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0" y="0"/>
              <a:ext cx="1828800" cy="548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492513</xdr:colOff>
      <xdr:row>1</xdr:row>
      <xdr:rowOff>18584</xdr:rowOff>
    </xdr:from>
    <xdr:to>
      <xdr:col>10</xdr:col>
      <xdr:colOff>139390</xdr:colOff>
      <xdr:row>14</xdr:row>
      <xdr:rowOff>130098</xdr:rowOff>
    </xdr:to>
    <xdr:graphicFrame macro="">
      <xdr:nvGraphicFramePr>
        <xdr:cNvPr id="2" name="Chart 1">
          <a:extLst>
            <a:ext uri="{FF2B5EF4-FFF2-40B4-BE49-F238E27FC236}">
              <a16:creationId xmlns:a16="http://schemas.microsoft.com/office/drawing/2014/main" id="{A4C416EC-3E70-43B7-ADE9-DD5B776A3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434340</xdr:colOff>
      <xdr:row>1</xdr:row>
      <xdr:rowOff>129540</xdr:rowOff>
    </xdr:from>
    <xdr:to>
      <xdr:col>16</xdr:col>
      <xdr:colOff>144780</xdr:colOff>
      <xdr:row>15</xdr:row>
      <xdr:rowOff>160020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4010693D-340A-4FCC-8AFB-B1FA9B75D8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311140" y="518160"/>
              <a:ext cx="4587240" cy="2682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171894</xdr:colOff>
      <xdr:row>14</xdr:row>
      <xdr:rowOff>176933</xdr:rowOff>
    </xdr:from>
    <xdr:to>
      <xdr:col>23</xdr:col>
      <xdr:colOff>222591</xdr:colOff>
      <xdr:row>28</xdr:row>
      <xdr:rowOff>100733</xdr:rowOff>
    </xdr:to>
    <xdr:graphicFrame macro="">
      <xdr:nvGraphicFramePr>
        <xdr:cNvPr id="5" name="Chart 4">
          <a:extLst>
            <a:ext uri="{FF2B5EF4-FFF2-40B4-BE49-F238E27FC236}">
              <a16:creationId xmlns:a16="http://schemas.microsoft.com/office/drawing/2014/main" id="{A7B9BD7B-C941-46F2-BB40-2FEEFA110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42396</xdr:colOff>
      <xdr:row>1</xdr:row>
      <xdr:rowOff>24552</xdr:rowOff>
    </xdr:from>
    <xdr:to>
      <xdr:col>23</xdr:col>
      <xdr:colOff>93248</xdr:colOff>
      <xdr:row>15</xdr:row>
      <xdr:rowOff>44810</xdr:rowOff>
    </xdr:to>
    <xdr:graphicFrame macro="">
      <xdr:nvGraphicFramePr>
        <xdr:cNvPr id="6" name="Chart 5">
          <a:extLst>
            <a:ext uri="{FF2B5EF4-FFF2-40B4-BE49-F238E27FC236}">
              <a16:creationId xmlns:a16="http://schemas.microsoft.com/office/drawing/2014/main" id="{8A642555-57CA-4734-91B6-65618A2CC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15</xdr:row>
      <xdr:rowOff>59265</xdr:rowOff>
    </xdr:from>
    <xdr:to>
      <xdr:col>7</xdr:col>
      <xdr:colOff>576146</xdr:colOff>
      <xdr:row>28</xdr:row>
      <xdr:rowOff>83634</xdr:rowOff>
    </xdr:to>
    <mc:AlternateContent xmlns:mc="http://schemas.openxmlformats.org/markup-compatibility/2006" xmlns:a14="http://schemas.microsoft.com/office/drawing/2010/main">
      <mc:Choice Requires="a14">
        <xdr:graphicFrame macro="">
          <xdr:nvGraphicFramePr>
            <xdr:cNvPr id="7" name="city 4">
              <a:extLst>
                <a:ext uri="{FF2B5EF4-FFF2-40B4-BE49-F238E27FC236}">
                  <a16:creationId xmlns:a16="http://schemas.microsoft.com/office/drawing/2014/main" id="{768F6EAB-4776-4C06-ACFF-74E6F759B2A3}"/>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0" y="2854113"/>
              <a:ext cx="4843346" cy="2732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8363</xdr:colOff>
      <xdr:row>1</xdr:row>
      <xdr:rowOff>9292</xdr:rowOff>
    </xdr:from>
    <xdr:to>
      <xdr:col>3</xdr:col>
      <xdr:colOff>84667</xdr:colOff>
      <xdr:row>15</xdr:row>
      <xdr:rowOff>67733</xdr:rowOff>
    </xdr:to>
    <mc:AlternateContent xmlns:mc="http://schemas.openxmlformats.org/markup-compatibility/2006" xmlns:a14="http://schemas.microsoft.com/office/drawing/2010/main">
      <mc:Choice Requires="a14">
        <xdr:graphicFrame macro="">
          <xdr:nvGraphicFramePr>
            <xdr:cNvPr id="8" name="pollutant_id 3">
              <a:extLst>
                <a:ext uri="{FF2B5EF4-FFF2-40B4-BE49-F238E27FC236}">
                  <a16:creationId xmlns:a16="http://schemas.microsoft.com/office/drawing/2014/main" id="{5299BC76-CB33-4C0D-A0F2-DDA1DEEC7FDC}"/>
                </a:ext>
              </a:extLst>
            </xdr:cNvPr>
            <xdr:cNvGraphicFramePr/>
          </xdr:nvGraphicFramePr>
          <xdr:xfrm>
            <a:off x="0" y="0"/>
            <a:ext cx="0" cy="0"/>
          </xdr:xfrm>
          <a:graphic>
            <a:graphicData uri="http://schemas.microsoft.com/office/drawing/2010/slicer">
              <sle:slicer xmlns:sle="http://schemas.microsoft.com/office/drawing/2010/slicer" name="pollutant_id 3"/>
            </a:graphicData>
          </a:graphic>
        </xdr:graphicFrame>
      </mc:Choice>
      <mc:Fallback xmlns="">
        <xdr:sp macro="" textlink="">
          <xdr:nvSpPr>
            <xdr:cNvPr id="0" name=""/>
            <xdr:cNvSpPr>
              <a:spLocks noTextEdit="1"/>
            </xdr:cNvSpPr>
          </xdr:nvSpPr>
          <xdr:spPr>
            <a:xfrm>
              <a:off x="8363" y="398759"/>
              <a:ext cx="1905104" cy="2462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576145</xdr:colOff>
      <xdr:row>15</xdr:row>
      <xdr:rowOff>68579</xdr:rowOff>
    </xdr:from>
    <xdr:to>
      <xdr:col>16</xdr:col>
      <xdr:colOff>190499</xdr:colOff>
      <xdr:row>28</xdr:row>
      <xdr:rowOff>102219</xdr:rowOff>
    </xdr:to>
    <xdr:graphicFrame macro="">
      <xdr:nvGraphicFramePr>
        <xdr:cNvPr id="9" name="Chart 8">
          <a:extLst>
            <a:ext uri="{FF2B5EF4-FFF2-40B4-BE49-F238E27FC236}">
              <a16:creationId xmlns:a16="http://schemas.microsoft.com/office/drawing/2014/main" id="{5DB9205A-05CF-4C54-A8C9-8B552A530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575733</xdr:colOff>
      <xdr:row>15</xdr:row>
      <xdr:rowOff>58422</xdr:rowOff>
    </xdr:from>
    <xdr:to>
      <xdr:col>10</xdr:col>
      <xdr:colOff>364066</xdr:colOff>
      <xdr:row>28</xdr:row>
      <xdr:rowOff>76201</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22989CF6-6650-F31C-B3ED-9247E2DAA6A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842933" y="3140289"/>
              <a:ext cx="1617133" cy="2439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330199</xdr:colOff>
      <xdr:row>1</xdr:row>
      <xdr:rowOff>50799</xdr:rowOff>
    </xdr:from>
    <xdr:to>
      <xdr:col>24</xdr:col>
      <xdr:colOff>770466</xdr:colOff>
      <xdr:row>4</xdr:row>
      <xdr:rowOff>42333</xdr:rowOff>
    </xdr:to>
    <xdr:sp macro="" textlink="Sheet1!M6">
      <xdr:nvSpPr>
        <xdr:cNvPr id="12" name="Rectangle: Rounded Corners 11">
          <a:extLst>
            <a:ext uri="{FF2B5EF4-FFF2-40B4-BE49-F238E27FC236}">
              <a16:creationId xmlns:a16="http://schemas.microsoft.com/office/drawing/2014/main" id="{A91307F4-B291-DBD1-A722-9BE9AC5C254E}"/>
            </a:ext>
          </a:extLst>
        </xdr:cNvPr>
        <xdr:cNvSpPr/>
      </xdr:nvSpPr>
      <xdr:spPr>
        <a:xfrm>
          <a:off x="13741399" y="440266"/>
          <a:ext cx="1659467" cy="5926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Abadi Extra Light" panose="020B0204020104020204" pitchFamily="34" charset="0"/>
              <a:ea typeface="Calibri"/>
              <a:cs typeface="Calibri"/>
            </a:rPr>
            <a:t>TOTAL RECORDS  </a:t>
          </a:r>
          <a:fld id="{2126A7FB-086F-4C00-AC87-4426446E5C3D}" type="TxLink">
            <a:rPr lang="en-US" sz="1200" b="0" i="0" u="none" strike="noStrike">
              <a:solidFill>
                <a:schemeClr val="bg1"/>
              </a:solidFill>
              <a:latin typeface="Abadi Extra Light" panose="020B0204020104020204" pitchFamily="34" charset="0"/>
              <a:ea typeface="Calibri"/>
              <a:cs typeface="Calibri"/>
            </a:rPr>
            <a:pPr algn="ctr"/>
            <a:t>3172</a:t>
          </a:fld>
          <a:endParaRPr lang="en-US" sz="1200" b="0">
            <a:solidFill>
              <a:schemeClr val="bg1"/>
            </a:solidFill>
            <a:latin typeface="Abadi Extra Light" panose="020B0204020104020204" pitchFamily="34" charset="0"/>
          </a:endParaRPr>
        </a:p>
      </xdr:txBody>
    </xdr:sp>
    <xdr:clientData/>
  </xdr:twoCellAnchor>
  <xdr:twoCellAnchor>
    <xdr:from>
      <xdr:col>22</xdr:col>
      <xdr:colOff>330200</xdr:colOff>
      <xdr:row>4</xdr:row>
      <xdr:rowOff>152400</xdr:rowOff>
    </xdr:from>
    <xdr:to>
      <xdr:col>24</xdr:col>
      <xdr:colOff>770467</xdr:colOff>
      <xdr:row>7</xdr:row>
      <xdr:rowOff>160867</xdr:rowOff>
    </xdr:to>
    <xdr:sp macro="" textlink="Sheet1!M9">
      <xdr:nvSpPr>
        <xdr:cNvPr id="13" name="Rectangle: Rounded Corners 12">
          <a:extLst>
            <a:ext uri="{FF2B5EF4-FFF2-40B4-BE49-F238E27FC236}">
              <a16:creationId xmlns:a16="http://schemas.microsoft.com/office/drawing/2014/main" id="{4D258DBD-7798-4DF5-BFF5-AAD9A0A73022}"/>
            </a:ext>
          </a:extLst>
        </xdr:cNvPr>
        <xdr:cNvSpPr/>
      </xdr:nvSpPr>
      <xdr:spPr>
        <a:xfrm>
          <a:off x="13741400" y="1143000"/>
          <a:ext cx="1659467"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a:solidFill>
                <a:schemeClr val="bg1"/>
              </a:solidFill>
              <a:latin typeface="Abadi Extra Light" panose="020B0204020104020204" pitchFamily="34" charset="0"/>
              <a:ea typeface="Calibri"/>
              <a:cs typeface="Calibri"/>
            </a:rPr>
            <a:t>AVG POLLUTION</a:t>
          </a:r>
          <a:r>
            <a:rPr lang="en-US" sz="1050" b="0" i="0" u="none" strike="noStrike" baseline="0">
              <a:solidFill>
                <a:schemeClr val="bg1"/>
              </a:solidFill>
              <a:latin typeface="Abadi Extra Light" panose="020B0204020104020204" pitchFamily="34" charset="0"/>
              <a:ea typeface="Calibri"/>
              <a:cs typeface="Calibri"/>
            </a:rPr>
            <a:t> LEVEL</a:t>
          </a:r>
        </a:p>
        <a:p>
          <a:pPr algn="ctr"/>
          <a:fld id="{2EC75EB1-F50F-457C-B084-3BD426C122D5}" type="TxLink">
            <a:rPr lang="en-US" sz="1050" b="0" i="0" u="none" strike="noStrike">
              <a:solidFill>
                <a:schemeClr val="bg1"/>
              </a:solidFill>
              <a:latin typeface="Abadi Extra Light" panose="020B0204020104020204" pitchFamily="34" charset="0"/>
              <a:ea typeface="Calibri"/>
              <a:cs typeface="Calibri"/>
            </a:rPr>
            <a:pPr algn="ctr"/>
            <a:t>48.48037889</a:t>
          </a:fld>
          <a:endParaRPr lang="en-US" sz="1200" b="0">
            <a:solidFill>
              <a:schemeClr val="bg1"/>
            </a:solidFill>
            <a:latin typeface="Abadi Extra Light" panose="020B0204020104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 THOMAS" refreshedDate="45760.634572222225" createdVersion="8" refreshedVersion="8" minRefreshableVersion="3" recordCount="3171" xr:uid="{60FA4351-0C4A-4686-8F02-FF7E77CDB1A5}">
  <cacheSource type="worksheet">
    <worksheetSource ref="A1:K3172" sheet="Sheet1"/>
  </cacheSource>
  <cacheFields count="11">
    <cacheField name="country" numFmtId="0">
      <sharedItems/>
    </cacheField>
    <cacheField name="state" numFmtId="0">
      <sharedItems count="31">
        <s v="Assam"/>
        <s v="Bihar"/>
        <s v="Andhra_Pradesh"/>
        <s v="Andaman and Nicobar"/>
        <s v="Chhattisgarh"/>
        <s v="Chandigarh"/>
        <s v="Delhi"/>
        <s v="Gujarat"/>
        <s v="Himachal Pradesh"/>
        <s v="Jammu_and_Kashmir"/>
        <s v="Karnataka"/>
        <s v="Haryana"/>
        <s v="Kerala"/>
        <s v="Madhya Pradesh"/>
        <s v="Maharashtra"/>
        <s v="Odisha"/>
        <s v="Manipur"/>
        <s v="Mizoram"/>
        <s v="Punjab"/>
        <s v="Rajasthan"/>
        <s v="Puducherry"/>
        <s v="TamilNadu"/>
        <s v="Sikkim"/>
        <s v="Telangana"/>
        <s v="Uttar_Pradesh"/>
        <s v="Uttarakhand"/>
        <s v="West_Bengal"/>
        <s v="Jharkhand"/>
        <s v="Nagaland"/>
        <s v="Meghalaya"/>
        <s v="Tripura"/>
      </sharedItems>
    </cacheField>
    <cacheField name="city" numFmtId="0">
      <sharedItems count="252">
        <s v="Nagaon"/>
        <s v="Nalbari"/>
        <s v="Silchar"/>
        <s v="Sivasagar"/>
        <s v="Araria"/>
        <s v="Arrah"/>
        <s v="Aurangabad"/>
        <s v="Vijayawada"/>
        <s v="Visakhapatnam"/>
        <s v="Byrnihat"/>
        <s v="Tirumala"/>
        <s v="Tirupati"/>
        <s v="Anantapur"/>
        <s v="Chittoor"/>
        <s v="Bettiah"/>
        <s v="Bhagalpur"/>
        <s v="Guwahati"/>
        <s v="Sri Vijaya Puram"/>
        <s v="Patna"/>
        <s v="Purnia"/>
        <s v="Rajgir"/>
        <s v="Saharsa"/>
        <s v="Kishanganj"/>
        <s v="Manguraha"/>
        <s v="Munger"/>
        <s v="Chhapra"/>
        <s v="Gaya"/>
        <s v="Buxar"/>
        <s v="Muzaffarpur"/>
        <s v="Hajipur"/>
        <s v="Katihar"/>
        <s v="Samastipur"/>
        <s v="Bhilai"/>
        <s v="Bilaspur"/>
        <s v="Chhal"/>
        <s v="Korba"/>
        <s v="Sasaram"/>
        <s v="Siwan"/>
        <s v="Chandigarh"/>
        <s v="Delhi"/>
        <s v="Raipur"/>
        <s v="Ahmedabad"/>
        <s v="Baddi"/>
        <s v="Srinagar"/>
        <s v="Bagalkot"/>
        <s v="Bengaluru"/>
        <s v="Gurugram"/>
        <s v="Panchgaon"/>
        <s v="Ankleshwar"/>
        <s v="Gandhinagar"/>
        <s v="Surat"/>
        <s v="Gadag"/>
        <s v="Haveri"/>
        <s v="Hubballi"/>
        <s v="Kalaburagi"/>
        <s v="Chikkaballapur"/>
        <s v="Chikkamagaluru"/>
        <s v="Davanagere"/>
        <s v="Dharwad"/>
        <s v="Yadgir"/>
        <s v="Eloor"/>
        <s v="Chamarajanagar"/>
        <s v="Mysuru"/>
        <s v="Tumakuru"/>
        <s v="Madikeri"/>
        <s v="Thiruvananthapuram"/>
        <s v="Thrissur"/>
        <s v="Bhopal"/>
        <s v="Jabalpur"/>
        <s v="Katni"/>
        <s v="Maihar"/>
        <s v="Mandideep"/>
        <s v="Pithampur"/>
        <s v="Indore"/>
        <s v="Damoh"/>
        <s v="Gwalior"/>
        <s v="Sagar"/>
        <s v="Satna"/>
        <s v="Singrauli"/>
        <s v="Kollam"/>
        <s v="Kolhapur"/>
        <s v="Mahad"/>
        <s v="Malegaon"/>
        <s v="Mira-Bhayandar"/>
        <s v="Boisar"/>
        <s v="Chandrapur"/>
        <s v="Dhule"/>
        <s v="Ahmednagar"/>
        <s v="Akola"/>
        <s v="Amravati"/>
        <s v="Jalna"/>
        <s v="Kalyan"/>
        <s v="Belapur"/>
        <s v="Bhiwandi"/>
        <s v="Mumbai"/>
        <s v="Pune"/>
        <s v="Navi Mumbai"/>
        <s v="Nagpur"/>
        <s v="Nanded"/>
        <s v="Nashik"/>
        <s v="Pimpri-Chinchwad"/>
        <s v="Parbhani"/>
        <s v="Cuttack"/>
        <s v="Keonjhar"/>
        <s v="Nayagarh"/>
        <s v="Rairangpur"/>
        <s v="Rourkela"/>
        <s v="Balasore"/>
        <s v="Barbil"/>
        <s v="Baripada"/>
        <s v="Bhubaneswar"/>
        <s v="Bileipada"/>
        <s v="Brajrajnagar"/>
        <s v="Byasanagar"/>
        <s v="Ulhasnagar"/>
        <s v="Imphal"/>
        <s v="Solapur"/>
        <s v="Thane"/>
        <s v="Aizawl"/>
        <s v="Ludhiana"/>
        <s v="Mandi Gobindgarh"/>
        <s v="Patiala"/>
        <s v="Rupnagar"/>
        <s v="Ajmer"/>
        <s v="Alwar"/>
        <s v="Suakati"/>
        <s v="Talcher"/>
        <s v="Puducherry"/>
        <s v="Amritsar"/>
        <s v="Khanna"/>
        <s v="Bhiwadi"/>
        <s v="Bikaner"/>
        <s v="Bharatpur"/>
        <s v="Bhilwara"/>
        <s v="Banswara"/>
        <s v="Baran"/>
        <s v="Barmer"/>
        <s v="Chittorgarh"/>
        <s v="Bundi"/>
        <s v="Jaipur"/>
        <s v="Jaisalmer"/>
        <s v="Jalore"/>
        <s v="Jhalawar"/>
        <s v="Jhunjhunu"/>
        <s v="Jodhpur"/>
        <s v="Pali"/>
        <s v="Pratapgarh"/>
        <s v="Rajsamand"/>
        <s v="Sawai Madhopur"/>
        <s v="Sikar"/>
        <s v="Dungarpur"/>
        <s v="Hanumangarh"/>
        <s v="Dausa"/>
        <s v="Dholpur"/>
        <s v="Karauli"/>
        <s v="Kota"/>
        <s v="Churu"/>
        <s v="Chennai"/>
        <s v="Coimbatore"/>
        <s v="Karur"/>
        <s v="Nagapattinam"/>
        <s v="Namakkal"/>
        <s v="Gangtok"/>
        <s v="Ariyalur"/>
        <s v="Dindigul"/>
        <s v="Hosur"/>
        <s v="Sri Ganganagar"/>
        <s v="Tonk"/>
        <s v="Cuddalore"/>
        <s v="Tiruchirappalli"/>
        <s v="Tirunelveli"/>
        <s v="Tirupur"/>
        <s v="Virudhunagar"/>
        <s v="Hyderabad"/>
        <s v="Ranipet"/>
        <s v="Thoothukudi"/>
        <s v="Agra"/>
        <s v="Ramanathapuram"/>
        <s v="Bareilly"/>
        <s v="Bulandshahr"/>
        <s v="Firozabad"/>
        <s v="Ghaziabad"/>
        <s v="Gorakhpur"/>
        <s v="Greater Noida"/>
        <s v="Hapur"/>
        <s v="Jhansi"/>
        <s v="Kanpur"/>
        <s v="Baghpat"/>
        <s v="Khurja"/>
        <s v="Lucknow"/>
        <s v="Meerut"/>
        <s v="Moradabad"/>
        <s v="Noida"/>
        <s v="Prayagraj"/>
        <s v="Varanasi"/>
        <s v="Vrindavan"/>
        <s v="Dehradun"/>
        <s v="Kashipur"/>
        <s v="Durgapur"/>
        <s v="Haldia"/>
        <s v="Howrah"/>
        <s v="Asansol"/>
        <s v="Barrackpore"/>
        <s v="Kolkata"/>
        <s v="Siliguri"/>
        <s v="Rajamahendravaram"/>
        <s v="Begusarai"/>
        <s v="Kadapa"/>
        <s v="Amaravati"/>
        <s v="Motihari"/>
        <s v="Kunjemura"/>
        <s v="Milupara"/>
        <s v="Tumidih"/>
        <s v="Vapi"/>
        <s v="Vatva"/>
        <s v="Belgaum"/>
        <s v="Dhanbad"/>
        <s v="Nandesari"/>
        <s v="Koppal"/>
        <s v="Mangalore"/>
        <s v="Shivamogga"/>
        <s v="Ratlam"/>
        <s v="Kannur"/>
        <s v="Dewas"/>
        <s v="Jalgaon"/>
        <s v="Latur"/>
        <s v="Badlapur"/>
        <s v="Virar"/>
        <s v="Tensa"/>
        <s v="Bathinda"/>
        <s v="Jalandhar"/>
        <s v="Kohima"/>
        <s v="Angul"/>
        <s v="Shillong"/>
        <s v="Nagaur"/>
        <s v="Sirohi"/>
        <s v="Udaipur"/>
        <s v="Chengalpattu"/>
        <s v="Gummidipoondi"/>
        <s v="Kanchipuram"/>
        <s v="Salem"/>
        <s v="Thanjavur"/>
        <s v="Madurai"/>
        <s v="Palkalaiperur"/>
        <s v="Pudukottai"/>
        <s v="Vellore"/>
        <s v="Agartala"/>
        <s v="Muzaffarnagar"/>
        <s v="Rishikesh"/>
        <s v="Ujjain"/>
        <s v="Sangli"/>
        <s v="Ooty"/>
      </sharedItems>
    </cacheField>
    <cacheField name="station" numFmtId="0">
      <sharedItems count="478">
        <s v="Christianpatty, Nagaon - PCBA"/>
        <s v="Bata Chowk, Nalbari - PCBA"/>
        <s v="Tarapur, Silchar - PCBA"/>
        <s v="Girls College, Sivasagar - PCBA"/>
        <s v="Kharahiya Basti, Araria - BSPCB"/>
        <s v="New DM Office, Arrah - BSPCB"/>
        <s v="Gurdeo Nagar, Aurangabad - BSPCB"/>
        <s v="Rajiv Nagar, Vijayawada - APPCB"/>
        <s v="GVM Corporation, Visakhapatnam - APPCB"/>
        <s v="Central Academy for SFS, Byrnihat - PCBA"/>
        <s v="Toll Gate, Tirumala - APPCB (Formerly known as Tirumala, Tirupati - APPCB)"/>
        <s v="Vaikuntapuram, Tirupati - APPCB"/>
        <s v="Kanuru, Vijayawada - APPCB"/>
        <s v="Gulzarpet, Anantapur - APPCB"/>
        <s v="Gangineni Cheruvu, Chittoor - APPCB"/>
        <s v="Kamalnath Nagar, Bettiah - BSPCB"/>
        <s v="Mayaganj, Bhagalpur - BSPCB"/>
        <s v="IITG, Guwahati - PCBA"/>
        <s v="LGBI Airport, Guwahati - PCBA"/>
        <s v="Pan Bazaar, Guwahati - PCBA"/>
        <s v="Police Line, Sri Vijaya Puram - ANPCC"/>
        <s v="Samanpura, Patna - BSPCB"/>
        <s v="Mariam Nagar, Purnia - BSPCB"/>
        <s v="Dangi Tola, Rajgir - BSPCB"/>
        <s v="Police Line, Saharsa - BSPCB"/>
        <s v="SDM Office_Khagra, Kishanganj - BSPCB"/>
        <s v="Forest Rest House, Manguraha - BSPCB"/>
        <s v="Town Hall, Munger - BSPCB"/>
        <s v="Darshan Nagar, Chhapra - BSPCB"/>
        <s v="Kareemganj, Gaya - BSPCB"/>
        <s v="Muradpur, Patna - BSPCB"/>
        <s v="Rajbansi Nagar, Patna - BSPCB"/>
        <s v="Charitra Van, Buxar - BSPCB"/>
        <s v="Buddha Colony, Muzaffarpur - BSPCB"/>
        <s v="DRM Office Danapur, Patna - BSPCB"/>
        <s v="Industrial Area, Hajipur - BSPCB"/>
        <s v="Mirchaibari, Katihar - BSPCB"/>
        <s v="Govt. High School Shikarpur, Patna - BSPCB"/>
        <s v="DM Office_Kasipur, Samastipur - BSPCB"/>
        <s v="Hathkhoj, Bhilai - CECB"/>
        <s v="Mangala, Bilaspur - NTPC"/>
        <s v="Nawapara SECL Colony, Chhal - CECB"/>
        <s v="Rampur, Korba - CECB"/>
        <s v="Urja Nagar, Korba - CECB"/>
        <s v="Dada Peer, Sasaram - BSPCB"/>
        <s v="Chitragupta Nagar, Siwan - BSPCB"/>
        <s v="Sector 22, Chandigarh - CPCC"/>
        <s v="Alipur, Delhi - DPCC"/>
        <s v="Ashok Vihar, Delhi - DPCC"/>
        <s v="Bawana, Delhi - DPCC"/>
        <s v="CRRI Mathura Road, Delhi - IMD"/>
        <s v="Chandni Chowk, Delhi - IITM"/>
        <s v="Dr. Karni Singh Shooting Range, Delhi - DPCC"/>
        <s v="Sector-53, Chandigarh - CPCC"/>
        <s v="Civic Center, Bhilai - Bhilai Steel Plant"/>
        <s v="AIIMS, Raipur - CECB"/>
        <s v="Bhatagaon New ISBT, Raipur - CECB"/>
        <s v="Krishak Nagar, Raipur - CECB"/>
        <s v="Siltara Phase-II, Raipur - CECB"/>
        <s v="Patparganj, Delhi - DPCC"/>
        <s v="Punjabi Bagh, Delhi - DPCC"/>
        <s v="Pusa, Delhi - DPCC"/>
        <s v="R K Puram, Delhi - DPCC"/>
        <s v="Rohini, Delhi - DPCC"/>
        <s v="Shadipur, Delhi - CPCB"/>
        <s v="Sirifort, Delhi - CPCB"/>
        <s v="IGI Airport (T3), Delhi - IMD"/>
        <s v="IHBAS, Dilshad Garden, Delhi - CPCB"/>
        <s v="Jahangirpuri, Delhi - DPCC"/>
        <s v="Mundka, Delhi - DPCC"/>
        <s v="NSIT Dwarka, Delhi - CPCB"/>
        <s v="Najafgarh, Delhi - DPCC"/>
        <s v="Narela, Delhi - DPCC"/>
        <s v="Nehru Nagar, Delhi - DPCC"/>
        <s v="North Campus, DU, Delhi - IMD"/>
        <s v="Sri Aurobindo Marg, Delhi - DPCC"/>
        <s v="Lodhi Road, Delhi - IITM"/>
        <s v="Vivek Vihar, Delhi - DPCC"/>
        <s v="Wazirpur, Delhi - DPCC"/>
        <s v="Sonia Vihar, Delhi - DPCC"/>
        <s v="Gyaspur, Ahmedabad - IITM"/>
        <s v="Maninagar, Ahmedabad - GPCB"/>
        <s v="Raikhad, Ahmedabad - IITM"/>
        <s v="HIMUDA Complex Phase-1, Baddi - HPPCB"/>
        <s v="Rajbagh, Srinagar - JKSPCB"/>
        <s v="Vidayagiri, Bagalkot - KSPCB"/>
        <s v="SAC ISRO Bopal, Ahmedabad - IITM"/>
        <s v="SVPI Airport Hansol, Ahmedabad - IITM"/>
        <s v="BTM Layout, Bengaluru - CPCB"/>
        <s v="Bapuji Nagar, Bengaluru - KSPCB"/>
        <s v="City Railway Station, Bengaluru - KSPCB"/>
        <s v="NISE Gwal Pahari, Gurugram - IMD"/>
        <s v="Amity University, Panchgaon - IITM"/>
        <s v="Sardar Vallabhbhai Patel Stadium, Ahmedabad - IITM"/>
        <s v="GIDC, Ankleshwar - GPCB"/>
        <s v="Sector-10, Gandhinagar - GPCB"/>
        <s v="Science Center, Surat - SMC"/>
        <s v="Chandkheda, Ahmedabad - IITM"/>
        <s v="Hombegowda Nagar, Bengaluru - KSPCB"/>
        <s v="Panchal Nagar, Gadag - KSPCB"/>
        <s v="Ashwini Nagar, Haveri - KSPCB"/>
        <s v="Lingaraj Nagar, Hubballi - KSPCB"/>
        <s v="Lal Bahadur Shastri Nagar, Kalaburagi - KSPCB"/>
        <s v="Chikkaballapur Rural, Chikkaballapur - KSPCB"/>
        <s v="Kalyana Nagara, Chikkamagaluru - KSPCB"/>
        <s v="Devaraj Urs Badavane, Davanagere - KSPCB"/>
        <s v="Kalabhavan, Dharwad - KSPCB"/>
        <s v="Collector Office, Yadgir - KSPCB"/>
        <s v="Udyogamandal, Eloor - Kerala PCB"/>
        <s v="Shivapura_Peenya, Bengaluru - KSPCB"/>
        <s v="Silk Board, Bengaluru - KSPCB"/>
        <s v="Urban, Chamarajanagar - KSPCB"/>
        <s v="Peenya, Bengaluru - CPCB"/>
        <s v="RVCE-Mailasandra, Bengaluru - KSPCB"/>
        <s v="Hebbal 1st Stage, Mysuru - KSPCB"/>
        <s v="Thimmalapura, Tumakuru - KSPCB"/>
        <s v="Stuart Hill, Madikeri - KSPCB"/>
        <s v="Plammoodu, Thiruvananthapuram - Kerala PCB"/>
        <s v="Corporation Ground, Thrissur - Kerala PCB"/>
        <s v="Idgah Hills, Bhopal - MPPCB"/>
        <s v="T T Nagar, Bhopal - MPPCB"/>
        <s v="Suhagi, Jabalpur - JMC"/>
        <s v="Gole Bazar, Katni - MPPCB"/>
        <s v="Sahilara, Maihar - KJS Cements"/>
        <s v="Sector-D Industrial Area, Mandideep - MPPCB"/>
        <s v="Sector-2 Industrial Area, Pithampur - MPPCB"/>
        <s v="Regional Park, Indore - IMC"/>
        <s v="Residency Area, Indore - IMC"/>
        <s v="Govindh Bhavan Colony, Jabalpur - JMC"/>
        <s v="Gupteshwar, Jabalpur - JMC"/>
        <s v="Marhatal, Jabalpur - MPPCB"/>
        <s v="Shrivastav Colony, Damoh - MPPCB"/>
        <s v="City Center, Gwalior - MPPCB"/>
        <s v="Deen Dayal Nagar, Gwalior - MPPCB"/>
        <s v="Maharaj Bada, Gwalior - MPPCB"/>
        <s v="Airport Area, Indore - IMC"/>
        <s v="Chhoti Gwaltoli, Indore - MPPCB"/>
        <s v="Civil Lines, Sagar - MPPCB"/>
        <s v="Deen Dayal Nagar, Sagar - MPPCB"/>
        <s v="Bandhavgar Colony, Satna - Birla Cement"/>
        <s v="Suryakiran Bhawan NCL, Singrauli - MPPCB"/>
        <s v="Kariavattom, Thiruvananthapuram - Kerala PCB"/>
        <s v="Polayathode, Kollam - Kerala PCB"/>
        <s v="Sinchan Bhavan, Kolhapur - MPCB"/>
        <s v="Kamble Tarf Birwadi, Mahad - MPCB"/>
        <s v="Mahesh Nagar, Malegaon - MPCB"/>
        <s v="Bhayandar West, Mira-Bhayandar - MPCB"/>
        <s v="Khaira, Boisar - MPCB"/>
        <s v="Chauhan Colony, Chandrapur - MPCB"/>
        <s v="MIDC Khutala, Chandrapur - MPCB"/>
        <s v="Deopur, Dhule - MPCB"/>
        <s v="Tarakpur, Ahmednagar - MPCB"/>
        <s v="Ramdaspeth, Akola - MPCB"/>
        <s v="Shivneri Colony, Amravati - MPCB"/>
        <s v="Shri Shivaji Science College, Amaravati - MPCB"/>
        <s v="Old MIDC, Jalna - MPCB"/>
        <s v="Khadakpada, Kalyan - MPCB"/>
        <s v="Pimpleshwar Mandir, Kalyan - MPCB"/>
        <s v="Shivaji University, Kolhapur - MPCB"/>
        <s v="Rachnakar Colony, Aurangabad - MPCB"/>
        <s v="CBD Belapur, Belapur - MPCB"/>
        <s v="MIDC Chilkalthana, Aurangabad - MPCB"/>
        <s v="Gokul Nagar, Bhiwandi - MPCB"/>
        <s v="Ghatkopar, Mumbai - BMC"/>
        <s v="Kandivali East, Mumbai - MPCB"/>
        <s v="Kandivali West, Mumbai - BMC"/>
        <s v="Kherwadi_Bandra East, Mumbai - MPCB"/>
        <s v="Vasai West, Mumbai - MPCB"/>
        <s v="Vile Parle West, Mumbai - MPCB"/>
        <s v="Bandra Kurla Complex, Mumbai - MPCB"/>
        <s v="Borivali East, Mumbai - IITM"/>
        <s v="Powai, Mumbai - MPCB"/>
        <s v="Shivaji Nagar, Mumbai - BMC"/>
        <s v="Mindspace-Malad West, Mumbai - MPCB"/>
        <s v="Navy Nagar-Colaba, Mumbai - IITM"/>
        <s v="Malad West, Mumbai - IITM"/>
        <s v="Mazgaon, Mumbai - IITM"/>
        <s v="Chakala-Andheri East, Mumbai - IITM"/>
        <s v="Chhatrapati Shivaji Intl. Airport (T2), Mumbai - MPCB"/>
        <s v="Khindipada-Bhandup West, Mumbai - IITM"/>
        <s v="Colaba, Mumbai - MPCB"/>
        <s v="Bhosari, Pune - IITM"/>
        <s v="Bhumkar Nagar, Pune - IITM"/>
        <s v="Hadapsar, Pune - IITM"/>
        <s v="Katraj Dairy, Pune - MPCB"/>
        <s v="Mahape, Navi Mumbai - MPCB"/>
        <s v="Sanpada, Navi Mumbai - MPCB"/>
        <s v="Sector-2E Kalamboli, Navi Mumbai - MPCB"/>
        <s v="Tondare-Taloja, Navi Mumbai - MPCB"/>
        <s v="Ambazari, Nagpur - MPCB"/>
        <s v="Ram Nagar, Nagpur - MPCB"/>
        <s v="Sneh Nagar, Nanded - MPCB"/>
        <s v="Gangapur Road, Nashik - MPCB"/>
        <s v="Thergaon, Pimpri Chinchwad - MPCB"/>
        <s v="Panchawati_Pashan, Pune - IITM"/>
        <s v="Revenue Colony-Shivajinagar, Pune - IITM"/>
        <s v="Gavalinagar, Pimpri Chinchwad - MPCB"/>
        <s v="Park Street Wakad, Pimpri Chinchwad - MPCB"/>
        <s v="Hirawadi, Nashik - MPCB"/>
        <s v="MIDC Ambad, Nashik - MPCB"/>
        <s v="Pandav Nagari, Nashik - MPCB"/>
        <s v="Masoom Colony, Parbhani - MPCB"/>
        <s v="CDA Area, Cuttack - OSPCB"/>
        <s v="Jagamohanpur, Keonjhar - OSPCB"/>
        <s v="Dabuna, Nayagarh - OSPCB"/>
        <s v="Divisional Forest Office, Rairangpur - OSPCB"/>
        <s v="Fertilizer Township, Rourkela - OSPCB"/>
        <s v="Kalidaspur, Balasore - OSPCB"/>
        <s v="Forest Office, Barbil - OSPCB"/>
        <s v="Meher Colony, Baripada - OSPCB"/>
        <s v="Lingraj Mandir, Bhubaneswar - OSPCB"/>
        <s v="Patia, Bhubaneswar - OSPCB"/>
        <s v="Tata Township, Bileipada - OSPCB"/>
        <s v="GM Office, Brajrajnagar - OSPCB"/>
        <s v="Ferro Chrome Colony, Byasanagar - OSPCB"/>
        <s v="Sidhi Vinayak Nagar, Ulhasnagar - MPCB"/>
        <s v="DM College of Science, Imphal - Manipur PCB"/>
        <s v="Solapur, Solapur - MPCB"/>
        <s v="Upvan Fort, Thane - MPCB"/>
        <s v="Savitribai Phule Pune University, Pune - MPCB"/>
        <s v="Dnyaneshwar Nagar, Solapur - MPCB"/>
        <s v="Sikulpuikawn, Aizawl - Mizoram PCB"/>
        <s v="Punjab Agricultural University, Ludhiana - PPCB"/>
        <s v="RIMT University, Mandi Gobindgarh - PPCB"/>
        <s v="Model Town, Patiala - PPCB"/>
        <s v="Ratanpura, Rupnagar - Ambuja Cements"/>
        <s v="Civil Lines,  Ajmer - RSPCB"/>
        <s v="Moti Doongri, Alwar - RSPCB"/>
        <s v="Raghunathpali, Rourkela - OSPCB"/>
        <s v="OMC Colony, Suakati - OSPCB"/>
        <s v="Talcher Coalfields,Talcher - OSPCB"/>
        <s v="Jawahar Nagar, Puducherry - PPCC"/>
        <s v="Golden Temple, Amritsar - PPCB"/>
        <s v="Kalal Majra, Khanna - PPCB"/>
        <s v="Vasundhara Nagar_UIT, Bhiwadi - RSPCB"/>
        <s v="MM Ground, Bikaner - RSPCB"/>
        <s v="Krishna Nagar, Bharatpur - RSPCB"/>
        <s v="Pratap Nagar, Bhilwara - RSPCB"/>
        <s v="Rati Talai, Banswara - RSPCB"/>
        <s v="Bamboliya, Baran - RSPCB"/>
        <s v="Railway Colony, Barmer - RSPCB"/>
        <s v="Shastri Nagar, Chittorgarh - RSPCB"/>
        <s v="New Colony, Bundi - RSPCB"/>
        <s v="Police Commissionerate, Jaipur - RSPCB"/>
        <s v="RIICO Sitapura, Jaipur - RSPCB"/>
        <s v="Sector-2 Murlipura, Jaipur - RSPCB"/>
        <s v="Shastri Nagar, Jaipur - RSPCB"/>
        <s v="Sadar Bazar, Jaisalmer - RSPCB"/>
        <s v="Mudtra Sili, Jalore - RSPCB"/>
        <s v="Rajlaxmi Nagar, Jhalawar - RSPCB"/>
        <s v="Indra Nagar, Jhunjhunu - RSPCB"/>
        <s v="Collectorate, Jodhpur - RSPCB"/>
        <s v="Jhalamand, Jodhpur - RSPCB"/>
        <s v="Mandor, Jodhpur - RSPCB"/>
        <s v="Indira Colony Vistar, Pali - RSPCB"/>
        <s v="Pragati Nagar, Pratapgarh - RSPCB"/>
        <s v="Dhoinda, Rajsamand - RSPCB"/>
        <s v="Sahu Nagar, Sawai Madhopur - RSPCB"/>
        <s v="Radhakishan Pura, Sikar - RSPCB"/>
        <s v="Bhoiwada, Dungarpur - RSPCB"/>
        <s v="Housing Board, Hanumangarh - RSPCB"/>
        <s v="Khatikan Mohalla, Dausa - RSPCB"/>
        <s v="Raja Ganj, Dholpur - RSPCB"/>
        <s v="Satyawati Vihar, Karauli - RSPCB"/>
        <s v="Nayapura, Kota - RSPCB"/>
        <s v="Subash Chowk, Churu - RSPCB"/>
        <s v="Perungudi, Chennai - TNPCB"/>
        <s v="Royapuram, Chennai - TNPCB"/>
        <s v="Velachery Res. Area, Chennai - CPCB"/>
        <s v="PSG College of Arts and Science, Coimbatore - TNPCB"/>
        <s v="SIDCO Kurichi, Coimbatore - TNPCB"/>
        <s v="Kamadenu Nagar, Karur - TNPCB"/>
        <s v="Velippalayam, Nagapattinam - TNPCB"/>
        <s v="Ponnusamy Nagar, Namakkal - TNPCB"/>
        <s v="Zero Point GICI, Gangtok - SSPCB"/>
        <s v="Keelapalur, Ariyalur - TNPCB"/>
        <s v="Mendonsa Colony, Dindigul - TNPCB"/>
        <s v="SIPCOT Phase-1, Hosur - TNPCB"/>
        <s v="Old City, Sri Ganganagar - RSPCB"/>
        <s v="Shastri Nagar, Tonk - RSPCB"/>
        <s v="Alandur Bus Depot, Chennai - CPCB"/>
        <s v="Kodungaiyur, Chennai - TNPCB"/>
        <s v="Manali Village, Chennai - TNPCB"/>
        <s v="Manali, Chennai - CPCB"/>
        <s v="Kudikadu, Cuddalore - TNPCB"/>
        <s v="St Joseph College, Tiruchirappalli - TNPCB"/>
        <s v="Municipal Corporation Office, Tirunelveli - TNPCB"/>
        <s v="Kumaran College, Tirupur - TNPCB"/>
        <s v="Collectorate Office, Virudhunagar - TNPCB"/>
        <s v="Kompally Municipal Office, Hyderabad - TSPCB"/>
        <s v="New Malakpet, Hyderabad - TSPCB"/>
        <s v="Ramachandrapuram, Hyderabad - TSPCB"/>
        <s v="Bollaram Industrial Area, Hyderabad - TSPCB"/>
        <s v="ECIL Kapra, Hyderabad - TSPCB"/>
        <s v="IDA Pashamylaram, Hyderabad - TSPCB"/>
        <s v="VOC Nagar_SIPCOT, Ranipet - TNPCB"/>
        <s v="Meelavittan, Thoothukudi - TNPCB"/>
        <s v="Manoharpur, Agra - UPPCB"/>
        <s v="Rohta, Agra - UPPCB"/>
        <s v="Sanjay Palace, Agra - UPPCB"/>
        <s v="Chalai Bazaar, Ramanathapuram - TNPCB"/>
        <s v="Sanathnagar, Hyderabad - TSPCB"/>
        <s v="Somajiguda, Hyderabad - TSPCB"/>
        <s v="Civil Lines, Bareilly - UPPCB"/>
        <s v="Rajendra Nagar, Bareilly - UPPCB"/>
        <s v="Yamunapuram, Bulandshahr - UPPCB"/>
        <s v="Nagla Bhau, Firozabad - UPPCB"/>
        <s v="Vibhab Nagar, Firozabad - UPPCB"/>
        <s v="Indirapuram, Ghaziabad - UPPCB"/>
        <s v="Loni, Ghaziabad - UPPCB"/>
        <s v="Sanjay Nagar, Ghaziabad - UPPCB"/>
        <s v="Vasundhara, Ghaziabad - UPPCB"/>
        <s v="Madan Mohan Malaviya University of Technology, Gorakhpur - UPPCB"/>
        <s v="Sector-3B Avas Vikas Colony, Agra - UPPCB"/>
        <s v="Shahjahan Garden, Agra - UPPCB"/>
        <s v="Knowledge Park - V, Greater Noida - UPPCB"/>
        <s v="Anand Vihar, Hapur - UPPCB"/>
        <s v="Shivaji Nagar, Jhansi - UPPCB"/>
        <s v="NSI Kalyanpur, Kanpur - UPPCB"/>
        <s v="Nehru Nagar, Kanpur - UPPCB"/>
        <s v="Sardar Patel Inter College, Baghpat - UPPCB"/>
        <s v="Kalindi Kunj, Khurja - UPPCB"/>
        <s v="B R Ambedkar University, Lucknow - UPPCB"/>
        <s v="Kukrail Picnic Spot-1, Lucknow - UPPCB"/>
        <s v="Talkatora District Industries Center, Lucknow - CPCB"/>
        <s v="Ganga Nagar, Meerut - UPPCB"/>
        <s v="Buddhi Vihar, Moradabad - UPPCB"/>
        <s v="Eco Herbal Park, Moradabad - UPPCB"/>
        <s v="Jigar Colony, Moradabad - UPPCB"/>
        <s v="Gomti Nagar, Lucknow - UPPCB"/>
        <s v="Kendriya Vidyalaya, Lucknow - CPCB"/>
        <s v="Pallavpuram Phase 2, Meerut - UPPCB"/>
        <s v="Jai Bhim Nagar, Meerut - UPPCB"/>
        <s v="Sector - 125, Noida - UPPCB"/>
        <s v="Transport Nagar, Moradabad - UPPCB"/>
        <s v="Sector-116, Noida - UPPCB"/>
        <s v="Jhunsi, Prayagraj - UPPCB"/>
        <s v="Maldahiya, Varanasi - UPPCB"/>
        <s v="Omex Eternity, Vrindavan - UPPCB"/>
        <s v="Doon University, Dehradun - UKPCB"/>
        <s v="Govt. Girls Inter College, Kashipur - UKPCB"/>
        <s v="PCBL Residential Complex, Durgapur - WBPCB"/>
        <s v="Priyambada Housing Estate, Haldia - WBPCB"/>
        <s v="Belur Math, Howrah - WBPCB"/>
        <s v="Evelyn Lodge, Asansol - WBPCB"/>
        <s v="SVSPA Campus, Barrackpore - WBPCB"/>
        <s v="Mahishkapur Road_B-Zone, Durgapur - WBPCB"/>
        <s v="Botanical Garden, Howrah - WBPCB"/>
        <s v="Dasnagar, Howrah - WBPCB"/>
        <s v="Bhelupur, Varanasi - UPPCB"/>
        <s v="IESD Banaras Hindu University, Varanasi - UPPCB"/>
        <s v="Asansol Court Area, Asansol - WBPCB"/>
        <s v="Ardhali Bazar, Varanasi - UPPCB"/>
        <s v="Ballygunge, Kolkata - WBPCB"/>
        <s v="Bidhannagar, Kolkata - WBPCB"/>
        <s v="Jadavpur, Kolkata - WBPCB"/>
        <s v="Rabindra Bharati University, Kolkata - WBPCB"/>
        <s v="Rabindra Sarobar, Kolkata - WBPCB"/>
        <s v="Victoria, Kolkata - WBPCB"/>
        <s v="Ward-32 Bapupara, Siliguri - WBPCB"/>
        <s v="Anand Kala Kshetram, Rajamahendravaram - APPCB"/>
        <s v="HB Colony, Vijayawada - APPCB"/>
        <s v="Lohiyanagar, Begusarai - BSPCB"/>
        <s v="Yerramukkapalli, Kadapa - APPCB"/>
        <s v="Rajiv Gandhi Park, Vijayawada - APPCB"/>
        <s v="DM Office_Kachari Chowk, Bhagalpur - BSPCB"/>
        <s v="Secretariat, Amaravati - APPCB"/>
        <s v="MIT-Daudpur Kothi, Muzaffarpur - BSPCB"/>
        <s v="Muzaffarpur Collectorate, Muzaffarpur - BSPCB"/>
        <s v="IGSC Planetarium Complex, Patna - BSPCB"/>
        <s v="SFTI Kusdihra, Gaya - BSPCB"/>
        <s v="Gandak Colony, Motihari - BSPCB"/>
        <s v="Anand Vihar, Delhi - DPCC"/>
        <s v="OP Jindal School, Kunjemura - CECB"/>
        <s v="Govt. Higher Secondary School, Milupara - CECB"/>
        <s v="Sector-25, Chandigarh - CPCC"/>
        <s v="32Bungalows, Bhilai - CECB"/>
        <s v="OP Jindal Industrial Park, Tumidih - CECB"/>
        <s v="Burari Crossing, Delhi - IMD"/>
        <s v="DTU, Delhi - CPCB"/>
        <s v="Dwarka-Sector 8, Delhi - DPCC "/>
        <s v="Lodhi Road, Delhi - IMD"/>
        <s v="Major Dhyan Chand National Stadium, Delhi - DPCC"/>
        <s v="Mandir Marg, Delhi - DPCC"/>
        <s v="ITO, Delhi - CPCB"/>
        <s v="Jawaharlal Nehru Stadium, Delhi - DPCC"/>
        <s v="Phase-1 GIDC, Vapi - GPCB"/>
        <s v="Phase-4 GIDC, Vatva - GPCB"/>
        <s v="Ramteerth Nagar, Belgaum - KSPCB"/>
        <s v="Hebbal, Bengaluru - KSPCB"/>
        <s v="Sardar Patel Nagar, Dhanbad - JSPCB"/>
        <s v="IIPHG Lekawada, Gandhinagar - IITM"/>
        <s v="GIDC, Nandesari - Nandesari Ind. Association"/>
        <s v="Rakhial, Ahmedabad - IITM"/>
        <s v="Mahatma Basaveswar Colony, Kalaburgi - KSPCB"/>
        <s v="Diwator Nagar, Koppal - KSPCB"/>
        <s v="Kasturi Nagar, Bengaluru - KSPCB"/>
        <s v="Kadri, Mangalore - KSPCB"/>
        <s v="Jayanagar 5th Block, Bengaluru - KSPCB"/>
        <s v="Vinoba Nagara, Shivamogga - KSPCB"/>
        <s v="Shasthri Nagar, Ratlam - IPCA Lab"/>
        <s v="Paryavaran Parisar, Bhopal - MPPCB"/>
        <s v="Thavakkara, Kannur - Kerala PCB"/>
        <s v="Bhopal Chauraha, Dewas - MPPCB"/>
        <s v="Prabhat Colony, Jalgaon - MPCB"/>
        <s v="More Chowk Waluj, Aurangabad - MPCB"/>
        <s v="Sawe Wadi, Latur - MPCB"/>
        <s v="Byculla, Mumbai - BMC"/>
        <s v="Katrap, Badlapur - MPCB"/>
        <s v="Chembur, Mumbai - MPCB"/>
        <s v="Worli, Mumbai - MPCB"/>
        <s v="Opp GPO Civil Lines, Nagpur - MPCB"/>
        <s v="Kurla, Mumbai - MPCB"/>
        <s v="Ratandeep Housing Society, Solapur - MPCB"/>
        <s v="Kasarvadavali, Thane - MPCB"/>
        <s v="Savta Mali Nagar, Pimpri-Chinchwad - IITM"/>
        <s v="Karve Road, Pune - MPCB"/>
        <s v="Kopripada-Vashi, Navi Mumbai - MPCB"/>
        <s v="Bolinj, Virar - MPCB"/>
        <s v="Barsua Iron Ore Mines, Tensa - OSPCB"/>
        <s v="Hardev Nagar, Bathinda - PPCB"/>
        <s v="Civil Line, Jalandhar - PPCB"/>
        <s v="PWD Juction, Kohima - NPCB"/>
        <s v="Hakimapada, Angul - OSPCB"/>
        <s v="JN Stadium, Shillong - Meghalaya PCB"/>
        <s v="Lumpyngngad, Shillong - Meghalaya PCB"/>
        <s v="Mansarovar Sector-12, Jaipur - RSPCB"/>
        <s v="RIICO Ind. Area III, Bhiwadi - RSPCB"/>
        <s v="Shrinath Puram, Kota - RSPCB"/>
        <s v="Karni Colony, Nagaur - RSPCB"/>
        <s v="Samrat Ashok Udhyan, Jodhpur - RSPCB"/>
        <s v="Dhanmandi, Kota - RSPCB"/>
        <s v="Vedhaynath Colony, Sirohi - RSPCB"/>
        <s v="Ashok Nagar, Udaipur - RSPCB"/>
        <s v="Digari Kalan, Jodhpur - RSPCB"/>
        <s v="Crescent University, Chengalpattu - TNPCB"/>
        <s v="Anthoni Pillai Nagar, Gummidipoondi - TNPCB"/>
        <s v="Kilambi, Kanchipuram - TNPCB"/>
        <s v="Sona College of Technology, Salem - TNPCB"/>
        <s v="Parisutham Nagar, Thanjavur - TNPCB"/>
        <s v="Uchapatti, Madurai - TNPCB"/>
        <s v="Bharathidasan University, Palkalaiperur - TNPCB"/>
        <s v="SIPCOT Nathampannai, Pudukottai - TNPCB"/>
        <s v="Semmandalam, Cuddalore - TNPCB"/>
        <s v="Vasanthapuram, Vellore - TNPCB"/>
        <s v="Central University, Hyderabad - TSPCB"/>
        <s v="ICRISAT Patancheru, Hyderabad - TSPCB"/>
        <s v="Shastripuram, Agra - UPPCB"/>
        <s v="IITH Kandi, Hyderabad - TSPCB"/>
        <s v="Zoo Park, Hyderabad - TSPCB"/>
        <s v="Bardowali, Agartala - Tripura SPCB"/>
        <s v="Lalbagh, Lucknow - CPCB"/>
        <s v="FTI Kidwai Nagar, Kanpur - UPPCB"/>
        <s v="Knowledge Park - III, Greater Noida - UPPCB"/>
        <s v="Motilal Nehru NIT, Prayagraj - UPPCB"/>
        <s v="Nagar Nigam, Prayagraj - UPPCB"/>
        <s v="Employment Office, Moradabad - UPPCB"/>
        <s v="Kashiram Nagar, Moradabad - UPPCB"/>
        <s v="New Mandi, Muzaffarnagar - UPPCB"/>
        <s v="Sector-1, Noida - UPPCB"/>
        <s v="Mahabir Colliery, Asansol - WBPCB"/>
        <s v="Trivenidevi Bhalotia College, Asansol - WBPCB"/>
        <s v="Ghusuri, Howrah - WBPCB"/>
        <s v="Padmapukur, Howrah - WBPCB"/>
        <s v="Shivaji Nagar, Rishikesh - UKPCB"/>
        <s v="Railway Colony, Guwahati - PCBA"/>
        <s v="Collectorate, Gaya - BSPCB"/>
        <s v="Okhla Phase-2, Delhi - DPCC"/>
        <s v="Sanegurava Halli, Bengaluru - KSPCB"/>
        <s v="Mahakaleshwar Temple, Ujjain - MPPCB"/>
        <s v="Borivali East, Mumbai - MPCB"/>
        <s v="Siddharth Nagar-Worli, Mumbai - IITM"/>
        <s v="Vijay Nagar, Sangli - MPCB"/>
        <s v="Adarsh Nagar, Jaipur - RSPCB"/>
        <s v="Bombay Castel, Ooty - TNPCB"/>
        <s v="GIFT City, Gandhinagar - IITM"/>
        <s v="Sion, Mumbai - MPCB"/>
        <s v="Deonar, Mumbai - IITM"/>
      </sharedItems>
    </cacheField>
    <cacheField name="last_update" numFmtId="164">
      <sharedItems containsSemiMixedTypes="0" containsNonDate="0" containsDate="1" containsString="0" minDate="2025-06-04T23:00:00" maxDate="2025-06-04T23:00:00" count="1">
        <d v="2025-06-04T23:00:00"/>
      </sharedItems>
    </cacheField>
    <cacheField name="latitude" numFmtId="0">
      <sharedItems containsSemiMixedTypes="0" containsString="0" containsNumber="1" minValue="8.5149092999999993" maxValue="34.066206000000001"/>
    </cacheField>
    <cacheField name="longitude" numFmtId="0">
      <sharedItems containsSemiMixedTypes="0" containsString="0" containsNumber="1" minValue="70.909167999999994" maxValue="94.636573999999996"/>
    </cacheField>
    <cacheField name="pollutant_id" numFmtId="0">
      <sharedItems count="7">
        <s v="OZONE"/>
        <s v="PM10"/>
        <s v="NO2"/>
        <s v="NH3"/>
        <s v="SO2"/>
        <s v="PM2.5"/>
        <s v="CO"/>
      </sharedItems>
    </cacheField>
    <cacheField name="pollutant_min" numFmtId="0">
      <sharedItems containsString="0" containsBlank="1" containsNumber="1" containsInteger="1" minValue="1" maxValue="192"/>
    </cacheField>
    <cacheField name="pollutant_max" numFmtId="0">
      <sharedItems containsString="0" containsBlank="1" containsNumber="1" containsInteger="1" minValue="1" maxValue="500"/>
    </cacheField>
    <cacheField name="pollutant_avg" numFmtId="0">
      <sharedItems containsString="0" containsBlank="1" containsNumber="1" containsInteger="1" minValue="1" maxValue="337"/>
    </cacheField>
  </cacheFields>
  <extLst>
    <ext xmlns:x14="http://schemas.microsoft.com/office/spreadsheetml/2009/9/main" uri="{725AE2AE-9491-48be-B2B4-4EB974FC3084}">
      <x14:pivotCacheDefinition pivotCacheId="7537164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 THOMAS" refreshedDate="45760.660074884261" createdVersion="8" refreshedVersion="8" minRefreshableVersion="3" recordCount="3172" xr:uid="{B09D5221-2148-4EA7-8F9A-D4C93206F8E0}">
  <cacheSource type="worksheet">
    <worksheetSource ref="A1:K1048576" sheet="Sheet1"/>
  </cacheSource>
  <cacheFields count="11">
    <cacheField name="country" numFmtId="0">
      <sharedItems containsBlank="1"/>
    </cacheField>
    <cacheField name="state" numFmtId="0">
      <sharedItems containsBlank="1" count="32">
        <s v="Assam"/>
        <s v="Bihar"/>
        <s v="Andhra_Pradesh"/>
        <s v="Andaman and Nicobar"/>
        <s v="Chhattisgarh"/>
        <s v="Chandigarh"/>
        <s v="Delhi"/>
        <s v="Gujarat"/>
        <s v="Himachal Pradesh"/>
        <s v="Jammu_and_Kashmir"/>
        <s v="Karnataka"/>
        <s v="Haryana"/>
        <s v="Kerala"/>
        <s v="Madhya Pradesh"/>
        <s v="Maharashtra"/>
        <s v="Odisha"/>
        <s v="Manipur"/>
        <s v="Mizoram"/>
        <s v="Punjab"/>
        <s v="Rajasthan"/>
        <s v="Puducherry"/>
        <s v="TamilNadu"/>
        <s v="Sikkim"/>
        <s v="Telangana"/>
        <s v="Uttar_Pradesh"/>
        <s v="Uttarakhand"/>
        <s v="West_Bengal"/>
        <s v="Jharkhand"/>
        <s v="Nagaland"/>
        <s v="Meghalaya"/>
        <s v="Tripura"/>
        <m/>
      </sharedItems>
    </cacheField>
    <cacheField name="city" numFmtId="0">
      <sharedItems containsBlank="1" count="253">
        <s v="Nagaon"/>
        <s v="Nalbari"/>
        <s v="Silchar"/>
        <s v="Sivasagar"/>
        <s v="Araria"/>
        <s v="Arrah"/>
        <s v="Aurangabad"/>
        <s v="Vijayawada"/>
        <s v="Visakhapatnam"/>
        <s v="Byrnihat"/>
        <s v="Tirumala"/>
        <s v="Tirupati"/>
        <s v="Anantapur"/>
        <s v="Chittoor"/>
        <s v="Bettiah"/>
        <s v="Bhagalpur"/>
        <s v="Guwahati"/>
        <s v="Sri Vijaya Puram"/>
        <s v="Patna"/>
        <s v="Purnia"/>
        <s v="Rajgir"/>
        <s v="Saharsa"/>
        <s v="Kishanganj"/>
        <s v="Manguraha"/>
        <s v="Munger"/>
        <s v="Chhapra"/>
        <s v="Gaya"/>
        <s v="Buxar"/>
        <s v="Muzaffarpur"/>
        <s v="Hajipur"/>
        <s v="Katihar"/>
        <s v="Samastipur"/>
        <s v="Bhilai"/>
        <s v="Bilaspur"/>
        <s v="Chhal"/>
        <s v="Korba"/>
        <s v="Sasaram"/>
        <s v="Siwan"/>
        <s v="Chandigarh"/>
        <s v="Delhi"/>
        <s v="Raipur"/>
        <s v="Ahmedabad"/>
        <s v="Baddi"/>
        <s v="Srinagar"/>
        <s v="Bagalkot"/>
        <s v="Bengaluru"/>
        <s v="Gurugram"/>
        <s v="Panchgaon"/>
        <s v="Ankleshwar"/>
        <s v="Gandhinagar"/>
        <s v="Surat"/>
        <s v="Gadag"/>
        <s v="Haveri"/>
        <s v="Hubballi"/>
        <s v="Kalaburagi"/>
        <s v="Chikkaballapur"/>
        <s v="Chikkamagaluru"/>
        <s v="Davanagere"/>
        <s v="Dharwad"/>
        <s v="Yadgir"/>
        <s v="Eloor"/>
        <s v="Chamarajanagar"/>
        <s v="Mysuru"/>
        <s v="Tumakuru"/>
        <s v="Madikeri"/>
        <s v="Thiruvananthapuram"/>
        <s v="Thrissur"/>
        <s v="Bhopal"/>
        <s v="Jabalpur"/>
        <s v="Katni"/>
        <s v="Maihar"/>
        <s v="Mandideep"/>
        <s v="Pithampur"/>
        <s v="Indore"/>
        <s v="Damoh"/>
        <s v="Gwalior"/>
        <s v="Sagar"/>
        <s v="Satna"/>
        <s v="Singrauli"/>
        <s v="Kollam"/>
        <s v="Kolhapur"/>
        <s v="Mahad"/>
        <s v="Malegaon"/>
        <s v="Mira-Bhayandar"/>
        <s v="Boisar"/>
        <s v="Chandrapur"/>
        <s v="Dhule"/>
        <s v="Ahmednagar"/>
        <s v="Akola"/>
        <s v="Amravati"/>
        <s v="Jalna"/>
        <s v="Kalyan"/>
        <s v="Belapur"/>
        <s v="Bhiwandi"/>
        <s v="Mumbai"/>
        <s v="Pune"/>
        <s v="Navi Mumbai"/>
        <s v="Nagpur"/>
        <s v="Nanded"/>
        <s v="Nashik"/>
        <s v="Pimpri-Chinchwad"/>
        <s v="Parbhani"/>
        <s v="Cuttack"/>
        <s v="Keonjhar"/>
        <s v="Nayagarh"/>
        <s v="Rairangpur"/>
        <s v="Rourkela"/>
        <s v="Balasore"/>
        <s v="Barbil"/>
        <s v="Baripada"/>
        <s v="Bhubaneswar"/>
        <s v="Bileipada"/>
        <s v="Brajrajnagar"/>
        <s v="Byasanagar"/>
        <s v="Ulhasnagar"/>
        <s v="Imphal"/>
        <s v="Solapur"/>
        <s v="Thane"/>
        <s v="Aizawl"/>
        <s v="Ludhiana"/>
        <s v="Mandi Gobindgarh"/>
        <s v="Patiala"/>
        <s v="Rupnagar"/>
        <s v="Ajmer"/>
        <s v="Alwar"/>
        <s v="Suakati"/>
        <s v="Talcher"/>
        <s v="Puducherry"/>
        <s v="Amritsar"/>
        <s v="Khanna"/>
        <s v="Bhiwadi"/>
        <s v="Bikaner"/>
        <s v="Bharatpur"/>
        <s v="Bhilwara"/>
        <s v="Banswara"/>
        <s v="Baran"/>
        <s v="Barmer"/>
        <s v="Chittorgarh"/>
        <s v="Bundi"/>
        <s v="Jaipur"/>
        <s v="Jaisalmer"/>
        <s v="Jalore"/>
        <s v="Jhalawar"/>
        <s v="Jhunjhunu"/>
        <s v="Jodhpur"/>
        <s v="Pali"/>
        <s v="Pratapgarh"/>
        <s v="Rajsamand"/>
        <s v="Sawai Madhopur"/>
        <s v="Sikar"/>
        <s v="Dungarpur"/>
        <s v="Hanumangarh"/>
        <s v="Dausa"/>
        <s v="Dholpur"/>
        <s v="Karauli"/>
        <s v="Kota"/>
        <s v="Churu"/>
        <s v="Chennai"/>
        <s v="Coimbatore"/>
        <s v="Karur"/>
        <s v="Nagapattinam"/>
        <s v="Namakkal"/>
        <s v="Gangtok"/>
        <s v="Ariyalur"/>
        <s v="Dindigul"/>
        <s v="Hosur"/>
        <s v="Sri Ganganagar"/>
        <s v="Tonk"/>
        <s v="Cuddalore"/>
        <s v="Tiruchirappalli"/>
        <s v="Tirunelveli"/>
        <s v="Tirupur"/>
        <s v="Virudhunagar"/>
        <s v="Hyderabad"/>
        <s v="Ranipet"/>
        <s v="Thoothukudi"/>
        <s v="Agra"/>
        <s v="Ramanathapuram"/>
        <s v="Bareilly"/>
        <s v="Bulandshahr"/>
        <s v="Firozabad"/>
        <s v="Ghaziabad"/>
        <s v="Gorakhpur"/>
        <s v="Greater Noida"/>
        <s v="Hapur"/>
        <s v="Jhansi"/>
        <s v="Kanpur"/>
        <s v="Baghpat"/>
        <s v="Khurja"/>
        <s v="Lucknow"/>
        <s v="Meerut"/>
        <s v="Moradabad"/>
        <s v="Noida"/>
        <s v="Prayagraj"/>
        <s v="Varanasi"/>
        <s v="Vrindavan"/>
        <s v="Dehradun"/>
        <s v="Kashipur"/>
        <s v="Durgapur"/>
        <s v="Haldia"/>
        <s v="Howrah"/>
        <s v="Asansol"/>
        <s v="Barrackpore"/>
        <s v="Kolkata"/>
        <s v="Siliguri"/>
        <s v="Rajamahendravaram"/>
        <s v="Begusarai"/>
        <s v="Kadapa"/>
        <s v="Amaravati"/>
        <s v="Motihari"/>
        <s v="Kunjemura"/>
        <s v="Milupara"/>
        <s v="Tumidih"/>
        <s v="Vapi"/>
        <s v="Vatva"/>
        <s v="Belgaum"/>
        <s v="Dhanbad"/>
        <s v="Nandesari"/>
        <s v="Koppal"/>
        <s v="Mangalore"/>
        <s v="Shivamogga"/>
        <s v="Ratlam"/>
        <s v="Kannur"/>
        <s v="Dewas"/>
        <s v="Jalgaon"/>
        <s v="Latur"/>
        <s v="Badlapur"/>
        <s v="Virar"/>
        <s v="Tensa"/>
        <s v="Bathinda"/>
        <s v="Jalandhar"/>
        <s v="Kohima"/>
        <s v="Angul"/>
        <s v="Shillong"/>
        <s v="Nagaur"/>
        <s v="Sirohi"/>
        <s v="Udaipur"/>
        <s v="Chengalpattu"/>
        <s v="Gummidipoondi"/>
        <s v="Kanchipuram"/>
        <s v="Salem"/>
        <s v="Thanjavur"/>
        <s v="Madurai"/>
        <s v="Palkalaiperur"/>
        <s v="Pudukottai"/>
        <s v="Vellore"/>
        <s v="Agartala"/>
        <s v="Muzaffarnagar"/>
        <s v="Rishikesh"/>
        <s v="Ujjain"/>
        <s v="Sangli"/>
        <s v="Ooty"/>
        <m/>
      </sharedItems>
    </cacheField>
    <cacheField name="station" numFmtId="0">
      <sharedItems containsBlank="1"/>
    </cacheField>
    <cacheField name="last_update" numFmtId="165">
      <sharedItems containsNonDate="0" containsDate="1" containsString="0" containsBlank="1" minDate="2025-06-04T23:00:00" maxDate="2025-06-04T23:00:00" count="2">
        <d v="2025-06-04T23:00:00"/>
        <m/>
      </sharedItems>
    </cacheField>
    <cacheField name="latitude" numFmtId="0">
      <sharedItems containsString="0" containsBlank="1" containsNumber="1" minValue="8.5149092999999993" maxValue="34.066206000000001"/>
    </cacheField>
    <cacheField name="longitude" numFmtId="0">
      <sharedItems containsString="0" containsBlank="1" containsNumber="1" minValue="70.909167999999994" maxValue="94.636573999999996"/>
    </cacheField>
    <cacheField name="pollutant_id" numFmtId="0">
      <sharedItems containsBlank="1" count="8">
        <s v="OZONE"/>
        <s v="PM10"/>
        <s v="NO2"/>
        <s v="NH3"/>
        <s v="SO2"/>
        <s v="PM2.5"/>
        <s v="CO"/>
        <m/>
      </sharedItems>
    </cacheField>
    <cacheField name="pollutant_min" numFmtId="0">
      <sharedItems containsString="0" containsBlank="1" containsNumber="1" containsInteger="1" minValue="1" maxValue="192"/>
    </cacheField>
    <cacheField name="pollutant_max" numFmtId="0">
      <sharedItems containsString="0" containsBlank="1" containsNumber="1" containsInteger="1" minValue="1" maxValue="500"/>
    </cacheField>
    <cacheField name="pollutant_avg" numFmtId="0">
      <sharedItems containsString="0" containsBlank="1" containsNumber="1" containsInteger="1" minValue="1" maxValue="337"/>
    </cacheField>
  </cacheFields>
  <extLst>
    <ext xmlns:x14="http://schemas.microsoft.com/office/spreadsheetml/2009/9/main" uri="{725AE2AE-9491-48be-B2B4-4EB974FC3084}">
      <x14:pivotCacheDefinition pivotCacheId="203781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1">
  <r>
    <s v="India"/>
    <x v="0"/>
    <x v="0"/>
    <x v="0"/>
    <x v="0"/>
    <n v="26.349081999999999"/>
    <n v="92.684489999999997"/>
    <x v="0"/>
    <n v="22"/>
    <n v="33"/>
    <n v="26"/>
  </r>
  <r>
    <s v="India"/>
    <x v="0"/>
    <x v="1"/>
    <x v="1"/>
    <x v="0"/>
    <n v="26.446912000000001"/>
    <n v="91.439057000000005"/>
    <x v="1"/>
    <n v="95"/>
    <n v="431"/>
    <n v="141"/>
  </r>
  <r>
    <s v="India"/>
    <x v="0"/>
    <x v="1"/>
    <x v="1"/>
    <x v="0"/>
    <n v="26.446912000000001"/>
    <n v="91.439057000000005"/>
    <x v="2"/>
    <n v="1"/>
    <n v="7"/>
    <n v="3"/>
  </r>
  <r>
    <s v="India"/>
    <x v="0"/>
    <x v="1"/>
    <x v="1"/>
    <x v="0"/>
    <n v="26.446912000000001"/>
    <n v="91.439057000000005"/>
    <x v="3"/>
    <n v="1"/>
    <n v="1"/>
    <n v="1"/>
  </r>
  <r>
    <s v="India"/>
    <x v="0"/>
    <x v="2"/>
    <x v="2"/>
    <x v="0"/>
    <n v="24.82827"/>
    <n v="92.795249999999996"/>
    <x v="1"/>
    <n v="34"/>
    <n v="81"/>
    <n v="53"/>
  </r>
  <r>
    <s v="India"/>
    <x v="0"/>
    <x v="2"/>
    <x v="2"/>
    <x v="0"/>
    <n v="24.82827"/>
    <n v="92.795249999999996"/>
    <x v="4"/>
    <m/>
    <m/>
    <m/>
  </r>
  <r>
    <s v="India"/>
    <x v="0"/>
    <x v="3"/>
    <x v="3"/>
    <x v="0"/>
    <n v="26.987634"/>
    <n v="94.636573999999996"/>
    <x v="5"/>
    <n v="36"/>
    <n v="82"/>
    <n v="49"/>
  </r>
  <r>
    <s v="India"/>
    <x v="0"/>
    <x v="3"/>
    <x v="3"/>
    <x v="0"/>
    <n v="26.987634"/>
    <n v="94.636573999999996"/>
    <x v="6"/>
    <n v="15"/>
    <n v="46"/>
    <n v="26"/>
  </r>
  <r>
    <s v="India"/>
    <x v="1"/>
    <x v="4"/>
    <x v="4"/>
    <x v="0"/>
    <n v="26.146529000000001"/>
    <n v="87.454183999999998"/>
    <x v="5"/>
    <n v="50"/>
    <n v="95"/>
    <n v="78"/>
  </r>
  <r>
    <s v="India"/>
    <x v="1"/>
    <x v="5"/>
    <x v="5"/>
    <x v="0"/>
    <n v="25.562609500000001"/>
    <n v="84.663263999999998"/>
    <x v="2"/>
    <m/>
    <m/>
    <m/>
  </r>
  <r>
    <s v="India"/>
    <x v="1"/>
    <x v="6"/>
    <x v="6"/>
    <x v="0"/>
    <n v="24.757459999999998"/>
    <n v="84.366208"/>
    <x v="5"/>
    <n v="25"/>
    <n v="407"/>
    <n v="190"/>
  </r>
  <r>
    <s v="India"/>
    <x v="1"/>
    <x v="6"/>
    <x v="6"/>
    <x v="0"/>
    <n v="24.757459999999998"/>
    <n v="84.366208"/>
    <x v="3"/>
    <n v="1"/>
    <n v="1"/>
    <n v="1"/>
  </r>
  <r>
    <s v="India"/>
    <x v="2"/>
    <x v="7"/>
    <x v="7"/>
    <x v="0"/>
    <n v="16.554731"/>
    <n v="80.649109999999993"/>
    <x v="2"/>
    <n v="23"/>
    <n v="26"/>
    <n v="25"/>
  </r>
  <r>
    <s v="India"/>
    <x v="2"/>
    <x v="7"/>
    <x v="7"/>
    <x v="0"/>
    <n v="16.554731"/>
    <n v="80.649109999999993"/>
    <x v="0"/>
    <n v="33"/>
    <n v="72"/>
    <n v="38"/>
  </r>
  <r>
    <s v="India"/>
    <x v="2"/>
    <x v="8"/>
    <x v="8"/>
    <x v="0"/>
    <n v="17.72"/>
    <n v="83.3"/>
    <x v="1"/>
    <n v="31"/>
    <n v="114"/>
    <n v="75"/>
  </r>
  <r>
    <s v="India"/>
    <x v="0"/>
    <x v="9"/>
    <x v="9"/>
    <x v="0"/>
    <n v="26.071318000000002"/>
    <n v="91.874880000000005"/>
    <x v="4"/>
    <m/>
    <m/>
    <m/>
  </r>
  <r>
    <s v="India"/>
    <x v="2"/>
    <x v="10"/>
    <x v="10"/>
    <x v="0"/>
    <n v="13.67"/>
    <n v="79.349999999999994"/>
    <x v="5"/>
    <n v="33"/>
    <n v="82"/>
    <n v="51"/>
  </r>
  <r>
    <s v="India"/>
    <x v="2"/>
    <x v="11"/>
    <x v="11"/>
    <x v="0"/>
    <n v="13.615387"/>
    <n v="79.409229999999994"/>
    <x v="6"/>
    <n v="15"/>
    <n v="26"/>
    <n v="22"/>
  </r>
  <r>
    <s v="India"/>
    <x v="2"/>
    <x v="7"/>
    <x v="12"/>
    <x v="0"/>
    <n v="16.486692000000001"/>
    <n v="80.699436000000006"/>
    <x v="2"/>
    <n v="26"/>
    <n v="127"/>
    <n v="58"/>
  </r>
  <r>
    <s v="India"/>
    <x v="2"/>
    <x v="12"/>
    <x v="13"/>
    <x v="0"/>
    <n v="14.675886"/>
    <n v="77.593027000000006"/>
    <x v="5"/>
    <m/>
    <m/>
    <m/>
  </r>
  <r>
    <s v="India"/>
    <x v="2"/>
    <x v="12"/>
    <x v="13"/>
    <x v="0"/>
    <n v="14.675886"/>
    <n v="77.593027000000006"/>
    <x v="1"/>
    <n v="69"/>
    <n v="98"/>
    <n v="78"/>
  </r>
  <r>
    <s v="India"/>
    <x v="2"/>
    <x v="12"/>
    <x v="13"/>
    <x v="0"/>
    <n v="14.675886"/>
    <n v="77.593027000000006"/>
    <x v="0"/>
    <n v="4"/>
    <n v="47"/>
    <n v="34"/>
  </r>
  <r>
    <s v="India"/>
    <x v="2"/>
    <x v="13"/>
    <x v="14"/>
    <x v="0"/>
    <n v="13.204879999999999"/>
    <n v="79.097888999999995"/>
    <x v="2"/>
    <n v="2"/>
    <n v="16"/>
    <n v="9"/>
  </r>
  <r>
    <s v="India"/>
    <x v="1"/>
    <x v="14"/>
    <x v="15"/>
    <x v="0"/>
    <n v="26.803650000000001"/>
    <n v="84.519540000000006"/>
    <x v="5"/>
    <n v="25"/>
    <n v="247"/>
    <n v="109"/>
  </r>
  <r>
    <s v="India"/>
    <x v="1"/>
    <x v="14"/>
    <x v="15"/>
    <x v="0"/>
    <n v="26.803650000000001"/>
    <n v="84.519540000000006"/>
    <x v="2"/>
    <n v="28"/>
    <n v="29"/>
    <n v="28"/>
  </r>
  <r>
    <s v="India"/>
    <x v="1"/>
    <x v="14"/>
    <x v="15"/>
    <x v="0"/>
    <n v="26.803650000000001"/>
    <n v="84.519540000000006"/>
    <x v="4"/>
    <n v="12"/>
    <n v="18"/>
    <n v="15"/>
  </r>
  <r>
    <s v="India"/>
    <x v="1"/>
    <x v="15"/>
    <x v="16"/>
    <x v="0"/>
    <n v="25.265194000000001"/>
    <n v="87.012946999999997"/>
    <x v="5"/>
    <n v="23"/>
    <n v="183"/>
    <n v="88"/>
  </r>
  <r>
    <s v="India"/>
    <x v="0"/>
    <x v="16"/>
    <x v="17"/>
    <x v="0"/>
    <n v="26.202863600000001"/>
    <n v="91.700464359999998"/>
    <x v="3"/>
    <n v="5"/>
    <n v="5"/>
    <n v="5"/>
  </r>
  <r>
    <s v="India"/>
    <x v="0"/>
    <x v="16"/>
    <x v="18"/>
    <x v="0"/>
    <n v="26.10887"/>
    <n v="91.589544000000004"/>
    <x v="4"/>
    <n v="1"/>
    <n v="16"/>
    <n v="12"/>
  </r>
  <r>
    <s v="India"/>
    <x v="0"/>
    <x v="16"/>
    <x v="19"/>
    <x v="0"/>
    <n v="26.1875"/>
    <n v="91.744193999999993"/>
    <x v="1"/>
    <n v="47"/>
    <n v="105"/>
    <n v="84"/>
  </r>
  <r>
    <s v="India"/>
    <x v="3"/>
    <x v="17"/>
    <x v="20"/>
    <x v="0"/>
    <n v="11.654054"/>
    <n v="92.734054999999998"/>
    <x v="1"/>
    <n v="6"/>
    <n v="45"/>
    <n v="20"/>
  </r>
  <r>
    <s v="India"/>
    <x v="3"/>
    <x v="17"/>
    <x v="20"/>
    <x v="0"/>
    <n v="11.654054"/>
    <n v="92.734054999999998"/>
    <x v="3"/>
    <n v="1"/>
    <n v="3"/>
    <n v="1"/>
  </r>
  <r>
    <s v="India"/>
    <x v="3"/>
    <x v="17"/>
    <x v="20"/>
    <x v="0"/>
    <n v="11.654054"/>
    <n v="92.734054999999998"/>
    <x v="4"/>
    <n v="2"/>
    <n v="42"/>
    <n v="17"/>
  </r>
  <r>
    <s v="India"/>
    <x v="2"/>
    <x v="7"/>
    <x v="12"/>
    <x v="0"/>
    <n v="16.486692000000001"/>
    <n v="80.699436000000006"/>
    <x v="4"/>
    <n v="11"/>
    <n v="19"/>
    <n v="16"/>
  </r>
  <r>
    <s v="India"/>
    <x v="2"/>
    <x v="7"/>
    <x v="7"/>
    <x v="0"/>
    <n v="16.554731"/>
    <n v="80.649109999999993"/>
    <x v="5"/>
    <n v="46"/>
    <n v="88"/>
    <n v="65"/>
  </r>
  <r>
    <s v="India"/>
    <x v="1"/>
    <x v="15"/>
    <x v="16"/>
    <x v="0"/>
    <n v="25.265194000000001"/>
    <n v="87.012946999999997"/>
    <x v="4"/>
    <n v="50"/>
    <n v="110"/>
    <n v="85"/>
  </r>
  <r>
    <s v="India"/>
    <x v="1"/>
    <x v="18"/>
    <x v="21"/>
    <x v="0"/>
    <n v="25.596727000000001"/>
    <n v="85.085623999999996"/>
    <x v="0"/>
    <n v="89"/>
    <n v="92"/>
    <n v="90"/>
  </r>
  <r>
    <s v="India"/>
    <x v="1"/>
    <x v="19"/>
    <x v="22"/>
    <x v="0"/>
    <n v="25.366336"/>
    <n v="87.117468000000002"/>
    <x v="1"/>
    <n v="71"/>
    <n v="124"/>
    <n v="102"/>
  </r>
  <r>
    <s v="India"/>
    <x v="1"/>
    <x v="19"/>
    <x v="22"/>
    <x v="0"/>
    <n v="25.366336"/>
    <n v="87.117468000000002"/>
    <x v="6"/>
    <n v="72"/>
    <n v="100"/>
    <n v="83"/>
  </r>
  <r>
    <s v="India"/>
    <x v="1"/>
    <x v="19"/>
    <x v="22"/>
    <x v="0"/>
    <n v="25.366336"/>
    <n v="87.117468000000002"/>
    <x v="0"/>
    <n v="8"/>
    <n v="30"/>
    <n v="19"/>
  </r>
  <r>
    <s v="India"/>
    <x v="1"/>
    <x v="20"/>
    <x v="23"/>
    <x v="0"/>
    <n v="25.032800000000002"/>
    <n v="85.419479999999993"/>
    <x v="2"/>
    <n v="8"/>
    <n v="10"/>
    <n v="9"/>
  </r>
  <r>
    <s v="India"/>
    <x v="1"/>
    <x v="21"/>
    <x v="24"/>
    <x v="0"/>
    <n v="25.892357000000001"/>
    <n v="86.590325000000007"/>
    <x v="5"/>
    <n v="48"/>
    <n v="200"/>
    <n v="109"/>
  </r>
  <r>
    <s v="India"/>
    <x v="1"/>
    <x v="21"/>
    <x v="24"/>
    <x v="0"/>
    <n v="25.892357000000001"/>
    <n v="86.590325000000007"/>
    <x v="0"/>
    <n v="5"/>
    <n v="41"/>
    <n v="12"/>
  </r>
  <r>
    <s v="India"/>
    <x v="1"/>
    <x v="22"/>
    <x v="25"/>
    <x v="0"/>
    <n v="26.088130499999998"/>
    <n v="87.938403359999995"/>
    <x v="4"/>
    <m/>
    <m/>
    <m/>
  </r>
  <r>
    <s v="India"/>
    <x v="1"/>
    <x v="22"/>
    <x v="25"/>
    <x v="0"/>
    <n v="26.088130499999998"/>
    <n v="87.938403359999995"/>
    <x v="0"/>
    <m/>
    <m/>
    <m/>
  </r>
  <r>
    <s v="India"/>
    <x v="1"/>
    <x v="23"/>
    <x v="26"/>
    <x v="0"/>
    <n v="27.308327999999999"/>
    <n v="84.531741999999994"/>
    <x v="4"/>
    <n v="6"/>
    <n v="7"/>
    <n v="7"/>
  </r>
  <r>
    <s v="India"/>
    <x v="1"/>
    <x v="23"/>
    <x v="26"/>
    <x v="0"/>
    <n v="27.308327999999999"/>
    <n v="84.531741999999994"/>
    <x v="0"/>
    <n v="12"/>
    <n v="33"/>
    <n v="23"/>
  </r>
  <r>
    <s v="India"/>
    <x v="1"/>
    <x v="24"/>
    <x v="27"/>
    <x v="0"/>
    <n v="25.376776"/>
    <n v="86.471523000000005"/>
    <x v="5"/>
    <n v="83"/>
    <n v="233"/>
    <n v="128"/>
  </r>
  <r>
    <s v="India"/>
    <x v="1"/>
    <x v="24"/>
    <x v="27"/>
    <x v="0"/>
    <n v="25.376776"/>
    <n v="86.471523000000005"/>
    <x v="6"/>
    <n v="16"/>
    <n v="64"/>
    <n v="33"/>
  </r>
  <r>
    <s v="India"/>
    <x v="1"/>
    <x v="25"/>
    <x v="28"/>
    <x v="0"/>
    <n v="25.780825700000001"/>
    <n v="84.744676799999993"/>
    <x v="4"/>
    <m/>
    <m/>
    <m/>
  </r>
  <r>
    <s v="India"/>
    <x v="1"/>
    <x v="25"/>
    <x v="28"/>
    <x v="0"/>
    <n v="25.780825700000001"/>
    <n v="84.744676799999993"/>
    <x v="0"/>
    <n v="3"/>
    <n v="124"/>
    <n v="67"/>
  </r>
  <r>
    <s v="India"/>
    <x v="1"/>
    <x v="26"/>
    <x v="29"/>
    <x v="0"/>
    <n v="24.792403"/>
    <n v="84.992416000000006"/>
    <x v="5"/>
    <n v="28"/>
    <n v="324"/>
    <n v="124"/>
  </r>
  <r>
    <s v="India"/>
    <x v="1"/>
    <x v="26"/>
    <x v="29"/>
    <x v="0"/>
    <n v="24.792403"/>
    <n v="84.992416000000006"/>
    <x v="2"/>
    <n v="3"/>
    <n v="7"/>
    <n v="5"/>
  </r>
  <r>
    <s v="India"/>
    <x v="1"/>
    <x v="26"/>
    <x v="29"/>
    <x v="0"/>
    <n v="24.792403"/>
    <n v="84.992416000000006"/>
    <x v="4"/>
    <n v="15"/>
    <n v="19"/>
    <n v="17"/>
  </r>
  <r>
    <s v="India"/>
    <x v="1"/>
    <x v="26"/>
    <x v="29"/>
    <x v="0"/>
    <n v="24.792403"/>
    <n v="84.992416000000006"/>
    <x v="0"/>
    <n v="4"/>
    <n v="43"/>
    <n v="20"/>
  </r>
  <r>
    <s v="India"/>
    <x v="1"/>
    <x v="18"/>
    <x v="30"/>
    <x v="0"/>
    <n v="25.619651000000001"/>
    <n v="85.147381999999993"/>
    <x v="2"/>
    <n v="6"/>
    <n v="64"/>
    <n v="33"/>
  </r>
  <r>
    <s v="India"/>
    <x v="1"/>
    <x v="18"/>
    <x v="30"/>
    <x v="0"/>
    <n v="25.619651000000001"/>
    <n v="85.147381999999993"/>
    <x v="3"/>
    <n v="1"/>
    <n v="16"/>
    <n v="5"/>
  </r>
  <r>
    <s v="India"/>
    <x v="1"/>
    <x v="18"/>
    <x v="30"/>
    <x v="0"/>
    <n v="25.619651000000001"/>
    <n v="85.147381999999993"/>
    <x v="6"/>
    <n v="32"/>
    <n v="70"/>
    <n v="46"/>
  </r>
  <r>
    <s v="India"/>
    <x v="1"/>
    <x v="18"/>
    <x v="31"/>
    <x v="0"/>
    <n v="25.599485999999999"/>
    <n v="85.113665999999995"/>
    <x v="2"/>
    <n v="3"/>
    <n v="79"/>
    <n v="35"/>
  </r>
  <r>
    <s v="India"/>
    <x v="1"/>
    <x v="18"/>
    <x v="31"/>
    <x v="0"/>
    <n v="25.599485999999999"/>
    <n v="85.113665999999995"/>
    <x v="3"/>
    <n v="1"/>
    <n v="2"/>
    <n v="1"/>
  </r>
  <r>
    <s v="India"/>
    <x v="1"/>
    <x v="27"/>
    <x v="32"/>
    <x v="0"/>
    <n v="25.567519999999998"/>
    <n v="83.966379000000003"/>
    <x v="5"/>
    <n v="15"/>
    <n v="332"/>
    <n v="170"/>
  </r>
  <r>
    <s v="India"/>
    <x v="1"/>
    <x v="27"/>
    <x v="32"/>
    <x v="0"/>
    <n v="25.567519999999998"/>
    <n v="83.966379000000003"/>
    <x v="2"/>
    <n v="4"/>
    <n v="5"/>
    <n v="5"/>
  </r>
  <r>
    <s v="India"/>
    <x v="1"/>
    <x v="27"/>
    <x v="32"/>
    <x v="0"/>
    <n v="25.567519999999998"/>
    <n v="83.966379000000003"/>
    <x v="4"/>
    <n v="9"/>
    <n v="22"/>
    <n v="14"/>
  </r>
  <r>
    <s v="India"/>
    <x v="1"/>
    <x v="27"/>
    <x v="32"/>
    <x v="0"/>
    <n v="25.567519999999998"/>
    <n v="83.966379000000003"/>
    <x v="6"/>
    <n v="12"/>
    <n v="54"/>
    <n v="54"/>
  </r>
  <r>
    <s v="India"/>
    <x v="1"/>
    <x v="28"/>
    <x v="33"/>
    <x v="0"/>
    <n v="26.114419999999999"/>
    <n v="85.398129999999995"/>
    <x v="4"/>
    <n v="5"/>
    <n v="11"/>
    <n v="7"/>
  </r>
  <r>
    <s v="India"/>
    <x v="1"/>
    <x v="18"/>
    <x v="34"/>
    <x v="0"/>
    <n v="25.586562000000001"/>
    <n v="85.043586000000005"/>
    <x v="3"/>
    <n v="2"/>
    <n v="3"/>
    <n v="3"/>
  </r>
  <r>
    <s v="India"/>
    <x v="1"/>
    <x v="29"/>
    <x v="35"/>
    <x v="0"/>
    <n v="25.697189000000002"/>
    <n v="85.245900000000006"/>
    <x v="4"/>
    <n v="3"/>
    <n v="6"/>
    <n v="5"/>
  </r>
  <r>
    <s v="India"/>
    <x v="1"/>
    <x v="30"/>
    <x v="36"/>
    <x v="0"/>
    <n v="25.560082999999999"/>
    <n v="87.553264999999996"/>
    <x v="5"/>
    <n v="42"/>
    <n v="78"/>
    <n v="66"/>
  </r>
  <r>
    <s v="India"/>
    <x v="1"/>
    <x v="18"/>
    <x v="37"/>
    <x v="0"/>
    <n v="25.592538999999999"/>
    <n v="85.227158000000003"/>
    <x v="1"/>
    <n v="86"/>
    <n v="354"/>
    <n v="149"/>
  </r>
  <r>
    <s v="India"/>
    <x v="1"/>
    <x v="18"/>
    <x v="37"/>
    <x v="0"/>
    <n v="25.592538999999999"/>
    <n v="85.227158000000003"/>
    <x v="4"/>
    <n v="5"/>
    <n v="9"/>
    <n v="7"/>
  </r>
  <r>
    <s v="India"/>
    <x v="1"/>
    <x v="31"/>
    <x v="38"/>
    <x v="0"/>
    <n v="25.859655"/>
    <n v="85.779439999999994"/>
    <x v="0"/>
    <n v="6"/>
    <n v="8"/>
    <n v="8"/>
  </r>
  <r>
    <s v="India"/>
    <x v="4"/>
    <x v="32"/>
    <x v="39"/>
    <x v="0"/>
    <n v="21.224231"/>
    <n v="81.408349999999999"/>
    <x v="6"/>
    <n v="8"/>
    <n v="74"/>
    <n v="14"/>
  </r>
  <r>
    <s v="India"/>
    <x v="4"/>
    <x v="33"/>
    <x v="40"/>
    <x v="0"/>
    <n v="22.088149999999999"/>
    <n v="82.137370000000004"/>
    <x v="1"/>
    <m/>
    <m/>
    <m/>
  </r>
  <r>
    <s v="India"/>
    <x v="4"/>
    <x v="34"/>
    <x v="41"/>
    <x v="0"/>
    <n v="22.118124999999999"/>
    <n v="83.140608"/>
    <x v="3"/>
    <n v="7"/>
    <n v="7"/>
    <n v="7"/>
  </r>
  <r>
    <s v="India"/>
    <x v="4"/>
    <x v="34"/>
    <x v="41"/>
    <x v="0"/>
    <n v="22.118124999999999"/>
    <n v="83.140608"/>
    <x v="0"/>
    <n v="21"/>
    <n v="87"/>
    <n v="50"/>
  </r>
  <r>
    <s v="India"/>
    <x v="4"/>
    <x v="35"/>
    <x v="42"/>
    <x v="0"/>
    <n v="22.368195"/>
    <n v="82.746431000000001"/>
    <x v="4"/>
    <m/>
    <m/>
    <m/>
  </r>
  <r>
    <s v="India"/>
    <x v="4"/>
    <x v="35"/>
    <x v="42"/>
    <x v="0"/>
    <n v="22.368195"/>
    <n v="82.746431000000001"/>
    <x v="0"/>
    <m/>
    <m/>
    <m/>
  </r>
  <r>
    <s v="India"/>
    <x v="4"/>
    <x v="35"/>
    <x v="43"/>
    <x v="0"/>
    <n v="22.348441000000001"/>
    <n v="82.549610999999999"/>
    <x v="1"/>
    <n v="65"/>
    <n v="417"/>
    <n v="145"/>
  </r>
  <r>
    <s v="India"/>
    <x v="1"/>
    <x v="36"/>
    <x v="44"/>
    <x v="0"/>
    <n v="24.952822000000001"/>
    <n v="84.002396000000005"/>
    <x v="4"/>
    <n v="4"/>
    <n v="5"/>
    <n v="5"/>
  </r>
  <r>
    <s v="India"/>
    <x v="1"/>
    <x v="37"/>
    <x v="45"/>
    <x v="0"/>
    <n v="26.227166499999999"/>
    <n v="84.357042699999994"/>
    <x v="4"/>
    <m/>
    <m/>
    <m/>
  </r>
  <r>
    <s v="India"/>
    <x v="1"/>
    <x v="37"/>
    <x v="45"/>
    <x v="0"/>
    <n v="26.227166499999999"/>
    <n v="84.357042699999994"/>
    <x v="6"/>
    <n v="79"/>
    <n v="111"/>
    <n v="107"/>
  </r>
  <r>
    <s v="India"/>
    <x v="5"/>
    <x v="38"/>
    <x v="46"/>
    <x v="0"/>
    <n v="30.735567"/>
    <n v="76.775713999999994"/>
    <x v="5"/>
    <n v="30"/>
    <n v="193"/>
    <n v="89"/>
  </r>
  <r>
    <s v="India"/>
    <x v="5"/>
    <x v="38"/>
    <x v="46"/>
    <x v="0"/>
    <n v="30.735567"/>
    <n v="76.775713999999994"/>
    <x v="2"/>
    <n v="26"/>
    <n v="204"/>
    <n v="62"/>
  </r>
  <r>
    <s v="India"/>
    <x v="6"/>
    <x v="39"/>
    <x v="47"/>
    <x v="0"/>
    <n v="28.815328999999998"/>
    <n v="77.153009999999995"/>
    <x v="0"/>
    <n v="1"/>
    <n v="12"/>
    <n v="9"/>
  </r>
  <r>
    <s v="India"/>
    <x v="6"/>
    <x v="39"/>
    <x v="48"/>
    <x v="0"/>
    <n v="28.695381000000001"/>
    <n v="77.181664999999995"/>
    <x v="2"/>
    <n v="21"/>
    <n v="145"/>
    <n v="71"/>
  </r>
  <r>
    <s v="India"/>
    <x v="6"/>
    <x v="39"/>
    <x v="48"/>
    <x v="0"/>
    <n v="28.695381000000001"/>
    <n v="77.181664999999995"/>
    <x v="3"/>
    <n v="7"/>
    <n v="9"/>
    <n v="8"/>
  </r>
  <r>
    <s v="India"/>
    <x v="6"/>
    <x v="39"/>
    <x v="49"/>
    <x v="0"/>
    <n v="28.776199999999999"/>
    <n v="77.051074"/>
    <x v="1"/>
    <n v="123"/>
    <n v="500"/>
    <n v="260"/>
  </r>
  <r>
    <s v="India"/>
    <x v="6"/>
    <x v="39"/>
    <x v="49"/>
    <x v="0"/>
    <n v="28.776199999999999"/>
    <n v="77.051074"/>
    <x v="4"/>
    <n v="9"/>
    <n v="109"/>
    <n v="52"/>
  </r>
  <r>
    <s v="India"/>
    <x v="6"/>
    <x v="39"/>
    <x v="49"/>
    <x v="0"/>
    <n v="28.776199999999999"/>
    <n v="77.051074"/>
    <x v="0"/>
    <n v="3"/>
    <n v="142"/>
    <n v="93"/>
  </r>
  <r>
    <s v="India"/>
    <x v="6"/>
    <x v="39"/>
    <x v="50"/>
    <x v="0"/>
    <n v="28.5512005"/>
    <n v="77.2735737"/>
    <x v="0"/>
    <n v="26"/>
    <n v="266"/>
    <n v="162"/>
  </r>
  <r>
    <s v="India"/>
    <x v="6"/>
    <x v="39"/>
    <x v="51"/>
    <x v="0"/>
    <n v="28.656756000000001"/>
    <n v="77.227233999999996"/>
    <x v="2"/>
    <n v="78"/>
    <n v="194"/>
    <n v="131"/>
  </r>
  <r>
    <s v="India"/>
    <x v="6"/>
    <x v="39"/>
    <x v="52"/>
    <x v="0"/>
    <n v="28.498570999999998"/>
    <n v="77.264840000000007"/>
    <x v="4"/>
    <n v="17"/>
    <n v="61"/>
    <n v="33"/>
  </r>
  <r>
    <s v="India"/>
    <x v="6"/>
    <x v="39"/>
    <x v="52"/>
    <x v="0"/>
    <n v="28.498570999999998"/>
    <n v="77.264840000000007"/>
    <x v="6"/>
    <n v="4"/>
    <n v="113"/>
    <n v="22"/>
  </r>
  <r>
    <s v="India"/>
    <x v="5"/>
    <x v="38"/>
    <x v="53"/>
    <x v="0"/>
    <n v="30.719859"/>
    <n v="76.738636999999997"/>
    <x v="2"/>
    <m/>
    <m/>
    <m/>
  </r>
  <r>
    <s v="India"/>
    <x v="4"/>
    <x v="32"/>
    <x v="54"/>
    <x v="0"/>
    <n v="21.185570999999999"/>
    <n v="81.343175000000002"/>
    <x v="4"/>
    <n v="8"/>
    <n v="14"/>
    <n v="10"/>
  </r>
  <r>
    <s v="India"/>
    <x v="4"/>
    <x v="40"/>
    <x v="55"/>
    <x v="0"/>
    <n v="21.258814999999998"/>
    <n v="81.578979000000004"/>
    <x v="0"/>
    <n v="5"/>
    <n v="40"/>
    <n v="28"/>
  </r>
  <r>
    <s v="India"/>
    <x v="4"/>
    <x v="40"/>
    <x v="56"/>
    <x v="0"/>
    <n v="21.219664999999999"/>
    <n v="81.630094"/>
    <x v="2"/>
    <n v="42"/>
    <n v="158"/>
    <n v="76"/>
  </r>
  <r>
    <s v="India"/>
    <x v="4"/>
    <x v="40"/>
    <x v="57"/>
    <x v="0"/>
    <n v="21.237755"/>
    <n v="81.705301000000006"/>
    <x v="2"/>
    <n v="14"/>
    <n v="25"/>
    <n v="21"/>
  </r>
  <r>
    <s v="India"/>
    <x v="4"/>
    <x v="40"/>
    <x v="57"/>
    <x v="0"/>
    <n v="21.237755"/>
    <n v="81.705301000000006"/>
    <x v="4"/>
    <n v="10"/>
    <n v="22"/>
    <n v="13"/>
  </r>
  <r>
    <s v="India"/>
    <x v="4"/>
    <x v="40"/>
    <x v="57"/>
    <x v="0"/>
    <n v="21.237755"/>
    <n v="81.705301000000006"/>
    <x v="6"/>
    <n v="22"/>
    <n v="50"/>
    <n v="28"/>
  </r>
  <r>
    <s v="India"/>
    <x v="4"/>
    <x v="40"/>
    <x v="58"/>
    <x v="0"/>
    <n v="21.371751"/>
    <n v="81.664929000000001"/>
    <x v="3"/>
    <n v="3"/>
    <n v="3"/>
    <n v="3"/>
  </r>
  <r>
    <s v="India"/>
    <x v="4"/>
    <x v="40"/>
    <x v="55"/>
    <x v="0"/>
    <n v="21.258814999999998"/>
    <n v="81.578979000000004"/>
    <x v="5"/>
    <n v="21"/>
    <n v="57"/>
    <n v="34"/>
  </r>
  <r>
    <s v="India"/>
    <x v="6"/>
    <x v="39"/>
    <x v="59"/>
    <x v="0"/>
    <n v="28.623763"/>
    <n v="77.287209000000004"/>
    <x v="3"/>
    <n v="35"/>
    <n v="62"/>
    <n v="50"/>
  </r>
  <r>
    <s v="India"/>
    <x v="6"/>
    <x v="39"/>
    <x v="60"/>
    <x v="0"/>
    <n v="28.674045"/>
    <n v="77.131022999999999"/>
    <x v="5"/>
    <n v="47"/>
    <n v="404"/>
    <n v="230"/>
  </r>
  <r>
    <s v="India"/>
    <x v="6"/>
    <x v="39"/>
    <x v="60"/>
    <x v="0"/>
    <n v="28.674045"/>
    <n v="77.131022999999999"/>
    <x v="3"/>
    <n v="4"/>
    <n v="10"/>
    <n v="7"/>
  </r>
  <r>
    <s v="India"/>
    <x v="6"/>
    <x v="39"/>
    <x v="61"/>
    <x v="0"/>
    <n v="28.639652000000002"/>
    <n v="77.146275000000003"/>
    <x v="2"/>
    <n v="47"/>
    <n v="108"/>
    <n v="82"/>
  </r>
  <r>
    <s v="India"/>
    <x v="6"/>
    <x v="39"/>
    <x v="61"/>
    <x v="0"/>
    <n v="28.639652000000002"/>
    <n v="77.146275000000003"/>
    <x v="0"/>
    <n v="1"/>
    <n v="30"/>
    <n v="18"/>
  </r>
  <r>
    <s v="India"/>
    <x v="6"/>
    <x v="39"/>
    <x v="62"/>
    <x v="0"/>
    <n v="28.563262000000002"/>
    <n v="77.186937"/>
    <x v="4"/>
    <n v="13"/>
    <n v="69"/>
    <n v="43"/>
  </r>
  <r>
    <s v="India"/>
    <x v="6"/>
    <x v="39"/>
    <x v="63"/>
    <x v="0"/>
    <n v="28.732527999999999"/>
    <n v="77.119919999999993"/>
    <x v="2"/>
    <n v="1"/>
    <n v="137"/>
    <n v="58"/>
  </r>
  <r>
    <s v="India"/>
    <x v="6"/>
    <x v="39"/>
    <x v="64"/>
    <x v="0"/>
    <n v="28.651478099999999"/>
    <n v="77.147310500000003"/>
    <x v="3"/>
    <n v="4"/>
    <n v="8"/>
    <n v="6"/>
  </r>
  <r>
    <s v="India"/>
    <x v="6"/>
    <x v="39"/>
    <x v="64"/>
    <x v="0"/>
    <n v="28.651478099999999"/>
    <n v="77.147310500000003"/>
    <x v="4"/>
    <n v="1"/>
    <n v="24"/>
    <n v="9"/>
  </r>
  <r>
    <s v="India"/>
    <x v="6"/>
    <x v="39"/>
    <x v="65"/>
    <x v="0"/>
    <n v="28.550424899999999"/>
    <n v="77.215937699999998"/>
    <x v="1"/>
    <n v="98"/>
    <n v="424"/>
    <n v="211"/>
  </r>
  <r>
    <s v="India"/>
    <x v="6"/>
    <x v="39"/>
    <x v="65"/>
    <x v="0"/>
    <n v="28.550424899999999"/>
    <n v="77.215937699999998"/>
    <x v="2"/>
    <n v="42"/>
    <n v="44"/>
    <n v="44"/>
  </r>
  <r>
    <s v="India"/>
    <x v="6"/>
    <x v="39"/>
    <x v="65"/>
    <x v="0"/>
    <n v="28.550424899999999"/>
    <n v="77.215937699999998"/>
    <x v="6"/>
    <n v="24"/>
    <n v="118"/>
    <n v="45"/>
  </r>
  <r>
    <s v="India"/>
    <x v="6"/>
    <x v="39"/>
    <x v="66"/>
    <x v="0"/>
    <n v="28.562776299999999"/>
    <n v="77.118005299999993"/>
    <x v="0"/>
    <n v="5"/>
    <n v="141"/>
    <n v="65"/>
  </r>
  <r>
    <s v="India"/>
    <x v="6"/>
    <x v="39"/>
    <x v="67"/>
    <x v="0"/>
    <n v="28.681173600000001"/>
    <n v="77.302523399999998"/>
    <x v="4"/>
    <n v="3"/>
    <n v="12"/>
    <n v="8"/>
  </r>
  <r>
    <s v="India"/>
    <x v="6"/>
    <x v="39"/>
    <x v="67"/>
    <x v="0"/>
    <n v="28.681173600000001"/>
    <n v="77.302523399999998"/>
    <x v="0"/>
    <n v="8"/>
    <n v="58"/>
    <n v="36"/>
  </r>
  <r>
    <s v="India"/>
    <x v="6"/>
    <x v="39"/>
    <x v="68"/>
    <x v="0"/>
    <n v="28.73282"/>
    <n v="77.170632999999995"/>
    <x v="5"/>
    <n v="48"/>
    <n v="434"/>
    <n v="253"/>
  </r>
  <r>
    <s v="India"/>
    <x v="6"/>
    <x v="39"/>
    <x v="68"/>
    <x v="0"/>
    <n v="28.73282"/>
    <n v="77.170632999999995"/>
    <x v="1"/>
    <n v="100"/>
    <n v="435"/>
    <n v="277"/>
  </r>
  <r>
    <s v="India"/>
    <x v="6"/>
    <x v="39"/>
    <x v="69"/>
    <x v="0"/>
    <n v="28.684678000000002"/>
    <n v="77.076573999999994"/>
    <x v="6"/>
    <n v="9"/>
    <n v="76"/>
    <n v="24"/>
  </r>
  <r>
    <s v="India"/>
    <x v="6"/>
    <x v="39"/>
    <x v="70"/>
    <x v="0"/>
    <n v="28.609089999999998"/>
    <n v="77.032541300000005"/>
    <x v="5"/>
    <n v="55"/>
    <n v="306"/>
    <n v="139"/>
  </r>
  <r>
    <s v="India"/>
    <x v="6"/>
    <x v="39"/>
    <x v="70"/>
    <x v="0"/>
    <n v="28.609089999999998"/>
    <n v="77.032541300000005"/>
    <x v="3"/>
    <n v="8"/>
    <n v="18"/>
    <n v="9"/>
  </r>
  <r>
    <s v="India"/>
    <x v="6"/>
    <x v="39"/>
    <x v="71"/>
    <x v="0"/>
    <n v="28.570173"/>
    <n v="76.933762000000002"/>
    <x v="2"/>
    <n v="60"/>
    <n v="127"/>
    <n v="96"/>
  </r>
  <r>
    <s v="India"/>
    <x v="6"/>
    <x v="39"/>
    <x v="72"/>
    <x v="0"/>
    <n v="28.822835999999999"/>
    <n v="77.101980999999995"/>
    <x v="6"/>
    <n v="10"/>
    <n v="66"/>
    <n v="24"/>
  </r>
  <r>
    <s v="India"/>
    <x v="6"/>
    <x v="39"/>
    <x v="73"/>
    <x v="0"/>
    <n v="28.567889999999998"/>
    <n v="77.250514999999993"/>
    <x v="1"/>
    <n v="85"/>
    <n v="250"/>
    <n v="161"/>
  </r>
  <r>
    <s v="India"/>
    <x v="6"/>
    <x v="39"/>
    <x v="74"/>
    <x v="0"/>
    <n v="28.657381399999998"/>
    <n v="77.158544699999993"/>
    <x v="6"/>
    <n v="104"/>
    <n v="158"/>
    <n v="116"/>
  </r>
  <r>
    <s v="India"/>
    <x v="6"/>
    <x v="39"/>
    <x v="75"/>
    <x v="0"/>
    <n v="28.531345999999999"/>
    <n v="77.190156000000002"/>
    <x v="5"/>
    <n v="50"/>
    <n v="248"/>
    <n v="128"/>
  </r>
  <r>
    <s v="India"/>
    <x v="6"/>
    <x v="39"/>
    <x v="75"/>
    <x v="0"/>
    <n v="28.531345999999999"/>
    <n v="77.190156000000002"/>
    <x v="2"/>
    <n v="9"/>
    <n v="97"/>
    <n v="54"/>
  </r>
  <r>
    <s v="India"/>
    <x v="6"/>
    <x v="39"/>
    <x v="75"/>
    <x v="0"/>
    <n v="28.531345999999999"/>
    <n v="77.190156000000002"/>
    <x v="4"/>
    <n v="27"/>
    <n v="46"/>
    <n v="35"/>
  </r>
  <r>
    <s v="India"/>
    <x v="6"/>
    <x v="39"/>
    <x v="76"/>
    <x v="0"/>
    <n v="28.588332999999999"/>
    <n v="77.221666999999997"/>
    <x v="5"/>
    <n v="60"/>
    <n v="308"/>
    <n v="174"/>
  </r>
  <r>
    <s v="India"/>
    <x v="6"/>
    <x v="39"/>
    <x v="76"/>
    <x v="0"/>
    <n v="28.588332999999999"/>
    <n v="77.221666999999997"/>
    <x v="2"/>
    <n v="26"/>
    <n v="176"/>
    <n v="85"/>
  </r>
  <r>
    <s v="India"/>
    <x v="6"/>
    <x v="39"/>
    <x v="76"/>
    <x v="0"/>
    <n v="28.588332999999999"/>
    <n v="77.221666999999997"/>
    <x v="4"/>
    <n v="21"/>
    <n v="74"/>
    <n v="45"/>
  </r>
  <r>
    <s v="India"/>
    <x v="6"/>
    <x v="39"/>
    <x v="77"/>
    <x v="0"/>
    <n v="28.672342"/>
    <n v="77.315259999999995"/>
    <x v="2"/>
    <n v="19"/>
    <n v="113"/>
    <n v="54"/>
  </r>
  <r>
    <s v="India"/>
    <x v="6"/>
    <x v="39"/>
    <x v="78"/>
    <x v="0"/>
    <n v="28.699793"/>
    <n v="77.165452999999999"/>
    <x v="5"/>
    <n v="50"/>
    <n v="425"/>
    <n v="243"/>
  </r>
  <r>
    <s v="India"/>
    <x v="6"/>
    <x v="39"/>
    <x v="79"/>
    <x v="0"/>
    <n v="28.710508000000001"/>
    <n v="77.249485000000007"/>
    <x v="4"/>
    <n v="11"/>
    <n v="53"/>
    <n v="23"/>
  </r>
  <r>
    <s v="India"/>
    <x v="7"/>
    <x v="41"/>
    <x v="80"/>
    <x v="0"/>
    <n v="22.977134"/>
    <n v="72.553023999999994"/>
    <x v="0"/>
    <n v="1"/>
    <n v="34"/>
    <n v="18"/>
  </r>
  <r>
    <s v="India"/>
    <x v="7"/>
    <x v="41"/>
    <x v="81"/>
    <x v="0"/>
    <n v="23.002656999999999"/>
    <n v="72.591911999999994"/>
    <x v="5"/>
    <n v="8"/>
    <n v="209"/>
    <n v="52"/>
  </r>
  <r>
    <s v="India"/>
    <x v="7"/>
    <x v="41"/>
    <x v="81"/>
    <x v="0"/>
    <n v="23.002656999999999"/>
    <n v="72.591911999999994"/>
    <x v="1"/>
    <n v="46"/>
    <n v="423"/>
    <n v="144"/>
  </r>
  <r>
    <s v="India"/>
    <x v="7"/>
    <x v="41"/>
    <x v="82"/>
    <x v="0"/>
    <n v="23.020509000000001"/>
    <n v="72.579261000000002"/>
    <x v="5"/>
    <n v="9"/>
    <n v="334"/>
    <n v="108"/>
  </r>
  <r>
    <s v="India"/>
    <x v="7"/>
    <x v="41"/>
    <x v="82"/>
    <x v="0"/>
    <n v="23.020509000000001"/>
    <n v="72.579261000000002"/>
    <x v="3"/>
    <n v="4"/>
    <n v="18"/>
    <n v="8"/>
  </r>
  <r>
    <s v="India"/>
    <x v="8"/>
    <x v="42"/>
    <x v="83"/>
    <x v="0"/>
    <n v="30.943887"/>
    <n v="76.801991000000001"/>
    <x v="4"/>
    <n v="9"/>
    <n v="108"/>
    <n v="56"/>
  </r>
  <r>
    <s v="India"/>
    <x v="9"/>
    <x v="43"/>
    <x v="84"/>
    <x v="0"/>
    <n v="34.066206000000001"/>
    <n v="74.819820000000007"/>
    <x v="1"/>
    <n v="35"/>
    <n v="74"/>
    <n v="54"/>
  </r>
  <r>
    <s v="India"/>
    <x v="10"/>
    <x v="44"/>
    <x v="85"/>
    <x v="0"/>
    <n v="16.172806000000001"/>
    <n v="75.659694000000002"/>
    <x v="4"/>
    <n v="7"/>
    <n v="7"/>
    <n v="7"/>
  </r>
  <r>
    <s v="India"/>
    <x v="7"/>
    <x v="41"/>
    <x v="82"/>
    <x v="0"/>
    <n v="23.020509000000001"/>
    <n v="72.579261000000002"/>
    <x v="0"/>
    <n v="3"/>
    <n v="53"/>
    <n v="30"/>
  </r>
  <r>
    <s v="India"/>
    <x v="7"/>
    <x v="41"/>
    <x v="86"/>
    <x v="0"/>
    <n v="23.041136999999999"/>
    <n v="72.456691000000006"/>
    <x v="1"/>
    <n v="35"/>
    <n v="138"/>
    <n v="71"/>
  </r>
  <r>
    <s v="India"/>
    <x v="7"/>
    <x v="41"/>
    <x v="87"/>
    <x v="0"/>
    <n v="23.076792999999999"/>
    <n v="72.627874000000006"/>
    <x v="5"/>
    <n v="22"/>
    <n v="122"/>
    <n v="43"/>
  </r>
  <r>
    <s v="India"/>
    <x v="7"/>
    <x v="41"/>
    <x v="87"/>
    <x v="0"/>
    <n v="23.076792999999999"/>
    <n v="72.627874000000006"/>
    <x v="6"/>
    <n v="10"/>
    <n v="109"/>
    <n v="39"/>
  </r>
  <r>
    <s v="India"/>
    <x v="10"/>
    <x v="45"/>
    <x v="88"/>
    <x v="0"/>
    <n v="12.9135218"/>
    <n v="77.595080400000001"/>
    <x v="0"/>
    <n v="29"/>
    <n v="30"/>
    <n v="30"/>
  </r>
  <r>
    <s v="India"/>
    <x v="10"/>
    <x v="45"/>
    <x v="89"/>
    <x v="0"/>
    <n v="12.951912999999999"/>
    <n v="77.539783999999997"/>
    <x v="5"/>
    <n v="29"/>
    <n v="83"/>
    <n v="49"/>
  </r>
  <r>
    <s v="India"/>
    <x v="10"/>
    <x v="45"/>
    <x v="90"/>
    <x v="0"/>
    <n v="12.975684299999999"/>
    <n v="77.566074900000004"/>
    <x v="6"/>
    <n v="48"/>
    <n v="82"/>
    <n v="59"/>
  </r>
  <r>
    <s v="India"/>
    <x v="11"/>
    <x v="46"/>
    <x v="91"/>
    <x v="0"/>
    <n v="28.422681000000001"/>
    <n v="77.148944"/>
    <x v="2"/>
    <n v="10"/>
    <n v="71"/>
    <n v="35"/>
  </r>
  <r>
    <s v="India"/>
    <x v="11"/>
    <x v="46"/>
    <x v="91"/>
    <x v="0"/>
    <n v="28.422681000000001"/>
    <n v="77.148944"/>
    <x v="0"/>
    <n v="43"/>
    <n v="170"/>
    <n v="108"/>
  </r>
  <r>
    <s v="India"/>
    <x v="11"/>
    <x v="47"/>
    <x v="92"/>
    <x v="0"/>
    <n v="28.315300000000001"/>
    <n v="76.914299999999997"/>
    <x v="0"/>
    <n v="4"/>
    <n v="158"/>
    <n v="110"/>
  </r>
  <r>
    <s v="India"/>
    <x v="7"/>
    <x v="41"/>
    <x v="93"/>
    <x v="0"/>
    <n v="23.04307"/>
    <n v="72.562967999999998"/>
    <x v="0"/>
    <n v="6"/>
    <n v="72"/>
    <n v="34"/>
  </r>
  <r>
    <s v="India"/>
    <x v="7"/>
    <x v="48"/>
    <x v="94"/>
    <x v="0"/>
    <n v="21.613267"/>
    <n v="73.010554999999997"/>
    <x v="5"/>
    <n v="24"/>
    <n v="194"/>
    <n v="74"/>
  </r>
  <r>
    <s v="India"/>
    <x v="7"/>
    <x v="48"/>
    <x v="94"/>
    <x v="0"/>
    <n v="21.613267"/>
    <n v="73.010554999999997"/>
    <x v="6"/>
    <n v="6"/>
    <n v="50"/>
    <n v="8"/>
  </r>
  <r>
    <s v="India"/>
    <x v="7"/>
    <x v="49"/>
    <x v="95"/>
    <x v="0"/>
    <n v="23.221713999999999"/>
    <n v="72.654328000000007"/>
    <x v="6"/>
    <n v="6"/>
    <n v="86"/>
    <n v="27"/>
  </r>
  <r>
    <s v="India"/>
    <x v="7"/>
    <x v="49"/>
    <x v="95"/>
    <x v="0"/>
    <n v="23.221713999999999"/>
    <n v="72.654328000000007"/>
    <x v="0"/>
    <n v="22"/>
    <n v="23"/>
    <n v="22"/>
  </r>
  <r>
    <s v="India"/>
    <x v="7"/>
    <x v="50"/>
    <x v="96"/>
    <x v="0"/>
    <n v="21.170045999999999"/>
    <n v="72.795405000000002"/>
    <x v="5"/>
    <m/>
    <m/>
    <m/>
  </r>
  <r>
    <s v="India"/>
    <x v="7"/>
    <x v="50"/>
    <x v="96"/>
    <x v="0"/>
    <n v="21.170045999999999"/>
    <n v="72.795405000000002"/>
    <x v="4"/>
    <m/>
    <m/>
    <m/>
  </r>
  <r>
    <s v="India"/>
    <x v="6"/>
    <x v="39"/>
    <x v="78"/>
    <x v="0"/>
    <n v="28.699793"/>
    <n v="77.165452999999999"/>
    <x v="6"/>
    <n v="45"/>
    <n v="124"/>
    <n v="84"/>
  </r>
  <r>
    <s v="India"/>
    <x v="7"/>
    <x v="41"/>
    <x v="97"/>
    <x v="0"/>
    <n v="23.107969000000001"/>
    <n v="72.574647999999996"/>
    <x v="6"/>
    <n v="26"/>
    <n v="142"/>
    <n v="65"/>
  </r>
  <r>
    <s v="India"/>
    <x v="7"/>
    <x v="41"/>
    <x v="80"/>
    <x v="0"/>
    <n v="22.977134"/>
    <n v="72.553023999999994"/>
    <x v="5"/>
    <n v="46"/>
    <n v="379"/>
    <n v="189"/>
  </r>
  <r>
    <s v="India"/>
    <x v="10"/>
    <x v="45"/>
    <x v="98"/>
    <x v="0"/>
    <n v="12.938539"/>
    <n v="77.590100000000007"/>
    <x v="2"/>
    <n v="11"/>
    <n v="35"/>
    <n v="18"/>
  </r>
  <r>
    <s v="India"/>
    <x v="10"/>
    <x v="45"/>
    <x v="98"/>
    <x v="0"/>
    <n v="12.938539"/>
    <n v="77.590100000000007"/>
    <x v="4"/>
    <n v="9"/>
    <n v="19"/>
    <n v="13"/>
  </r>
  <r>
    <s v="India"/>
    <x v="10"/>
    <x v="45"/>
    <x v="98"/>
    <x v="0"/>
    <n v="12.938539"/>
    <n v="77.590100000000007"/>
    <x v="6"/>
    <n v="14"/>
    <n v="28"/>
    <n v="16"/>
  </r>
  <r>
    <s v="India"/>
    <x v="10"/>
    <x v="45"/>
    <x v="98"/>
    <x v="0"/>
    <n v="12.938539"/>
    <n v="77.590100000000007"/>
    <x v="0"/>
    <n v="17"/>
    <n v="218"/>
    <n v="178"/>
  </r>
  <r>
    <s v="India"/>
    <x v="10"/>
    <x v="51"/>
    <x v="99"/>
    <x v="0"/>
    <n v="15.411455999999999"/>
    <n v="75.638132999999996"/>
    <x v="2"/>
    <n v="4"/>
    <n v="24"/>
    <n v="14"/>
  </r>
  <r>
    <s v="India"/>
    <x v="10"/>
    <x v="51"/>
    <x v="99"/>
    <x v="0"/>
    <n v="15.411455999999999"/>
    <n v="75.638132999999996"/>
    <x v="6"/>
    <n v="40"/>
    <n v="48"/>
    <n v="45"/>
  </r>
  <r>
    <s v="India"/>
    <x v="10"/>
    <x v="52"/>
    <x v="100"/>
    <x v="0"/>
    <n v="14.7918"/>
    <n v="75.389600000000002"/>
    <x v="1"/>
    <m/>
    <m/>
    <m/>
  </r>
  <r>
    <s v="India"/>
    <x v="10"/>
    <x v="53"/>
    <x v="101"/>
    <x v="0"/>
    <n v="15.3714823"/>
    <n v="75.116016799999997"/>
    <x v="0"/>
    <n v="13"/>
    <n v="30"/>
    <n v="25"/>
  </r>
  <r>
    <s v="India"/>
    <x v="10"/>
    <x v="54"/>
    <x v="102"/>
    <x v="0"/>
    <n v="17.321992999999999"/>
    <n v="76.822627999999995"/>
    <x v="1"/>
    <n v="42"/>
    <n v="107"/>
    <n v="73"/>
  </r>
  <r>
    <s v="India"/>
    <x v="10"/>
    <x v="54"/>
    <x v="102"/>
    <x v="0"/>
    <n v="17.321992999999999"/>
    <n v="76.822627999999995"/>
    <x v="2"/>
    <n v="8"/>
    <n v="11"/>
    <n v="9"/>
  </r>
  <r>
    <s v="India"/>
    <x v="10"/>
    <x v="54"/>
    <x v="102"/>
    <x v="0"/>
    <n v="17.321992999999999"/>
    <n v="76.822627999999995"/>
    <x v="3"/>
    <n v="3"/>
    <n v="4"/>
    <n v="3"/>
  </r>
  <r>
    <s v="India"/>
    <x v="10"/>
    <x v="54"/>
    <x v="102"/>
    <x v="0"/>
    <n v="17.321992999999999"/>
    <n v="76.822627999999995"/>
    <x v="6"/>
    <n v="24"/>
    <n v="44"/>
    <n v="26"/>
  </r>
  <r>
    <s v="India"/>
    <x v="10"/>
    <x v="55"/>
    <x v="103"/>
    <x v="0"/>
    <n v="13.428827999999999"/>
    <n v="77.731418000000005"/>
    <x v="6"/>
    <m/>
    <m/>
    <m/>
  </r>
  <r>
    <s v="India"/>
    <x v="10"/>
    <x v="56"/>
    <x v="104"/>
    <x v="0"/>
    <n v="13.328028"/>
    <n v="75.797055999999998"/>
    <x v="5"/>
    <m/>
    <m/>
    <m/>
  </r>
  <r>
    <s v="India"/>
    <x v="10"/>
    <x v="57"/>
    <x v="105"/>
    <x v="0"/>
    <n v="14.4758"/>
    <n v="75.905199999999994"/>
    <x v="1"/>
    <n v="33"/>
    <n v="65"/>
    <n v="46"/>
  </r>
  <r>
    <s v="India"/>
    <x v="10"/>
    <x v="58"/>
    <x v="106"/>
    <x v="0"/>
    <n v="15.459706000000001"/>
    <n v="75.008381"/>
    <x v="3"/>
    <n v="4"/>
    <n v="4"/>
    <n v="4"/>
  </r>
  <r>
    <s v="India"/>
    <x v="10"/>
    <x v="59"/>
    <x v="107"/>
    <x v="0"/>
    <n v="16.760200000000001"/>
    <n v="77.142799999999994"/>
    <x v="1"/>
    <n v="39"/>
    <n v="86"/>
    <n v="55"/>
  </r>
  <r>
    <s v="India"/>
    <x v="10"/>
    <x v="59"/>
    <x v="107"/>
    <x v="0"/>
    <n v="16.760200000000001"/>
    <n v="77.142799999999994"/>
    <x v="2"/>
    <n v="34"/>
    <n v="57"/>
    <n v="45"/>
  </r>
  <r>
    <s v="India"/>
    <x v="10"/>
    <x v="59"/>
    <x v="107"/>
    <x v="0"/>
    <n v="16.760200000000001"/>
    <n v="77.142799999999994"/>
    <x v="3"/>
    <n v="3"/>
    <n v="4"/>
    <n v="4"/>
  </r>
  <r>
    <s v="India"/>
    <x v="10"/>
    <x v="59"/>
    <x v="107"/>
    <x v="0"/>
    <n v="16.760200000000001"/>
    <n v="77.142799999999994"/>
    <x v="6"/>
    <n v="17"/>
    <n v="24"/>
    <n v="21"/>
  </r>
  <r>
    <s v="India"/>
    <x v="12"/>
    <x v="60"/>
    <x v="108"/>
    <x v="0"/>
    <n v="10.073232000000001"/>
    <n v="76.302764999999994"/>
    <x v="5"/>
    <m/>
    <m/>
    <m/>
  </r>
  <r>
    <s v="India"/>
    <x v="10"/>
    <x v="45"/>
    <x v="109"/>
    <x v="0"/>
    <n v="13.024634199999999"/>
    <n v="77.508011499999995"/>
    <x v="3"/>
    <n v="2"/>
    <n v="2"/>
    <n v="2"/>
  </r>
  <r>
    <s v="India"/>
    <x v="10"/>
    <x v="45"/>
    <x v="109"/>
    <x v="0"/>
    <n v="13.024634199999999"/>
    <n v="77.508011499999995"/>
    <x v="0"/>
    <n v="19"/>
    <n v="22"/>
    <n v="19"/>
  </r>
  <r>
    <s v="India"/>
    <x v="10"/>
    <x v="45"/>
    <x v="110"/>
    <x v="0"/>
    <n v="12.917348"/>
    <n v="77.622812999999994"/>
    <x v="4"/>
    <n v="9"/>
    <n v="11"/>
    <n v="10"/>
  </r>
  <r>
    <s v="India"/>
    <x v="10"/>
    <x v="61"/>
    <x v="111"/>
    <x v="0"/>
    <n v="11.55358"/>
    <n v="76.555210000000002"/>
    <x v="3"/>
    <n v="2"/>
    <n v="2"/>
    <n v="2"/>
  </r>
  <r>
    <s v="India"/>
    <x v="10"/>
    <x v="45"/>
    <x v="112"/>
    <x v="0"/>
    <n v="13.027019900000001"/>
    <n v="77.494094000000004"/>
    <x v="1"/>
    <n v="49"/>
    <n v="70"/>
    <n v="59"/>
  </r>
  <r>
    <s v="India"/>
    <x v="10"/>
    <x v="45"/>
    <x v="113"/>
    <x v="0"/>
    <n v="12.921417999999999"/>
    <n v="77.502465999999998"/>
    <x v="3"/>
    <n v="3"/>
    <n v="4"/>
    <n v="4"/>
  </r>
  <r>
    <s v="India"/>
    <x v="10"/>
    <x v="62"/>
    <x v="114"/>
    <x v="0"/>
    <n v="12.21041"/>
    <n v="76.373760000000004"/>
    <x v="1"/>
    <n v="31"/>
    <n v="50"/>
    <n v="39"/>
  </r>
  <r>
    <s v="India"/>
    <x v="10"/>
    <x v="62"/>
    <x v="114"/>
    <x v="0"/>
    <n v="12.21041"/>
    <n v="76.373760000000004"/>
    <x v="3"/>
    <n v="3"/>
    <n v="7"/>
    <n v="5"/>
  </r>
  <r>
    <s v="India"/>
    <x v="10"/>
    <x v="63"/>
    <x v="115"/>
    <x v="0"/>
    <n v="13.377516"/>
    <n v="77.099072000000007"/>
    <x v="2"/>
    <n v="18"/>
    <n v="19"/>
    <n v="18"/>
  </r>
  <r>
    <s v="India"/>
    <x v="10"/>
    <x v="63"/>
    <x v="115"/>
    <x v="0"/>
    <n v="13.377516"/>
    <n v="77.099072000000007"/>
    <x v="4"/>
    <n v="4"/>
    <n v="7"/>
    <n v="5"/>
  </r>
  <r>
    <s v="India"/>
    <x v="10"/>
    <x v="63"/>
    <x v="115"/>
    <x v="0"/>
    <n v="13.377516"/>
    <n v="77.099072000000007"/>
    <x v="0"/>
    <n v="4"/>
    <n v="7"/>
    <n v="6"/>
  </r>
  <r>
    <s v="India"/>
    <x v="10"/>
    <x v="64"/>
    <x v="116"/>
    <x v="0"/>
    <n v="12.415910999999999"/>
    <n v="75.735050000000001"/>
    <x v="2"/>
    <n v="6"/>
    <n v="44"/>
    <n v="10"/>
  </r>
  <r>
    <s v="India"/>
    <x v="12"/>
    <x v="65"/>
    <x v="117"/>
    <x v="0"/>
    <n v="8.5149092999999993"/>
    <n v="76.943587899999997"/>
    <x v="0"/>
    <n v="11"/>
    <n v="25"/>
    <n v="14"/>
  </r>
  <r>
    <s v="India"/>
    <x v="12"/>
    <x v="66"/>
    <x v="118"/>
    <x v="0"/>
    <n v="10.532400000000001"/>
    <n v="76.215900000000005"/>
    <x v="5"/>
    <n v="46"/>
    <n v="51"/>
    <n v="49"/>
  </r>
  <r>
    <s v="India"/>
    <x v="12"/>
    <x v="66"/>
    <x v="118"/>
    <x v="0"/>
    <n v="10.532400000000001"/>
    <n v="76.215900000000005"/>
    <x v="2"/>
    <n v="9"/>
    <n v="10"/>
    <n v="10"/>
  </r>
  <r>
    <s v="India"/>
    <x v="13"/>
    <x v="67"/>
    <x v="119"/>
    <x v="0"/>
    <n v="23.264759000000002"/>
    <n v="77.381568000000001"/>
    <x v="3"/>
    <n v="3"/>
    <n v="10"/>
    <n v="6"/>
  </r>
  <r>
    <s v="India"/>
    <x v="13"/>
    <x v="67"/>
    <x v="120"/>
    <x v="0"/>
    <n v="23.233584"/>
    <n v="77.400574000000006"/>
    <x v="5"/>
    <n v="19"/>
    <n v="62"/>
    <n v="43"/>
  </r>
  <r>
    <s v="India"/>
    <x v="13"/>
    <x v="67"/>
    <x v="120"/>
    <x v="0"/>
    <n v="23.233584"/>
    <n v="77.400574000000006"/>
    <x v="2"/>
    <n v="22"/>
    <n v="129"/>
    <n v="48"/>
  </r>
  <r>
    <s v="India"/>
    <x v="13"/>
    <x v="67"/>
    <x v="120"/>
    <x v="0"/>
    <n v="23.233584"/>
    <n v="77.400574000000006"/>
    <x v="3"/>
    <n v="16"/>
    <n v="38"/>
    <n v="22"/>
  </r>
  <r>
    <s v="India"/>
    <x v="13"/>
    <x v="67"/>
    <x v="120"/>
    <x v="0"/>
    <n v="23.233584"/>
    <n v="77.400574000000006"/>
    <x v="6"/>
    <n v="34"/>
    <n v="59"/>
    <n v="45"/>
  </r>
  <r>
    <s v="India"/>
    <x v="13"/>
    <x v="68"/>
    <x v="121"/>
    <x v="0"/>
    <n v="23.218135"/>
    <n v="79.957769999999996"/>
    <x v="0"/>
    <n v="4"/>
    <n v="82"/>
    <n v="38"/>
  </r>
  <r>
    <s v="India"/>
    <x v="13"/>
    <x v="69"/>
    <x v="122"/>
    <x v="0"/>
    <n v="23.500160000000001"/>
    <n v="80.232839999999996"/>
    <x v="5"/>
    <n v="20"/>
    <n v="233"/>
    <n v="77"/>
  </r>
  <r>
    <s v="India"/>
    <x v="13"/>
    <x v="69"/>
    <x v="122"/>
    <x v="0"/>
    <n v="23.500160000000001"/>
    <n v="80.232839999999996"/>
    <x v="4"/>
    <n v="17"/>
    <n v="105"/>
    <n v="36"/>
  </r>
  <r>
    <s v="India"/>
    <x v="13"/>
    <x v="70"/>
    <x v="123"/>
    <x v="0"/>
    <n v="24.261300899999998"/>
    <n v="80.723178300000001"/>
    <x v="4"/>
    <n v="4"/>
    <n v="5"/>
    <n v="4"/>
  </r>
  <r>
    <s v="India"/>
    <x v="13"/>
    <x v="71"/>
    <x v="124"/>
    <x v="0"/>
    <n v="23.108440000000002"/>
    <n v="77.511427999999995"/>
    <x v="5"/>
    <n v="24"/>
    <n v="408"/>
    <n v="129"/>
  </r>
  <r>
    <s v="India"/>
    <x v="13"/>
    <x v="72"/>
    <x v="125"/>
    <x v="0"/>
    <n v="22.624758"/>
    <n v="75.675237999999993"/>
    <x v="2"/>
    <n v="2"/>
    <n v="39"/>
    <n v="12"/>
  </r>
  <r>
    <s v="India"/>
    <x v="13"/>
    <x v="72"/>
    <x v="125"/>
    <x v="0"/>
    <n v="22.624758"/>
    <n v="75.675237999999993"/>
    <x v="6"/>
    <n v="21"/>
    <n v="62"/>
    <n v="36"/>
  </r>
  <r>
    <s v="India"/>
    <x v="13"/>
    <x v="73"/>
    <x v="126"/>
    <x v="0"/>
    <n v="22.678000000000001"/>
    <n v="75.855900000000005"/>
    <x v="6"/>
    <n v="36"/>
    <n v="52"/>
    <n v="39"/>
  </r>
  <r>
    <s v="India"/>
    <x v="13"/>
    <x v="73"/>
    <x v="127"/>
    <x v="0"/>
    <n v="22.708400000000001"/>
    <n v="75.881500000000003"/>
    <x v="2"/>
    <n v="10"/>
    <n v="17"/>
    <n v="14"/>
  </r>
  <r>
    <s v="India"/>
    <x v="13"/>
    <x v="73"/>
    <x v="127"/>
    <x v="0"/>
    <n v="22.708400000000001"/>
    <n v="75.881500000000003"/>
    <x v="0"/>
    <n v="10"/>
    <n v="18"/>
    <n v="15"/>
  </r>
  <r>
    <s v="India"/>
    <x v="13"/>
    <x v="68"/>
    <x v="128"/>
    <x v="0"/>
    <n v="23.163174000000001"/>
    <n v="79.973061000000001"/>
    <x v="1"/>
    <n v="50"/>
    <n v="118"/>
    <n v="88"/>
  </r>
  <r>
    <s v="India"/>
    <x v="13"/>
    <x v="68"/>
    <x v="128"/>
    <x v="0"/>
    <n v="23.163174000000001"/>
    <n v="79.973061000000001"/>
    <x v="3"/>
    <n v="2"/>
    <n v="2"/>
    <n v="2"/>
  </r>
  <r>
    <s v="India"/>
    <x v="13"/>
    <x v="68"/>
    <x v="129"/>
    <x v="0"/>
    <n v="23.142887999999999"/>
    <n v="79.916146999999995"/>
    <x v="1"/>
    <m/>
    <m/>
    <m/>
  </r>
  <r>
    <s v="India"/>
    <x v="13"/>
    <x v="68"/>
    <x v="130"/>
    <x v="0"/>
    <n v="23.168606"/>
    <n v="79.932247000000004"/>
    <x v="0"/>
    <n v="1"/>
    <n v="86"/>
    <n v="40"/>
  </r>
  <r>
    <s v="India"/>
    <x v="13"/>
    <x v="74"/>
    <x v="131"/>
    <x v="0"/>
    <n v="23.817486779999999"/>
    <n v="79.446246000000002"/>
    <x v="1"/>
    <n v="22"/>
    <n v="76"/>
    <n v="48"/>
  </r>
  <r>
    <s v="India"/>
    <x v="13"/>
    <x v="75"/>
    <x v="132"/>
    <x v="0"/>
    <n v="26.203441999999999"/>
    <n v="78.193251000000004"/>
    <x v="3"/>
    <n v="2"/>
    <n v="3"/>
    <n v="3"/>
  </r>
  <r>
    <s v="India"/>
    <x v="13"/>
    <x v="75"/>
    <x v="133"/>
    <x v="0"/>
    <n v="26.259242"/>
    <n v="78.216431999999998"/>
    <x v="3"/>
    <n v="11"/>
    <n v="16"/>
    <n v="13"/>
  </r>
  <r>
    <s v="India"/>
    <x v="13"/>
    <x v="75"/>
    <x v="133"/>
    <x v="0"/>
    <n v="26.259242"/>
    <n v="78.216431999999998"/>
    <x v="4"/>
    <n v="14"/>
    <n v="18"/>
    <n v="16"/>
  </r>
  <r>
    <s v="India"/>
    <x v="13"/>
    <x v="75"/>
    <x v="133"/>
    <x v="0"/>
    <n v="26.259242"/>
    <n v="78.216431999999998"/>
    <x v="0"/>
    <n v="26"/>
    <n v="130"/>
    <n v="82"/>
  </r>
  <r>
    <s v="India"/>
    <x v="13"/>
    <x v="75"/>
    <x v="134"/>
    <x v="0"/>
    <n v="26.200388"/>
    <n v="78.147713999999993"/>
    <x v="4"/>
    <n v="11"/>
    <n v="31"/>
    <n v="22"/>
  </r>
  <r>
    <s v="India"/>
    <x v="13"/>
    <x v="75"/>
    <x v="134"/>
    <x v="0"/>
    <n v="26.200388"/>
    <n v="78.147713999999993"/>
    <x v="6"/>
    <n v="2"/>
    <n v="145"/>
    <n v="69"/>
  </r>
  <r>
    <s v="India"/>
    <x v="13"/>
    <x v="73"/>
    <x v="135"/>
    <x v="0"/>
    <n v="22.728899999999999"/>
    <n v="75.807599999999994"/>
    <x v="6"/>
    <n v="10"/>
    <n v="14"/>
    <n v="11"/>
  </r>
  <r>
    <s v="India"/>
    <x v="13"/>
    <x v="73"/>
    <x v="135"/>
    <x v="0"/>
    <n v="22.728899999999999"/>
    <n v="75.807599999999994"/>
    <x v="0"/>
    <n v="6"/>
    <n v="19"/>
    <n v="14"/>
  </r>
  <r>
    <s v="India"/>
    <x v="13"/>
    <x v="73"/>
    <x v="136"/>
    <x v="0"/>
    <n v="22.431000000000001"/>
    <n v="75.521299999999997"/>
    <x v="5"/>
    <n v="45"/>
    <n v="321"/>
    <n v="136"/>
  </r>
  <r>
    <s v="India"/>
    <x v="13"/>
    <x v="73"/>
    <x v="136"/>
    <x v="0"/>
    <n v="22.431000000000001"/>
    <n v="75.521299999999997"/>
    <x v="2"/>
    <n v="11"/>
    <n v="130"/>
    <n v="76"/>
  </r>
  <r>
    <s v="India"/>
    <x v="13"/>
    <x v="73"/>
    <x v="136"/>
    <x v="0"/>
    <n v="22.431000000000001"/>
    <n v="75.521299999999997"/>
    <x v="6"/>
    <n v="22"/>
    <n v="104"/>
    <n v="52"/>
  </r>
  <r>
    <s v="India"/>
    <x v="13"/>
    <x v="76"/>
    <x v="137"/>
    <x v="0"/>
    <n v="23.838585999999999"/>
    <n v="78.759431000000006"/>
    <x v="1"/>
    <n v="21"/>
    <n v="115"/>
    <n v="56"/>
  </r>
  <r>
    <s v="India"/>
    <x v="13"/>
    <x v="76"/>
    <x v="137"/>
    <x v="0"/>
    <n v="23.838585999999999"/>
    <n v="78.759431000000006"/>
    <x v="2"/>
    <n v="9"/>
    <n v="45"/>
    <n v="18"/>
  </r>
  <r>
    <s v="India"/>
    <x v="13"/>
    <x v="76"/>
    <x v="138"/>
    <x v="0"/>
    <n v="23.864015800000001"/>
    <n v="78.802893209999993"/>
    <x v="2"/>
    <n v="7"/>
    <n v="120"/>
    <n v="58"/>
  </r>
  <r>
    <s v="India"/>
    <x v="13"/>
    <x v="77"/>
    <x v="139"/>
    <x v="0"/>
    <n v="24.584343629999999"/>
    <n v="80.854941400000001"/>
    <x v="2"/>
    <n v="12"/>
    <n v="12"/>
    <n v="12"/>
  </r>
  <r>
    <s v="India"/>
    <x v="13"/>
    <x v="78"/>
    <x v="140"/>
    <x v="0"/>
    <n v="24.108969999999999"/>
    <n v="82.645579999999995"/>
    <x v="3"/>
    <n v="1"/>
    <n v="9"/>
    <n v="5"/>
  </r>
  <r>
    <s v="India"/>
    <x v="12"/>
    <x v="65"/>
    <x v="141"/>
    <x v="0"/>
    <n v="8.5637000000000008"/>
    <n v="76.886499999999998"/>
    <x v="0"/>
    <n v="36"/>
    <n v="37"/>
    <n v="36"/>
  </r>
  <r>
    <s v="India"/>
    <x v="12"/>
    <x v="65"/>
    <x v="117"/>
    <x v="0"/>
    <n v="8.5149092999999993"/>
    <n v="76.943587899999997"/>
    <x v="5"/>
    <n v="11"/>
    <n v="78"/>
    <n v="29"/>
  </r>
  <r>
    <s v="India"/>
    <x v="12"/>
    <x v="79"/>
    <x v="142"/>
    <x v="0"/>
    <n v="8.8787000000000003"/>
    <n v="76.607299999999995"/>
    <x v="4"/>
    <n v="1"/>
    <n v="3"/>
    <n v="2"/>
  </r>
  <r>
    <s v="India"/>
    <x v="14"/>
    <x v="80"/>
    <x v="143"/>
    <x v="0"/>
    <n v="16.714374500000002"/>
    <n v="74.242639800000006"/>
    <x v="0"/>
    <n v="29"/>
    <n v="127"/>
    <n v="79"/>
  </r>
  <r>
    <s v="India"/>
    <x v="14"/>
    <x v="81"/>
    <x v="144"/>
    <x v="0"/>
    <n v="18.1023399"/>
    <n v="73.478368700000004"/>
    <x v="5"/>
    <n v="67"/>
    <n v="291"/>
    <n v="140"/>
  </r>
  <r>
    <s v="India"/>
    <x v="14"/>
    <x v="81"/>
    <x v="144"/>
    <x v="0"/>
    <n v="18.1023399"/>
    <n v="73.478368700000004"/>
    <x v="1"/>
    <n v="99"/>
    <n v="169"/>
    <n v="127"/>
  </r>
  <r>
    <s v="India"/>
    <x v="14"/>
    <x v="81"/>
    <x v="144"/>
    <x v="0"/>
    <n v="18.1023399"/>
    <n v="73.478368700000004"/>
    <x v="6"/>
    <n v="15"/>
    <n v="52"/>
    <n v="22"/>
  </r>
  <r>
    <s v="India"/>
    <x v="14"/>
    <x v="81"/>
    <x v="144"/>
    <x v="0"/>
    <n v="18.1023399"/>
    <n v="73.478368700000004"/>
    <x v="0"/>
    <n v="6"/>
    <n v="66"/>
    <n v="28"/>
  </r>
  <r>
    <s v="India"/>
    <x v="14"/>
    <x v="82"/>
    <x v="145"/>
    <x v="0"/>
    <n v="20.555712"/>
    <n v="74.529235999999997"/>
    <x v="3"/>
    <n v="1"/>
    <n v="3"/>
    <n v="2"/>
  </r>
  <r>
    <s v="India"/>
    <x v="14"/>
    <x v="83"/>
    <x v="146"/>
    <x v="0"/>
    <n v="19.296481"/>
    <n v="72.840923000000004"/>
    <x v="3"/>
    <n v="4"/>
    <n v="6"/>
    <n v="4"/>
  </r>
  <r>
    <s v="India"/>
    <x v="14"/>
    <x v="83"/>
    <x v="146"/>
    <x v="0"/>
    <n v="19.296481"/>
    <n v="72.840923000000004"/>
    <x v="6"/>
    <n v="12"/>
    <n v="39"/>
    <n v="16"/>
  </r>
  <r>
    <s v="India"/>
    <x v="14"/>
    <x v="83"/>
    <x v="146"/>
    <x v="0"/>
    <n v="19.296481"/>
    <n v="72.840923000000004"/>
    <x v="0"/>
    <n v="3"/>
    <n v="85"/>
    <n v="49"/>
  </r>
  <r>
    <s v="India"/>
    <x v="14"/>
    <x v="84"/>
    <x v="147"/>
    <x v="0"/>
    <n v="19.786089"/>
    <n v="72.757970999999998"/>
    <x v="4"/>
    <n v="2"/>
    <n v="34"/>
    <n v="20"/>
  </r>
  <r>
    <s v="India"/>
    <x v="14"/>
    <x v="84"/>
    <x v="147"/>
    <x v="0"/>
    <n v="19.786089"/>
    <n v="72.757970999999998"/>
    <x v="6"/>
    <n v="1"/>
    <n v="29"/>
    <n v="14"/>
  </r>
  <r>
    <s v="India"/>
    <x v="14"/>
    <x v="85"/>
    <x v="148"/>
    <x v="0"/>
    <n v="19.962900000000001"/>
    <n v="79.298714000000004"/>
    <x v="5"/>
    <n v="75"/>
    <n v="302"/>
    <n v="164"/>
  </r>
  <r>
    <s v="India"/>
    <x v="14"/>
    <x v="85"/>
    <x v="149"/>
    <x v="0"/>
    <n v="19.9775302"/>
    <n v="79.2337086"/>
    <x v="2"/>
    <n v="31"/>
    <n v="35"/>
    <n v="33"/>
  </r>
  <r>
    <s v="India"/>
    <x v="14"/>
    <x v="85"/>
    <x v="149"/>
    <x v="0"/>
    <n v="19.9775302"/>
    <n v="79.2337086"/>
    <x v="4"/>
    <n v="1"/>
    <n v="94"/>
    <n v="45"/>
  </r>
  <r>
    <s v="India"/>
    <x v="14"/>
    <x v="85"/>
    <x v="149"/>
    <x v="0"/>
    <n v="19.9775302"/>
    <n v="79.2337086"/>
    <x v="0"/>
    <n v="1"/>
    <n v="138"/>
    <n v="69"/>
  </r>
  <r>
    <s v="India"/>
    <x v="14"/>
    <x v="86"/>
    <x v="150"/>
    <x v="0"/>
    <n v="20.918945999999998"/>
    <n v="74.776387999999997"/>
    <x v="0"/>
    <n v="26"/>
    <n v="69"/>
    <n v="54"/>
  </r>
  <r>
    <s v="India"/>
    <x v="14"/>
    <x v="87"/>
    <x v="151"/>
    <x v="0"/>
    <n v="19.101220000000001"/>
    <n v="74.73339"/>
    <x v="1"/>
    <n v="61"/>
    <n v="367"/>
    <n v="147"/>
  </r>
  <r>
    <s v="India"/>
    <x v="14"/>
    <x v="87"/>
    <x v="151"/>
    <x v="0"/>
    <n v="19.101220000000001"/>
    <n v="74.73339"/>
    <x v="3"/>
    <n v="5"/>
    <n v="9"/>
    <n v="6"/>
  </r>
  <r>
    <s v="India"/>
    <x v="14"/>
    <x v="88"/>
    <x v="152"/>
    <x v="0"/>
    <n v="20.719515999999999"/>
    <n v="77.000253000000001"/>
    <x v="4"/>
    <n v="11"/>
    <n v="23"/>
    <n v="18"/>
  </r>
  <r>
    <s v="India"/>
    <x v="14"/>
    <x v="89"/>
    <x v="153"/>
    <x v="0"/>
    <n v="20.940235900000001"/>
    <n v="77.789524799999995"/>
    <x v="3"/>
    <n v="1"/>
    <n v="3"/>
    <n v="2"/>
  </r>
  <r>
    <s v="India"/>
    <x v="14"/>
    <x v="89"/>
    <x v="154"/>
    <x v="0"/>
    <n v="20.939198000000001"/>
    <n v="77.765701000000007"/>
    <x v="5"/>
    <n v="26"/>
    <n v="74"/>
    <n v="52"/>
  </r>
  <r>
    <s v="India"/>
    <x v="14"/>
    <x v="89"/>
    <x v="154"/>
    <x v="0"/>
    <n v="20.939198000000001"/>
    <n v="77.765701000000007"/>
    <x v="1"/>
    <n v="61"/>
    <n v="108"/>
    <n v="86"/>
  </r>
  <r>
    <s v="India"/>
    <x v="14"/>
    <x v="90"/>
    <x v="155"/>
    <x v="0"/>
    <n v="19.854616"/>
    <n v="75.905894000000004"/>
    <x v="1"/>
    <m/>
    <m/>
    <m/>
  </r>
  <r>
    <s v="India"/>
    <x v="14"/>
    <x v="90"/>
    <x v="155"/>
    <x v="0"/>
    <n v="19.854616"/>
    <n v="75.905894000000004"/>
    <x v="3"/>
    <n v="3"/>
    <n v="4"/>
    <n v="4"/>
  </r>
  <r>
    <s v="India"/>
    <x v="14"/>
    <x v="90"/>
    <x v="155"/>
    <x v="0"/>
    <n v="19.854616"/>
    <n v="75.905894000000004"/>
    <x v="6"/>
    <n v="7"/>
    <n v="30"/>
    <n v="13"/>
  </r>
  <r>
    <s v="India"/>
    <x v="14"/>
    <x v="91"/>
    <x v="156"/>
    <x v="0"/>
    <n v="19.25292"/>
    <n v="73.142019000000005"/>
    <x v="6"/>
    <n v="6"/>
    <n v="16"/>
    <n v="8"/>
  </r>
  <r>
    <s v="India"/>
    <x v="14"/>
    <x v="91"/>
    <x v="157"/>
    <x v="0"/>
    <n v="19.192056000000001"/>
    <n v="72.958518799999993"/>
    <x v="5"/>
    <m/>
    <m/>
    <m/>
  </r>
  <r>
    <s v="India"/>
    <x v="14"/>
    <x v="80"/>
    <x v="158"/>
    <x v="0"/>
    <n v="16.6870449"/>
    <n v="74.250587199999998"/>
    <x v="2"/>
    <n v="1"/>
    <n v="23"/>
    <n v="15"/>
  </r>
  <r>
    <s v="India"/>
    <x v="14"/>
    <x v="6"/>
    <x v="159"/>
    <x v="0"/>
    <n v="19.863755999999999"/>
    <n v="75.321188000000006"/>
    <x v="4"/>
    <n v="17"/>
    <n v="51"/>
    <n v="24"/>
  </r>
  <r>
    <s v="India"/>
    <x v="14"/>
    <x v="6"/>
    <x v="159"/>
    <x v="0"/>
    <n v="19.863755999999999"/>
    <n v="75.321188000000006"/>
    <x v="0"/>
    <n v="12"/>
    <n v="143"/>
    <n v="69"/>
  </r>
  <r>
    <s v="India"/>
    <x v="14"/>
    <x v="92"/>
    <x v="160"/>
    <x v="0"/>
    <n v="19.024390199999999"/>
    <n v="73.040672099999995"/>
    <x v="5"/>
    <n v="27"/>
    <n v="96"/>
    <n v="66"/>
  </r>
  <r>
    <s v="India"/>
    <x v="14"/>
    <x v="92"/>
    <x v="160"/>
    <x v="0"/>
    <n v="19.024390199999999"/>
    <n v="73.040672099999995"/>
    <x v="2"/>
    <n v="8"/>
    <n v="25"/>
    <n v="17"/>
  </r>
  <r>
    <s v="India"/>
    <x v="14"/>
    <x v="6"/>
    <x v="161"/>
    <x v="0"/>
    <n v="19.875620000000001"/>
    <n v="75.387309999999999"/>
    <x v="5"/>
    <n v="28"/>
    <n v="79"/>
    <n v="49"/>
  </r>
  <r>
    <s v="India"/>
    <x v="14"/>
    <x v="6"/>
    <x v="161"/>
    <x v="0"/>
    <n v="19.875620000000001"/>
    <n v="75.387309999999999"/>
    <x v="3"/>
    <n v="1"/>
    <n v="2"/>
    <n v="2"/>
  </r>
  <r>
    <s v="India"/>
    <x v="14"/>
    <x v="6"/>
    <x v="159"/>
    <x v="0"/>
    <n v="19.863755999999999"/>
    <n v="75.321188000000006"/>
    <x v="5"/>
    <n v="57"/>
    <n v="174"/>
    <n v="87"/>
  </r>
  <r>
    <s v="India"/>
    <x v="14"/>
    <x v="6"/>
    <x v="159"/>
    <x v="0"/>
    <n v="19.863755999999999"/>
    <n v="75.321188000000006"/>
    <x v="1"/>
    <n v="50"/>
    <n v="174"/>
    <n v="87"/>
  </r>
  <r>
    <s v="India"/>
    <x v="14"/>
    <x v="80"/>
    <x v="158"/>
    <x v="0"/>
    <n v="16.6870449"/>
    <n v="74.250587199999998"/>
    <x v="4"/>
    <n v="2"/>
    <n v="8"/>
    <n v="4"/>
  </r>
  <r>
    <s v="India"/>
    <x v="14"/>
    <x v="80"/>
    <x v="143"/>
    <x v="0"/>
    <n v="16.714374500000002"/>
    <n v="74.242639800000006"/>
    <x v="4"/>
    <n v="1"/>
    <n v="3"/>
    <n v="1"/>
  </r>
  <r>
    <s v="India"/>
    <x v="14"/>
    <x v="80"/>
    <x v="143"/>
    <x v="0"/>
    <n v="16.714374500000002"/>
    <n v="74.242639800000006"/>
    <x v="6"/>
    <n v="13"/>
    <n v="20"/>
    <n v="18"/>
  </r>
  <r>
    <s v="India"/>
    <x v="14"/>
    <x v="92"/>
    <x v="160"/>
    <x v="0"/>
    <n v="19.024390199999999"/>
    <n v="73.040672099999995"/>
    <x v="0"/>
    <n v="6"/>
    <n v="165"/>
    <n v="88"/>
  </r>
  <r>
    <s v="India"/>
    <x v="14"/>
    <x v="93"/>
    <x v="162"/>
    <x v="0"/>
    <n v="19.309073000000001"/>
    <n v="73.057222999999993"/>
    <x v="5"/>
    <n v="43"/>
    <n v="213"/>
    <n v="98"/>
  </r>
  <r>
    <s v="India"/>
    <x v="14"/>
    <x v="93"/>
    <x v="162"/>
    <x v="0"/>
    <n v="19.309073000000001"/>
    <n v="73.057222999999993"/>
    <x v="2"/>
    <n v="26"/>
    <n v="53"/>
    <n v="34"/>
  </r>
  <r>
    <s v="India"/>
    <x v="14"/>
    <x v="93"/>
    <x v="162"/>
    <x v="0"/>
    <n v="19.309073000000001"/>
    <n v="73.057222999999993"/>
    <x v="3"/>
    <n v="2"/>
    <n v="6"/>
    <n v="3"/>
  </r>
  <r>
    <s v="India"/>
    <x v="14"/>
    <x v="94"/>
    <x v="163"/>
    <x v="0"/>
    <n v="19.083694000000001"/>
    <n v="72.920967000000005"/>
    <x v="6"/>
    <n v="2"/>
    <n v="62"/>
    <n v="8"/>
  </r>
  <r>
    <s v="India"/>
    <x v="14"/>
    <x v="94"/>
    <x v="164"/>
    <x v="0"/>
    <n v="19.2058"/>
    <n v="72.868200000000002"/>
    <x v="1"/>
    <m/>
    <m/>
    <m/>
  </r>
  <r>
    <s v="India"/>
    <x v="14"/>
    <x v="94"/>
    <x v="165"/>
    <x v="0"/>
    <n v="19.215858999999998"/>
    <n v="72.831717999999995"/>
    <x v="2"/>
    <n v="7"/>
    <n v="81"/>
    <n v="27"/>
  </r>
  <r>
    <s v="India"/>
    <x v="14"/>
    <x v="94"/>
    <x v="165"/>
    <x v="0"/>
    <n v="19.215858999999998"/>
    <n v="72.831717999999995"/>
    <x v="6"/>
    <n v="6"/>
    <n v="42"/>
    <n v="13"/>
  </r>
  <r>
    <s v="India"/>
    <x v="14"/>
    <x v="94"/>
    <x v="166"/>
    <x v="0"/>
    <n v="19.063214299999999"/>
    <n v="72.8456324"/>
    <x v="6"/>
    <n v="1"/>
    <n v="31"/>
    <n v="5"/>
  </r>
  <r>
    <s v="India"/>
    <x v="14"/>
    <x v="94"/>
    <x v="167"/>
    <x v="0"/>
    <n v="19.383199999999999"/>
    <n v="72.820400000000006"/>
    <x v="5"/>
    <n v="17"/>
    <n v="70"/>
    <n v="36"/>
  </r>
  <r>
    <s v="India"/>
    <x v="14"/>
    <x v="94"/>
    <x v="167"/>
    <x v="0"/>
    <n v="19.383199999999999"/>
    <n v="72.820400000000006"/>
    <x v="6"/>
    <n v="48"/>
    <n v="72"/>
    <n v="52"/>
  </r>
  <r>
    <s v="India"/>
    <x v="14"/>
    <x v="94"/>
    <x v="168"/>
    <x v="0"/>
    <n v="19.108609999999999"/>
    <n v="72.836219999999997"/>
    <x v="5"/>
    <n v="24"/>
    <n v="72"/>
    <n v="43"/>
  </r>
  <r>
    <s v="India"/>
    <x v="14"/>
    <x v="94"/>
    <x v="168"/>
    <x v="0"/>
    <n v="19.108609999999999"/>
    <n v="72.836219999999997"/>
    <x v="1"/>
    <n v="39"/>
    <n v="107"/>
    <n v="66"/>
  </r>
  <r>
    <s v="India"/>
    <x v="14"/>
    <x v="94"/>
    <x v="168"/>
    <x v="0"/>
    <n v="19.108609999999999"/>
    <n v="72.836219999999997"/>
    <x v="4"/>
    <n v="36"/>
    <n v="37"/>
    <n v="36"/>
  </r>
  <r>
    <s v="India"/>
    <x v="14"/>
    <x v="94"/>
    <x v="169"/>
    <x v="0"/>
    <n v="19.065930999999999"/>
    <n v="72.862131000000005"/>
    <x v="3"/>
    <n v="6"/>
    <n v="13"/>
    <n v="9"/>
  </r>
  <r>
    <s v="India"/>
    <x v="14"/>
    <x v="94"/>
    <x v="169"/>
    <x v="0"/>
    <n v="19.065930999999999"/>
    <n v="72.862131000000005"/>
    <x v="0"/>
    <n v="4"/>
    <n v="70"/>
    <n v="44"/>
  </r>
  <r>
    <s v="India"/>
    <x v="14"/>
    <x v="94"/>
    <x v="170"/>
    <x v="0"/>
    <n v="19.232410000000002"/>
    <n v="72.868949999999998"/>
    <x v="2"/>
    <n v="31"/>
    <n v="128"/>
    <n v="62"/>
  </r>
  <r>
    <s v="India"/>
    <x v="14"/>
    <x v="94"/>
    <x v="170"/>
    <x v="0"/>
    <n v="19.232410000000002"/>
    <n v="72.868949999999998"/>
    <x v="3"/>
    <n v="6"/>
    <n v="7"/>
    <n v="6"/>
  </r>
  <r>
    <s v="India"/>
    <x v="14"/>
    <x v="94"/>
    <x v="171"/>
    <x v="0"/>
    <n v="19.137499999999999"/>
    <n v="72.915056000000007"/>
    <x v="4"/>
    <n v="23"/>
    <n v="27"/>
    <n v="26"/>
  </r>
  <r>
    <s v="India"/>
    <x v="14"/>
    <x v="94"/>
    <x v="172"/>
    <x v="0"/>
    <n v="19.060497999999999"/>
    <n v="72.923355999999998"/>
    <x v="5"/>
    <n v="39"/>
    <n v="89"/>
    <n v="61"/>
  </r>
  <r>
    <s v="India"/>
    <x v="14"/>
    <x v="94"/>
    <x v="172"/>
    <x v="0"/>
    <n v="19.060497999999999"/>
    <n v="72.923355999999998"/>
    <x v="2"/>
    <n v="10"/>
    <n v="37"/>
    <n v="23"/>
  </r>
  <r>
    <s v="India"/>
    <x v="14"/>
    <x v="94"/>
    <x v="172"/>
    <x v="0"/>
    <n v="19.060497999999999"/>
    <n v="72.923355999999998"/>
    <x v="4"/>
    <n v="1"/>
    <n v="7"/>
    <n v="3"/>
  </r>
  <r>
    <s v="India"/>
    <x v="14"/>
    <x v="94"/>
    <x v="173"/>
    <x v="0"/>
    <n v="19.1878657"/>
    <n v="72.8304069"/>
    <x v="1"/>
    <n v="42"/>
    <n v="84"/>
    <n v="57"/>
  </r>
  <r>
    <s v="India"/>
    <x v="14"/>
    <x v="94"/>
    <x v="174"/>
    <x v="0"/>
    <n v="18.897756000000001"/>
    <n v="72.813320000000004"/>
    <x v="1"/>
    <n v="50"/>
    <n v="97"/>
    <n v="69"/>
  </r>
  <r>
    <s v="India"/>
    <x v="14"/>
    <x v="94"/>
    <x v="174"/>
    <x v="0"/>
    <n v="18.897756000000001"/>
    <n v="72.813320000000004"/>
    <x v="0"/>
    <n v="14"/>
    <n v="61"/>
    <n v="52"/>
  </r>
  <r>
    <s v="India"/>
    <x v="14"/>
    <x v="94"/>
    <x v="175"/>
    <x v="0"/>
    <n v="19.197089999999999"/>
    <n v="72.822040000000001"/>
    <x v="4"/>
    <n v="3"/>
    <n v="8"/>
    <n v="5"/>
  </r>
  <r>
    <s v="India"/>
    <x v="14"/>
    <x v="94"/>
    <x v="176"/>
    <x v="0"/>
    <n v="18.967020000000002"/>
    <n v="72.842140000000001"/>
    <x v="5"/>
    <n v="39"/>
    <n v="81"/>
    <n v="56"/>
  </r>
  <r>
    <s v="India"/>
    <x v="14"/>
    <x v="94"/>
    <x v="176"/>
    <x v="0"/>
    <n v="18.967020000000002"/>
    <n v="72.842140000000001"/>
    <x v="3"/>
    <n v="7"/>
    <n v="11"/>
    <n v="8"/>
  </r>
  <r>
    <s v="India"/>
    <x v="14"/>
    <x v="94"/>
    <x v="177"/>
    <x v="0"/>
    <n v="19.11074"/>
    <n v="72.860839999999996"/>
    <x v="6"/>
    <n v="34"/>
    <n v="101"/>
    <n v="43"/>
  </r>
  <r>
    <s v="India"/>
    <x v="14"/>
    <x v="94"/>
    <x v="178"/>
    <x v="0"/>
    <n v="19.10078"/>
    <n v="72.874619999999993"/>
    <x v="3"/>
    <n v="1"/>
    <n v="2"/>
    <n v="2"/>
  </r>
  <r>
    <s v="India"/>
    <x v="14"/>
    <x v="94"/>
    <x v="179"/>
    <x v="0"/>
    <n v="19.165332299999999"/>
    <n v="72.922099000000003"/>
    <x v="3"/>
    <n v="1"/>
    <n v="3"/>
    <n v="2"/>
  </r>
  <r>
    <s v="India"/>
    <x v="14"/>
    <x v="94"/>
    <x v="180"/>
    <x v="0"/>
    <n v="18.91"/>
    <n v="72.819999999999993"/>
    <x v="4"/>
    <m/>
    <m/>
    <m/>
  </r>
  <r>
    <s v="India"/>
    <x v="14"/>
    <x v="95"/>
    <x v="181"/>
    <x v="0"/>
    <n v="18.640051"/>
    <n v="73.848956000000001"/>
    <x v="2"/>
    <n v="15"/>
    <n v="104"/>
    <n v="59"/>
  </r>
  <r>
    <s v="India"/>
    <x v="14"/>
    <x v="95"/>
    <x v="182"/>
    <x v="0"/>
    <n v="18.60577"/>
    <n v="73.749976000000004"/>
    <x v="2"/>
    <n v="22"/>
    <n v="61"/>
    <n v="38"/>
  </r>
  <r>
    <s v="India"/>
    <x v="14"/>
    <x v="95"/>
    <x v="182"/>
    <x v="0"/>
    <n v="18.60577"/>
    <n v="73.749976000000004"/>
    <x v="0"/>
    <n v="1"/>
    <n v="184"/>
    <n v="116"/>
  </r>
  <r>
    <s v="India"/>
    <x v="14"/>
    <x v="95"/>
    <x v="183"/>
    <x v="0"/>
    <n v="18.501792999999999"/>
    <n v="73.927531999999999"/>
    <x v="1"/>
    <n v="33"/>
    <n v="149"/>
    <n v="107"/>
  </r>
  <r>
    <s v="India"/>
    <x v="14"/>
    <x v="95"/>
    <x v="184"/>
    <x v="0"/>
    <n v="18.454450000000001"/>
    <n v="73.854155000000006"/>
    <x v="5"/>
    <n v="36"/>
    <n v="108"/>
    <n v="93"/>
  </r>
  <r>
    <s v="India"/>
    <x v="14"/>
    <x v="95"/>
    <x v="184"/>
    <x v="0"/>
    <n v="18.454450000000001"/>
    <n v="73.854155000000006"/>
    <x v="2"/>
    <n v="26"/>
    <n v="52"/>
    <n v="42"/>
  </r>
  <r>
    <s v="India"/>
    <x v="14"/>
    <x v="96"/>
    <x v="185"/>
    <x v="0"/>
    <n v="19.113505100000001"/>
    <n v="73.008977999999999"/>
    <x v="1"/>
    <m/>
    <m/>
    <m/>
  </r>
  <r>
    <s v="India"/>
    <x v="14"/>
    <x v="96"/>
    <x v="186"/>
    <x v="0"/>
    <n v="19.057575199999999"/>
    <n v="73.015136699999999"/>
    <x v="0"/>
    <n v="1"/>
    <n v="69"/>
    <n v="40"/>
  </r>
  <r>
    <s v="India"/>
    <x v="14"/>
    <x v="96"/>
    <x v="187"/>
    <x v="0"/>
    <n v="19.025790000000001"/>
    <n v="73.102969999999999"/>
    <x v="1"/>
    <n v="59"/>
    <n v="207"/>
    <n v="94"/>
  </r>
  <r>
    <s v="India"/>
    <x v="14"/>
    <x v="96"/>
    <x v="187"/>
    <x v="0"/>
    <n v="19.025790000000001"/>
    <n v="73.102969999999999"/>
    <x v="6"/>
    <n v="4"/>
    <n v="40"/>
    <n v="7"/>
  </r>
  <r>
    <s v="India"/>
    <x v="14"/>
    <x v="96"/>
    <x v="188"/>
    <x v="0"/>
    <n v="19.062999999999999"/>
    <n v="73.120900000000006"/>
    <x v="6"/>
    <n v="5"/>
    <n v="14"/>
    <n v="8"/>
  </r>
  <r>
    <s v="India"/>
    <x v="14"/>
    <x v="97"/>
    <x v="189"/>
    <x v="0"/>
    <n v="21.121801000000001"/>
    <n v="79.049520000000001"/>
    <x v="0"/>
    <n v="3"/>
    <n v="141"/>
    <n v="63"/>
  </r>
  <r>
    <s v="India"/>
    <x v="14"/>
    <x v="97"/>
    <x v="190"/>
    <x v="0"/>
    <n v="21.143383"/>
    <n v="79.048912000000001"/>
    <x v="6"/>
    <n v="10"/>
    <n v="72"/>
    <n v="32"/>
  </r>
  <r>
    <s v="India"/>
    <x v="14"/>
    <x v="98"/>
    <x v="191"/>
    <x v="0"/>
    <n v="19.173852"/>
    <n v="77.296290999999997"/>
    <x v="2"/>
    <n v="12"/>
    <n v="91"/>
    <n v="33"/>
  </r>
  <r>
    <s v="India"/>
    <x v="14"/>
    <x v="99"/>
    <x v="192"/>
    <x v="0"/>
    <n v="20.0073285"/>
    <n v="73.776242699999997"/>
    <x v="3"/>
    <n v="4"/>
    <n v="5"/>
    <n v="5"/>
  </r>
  <r>
    <s v="India"/>
    <x v="14"/>
    <x v="99"/>
    <x v="192"/>
    <x v="0"/>
    <n v="20.0073285"/>
    <n v="73.776242699999997"/>
    <x v="4"/>
    <n v="4"/>
    <n v="12"/>
    <n v="7"/>
  </r>
  <r>
    <s v="India"/>
    <x v="14"/>
    <x v="100"/>
    <x v="193"/>
    <x v="0"/>
    <n v="18.616318"/>
    <n v="73.765797000000006"/>
    <x v="4"/>
    <n v="4"/>
    <n v="18"/>
    <n v="8"/>
  </r>
  <r>
    <s v="India"/>
    <x v="14"/>
    <x v="100"/>
    <x v="193"/>
    <x v="0"/>
    <n v="18.616318"/>
    <n v="73.765797000000006"/>
    <x v="6"/>
    <n v="16"/>
    <n v="108"/>
    <n v="35"/>
  </r>
  <r>
    <s v="India"/>
    <x v="14"/>
    <x v="95"/>
    <x v="181"/>
    <x v="0"/>
    <n v="18.640051"/>
    <n v="73.848956000000001"/>
    <x v="1"/>
    <n v="65"/>
    <n v="176"/>
    <n v="120"/>
  </r>
  <r>
    <s v="India"/>
    <x v="14"/>
    <x v="95"/>
    <x v="194"/>
    <x v="0"/>
    <n v="18.536456999999999"/>
    <n v="73.805453999999997"/>
    <x v="5"/>
    <n v="25"/>
    <n v="75"/>
    <n v="50"/>
  </r>
  <r>
    <s v="India"/>
    <x v="14"/>
    <x v="95"/>
    <x v="194"/>
    <x v="0"/>
    <n v="18.536456999999999"/>
    <n v="73.805453999999997"/>
    <x v="1"/>
    <n v="45"/>
    <n v="101"/>
    <n v="72"/>
  </r>
  <r>
    <s v="India"/>
    <x v="14"/>
    <x v="95"/>
    <x v="195"/>
    <x v="0"/>
    <n v="18.530085"/>
    <n v="73.849598"/>
    <x v="1"/>
    <n v="104"/>
    <n v="161"/>
    <n v="132"/>
  </r>
  <r>
    <s v="India"/>
    <x v="14"/>
    <x v="100"/>
    <x v="196"/>
    <x v="0"/>
    <n v="18.63673"/>
    <n v="73.824870000000004"/>
    <x v="3"/>
    <m/>
    <m/>
    <m/>
  </r>
  <r>
    <s v="India"/>
    <x v="14"/>
    <x v="100"/>
    <x v="196"/>
    <x v="0"/>
    <n v="18.63673"/>
    <n v="73.824870000000004"/>
    <x v="6"/>
    <n v="12"/>
    <n v="100"/>
    <n v="20"/>
  </r>
  <r>
    <s v="India"/>
    <x v="14"/>
    <x v="100"/>
    <x v="197"/>
    <x v="0"/>
    <n v="18.590509999999998"/>
    <n v="73.77946"/>
    <x v="3"/>
    <n v="16"/>
    <n v="56"/>
    <n v="28"/>
  </r>
  <r>
    <s v="India"/>
    <x v="14"/>
    <x v="99"/>
    <x v="198"/>
    <x v="0"/>
    <n v="20.021502999999999"/>
    <n v="73.813844000000003"/>
    <x v="3"/>
    <n v="2"/>
    <n v="10"/>
    <n v="5"/>
  </r>
  <r>
    <s v="India"/>
    <x v="14"/>
    <x v="99"/>
    <x v="198"/>
    <x v="0"/>
    <n v="20.021502999999999"/>
    <n v="73.813844000000003"/>
    <x v="6"/>
    <n v="8"/>
    <n v="36"/>
    <n v="16"/>
  </r>
  <r>
    <s v="India"/>
    <x v="14"/>
    <x v="99"/>
    <x v="199"/>
    <x v="0"/>
    <n v="19.950220000000002"/>
    <n v="73.731480000000005"/>
    <x v="3"/>
    <n v="4"/>
    <n v="6"/>
    <n v="5"/>
  </r>
  <r>
    <s v="India"/>
    <x v="14"/>
    <x v="99"/>
    <x v="200"/>
    <x v="0"/>
    <n v="19.959134599999999"/>
    <n v="73.778800799999999"/>
    <x v="5"/>
    <n v="38"/>
    <n v="76"/>
    <n v="55"/>
  </r>
  <r>
    <s v="India"/>
    <x v="14"/>
    <x v="99"/>
    <x v="200"/>
    <x v="0"/>
    <n v="19.959134599999999"/>
    <n v="73.778800799999999"/>
    <x v="6"/>
    <n v="8"/>
    <n v="26"/>
    <n v="16"/>
  </r>
  <r>
    <s v="India"/>
    <x v="14"/>
    <x v="101"/>
    <x v="201"/>
    <x v="0"/>
    <n v="19.265594"/>
    <n v="76.761463000000006"/>
    <x v="6"/>
    <n v="10"/>
    <n v="40"/>
    <n v="33"/>
  </r>
  <r>
    <s v="India"/>
    <x v="14"/>
    <x v="101"/>
    <x v="201"/>
    <x v="0"/>
    <n v="19.265594"/>
    <n v="76.761463000000006"/>
    <x v="0"/>
    <n v="31"/>
    <n v="99"/>
    <n v="73"/>
  </r>
  <r>
    <s v="India"/>
    <x v="15"/>
    <x v="102"/>
    <x v="202"/>
    <x v="0"/>
    <n v="20.488910000000001"/>
    <n v="85.847679999999997"/>
    <x v="6"/>
    <n v="94"/>
    <n v="100"/>
    <n v="97"/>
  </r>
  <r>
    <s v="India"/>
    <x v="15"/>
    <x v="103"/>
    <x v="203"/>
    <x v="0"/>
    <n v="21.643899999999999"/>
    <n v="85.599355000000003"/>
    <x v="5"/>
    <n v="34"/>
    <n v="66"/>
    <n v="50"/>
  </r>
  <r>
    <s v="India"/>
    <x v="15"/>
    <x v="103"/>
    <x v="203"/>
    <x v="0"/>
    <n v="21.643899999999999"/>
    <n v="85.599355000000003"/>
    <x v="2"/>
    <n v="1"/>
    <n v="14"/>
    <n v="8"/>
  </r>
  <r>
    <s v="India"/>
    <x v="15"/>
    <x v="103"/>
    <x v="203"/>
    <x v="0"/>
    <n v="21.643899999999999"/>
    <n v="85.599355000000003"/>
    <x v="4"/>
    <n v="7"/>
    <n v="28"/>
    <n v="10"/>
  </r>
  <r>
    <s v="India"/>
    <x v="15"/>
    <x v="103"/>
    <x v="203"/>
    <x v="0"/>
    <n v="21.643899999999999"/>
    <n v="85.599355000000003"/>
    <x v="6"/>
    <n v="15"/>
    <n v="55"/>
    <n v="51"/>
  </r>
  <r>
    <s v="India"/>
    <x v="15"/>
    <x v="103"/>
    <x v="203"/>
    <x v="0"/>
    <n v="21.643899999999999"/>
    <n v="85.599355000000003"/>
    <x v="0"/>
    <n v="4"/>
    <n v="37"/>
    <n v="31"/>
  </r>
  <r>
    <s v="India"/>
    <x v="15"/>
    <x v="104"/>
    <x v="204"/>
    <x v="0"/>
    <n v="21.847279"/>
    <n v="85.416905"/>
    <x v="2"/>
    <m/>
    <m/>
    <m/>
  </r>
  <r>
    <s v="India"/>
    <x v="15"/>
    <x v="105"/>
    <x v="205"/>
    <x v="0"/>
    <n v="22.265816000000001"/>
    <n v="86.174829000000003"/>
    <x v="4"/>
    <m/>
    <m/>
    <m/>
  </r>
  <r>
    <s v="India"/>
    <x v="15"/>
    <x v="106"/>
    <x v="206"/>
    <x v="0"/>
    <n v="22.18972222"/>
    <n v="84.862777780000002"/>
    <x v="4"/>
    <m/>
    <m/>
    <m/>
  </r>
  <r>
    <s v="India"/>
    <x v="15"/>
    <x v="106"/>
    <x v="206"/>
    <x v="0"/>
    <n v="22.18972222"/>
    <n v="84.862777780000002"/>
    <x v="6"/>
    <n v="9"/>
    <n v="34"/>
    <n v="19"/>
  </r>
  <r>
    <s v="India"/>
    <x v="15"/>
    <x v="107"/>
    <x v="207"/>
    <x v="0"/>
    <n v="21.511610000000001"/>
    <n v="86.890879999999996"/>
    <x v="5"/>
    <n v="20"/>
    <n v="97"/>
    <n v="64"/>
  </r>
  <r>
    <s v="India"/>
    <x v="15"/>
    <x v="107"/>
    <x v="207"/>
    <x v="0"/>
    <n v="21.511610000000001"/>
    <n v="86.890879999999996"/>
    <x v="4"/>
    <n v="7"/>
    <n v="23"/>
    <n v="12"/>
  </r>
  <r>
    <s v="India"/>
    <x v="15"/>
    <x v="108"/>
    <x v="208"/>
    <x v="0"/>
    <n v="22.116605400000001"/>
    <n v="85.394554600000006"/>
    <x v="5"/>
    <n v="67"/>
    <n v="283"/>
    <n v="169"/>
  </r>
  <r>
    <s v="India"/>
    <x v="15"/>
    <x v="109"/>
    <x v="209"/>
    <x v="0"/>
    <n v="21.941841"/>
    <n v="86.728318000000002"/>
    <x v="2"/>
    <n v="1"/>
    <n v="29"/>
    <n v="11"/>
  </r>
  <r>
    <s v="India"/>
    <x v="15"/>
    <x v="109"/>
    <x v="209"/>
    <x v="0"/>
    <n v="21.941841"/>
    <n v="86.728318000000002"/>
    <x v="6"/>
    <n v="104"/>
    <n v="132"/>
    <n v="118"/>
  </r>
  <r>
    <s v="India"/>
    <x v="15"/>
    <x v="110"/>
    <x v="210"/>
    <x v="0"/>
    <n v="20.240790000000001"/>
    <n v="85.836783999999994"/>
    <x v="5"/>
    <n v="25"/>
    <n v="92"/>
    <n v="53"/>
  </r>
  <r>
    <s v="India"/>
    <x v="15"/>
    <x v="110"/>
    <x v="210"/>
    <x v="0"/>
    <n v="20.240790000000001"/>
    <n v="85.836783999999994"/>
    <x v="3"/>
    <n v="4"/>
    <n v="7"/>
    <n v="5"/>
  </r>
  <r>
    <s v="India"/>
    <x v="15"/>
    <x v="110"/>
    <x v="210"/>
    <x v="0"/>
    <n v="20.240790000000001"/>
    <n v="85.836783999999994"/>
    <x v="6"/>
    <n v="41"/>
    <n v="71"/>
    <n v="55"/>
  </r>
  <r>
    <s v="India"/>
    <x v="15"/>
    <x v="110"/>
    <x v="210"/>
    <x v="0"/>
    <n v="20.240790000000001"/>
    <n v="85.836783999999994"/>
    <x v="0"/>
    <n v="11"/>
    <n v="67"/>
    <n v="37"/>
  </r>
  <r>
    <s v="India"/>
    <x v="15"/>
    <x v="110"/>
    <x v="211"/>
    <x v="0"/>
    <n v="20.346520000000002"/>
    <n v="85.816299999999998"/>
    <x v="2"/>
    <n v="9"/>
    <n v="37"/>
    <n v="20"/>
  </r>
  <r>
    <s v="India"/>
    <x v="15"/>
    <x v="110"/>
    <x v="211"/>
    <x v="0"/>
    <n v="20.346520000000002"/>
    <n v="85.816299999999998"/>
    <x v="6"/>
    <n v="24"/>
    <n v="68"/>
    <n v="35"/>
  </r>
  <r>
    <s v="India"/>
    <x v="15"/>
    <x v="111"/>
    <x v="212"/>
    <x v="0"/>
    <n v="22.061567029999999"/>
    <n v="85.474096130000007"/>
    <x v="6"/>
    <n v="22"/>
    <n v="38"/>
    <n v="26"/>
  </r>
  <r>
    <s v="India"/>
    <x v="15"/>
    <x v="112"/>
    <x v="213"/>
    <x v="0"/>
    <n v="21.800499599999998"/>
    <n v="83.839697700000002"/>
    <x v="2"/>
    <n v="19"/>
    <n v="20"/>
    <n v="19"/>
  </r>
  <r>
    <s v="India"/>
    <x v="15"/>
    <x v="112"/>
    <x v="213"/>
    <x v="0"/>
    <n v="21.800499599999998"/>
    <n v="83.839697700000002"/>
    <x v="3"/>
    <n v="6"/>
    <n v="7"/>
    <n v="6"/>
  </r>
  <r>
    <s v="India"/>
    <x v="15"/>
    <x v="112"/>
    <x v="213"/>
    <x v="0"/>
    <n v="21.800499599999998"/>
    <n v="83.839697700000002"/>
    <x v="4"/>
    <n v="9"/>
    <n v="9"/>
    <n v="9"/>
  </r>
  <r>
    <s v="India"/>
    <x v="15"/>
    <x v="113"/>
    <x v="214"/>
    <x v="0"/>
    <n v="20.941849999999999"/>
    <n v="86.115099999999998"/>
    <x v="3"/>
    <n v="1"/>
    <n v="2"/>
    <n v="1"/>
  </r>
  <r>
    <s v="India"/>
    <x v="15"/>
    <x v="113"/>
    <x v="214"/>
    <x v="0"/>
    <n v="20.941849999999999"/>
    <n v="86.115099999999998"/>
    <x v="4"/>
    <n v="2"/>
    <n v="34"/>
    <n v="9"/>
  </r>
  <r>
    <s v="India"/>
    <x v="15"/>
    <x v="113"/>
    <x v="214"/>
    <x v="0"/>
    <n v="20.941849999999999"/>
    <n v="86.115099999999998"/>
    <x v="6"/>
    <n v="8"/>
    <n v="30"/>
    <n v="22"/>
  </r>
  <r>
    <s v="India"/>
    <x v="14"/>
    <x v="114"/>
    <x v="215"/>
    <x v="0"/>
    <n v="19.235581"/>
    <n v="73.159120999999999"/>
    <x v="4"/>
    <n v="4"/>
    <n v="34"/>
    <n v="16"/>
  </r>
  <r>
    <s v="India"/>
    <x v="16"/>
    <x v="115"/>
    <x v="216"/>
    <x v="0"/>
    <n v="24.820738899999998"/>
    <n v="93.942308499999996"/>
    <x v="1"/>
    <m/>
    <m/>
    <m/>
  </r>
  <r>
    <s v="India"/>
    <x v="16"/>
    <x v="115"/>
    <x v="216"/>
    <x v="0"/>
    <n v="24.820738899999998"/>
    <n v="93.942308499999996"/>
    <x v="2"/>
    <m/>
    <m/>
    <m/>
  </r>
  <r>
    <s v="India"/>
    <x v="16"/>
    <x v="115"/>
    <x v="216"/>
    <x v="0"/>
    <n v="24.820738899999998"/>
    <n v="93.942308499999996"/>
    <x v="3"/>
    <m/>
    <m/>
    <m/>
  </r>
  <r>
    <s v="India"/>
    <x v="14"/>
    <x v="116"/>
    <x v="217"/>
    <x v="0"/>
    <n v="17.6599188"/>
    <n v="75.906390599999995"/>
    <x v="1"/>
    <n v="127"/>
    <n v="127"/>
    <n v="127"/>
  </r>
  <r>
    <s v="India"/>
    <x v="14"/>
    <x v="116"/>
    <x v="217"/>
    <x v="0"/>
    <n v="17.6599188"/>
    <n v="75.906390599999995"/>
    <x v="2"/>
    <n v="55"/>
    <n v="55"/>
    <n v="55"/>
  </r>
  <r>
    <s v="India"/>
    <x v="14"/>
    <x v="117"/>
    <x v="218"/>
    <x v="0"/>
    <n v="19.222279"/>
    <n v="72.957978999999995"/>
    <x v="2"/>
    <n v="11"/>
    <n v="92"/>
    <n v="42"/>
  </r>
  <r>
    <s v="India"/>
    <x v="14"/>
    <x v="95"/>
    <x v="195"/>
    <x v="0"/>
    <n v="18.530085"/>
    <n v="73.849598"/>
    <x v="0"/>
    <n v="1"/>
    <n v="99"/>
    <n v="54"/>
  </r>
  <r>
    <s v="India"/>
    <x v="14"/>
    <x v="95"/>
    <x v="219"/>
    <x v="0"/>
    <n v="18.547056000000001"/>
    <n v="73.826908000000003"/>
    <x v="3"/>
    <n v="1"/>
    <n v="4"/>
    <n v="2"/>
  </r>
  <r>
    <s v="India"/>
    <x v="14"/>
    <x v="116"/>
    <x v="220"/>
    <x v="0"/>
    <n v="17.633626400000001"/>
    <n v="75.913249500000006"/>
    <x v="2"/>
    <n v="7"/>
    <n v="99"/>
    <n v="24"/>
  </r>
  <r>
    <s v="India"/>
    <x v="14"/>
    <x v="116"/>
    <x v="220"/>
    <x v="0"/>
    <n v="17.633626400000001"/>
    <n v="75.913249500000006"/>
    <x v="0"/>
    <n v="27"/>
    <n v="94"/>
    <n v="68"/>
  </r>
  <r>
    <s v="India"/>
    <x v="17"/>
    <x v="118"/>
    <x v="221"/>
    <x v="0"/>
    <n v="23.717634199999999"/>
    <n v="92.719284099999996"/>
    <x v="6"/>
    <n v="3"/>
    <n v="3"/>
    <n v="3"/>
  </r>
  <r>
    <s v="India"/>
    <x v="18"/>
    <x v="119"/>
    <x v="222"/>
    <x v="0"/>
    <n v="30.902799999999999"/>
    <n v="75.808599999999998"/>
    <x v="0"/>
    <n v="4"/>
    <n v="26"/>
    <n v="14"/>
  </r>
  <r>
    <s v="India"/>
    <x v="18"/>
    <x v="120"/>
    <x v="223"/>
    <x v="0"/>
    <n v="30.649961000000001"/>
    <n v="76.331441999999996"/>
    <x v="3"/>
    <n v="6"/>
    <n v="8"/>
    <n v="7"/>
  </r>
  <r>
    <s v="India"/>
    <x v="18"/>
    <x v="120"/>
    <x v="223"/>
    <x v="0"/>
    <n v="30.649961000000001"/>
    <n v="76.331441999999996"/>
    <x v="4"/>
    <n v="17"/>
    <n v="33"/>
    <n v="23"/>
  </r>
  <r>
    <s v="India"/>
    <x v="18"/>
    <x v="120"/>
    <x v="223"/>
    <x v="0"/>
    <n v="30.649961000000001"/>
    <n v="76.331441999999996"/>
    <x v="0"/>
    <n v="46"/>
    <n v="53"/>
    <n v="49"/>
  </r>
  <r>
    <s v="India"/>
    <x v="18"/>
    <x v="121"/>
    <x v="224"/>
    <x v="0"/>
    <n v="30.349388000000001"/>
    <n v="76.366641999999999"/>
    <x v="2"/>
    <n v="21"/>
    <n v="86"/>
    <n v="34"/>
  </r>
  <r>
    <s v="India"/>
    <x v="18"/>
    <x v="121"/>
    <x v="224"/>
    <x v="0"/>
    <n v="30.349388000000001"/>
    <n v="76.366641999999999"/>
    <x v="4"/>
    <n v="10"/>
    <n v="39"/>
    <n v="17"/>
  </r>
  <r>
    <s v="India"/>
    <x v="18"/>
    <x v="121"/>
    <x v="224"/>
    <x v="0"/>
    <n v="30.349388000000001"/>
    <n v="76.366641999999999"/>
    <x v="0"/>
    <n v="45"/>
    <n v="58"/>
    <n v="48"/>
  </r>
  <r>
    <s v="India"/>
    <x v="18"/>
    <x v="122"/>
    <x v="225"/>
    <x v="0"/>
    <n v="31.0325454"/>
    <n v="76.562304600000004"/>
    <x v="5"/>
    <n v="34"/>
    <n v="157"/>
    <n v="91"/>
  </r>
  <r>
    <s v="India"/>
    <x v="19"/>
    <x v="123"/>
    <x v="226"/>
    <x v="0"/>
    <n v="26.470859000000001"/>
    <n v="74.646593999999993"/>
    <x v="5"/>
    <n v="32"/>
    <n v="183"/>
    <n v="98"/>
  </r>
  <r>
    <s v="India"/>
    <x v="19"/>
    <x v="123"/>
    <x v="226"/>
    <x v="0"/>
    <n v="26.470859000000001"/>
    <n v="74.646593999999993"/>
    <x v="1"/>
    <n v="78"/>
    <n v="133"/>
    <n v="102"/>
  </r>
  <r>
    <s v="India"/>
    <x v="19"/>
    <x v="123"/>
    <x v="226"/>
    <x v="0"/>
    <n v="26.470859000000001"/>
    <n v="74.646593999999993"/>
    <x v="6"/>
    <n v="14"/>
    <n v="109"/>
    <n v="51"/>
  </r>
  <r>
    <s v="India"/>
    <x v="19"/>
    <x v="123"/>
    <x v="226"/>
    <x v="0"/>
    <n v="26.470859000000001"/>
    <n v="74.646593999999993"/>
    <x v="0"/>
    <n v="26"/>
    <n v="64"/>
    <n v="44"/>
  </r>
  <r>
    <s v="India"/>
    <x v="19"/>
    <x v="124"/>
    <x v="227"/>
    <x v="0"/>
    <n v="27.554793"/>
    <n v="76.611536000000001"/>
    <x v="5"/>
    <n v="32"/>
    <n v="76"/>
    <n v="52"/>
  </r>
  <r>
    <s v="India"/>
    <x v="15"/>
    <x v="106"/>
    <x v="228"/>
    <x v="0"/>
    <n v="22.220832999999999"/>
    <n v="84.809443999999999"/>
    <x v="2"/>
    <n v="6"/>
    <n v="11"/>
    <n v="8"/>
  </r>
  <r>
    <s v="India"/>
    <x v="15"/>
    <x v="125"/>
    <x v="229"/>
    <x v="0"/>
    <n v="21.606864999999999"/>
    <n v="85.510537999999997"/>
    <x v="2"/>
    <n v="15"/>
    <n v="22"/>
    <n v="19"/>
  </r>
  <r>
    <s v="India"/>
    <x v="15"/>
    <x v="125"/>
    <x v="229"/>
    <x v="0"/>
    <n v="21.606864999999999"/>
    <n v="85.510537999999997"/>
    <x v="6"/>
    <n v="20"/>
    <n v="38"/>
    <n v="27"/>
  </r>
  <r>
    <s v="India"/>
    <x v="15"/>
    <x v="125"/>
    <x v="229"/>
    <x v="0"/>
    <n v="21.606864999999999"/>
    <n v="85.510537999999997"/>
    <x v="0"/>
    <n v="17"/>
    <n v="55"/>
    <n v="39"/>
  </r>
  <r>
    <s v="India"/>
    <x v="15"/>
    <x v="126"/>
    <x v="230"/>
    <x v="0"/>
    <n v="20.936071099999999"/>
    <n v="85.1707021"/>
    <x v="1"/>
    <n v="13"/>
    <n v="196"/>
    <n v="96"/>
  </r>
  <r>
    <s v="India"/>
    <x v="15"/>
    <x v="126"/>
    <x v="230"/>
    <x v="0"/>
    <n v="20.936071099999999"/>
    <n v="85.1707021"/>
    <x v="6"/>
    <n v="44"/>
    <n v="108"/>
    <n v="53"/>
  </r>
  <r>
    <s v="India"/>
    <x v="20"/>
    <x v="127"/>
    <x v="231"/>
    <x v="0"/>
    <n v="11.930899999999999"/>
    <n v="79.802700000000002"/>
    <x v="0"/>
    <n v="3"/>
    <n v="56"/>
    <n v="31"/>
  </r>
  <r>
    <s v="India"/>
    <x v="18"/>
    <x v="128"/>
    <x v="232"/>
    <x v="0"/>
    <n v="31.62"/>
    <n v="74.876512000000005"/>
    <x v="6"/>
    <n v="20"/>
    <n v="180"/>
    <n v="56"/>
  </r>
  <r>
    <s v="India"/>
    <x v="18"/>
    <x v="129"/>
    <x v="233"/>
    <x v="0"/>
    <n v="30.736056000000001"/>
    <n v="76.209693999999999"/>
    <x v="1"/>
    <n v="51"/>
    <n v="111"/>
    <n v="86"/>
  </r>
  <r>
    <s v="India"/>
    <x v="19"/>
    <x v="130"/>
    <x v="234"/>
    <x v="0"/>
    <n v="28.207266000000001"/>
    <n v="76.829265000000007"/>
    <x v="2"/>
    <n v="17"/>
    <n v="111"/>
    <n v="49"/>
  </r>
  <r>
    <s v="India"/>
    <x v="19"/>
    <x v="130"/>
    <x v="234"/>
    <x v="0"/>
    <n v="28.207266000000001"/>
    <n v="76.829265000000007"/>
    <x v="3"/>
    <n v="11"/>
    <n v="15"/>
    <n v="13"/>
  </r>
  <r>
    <s v="India"/>
    <x v="19"/>
    <x v="131"/>
    <x v="235"/>
    <x v="0"/>
    <n v="28.018792000000001"/>
    <n v="73.292658000000003"/>
    <x v="2"/>
    <n v="7"/>
    <n v="124"/>
    <n v="41"/>
  </r>
  <r>
    <s v="India"/>
    <x v="19"/>
    <x v="131"/>
    <x v="235"/>
    <x v="0"/>
    <n v="28.018792000000001"/>
    <n v="73.292658000000003"/>
    <x v="3"/>
    <n v="5"/>
    <n v="12"/>
    <n v="9"/>
  </r>
  <r>
    <s v="India"/>
    <x v="19"/>
    <x v="132"/>
    <x v="236"/>
    <x v="0"/>
    <n v="27.215415"/>
    <n v="77.50873"/>
    <x v="3"/>
    <n v="3"/>
    <n v="16"/>
    <n v="6"/>
  </r>
  <r>
    <s v="India"/>
    <x v="19"/>
    <x v="132"/>
    <x v="236"/>
    <x v="0"/>
    <n v="27.215415"/>
    <n v="77.50873"/>
    <x v="4"/>
    <n v="1"/>
    <n v="31"/>
    <n v="11"/>
  </r>
  <r>
    <s v="India"/>
    <x v="19"/>
    <x v="133"/>
    <x v="237"/>
    <x v="0"/>
    <n v="25.339604999999999"/>
    <n v="74.618882999999997"/>
    <x v="1"/>
    <n v="52"/>
    <n v="315"/>
    <n v="113"/>
  </r>
  <r>
    <s v="India"/>
    <x v="19"/>
    <x v="124"/>
    <x v="227"/>
    <x v="0"/>
    <n v="27.554793"/>
    <n v="76.611536000000001"/>
    <x v="0"/>
    <n v="11"/>
    <n v="70"/>
    <n v="54"/>
  </r>
  <r>
    <s v="India"/>
    <x v="19"/>
    <x v="134"/>
    <x v="238"/>
    <x v="0"/>
    <n v="23.55519"/>
    <n v="74.440010000000001"/>
    <x v="5"/>
    <n v="33"/>
    <n v="91"/>
    <n v="63"/>
  </r>
  <r>
    <s v="India"/>
    <x v="19"/>
    <x v="134"/>
    <x v="238"/>
    <x v="0"/>
    <n v="23.55519"/>
    <n v="74.440010000000001"/>
    <x v="3"/>
    <n v="4"/>
    <n v="11"/>
    <n v="7"/>
  </r>
  <r>
    <s v="India"/>
    <x v="19"/>
    <x v="135"/>
    <x v="239"/>
    <x v="0"/>
    <n v="25.106006000000001"/>
    <n v="76.469948000000002"/>
    <x v="6"/>
    <n v="2"/>
    <n v="49"/>
    <n v="16"/>
  </r>
  <r>
    <s v="India"/>
    <x v="19"/>
    <x v="136"/>
    <x v="240"/>
    <x v="0"/>
    <n v="25.747299000000002"/>
    <n v="71.393989000000005"/>
    <x v="1"/>
    <n v="75"/>
    <n v="240"/>
    <n v="116"/>
  </r>
  <r>
    <s v="India"/>
    <x v="19"/>
    <x v="137"/>
    <x v="241"/>
    <x v="0"/>
    <n v="24.892047000000002"/>
    <n v="74.623526999999996"/>
    <x v="2"/>
    <n v="7"/>
    <n v="91"/>
    <n v="43"/>
  </r>
  <r>
    <s v="India"/>
    <x v="19"/>
    <x v="137"/>
    <x v="241"/>
    <x v="0"/>
    <n v="24.892047000000002"/>
    <n v="74.623526999999996"/>
    <x v="4"/>
    <n v="4"/>
    <n v="15"/>
    <n v="10"/>
  </r>
  <r>
    <s v="India"/>
    <x v="19"/>
    <x v="137"/>
    <x v="241"/>
    <x v="0"/>
    <n v="24.892047000000002"/>
    <n v="74.623526999999996"/>
    <x v="6"/>
    <n v="15"/>
    <n v="115"/>
    <n v="49"/>
  </r>
  <r>
    <s v="India"/>
    <x v="19"/>
    <x v="138"/>
    <x v="242"/>
    <x v="0"/>
    <n v="25.435773999999999"/>
    <n v="75.644272000000001"/>
    <x v="3"/>
    <n v="10"/>
    <n v="18"/>
    <n v="15"/>
  </r>
  <r>
    <s v="India"/>
    <x v="19"/>
    <x v="138"/>
    <x v="242"/>
    <x v="0"/>
    <n v="25.435773999999999"/>
    <n v="75.644272000000001"/>
    <x v="4"/>
    <n v="9"/>
    <n v="19"/>
    <n v="13"/>
  </r>
  <r>
    <s v="India"/>
    <x v="19"/>
    <x v="139"/>
    <x v="243"/>
    <x v="0"/>
    <n v="26.9164092"/>
    <n v="75.7994901"/>
    <x v="1"/>
    <n v="106"/>
    <n v="169"/>
    <n v="126"/>
  </r>
  <r>
    <s v="India"/>
    <x v="19"/>
    <x v="139"/>
    <x v="243"/>
    <x v="0"/>
    <n v="26.9164092"/>
    <n v="75.7994901"/>
    <x v="3"/>
    <n v="2"/>
    <n v="22"/>
    <n v="8"/>
  </r>
  <r>
    <s v="India"/>
    <x v="19"/>
    <x v="139"/>
    <x v="244"/>
    <x v="0"/>
    <n v="26.786681999999999"/>
    <n v="75.827928"/>
    <x v="5"/>
    <n v="25"/>
    <n v="345"/>
    <n v="129"/>
  </r>
  <r>
    <s v="India"/>
    <x v="19"/>
    <x v="139"/>
    <x v="244"/>
    <x v="0"/>
    <n v="26.786681999999999"/>
    <n v="75.827928"/>
    <x v="1"/>
    <n v="74"/>
    <n v="294"/>
    <n v="139"/>
  </r>
  <r>
    <s v="India"/>
    <x v="19"/>
    <x v="139"/>
    <x v="244"/>
    <x v="0"/>
    <n v="26.786681999999999"/>
    <n v="75.827928"/>
    <x v="2"/>
    <n v="17"/>
    <n v="156"/>
    <n v="74"/>
  </r>
  <r>
    <s v="India"/>
    <x v="19"/>
    <x v="139"/>
    <x v="244"/>
    <x v="0"/>
    <n v="26.786681999999999"/>
    <n v="75.827928"/>
    <x v="4"/>
    <n v="2"/>
    <n v="5"/>
    <n v="3"/>
  </r>
  <r>
    <s v="India"/>
    <x v="19"/>
    <x v="139"/>
    <x v="245"/>
    <x v="0"/>
    <n v="26.960668999999999"/>
    <n v="75.771816999999999"/>
    <x v="2"/>
    <n v="23"/>
    <n v="145"/>
    <n v="71"/>
  </r>
  <r>
    <s v="India"/>
    <x v="19"/>
    <x v="139"/>
    <x v="246"/>
    <x v="0"/>
    <n v="26.950292900000001"/>
    <n v="75.730942999999996"/>
    <x v="3"/>
    <n v="4"/>
    <n v="11"/>
    <n v="7"/>
  </r>
  <r>
    <s v="India"/>
    <x v="19"/>
    <x v="140"/>
    <x v="247"/>
    <x v="0"/>
    <n v="26.912329"/>
    <n v="70.909167999999994"/>
    <x v="0"/>
    <n v="3"/>
    <n v="104"/>
    <n v="60"/>
  </r>
  <r>
    <s v="India"/>
    <x v="19"/>
    <x v="141"/>
    <x v="248"/>
    <x v="0"/>
    <n v="25.344694"/>
    <n v="72.626208000000005"/>
    <x v="5"/>
    <n v="32"/>
    <n v="114"/>
    <n v="49"/>
  </r>
  <r>
    <s v="India"/>
    <x v="19"/>
    <x v="141"/>
    <x v="248"/>
    <x v="0"/>
    <n v="25.344694"/>
    <n v="72.626208000000005"/>
    <x v="3"/>
    <n v="6"/>
    <n v="9"/>
    <n v="7"/>
  </r>
  <r>
    <s v="India"/>
    <x v="19"/>
    <x v="142"/>
    <x v="249"/>
    <x v="0"/>
    <n v="24.588397000000001"/>
    <n v="76.172781999999998"/>
    <x v="1"/>
    <n v="63"/>
    <n v="292"/>
    <n v="130"/>
  </r>
  <r>
    <s v="India"/>
    <x v="19"/>
    <x v="142"/>
    <x v="249"/>
    <x v="0"/>
    <n v="24.588397000000001"/>
    <n v="76.172781999999998"/>
    <x v="3"/>
    <n v="4"/>
    <n v="8"/>
    <n v="6"/>
  </r>
  <r>
    <s v="India"/>
    <x v="19"/>
    <x v="143"/>
    <x v="250"/>
    <x v="0"/>
    <n v="28.108988"/>
    <n v="75.386577000000003"/>
    <x v="3"/>
    <n v="4"/>
    <n v="14"/>
    <n v="11"/>
  </r>
  <r>
    <s v="India"/>
    <x v="19"/>
    <x v="143"/>
    <x v="250"/>
    <x v="0"/>
    <n v="28.108988"/>
    <n v="75.386577000000003"/>
    <x v="4"/>
    <n v="3"/>
    <n v="11"/>
    <n v="6"/>
  </r>
  <r>
    <s v="India"/>
    <x v="19"/>
    <x v="144"/>
    <x v="251"/>
    <x v="0"/>
    <n v="26.268249000000001"/>
    <n v="73.019385299999996"/>
    <x v="2"/>
    <n v="5"/>
    <n v="25"/>
    <n v="15"/>
  </r>
  <r>
    <s v="India"/>
    <x v="19"/>
    <x v="144"/>
    <x v="252"/>
    <x v="0"/>
    <n v="26.215415"/>
    <n v="73.070155999999997"/>
    <x v="6"/>
    <n v="8"/>
    <n v="91"/>
    <n v="35"/>
  </r>
  <r>
    <s v="India"/>
    <x v="19"/>
    <x v="144"/>
    <x v="253"/>
    <x v="0"/>
    <n v="26.358805"/>
    <n v="73.047443999999999"/>
    <x v="2"/>
    <n v="19"/>
    <n v="88"/>
    <n v="47"/>
  </r>
  <r>
    <s v="India"/>
    <x v="19"/>
    <x v="145"/>
    <x v="254"/>
    <x v="0"/>
    <n v="25.771061"/>
    <n v="73.340226999999999"/>
    <x v="5"/>
    <n v="94"/>
    <n v="344"/>
    <n v="172"/>
  </r>
  <r>
    <s v="India"/>
    <x v="19"/>
    <x v="145"/>
    <x v="254"/>
    <x v="0"/>
    <n v="25.771061"/>
    <n v="73.340226999999999"/>
    <x v="6"/>
    <n v="34"/>
    <n v="105"/>
    <n v="56"/>
  </r>
  <r>
    <s v="India"/>
    <x v="19"/>
    <x v="145"/>
    <x v="254"/>
    <x v="0"/>
    <n v="25.771061"/>
    <n v="73.340226999999999"/>
    <x v="0"/>
    <n v="10"/>
    <n v="70"/>
    <n v="47"/>
  </r>
  <r>
    <s v="India"/>
    <x v="19"/>
    <x v="146"/>
    <x v="255"/>
    <x v="0"/>
    <n v="24.041198000000001"/>
    <n v="74.780702000000005"/>
    <x v="4"/>
    <n v="3"/>
    <n v="9"/>
    <n v="5"/>
  </r>
  <r>
    <s v="India"/>
    <x v="19"/>
    <x v="146"/>
    <x v="255"/>
    <x v="0"/>
    <n v="24.041198000000001"/>
    <n v="74.780702000000005"/>
    <x v="0"/>
    <n v="19"/>
    <n v="132"/>
    <n v="107"/>
  </r>
  <r>
    <s v="India"/>
    <x v="19"/>
    <x v="147"/>
    <x v="256"/>
    <x v="0"/>
    <n v="25.036359999999998"/>
    <n v="73.883501999999993"/>
    <x v="0"/>
    <n v="51"/>
    <n v="106"/>
    <n v="80"/>
  </r>
  <r>
    <s v="India"/>
    <x v="19"/>
    <x v="148"/>
    <x v="257"/>
    <x v="0"/>
    <n v="26.031442999999999"/>
    <n v="76.359326999999993"/>
    <x v="1"/>
    <n v="115"/>
    <n v="449"/>
    <n v="196"/>
  </r>
  <r>
    <s v="India"/>
    <x v="19"/>
    <x v="148"/>
    <x v="257"/>
    <x v="0"/>
    <n v="26.031442999999999"/>
    <n v="76.359326999999993"/>
    <x v="3"/>
    <n v="17"/>
    <n v="23"/>
    <n v="19"/>
  </r>
  <r>
    <s v="India"/>
    <x v="19"/>
    <x v="149"/>
    <x v="258"/>
    <x v="0"/>
    <n v="27.608912"/>
    <n v="75.153301999999996"/>
    <x v="6"/>
    <n v="12"/>
    <n v="80"/>
    <n v="34"/>
  </r>
  <r>
    <s v="India"/>
    <x v="19"/>
    <x v="150"/>
    <x v="259"/>
    <x v="0"/>
    <n v="23.837789000000001"/>
    <n v="73.714926000000006"/>
    <x v="2"/>
    <n v="6"/>
    <n v="29"/>
    <n v="14"/>
  </r>
  <r>
    <s v="India"/>
    <x v="19"/>
    <x v="150"/>
    <x v="259"/>
    <x v="0"/>
    <n v="23.837789000000001"/>
    <n v="73.714926000000006"/>
    <x v="3"/>
    <n v="6"/>
    <n v="8"/>
    <n v="7"/>
  </r>
  <r>
    <s v="India"/>
    <x v="19"/>
    <x v="151"/>
    <x v="260"/>
    <x v="0"/>
    <n v="29.610749999999999"/>
    <n v="74.283608000000001"/>
    <x v="5"/>
    <n v="20"/>
    <n v="323"/>
    <n v="105"/>
  </r>
  <r>
    <s v="India"/>
    <x v="19"/>
    <x v="151"/>
    <x v="260"/>
    <x v="0"/>
    <n v="29.610749999999999"/>
    <n v="74.283608000000001"/>
    <x v="1"/>
    <n v="75"/>
    <n v="260"/>
    <n v="136"/>
  </r>
  <r>
    <s v="India"/>
    <x v="19"/>
    <x v="152"/>
    <x v="261"/>
    <x v="0"/>
    <n v="26.895551999999999"/>
    <n v="76.334753000000006"/>
    <x v="3"/>
    <n v="7"/>
    <n v="9"/>
    <n v="8"/>
  </r>
  <r>
    <s v="India"/>
    <x v="19"/>
    <x v="153"/>
    <x v="262"/>
    <x v="0"/>
    <n v="26.699556999999999"/>
    <n v="77.898881000000003"/>
    <x v="5"/>
    <n v="22"/>
    <n v="98"/>
    <n v="50"/>
  </r>
  <r>
    <s v="India"/>
    <x v="19"/>
    <x v="153"/>
    <x v="262"/>
    <x v="0"/>
    <n v="26.699556999999999"/>
    <n v="77.898881000000003"/>
    <x v="1"/>
    <n v="61"/>
    <n v="230"/>
    <n v="126"/>
  </r>
  <r>
    <s v="India"/>
    <x v="19"/>
    <x v="154"/>
    <x v="263"/>
    <x v="0"/>
    <n v="26.506177000000001"/>
    <n v="77.025988999999996"/>
    <x v="5"/>
    <n v="16"/>
    <n v="138"/>
    <n v="50"/>
  </r>
  <r>
    <s v="India"/>
    <x v="19"/>
    <x v="155"/>
    <x v="264"/>
    <x v="0"/>
    <n v="25.196024000000001"/>
    <n v="75.855667999999994"/>
    <x v="2"/>
    <n v="15"/>
    <n v="118"/>
    <n v="53"/>
  </r>
  <r>
    <s v="India"/>
    <x v="19"/>
    <x v="156"/>
    <x v="265"/>
    <x v="0"/>
    <n v="28.296139"/>
    <n v="74.961696000000003"/>
    <x v="3"/>
    <n v="5"/>
    <n v="8"/>
    <n v="6"/>
  </r>
  <r>
    <s v="India"/>
    <x v="19"/>
    <x v="156"/>
    <x v="265"/>
    <x v="0"/>
    <n v="28.296139"/>
    <n v="74.961696000000003"/>
    <x v="6"/>
    <n v="4"/>
    <n v="8"/>
    <n v="7"/>
  </r>
  <r>
    <s v="India"/>
    <x v="21"/>
    <x v="157"/>
    <x v="266"/>
    <x v="0"/>
    <n v="12.9533"/>
    <n v="80.235699999999994"/>
    <x v="2"/>
    <n v="2"/>
    <n v="9"/>
    <n v="5"/>
  </r>
  <r>
    <s v="India"/>
    <x v="21"/>
    <x v="157"/>
    <x v="267"/>
    <x v="0"/>
    <n v="13.1036"/>
    <n v="80.290899999999993"/>
    <x v="6"/>
    <n v="14"/>
    <n v="55"/>
    <n v="23"/>
  </r>
  <r>
    <s v="India"/>
    <x v="21"/>
    <x v="157"/>
    <x v="267"/>
    <x v="0"/>
    <n v="13.1036"/>
    <n v="80.290899999999993"/>
    <x v="0"/>
    <n v="3"/>
    <n v="29"/>
    <n v="16"/>
  </r>
  <r>
    <s v="India"/>
    <x v="21"/>
    <x v="157"/>
    <x v="268"/>
    <x v="0"/>
    <n v="13.005218899999999"/>
    <n v="80.239812499999999"/>
    <x v="3"/>
    <n v="4"/>
    <n v="4"/>
    <n v="4"/>
  </r>
  <r>
    <s v="India"/>
    <x v="21"/>
    <x v="158"/>
    <x v="269"/>
    <x v="0"/>
    <n v="11.0328"/>
    <n v="77.034899999999993"/>
    <x v="5"/>
    <n v="16"/>
    <n v="53"/>
    <n v="38"/>
  </r>
  <r>
    <s v="India"/>
    <x v="21"/>
    <x v="158"/>
    <x v="270"/>
    <x v="0"/>
    <n v="10.942451"/>
    <n v="76.978995999999995"/>
    <x v="1"/>
    <n v="24"/>
    <n v="48"/>
    <n v="34"/>
  </r>
  <r>
    <s v="India"/>
    <x v="21"/>
    <x v="158"/>
    <x v="270"/>
    <x v="0"/>
    <n v="10.942451"/>
    <n v="76.978995999999995"/>
    <x v="4"/>
    <n v="19"/>
    <n v="20"/>
    <n v="20"/>
  </r>
  <r>
    <s v="India"/>
    <x v="21"/>
    <x v="159"/>
    <x v="271"/>
    <x v="0"/>
    <n v="10.96782"/>
    <n v="78.080882000000003"/>
    <x v="5"/>
    <n v="10"/>
    <n v="38"/>
    <n v="26"/>
  </r>
  <r>
    <s v="India"/>
    <x v="21"/>
    <x v="159"/>
    <x v="271"/>
    <x v="0"/>
    <n v="10.96782"/>
    <n v="78.080882000000003"/>
    <x v="4"/>
    <n v="8"/>
    <n v="34"/>
    <n v="12"/>
  </r>
  <r>
    <s v="India"/>
    <x v="21"/>
    <x v="160"/>
    <x v="272"/>
    <x v="0"/>
    <n v="10.798548"/>
    <n v="79.838211999999999"/>
    <x v="2"/>
    <n v="5"/>
    <n v="5"/>
    <n v="5"/>
  </r>
  <r>
    <s v="India"/>
    <x v="21"/>
    <x v="160"/>
    <x v="272"/>
    <x v="0"/>
    <n v="10.798548"/>
    <n v="79.838211999999999"/>
    <x v="4"/>
    <n v="4"/>
    <n v="8"/>
    <n v="6"/>
  </r>
  <r>
    <s v="India"/>
    <x v="21"/>
    <x v="161"/>
    <x v="273"/>
    <x v="0"/>
    <n v="11.273992"/>
    <n v="78.163544999999999"/>
    <x v="5"/>
    <m/>
    <m/>
    <m/>
  </r>
  <r>
    <s v="India"/>
    <x v="22"/>
    <x v="162"/>
    <x v="274"/>
    <x v="0"/>
    <n v="27.338529999999999"/>
    <n v="88.614098999999996"/>
    <x v="3"/>
    <n v="1"/>
    <n v="1"/>
    <n v="1"/>
  </r>
  <r>
    <s v="India"/>
    <x v="21"/>
    <x v="163"/>
    <x v="275"/>
    <x v="0"/>
    <n v="11.068250000000001"/>
    <n v="79.070329999999998"/>
    <x v="5"/>
    <n v="22"/>
    <n v="47"/>
    <n v="37"/>
  </r>
  <r>
    <s v="India"/>
    <x v="21"/>
    <x v="163"/>
    <x v="275"/>
    <x v="0"/>
    <n v="11.068250000000001"/>
    <n v="79.070329999999998"/>
    <x v="2"/>
    <n v="10"/>
    <n v="10"/>
    <n v="10"/>
  </r>
  <r>
    <s v="India"/>
    <x v="21"/>
    <x v="164"/>
    <x v="276"/>
    <x v="0"/>
    <n v="10.358535"/>
    <n v="77.984320999999994"/>
    <x v="5"/>
    <n v="28"/>
    <n v="62"/>
    <n v="41"/>
  </r>
  <r>
    <s v="India"/>
    <x v="21"/>
    <x v="165"/>
    <x v="277"/>
    <x v="0"/>
    <n v="12.746998"/>
    <n v="77.813811000000001"/>
    <x v="5"/>
    <n v="28"/>
    <n v="165"/>
    <n v="73"/>
  </r>
  <r>
    <s v="India"/>
    <x v="21"/>
    <x v="165"/>
    <x v="277"/>
    <x v="0"/>
    <n v="12.746998"/>
    <n v="77.813811000000001"/>
    <x v="1"/>
    <n v="31"/>
    <n v="136"/>
    <n v="79"/>
  </r>
  <r>
    <s v="India"/>
    <x v="19"/>
    <x v="166"/>
    <x v="278"/>
    <x v="0"/>
    <n v="29.931623999999999"/>
    <n v="73.864510999999993"/>
    <x v="2"/>
    <n v="31"/>
    <n v="127"/>
    <n v="80"/>
  </r>
  <r>
    <s v="India"/>
    <x v="19"/>
    <x v="167"/>
    <x v="279"/>
    <x v="0"/>
    <n v="26.159932999999999"/>
    <n v="75.780517000000003"/>
    <x v="0"/>
    <n v="1"/>
    <n v="85"/>
    <n v="46"/>
  </r>
  <r>
    <s v="India"/>
    <x v="21"/>
    <x v="157"/>
    <x v="280"/>
    <x v="0"/>
    <n v="12.9099161"/>
    <n v="80.107653799999994"/>
    <x v="4"/>
    <n v="15"/>
    <n v="16"/>
    <n v="15"/>
  </r>
  <r>
    <s v="India"/>
    <x v="21"/>
    <x v="157"/>
    <x v="281"/>
    <x v="0"/>
    <n v="13.127800000000001"/>
    <n v="80.264200000000002"/>
    <x v="3"/>
    <n v="4"/>
    <n v="6"/>
    <n v="5"/>
  </r>
  <r>
    <s v="India"/>
    <x v="21"/>
    <x v="157"/>
    <x v="282"/>
    <x v="0"/>
    <n v="13.1662"/>
    <n v="80.258399999999995"/>
    <x v="6"/>
    <n v="24"/>
    <n v="72"/>
    <n v="39"/>
  </r>
  <r>
    <s v="India"/>
    <x v="21"/>
    <x v="157"/>
    <x v="283"/>
    <x v="0"/>
    <n v="13.164543999999999"/>
    <n v="80.26285"/>
    <x v="4"/>
    <n v="7"/>
    <n v="20"/>
    <n v="14"/>
  </r>
  <r>
    <s v="India"/>
    <x v="21"/>
    <x v="168"/>
    <x v="284"/>
    <x v="0"/>
    <n v="11.6829898"/>
    <n v="79.753209900000002"/>
    <x v="1"/>
    <n v="12"/>
    <n v="36"/>
    <n v="22"/>
  </r>
  <r>
    <s v="India"/>
    <x v="21"/>
    <x v="163"/>
    <x v="275"/>
    <x v="0"/>
    <n v="11.068250000000001"/>
    <n v="79.070329999999998"/>
    <x v="0"/>
    <n v="3"/>
    <n v="23"/>
    <n v="16"/>
  </r>
  <r>
    <s v="India"/>
    <x v="21"/>
    <x v="169"/>
    <x v="285"/>
    <x v="0"/>
    <n v="10.830158000000001"/>
    <n v="78.691849000000005"/>
    <x v="3"/>
    <n v="2"/>
    <n v="3"/>
    <n v="3"/>
  </r>
  <r>
    <s v="India"/>
    <x v="21"/>
    <x v="170"/>
    <x v="286"/>
    <x v="0"/>
    <n v="8.7284419999999994"/>
    <n v="77.696200000000005"/>
    <x v="3"/>
    <n v="1"/>
    <n v="2"/>
    <n v="1"/>
  </r>
  <r>
    <s v="India"/>
    <x v="21"/>
    <x v="171"/>
    <x v="287"/>
    <x v="0"/>
    <n v="11.0973603"/>
    <n v="77.322867299999999"/>
    <x v="5"/>
    <n v="1"/>
    <n v="24"/>
    <n v="6"/>
  </r>
  <r>
    <s v="India"/>
    <x v="21"/>
    <x v="171"/>
    <x v="287"/>
    <x v="0"/>
    <n v="11.0973603"/>
    <n v="77.322867299999999"/>
    <x v="2"/>
    <n v="4"/>
    <n v="9"/>
    <n v="6"/>
  </r>
  <r>
    <s v="India"/>
    <x v="21"/>
    <x v="172"/>
    <x v="288"/>
    <x v="0"/>
    <n v="9.5593819999999994"/>
    <n v="77.948828000000006"/>
    <x v="5"/>
    <n v="23"/>
    <n v="95"/>
    <n v="42"/>
  </r>
  <r>
    <s v="India"/>
    <x v="21"/>
    <x v="172"/>
    <x v="288"/>
    <x v="0"/>
    <n v="9.5593819999999994"/>
    <n v="77.948828000000006"/>
    <x v="1"/>
    <n v="32"/>
    <n v="113"/>
    <n v="55"/>
  </r>
  <r>
    <s v="India"/>
    <x v="21"/>
    <x v="172"/>
    <x v="288"/>
    <x v="0"/>
    <n v="9.5593819999999994"/>
    <n v="77.948828000000006"/>
    <x v="3"/>
    <n v="6"/>
    <n v="7"/>
    <n v="7"/>
  </r>
  <r>
    <s v="India"/>
    <x v="23"/>
    <x v="173"/>
    <x v="289"/>
    <x v="0"/>
    <n v="17.544899000000001"/>
    <n v="78.486948999999996"/>
    <x v="2"/>
    <n v="18"/>
    <n v="19"/>
    <n v="18"/>
  </r>
  <r>
    <s v="India"/>
    <x v="23"/>
    <x v="173"/>
    <x v="289"/>
    <x v="0"/>
    <n v="17.544899000000001"/>
    <n v="78.486948999999996"/>
    <x v="4"/>
    <n v="4"/>
    <n v="10"/>
    <n v="6"/>
  </r>
  <r>
    <s v="India"/>
    <x v="23"/>
    <x v="173"/>
    <x v="289"/>
    <x v="0"/>
    <n v="17.544899000000001"/>
    <n v="78.486948999999996"/>
    <x v="0"/>
    <n v="16"/>
    <n v="60"/>
    <n v="46"/>
  </r>
  <r>
    <s v="India"/>
    <x v="23"/>
    <x v="173"/>
    <x v="290"/>
    <x v="0"/>
    <n v="17.372060000000001"/>
    <n v="78.50864"/>
    <x v="6"/>
    <n v="12"/>
    <n v="56"/>
    <n v="45"/>
  </r>
  <r>
    <s v="India"/>
    <x v="23"/>
    <x v="173"/>
    <x v="291"/>
    <x v="0"/>
    <n v="17.528544"/>
    <n v="78.286195000000006"/>
    <x v="5"/>
    <n v="60"/>
    <n v="68"/>
    <n v="65"/>
  </r>
  <r>
    <s v="India"/>
    <x v="23"/>
    <x v="173"/>
    <x v="291"/>
    <x v="0"/>
    <n v="17.528544"/>
    <n v="78.286195000000006"/>
    <x v="1"/>
    <n v="50"/>
    <n v="68"/>
    <n v="62"/>
  </r>
  <r>
    <s v="India"/>
    <x v="23"/>
    <x v="173"/>
    <x v="292"/>
    <x v="0"/>
    <n v="17.540890999999998"/>
    <n v="78.358528000000007"/>
    <x v="1"/>
    <n v="58"/>
    <n v="118"/>
    <n v="88"/>
  </r>
  <r>
    <s v="India"/>
    <x v="23"/>
    <x v="173"/>
    <x v="292"/>
    <x v="0"/>
    <n v="17.540890999999998"/>
    <n v="78.358528000000007"/>
    <x v="4"/>
    <n v="4"/>
    <n v="13"/>
    <n v="7"/>
  </r>
  <r>
    <s v="India"/>
    <x v="23"/>
    <x v="173"/>
    <x v="292"/>
    <x v="0"/>
    <n v="17.540890999999998"/>
    <n v="78.358528000000007"/>
    <x v="0"/>
    <n v="48"/>
    <n v="49"/>
    <n v="49"/>
  </r>
  <r>
    <s v="India"/>
    <x v="23"/>
    <x v="173"/>
    <x v="293"/>
    <x v="0"/>
    <n v="17.470431000000001"/>
    <n v="78.566958999999997"/>
    <x v="1"/>
    <n v="76"/>
    <n v="101"/>
    <n v="85"/>
  </r>
  <r>
    <s v="India"/>
    <x v="23"/>
    <x v="173"/>
    <x v="294"/>
    <x v="0"/>
    <n v="17.531689499999999"/>
    <n v="78.218939000000006"/>
    <x v="3"/>
    <n v="1"/>
    <n v="2"/>
    <n v="2"/>
  </r>
  <r>
    <s v="India"/>
    <x v="21"/>
    <x v="174"/>
    <x v="295"/>
    <x v="0"/>
    <n v="12.952707"/>
    <n v="79.303939999999997"/>
    <x v="5"/>
    <n v="22"/>
    <n v="66"/>
    <n v="42"/>
  </r>
  <r>
    <s v="India"/>
    <x v="21"/>
    <x v="174"/>
    <x v="295"/>
    <x v="0"/>
    <n v="12.952707"/>
    <n v="79.303939999999997"/>
    <x v="6"/>
    <n v="16"/>
    <n v="20"/>
    <n v="18"/>
  </r>
  <r>
    <s v="India"/>
    <x v="21"/>
    <x v="175"/>
    <x v="296"/>
    <x v="0"/>
    <n v="8.8164280000000002"/>
    <n v="78.099039000000005"/>
    <x v="1"/>
    <n v="19"/>
    <n v="90"/>
    <n v="43"/>
  </r>
  <r>
    <s v="India"/>
    <x v="24"/>
    <x v="176"/>
    <x v="297"/>
    <x v="0"/>
    <n v="27.237110000000001"/>
    <n v="78.019360000000006"/>
    <x v="4"/>
    <n v="8"/>
    <n v="32"/>
    <n v="15"/>
  </r>
  <r>
    <s v="India"/>
    <x v="24"/>
    <x v="176"/>
    <x v="298"/>
    <x v="0"/>
    <n v="27.106971999999999"/>
    <n v="78.000111000000004"/>
    <x v="5"/>
    <n v="26"/>
    <n v="323"/>
    <n v="110"/>
  </r>
  <r>
    <s v="India"/>
    <x v="24"/>
    <x v="176"/>
    <x v="299"/>
    <x v="0"/>
    <n v="27.198658330000001"/>
    <n v="78.005980559999998"/>
    <x v="1"/>
    <n v="123"/>
    <n v="436"/>
    <n v="191"/>
  </r>
  <r>
    <s v="India"/>
    <x v="21"/>
    <x v="177"/>
    <x v="300"/>
    <x v="0"/>
    <n v="9.3639899999999994"/>
    <n v="78.831976999999995"/>
    <x v="2"/>
    <n v="5"/>
    <n v="5"/>
    <n v="5"/>
  </r>
  <r>
    <s v="India"/>
    <x v="23"/>
    <x v="173"/>
    <x v="301"/>
    <x v="0"/>
    <n v="17.455945799999999"/>
    <n v="78.433215200000006"/>
    <x v="0"/>
    <n v="6"/>
    <n v="18"/>
    <n v="13"/>
  </r>
  <r>
    <s v="India"/>
    <x v="23"/>
    <x v="173"/>
    <x v="302"/>
    <x v="0"/>
    <n v="17.417093999999999"/>
    <n v="78.457436999999999"/>
    <x v="0"/>
    <n v="11"/>
    <n v="11"/>
    <n v="11"/>
  </r>
  <r>
    <s v="India"/>
    <x v="24"/>
    <x v="178"/>
    <x v="303"/>
    <x v="0"/>
    <n v="28.359580999999999"/>
    <n v="79.414455000000004"/>
    <x v="0"/>
    <n v="16"/>
    <n v="22"/>
    <n v="17"/>
  </r>
  <r>
    <s v="India"/>
    <x v="24"/>
    <x v="178"/>
    <x v="304"/>
    <x v="0"/>
    <n v="28.389109359999999"/>
    <n v="79.429637080000006"/>
    <x v="6"/>
    <n v="8"/>
    <n v="77"/>
    <n v="32"/>
  </r>
  <r>
    <s v="India"/>
    <x v="24"/>
    <x v="179"/>
    <x v="305"/>
    <x v="0"/>
    <n v="28.406963000000001"/>
    <n v="77.849830999999995"/>
    <x v="5"/>
    <n v="47"/>
    <n v="344"/>
    <n v="165"/>
  </r>
  <r>
    <s v="India"/>
    <x v="24"/>
    <x v="179"/>
    <x v="305"/>
    <x v="0"/>
    <n v="28.406963000000001"/>
    <n v="77.849830999999995"/>
    <x v="1"/>
    <n v="113"/>
    <n v="441"/>
    <n v="211"/>
  </r>
  <r>
    <s v="India"/>
    <x v="24"/>
    <x v="180"/>
    <x v="306"/>
    <x v="0"/>
    <n v="27.168897000000001"/>
    <n v="78.376959999999997"/>
    <x v="0"/>
    <n v="3"/>
    <n v="5"/>
    <n v="5"/>
  </r>
  <r>
    <s v="India"/>
    <x v="24"/>
    <x v="180"/>
    <x v="307"/>
    <x v="0"/>
    <n v="27.159400000000002"/>
    <n v="78.395300000000006"/>
    <x v="5"/>
    <n v="44"/>
    <n v="202"/>
    <n v="85"/>
  </r>
  <r>
    <s v="India"/>
    <x v="24"/>
    <x v="181"/>
    <x v="308"/>
    <x v="0"/>
    <n v="28.646232999999999"/>
    <n v="77.358074999999999"/>
    <x v="1"/>
    <n v="64"/>
    <n v="323"/>
    <n v="141"/>
  </r>
  <r>
    <s v="India"/>
    <x v="24"/>
    <x v="181"/>
    <x v="309"/>
    <x v="0"/>
    <n v="28.757294000000002"/>
    <n v="77.278791999999996"/>
    <x v="1"/>
    <n v="103"/>
    <n v="446"/>
    <n v="273"/>
  </r>
  <r>
    <s v="India"/>
    <x v="24"/>
    <x v="181"/>
    <x v="309"/>
    <x v="0"/>
    <n v="28.757294000000002"/>
    <n v="77.278791999999996"/>
    <x v="4"/>
    <n v="2"/>
    <n v="70"/>
    <n v="32"/>
  </r>
  <r>
    <s v="India"/>
    <x v="24"/>
    <x v="181"/>
    <x v="309"/>
    <x v="0"/>
    <n v="28.757294000000002"/>
    <n v="77.278791999999996"/>
    <x v="0"/>
    <n v="1"/>
    <n v="95"/>
    <n v="57"/>
  </r>
  <r>
    <s v="India"/>
    <x v="24"/>
    <x v="181"/>
    <x v="310"/>
    <x v="0"/>
    <n v="28.685382000000001"/>
    <n v="77.453839000000002"/>
    <x v="1"/>
    <n v="109"/>
    <n v="364"/>
    <n v="210"/>
  </r>
  <r>
    <s v="India"/>
    <x v="24"/>
    <x v="181"/>
    <x v="310"/>
    <x v="0"/>
    <n v="28.685382000000001"/>
    <n v="77.453839000000002"/>
    <x v="3"/>
    <n v="7"/>
    <n v="12"/>
    <n v="8"/>
  </r>
  <r>
    <s v="India"/>
    <x v="24"/>
    <x v="181"/>
    <x v="311"/>
    <x v="0"/>
    <n v="28.660334599999999"/>
    <n v="77.357256300000003"/>
    <x v="6"/>
    <n v="32"/>
    <n v="131"/>
    <n v="62"/>
  </r>
  <r>
    <s v="India"/>
    <x v="24"/>
    <x v="181"/>
    <x v="311"/>
    <x v="0"/>
    <n v="28.660334599999999"/>
    <n v="77.357256300000003"/>
    <x v="0"/>
    <n v="4"/>
    <n v="145"/>
    <n v="83"/>
  </r>
  <r>
    <s v="India"/>
    <x v="24"/>
    <x v="182"/>
    <x v="312"/>
    <x v="0"/>
    <n v="26.730136000000002"/>
    <n v="83.433858999999998"/>
    <x v="5"/>
    <n v="17"/>
    <n v="134"/>
    <n v="70"/>
  </r>
  <r>
    <s v="India"/>
    <x v="24"/>
    <x v="176"/>
    <x v="313"/>
    <x v="0"/>
    <n v="27.194120000000002"/>
    <n v="77.962370000000007"/>
    <x v="1"/>
    <n v="50"/>
    <n v="187"/>
    <n v="116"/>
  </r>
  <r>
    <s v="India"/>
    <x v="24"/>
    <x v="176"/>
    <x v="313"/>
    <x v="0"/>
    <n v="27.194120000000002"/>
    <n v="77.962370000000007"/>
    <x v="0"/>
    <n v="1"/>
    <n v="4"/>
    <n v="2"/>
  </r>
  <r>
    <s v="India"/>
    <x v="24"/>
    <x v="176"/>
    <x v="314"/>
    <x v="0"/>
    <n v="27.169338"/>
    <n v="78.035820000000001"/>
    <x v="4"/>
    <m/>
    <m/>
    <m/>
  </r>
  <r>
    <s v="India"/>
    <x v="24"/>
    <x v="176"/>
    <x v="314"/>
    <x v="0"/>
    <n v="27.169338"/>
    <n v="78.035820000000001"/>
    <x v="6"/>
    <m/>
    <m/>
    <m/>
  </r>
  <r>
    <s v="India"/>
    <x v="24"/>
    <x v="176"/>
    <x v="314"/>
    <x v="0"/>
    <n v="27.169338"/>
    <n v="78.035820000000001"/>
    <x v="0"/>
    <m/>
    <m/>
    <m/>
  </r>
  <r>
    <s v="India"/>
    <x v="24"/>
    <x v="182"/>
    <x v="312"/>
    <x v="0"/>
    <n v="26.730136000000002"/>
    <n v="83.433858999999998"/>
    <x v="6"/>
    <n v="6"/>
    <n v="11"/>
    <n v="7"/>
  </r>
  <r>
    <s v="India"/>
    <x v="24"/>
    <x v="183"/>
    <x v="315"/>
    <x v="0"/>
    <n v="28.557054000000001"/>
    <n v="77.453663000000006"/>
    <x v="2"/>
    <n v="29"/>
    <n v="171"/>
    <n v="82"/>
  </r>
  <r>
    <s v="India"/>
    <x v="24"/>
    <x v="184"/>
    <x v="316"/>
    <x v="0"/>
    <n v="28.725645"/>
    <n v="77.749674999999996"/>
    <x v="0"/>
    <n v="5"/>
    <n v="178"/>
    <n v="110"/>
  </r>
  <r>
    <s v="India"/>
    <x v="24"/>
    <x v="185"/>
    <x v="317"/>
    <x v="0"/>
    <n v="25.454699999999999"/>
    <n v="78.603899999999996"/>
    <x v="1"/>
    <n v="87"/>
    <n v="152"/>
    <n v="117"/>
  </r>
  <r>
    <s v="India"/>
    <x v="24"/>
    <x v="186"/>
    <x v="318"/>
    <x v="0"/>
    <n v="26.509954"/>
    <n v="80.249611999999999"/>
    <x v="3"/>
    <n v="2"/>
    <n v="2"/>
    <n v="2"/>
  </r>
  <r>
    <s v="India"/>
    <x v="24"/>
    <x v="186"/>
    <x v="319"/>
    <x v="0"/>
    <n v="26.470313600000001"/>
    <n v="80.322986299999997"/>
    <x v="6"/>
    <n v="26"/>
    <n v="56"/>
    <n v="35"/>
  </r>
  <r>
    <s v="India"/>
    <x v="24"/>
    <x v="187"/>
    <x v="320"/>
    <x v="0"/>
    <n v="28.964949000000001"/>
    <n v="77.278761000000003"/>
    <x v="2"/>
    <n v="18"/>
    <n v="119"/>
    <n v="58"/>
  </r>
  <r>
    <s v="India"/>
    <x v="24"/>
    <x v="187"/>
    <x v="320"/>
    <x v="0"/>
    <n v="28.964949000000001"/>
    <n v="77.278761000000003"/>
    <x v="3"/>
    <n v="2"/>
    <n v="9"/>
    <n v="5"/>
  </r>
  <r>
    <s v="India"/>
    <x v="24"/>
    <x v="188"/>
    <x v="321"/>
    <x v="0"/>
    <n v="28.2348927"/>
    <n v="77.868300199999993"/>
    <x v="1"/>
    <m/>
    <m/>
    <m/>
  </r>
  <r>
    <s v="India"/>
    <x v="24"/>
    <x v="188"/>
    <x v="321"/>
    <x v="0"/>
    <n v="28.2348927"/>
    <n v="77.868300199999993"/>
    <x v="2"/>
    <n v="3"/>
    <n v="4"/>
    <n v="3"/>
  </r>
  <r>
    <s v="India"/>
    <x v="24"/>
    <x v="189"/>
    <x v="322"/>
    <x v="0"/>
    <n v="26.766432999999999"/>
    <n v="80.927299000000005"/>
    <x v="0"/>
    <n v="2"/>
    <n v="100"/>
    <n v="72"/>
  </r>
  <r>
    <s v="India"/>
    <x v="24"/>
    <x v="189"/>
    <x v="323"/>
    <x v="0"/>
    <n v="26.907229999999998"/>
    <n v="80.985789999999994"/>
    <x v="5"/>
    <n v="18"/>
    <n v="122"/>
    <n v="44"/>
  </r>
  <r>
    <s v="India"/>
    <x v="24"/>
    <x v="189"/>
    <x v="324"/>
    <x v="0"/>
    <n v="26.833997220000001"/>
    <n v="80.891736100000003"/>
    <x v="4"/>
    <n v="1"/>
    <n v="48"/>
    <n v="9"/>
  </r>
  <r>
    <s v="India"/>
    <x v="24"/>
    <x v="190"/>
    <x v="325"/>
    <x v="0"/>
    <n v="28.999264"/>
    <n v="77.759035400000002"/>
    <x v="6"/>
    <n v="18"/>
    <n v="103"/>
    <n v="48"/>
  </r>
  <r>
    <s v="India"/>
    <x v="24"/>
    <x v="190"/>
    <x v="325"/>
    <x v="0"/>
    <n v="28.999264"/>
    <n v="77.759035400000002"/>
    <x v="0"/>
    <n v="7"/>
    <n v="177"/>
    <n v="114"/>
  </r>
  <r>
    <s v="India"/>
    <x v="24"/>
    <x v="191"/>
    <x v="326"/>
    <x v="0"/>
    <n v="28.835260000000002"/>
    <n v="78.744600000000005"/>
    <x v="4"/>
    <m/>
    <m/>
    <m/>
  </r>
  <r>
    <s v="India"/>
    <x v="24"/>
    <x v="191"/>
    <x v="326"/>
    <x v="0"/>
    <n v="28.835260000000002"/>
    <n v="78.744600000000005"/>
    <x v="0"/>
    <n v="7"/>
    <n v="22"/>
    <n v="7"/>
  </r>
  <r>
    <s v="India"/>
    <x v="24"/>
    <x v="191"/>
    <x v="327"/>
    <x v="0"/>
    <n v="28.840738999999999"/>
    <n v="78.697530999999998"/>
    <x v="5"/>
    <n v="22"/>
    <n v="130"/>
    <n v="67"/>
  </r>
  <r>
    <s v="India"/>
    <x v="24"/>
    <x v="191"/>
    <x v="327"/>
    <x v="0"/>
    <n v="28.840738999999999"/>
    <n v="78.697530999999998"/>
    <x v="6"/>
    <n v="28"/>
    <n v="110"/>
    <n v="67"/>
  </r>
  <r>
    <s v="India"/>
    <x v="24"/>
    <x v="191"/>
    <x v="328"/>
    <x v="0"/>
    <n v="28.856663999999999"/>
    <n v="78.772638000000001"/>
    <x v="4"/>
    <n v="17"/>
    <n v="104"/>
    <n v="46"/>
  </r>
  <r>
    <s v="India"/>
    <x v="24"/>
    <x v="189"/>
    <x v="329"/>
    <x v="0"/>
    <n v="26.868120000000001"/>
    <n v="81.005118999999993"/>
    <x v="0"/>
    <n v="37"/>
    <n v="52"/>
    <n v="49"/>
  </r>
  <r>
    <s v="India"/>
    <x v="24"/>
    <x v="189"/>
    <x v="330"/>
    <x v="0"/>
    <n v="26.906110999999999"/>
    <n v="80.948222000000001"/>
    <x v="1"/>
    <n v="100"/>
    <n v="268"/>
    <n v="138"/>
  </r>
  <r>
    <s v="India"/>
    <x v="24"/>
    <x v="190"/>
    <x v="331"/>
    <x v="0"/>
    <n v="29.063510000000001"/>
    <n v="77.709722999999997"/>
    <x v="4"/>
    <n v="17"/>
    <n v="78"/>
    <n v="40"/>
  </r>
  <r>
    <s v="India"/>
    <x v="24"/>
    <x v="191"/>
    <x v="326"/>
    <x v="0"/>
    <n v="28.835260000000002"/>
    <n v="78.744600000000005"/>
    <x v="1"/>
    <m/>
    <m/>
    <m/>
  </r>
  <r>
    <s v="India"/>
    <x v="24"/>
    <x v="190"/>
    <x v="332"/>
    <x v="0"/>
    <n v="28.953588199999999"/>
    <n v="77.762294100000005"/>
    <x v="2"/>
    <n v="12"/>
    <n v="91"/>
    <n v="35"/>
  </r>
  <r>
    <s v="India"/>
    <x v="24"/>
    <x v="190"/>
    <x v="332"/>
    <x v="0"/>
    <n v="28.953588199999999"/>
    <n v="77.762294100000005"/>
    <x v="6"/>
    <n v="19"/>
    <n v="104"/>
    <n v="44"/>
  </r>
  <r>
    <s v="India"/>
    <x v="24"/>
    <x v="192"/>
    <x v="333"/>
    <x v="0"/>
    <n v="28.544760799999999"/>
    <n v="77.323125700000006"/>
    <x v="2"/>
    <n v="10"/>
    <n v="111"/>
    <n v="65"/>
  </r>
  <r>
    <s v="India"/>
    <x v="24"/>
    <x v="192"/>
    <x v="333"/>
    <x v="0"/>
    <n v="28.544760799999999"/>
    <n v="77.323125700000006"/>
    <x v="0"/>
    <n v="1"/>
    <n v="159"/>
    <n v="81"/>
  </r>
  <r>
    <s v="India"/>
    <x v="24"/>
    <x v="191"/>
    <x v="334"/>
    <x v="0"/>
    <n v="28.802624999999999"/>
    <n v="78.753727999999995"/>
    <x v="2"/>
    <n v="27"/>
    <n v="27"/>
    <n v="27"/>
  </r>
  <r>
    <s v="India"/>
    <x v="24"/>
    <x v="192"/>
    <x v="335"/>
    <x v="0"/>
    <n v="28.569230000000001"/>
    <n v="77.393848000000006"/>
    <x v="6"/>
    <n v="4"/>
    <n v="151"/>
    <n v="150"/>
  </r>
  <r>
    <s v="India"/>
    <x v="24"/>
    <x v="193"/>
    <x v="336"/>
    <x v="0"/>
    <n v="25.425602000000001"/>
    <n v="81.917152000000002"/>
    <x v="3"/>
    <n v="5"/>
    <n v="5"/>
    <n v="5"/>
  </r>
  <r>
    <s v="India"/>
    <x v="24"/>
    <x v="194"/>
    <x v="337"/>
    <x v="0"/>
    <n v="25.323930000000001"/>
    <n v="82.996870000000001"/>
    <x v="1"/>
    <n v="39"/>
    <n v="215"/>
    <n v="120"/>
  </r>
  <r>
    <s v="India"/>
    <x v="24"/>
    <x v="194"/>
    <x v="337"/>
    <x v="0"/>
    <n v="25.323930000000001"/>
    <n v="82.996870000000001"/>
    <x v="2"/>
    <n v="2"/>
    <n v="4"/>
    <n v="2"/>
  </r>
  <r>
    <s v="India"/>
    <x v="24"/>
    <x v="195"/>
    <x v="338"/>
    <x v="0"/>
    <n v="27.571408999999999"/>
    <n v="77.655756999999994"/>
    <x v="4"/>
    <n v="29"/>
    <n v="34"/>
    <n v="31"/>
  </r>
  <r>
    <s v="India"/>
    <x v="25"/>
    <x v="196"/>
    <x v="339"/>
    <x v="0"/>
    <n v="30.269444"/>
    <n v="78.044167000000002"/>
    <x v="1"/>
    <n v="64"/>
    <n v="150"/>
    <n v="96"/>
  </r>
  <r>
    <s v="India"/>
    <x v="25"/>
    <x v="196"/>
    <x v="339"/>
    <x v="0"/>
    <n v="30.269444"/>
    <n v="78.044167000000002"/>
    <x v="6"/>
    <n v="13"/>
    <n v="27"/>
    <n v="19"/>
  </r>
  <r>
    <s v="India"/>
    <x v="25"/>
    <x v="197"/>
    <x v="340"/>
    <x v="0"/>
    <n v="29.212411400000001"/>
    <n v="78.961175299999994"/>
    <x v="1"/>
    <n v="65"/>
    <n v="154"/>
    <n v="102"/>
  </r>
  <r>
    <s v="India"/>
    <x v="26"/>
    <x v="198"/>
    <x v="341"/>
    <x v="0"/>
    <n v="23.508763999999999"/>
    <n v="87.354439999999997"/>
    <x v="2"/>
    <n v="8"/>
    <n v="32"/>
    <n v="19"/>
  </r>
  <r>
    <s v="India"/>
    <x v="26"/>
    <x v="198"/>
    <x v="341"/>
    <x v="0"/>
    <n v="23.508763999999999"/>
    <n v="87.354439999999997"/>
    <x v="4"/>
    <n v="4"/>
    <n v="23"/>
    <n v="12"/>
  </r>
  <r>
    <s v="India"/>
    <x v="26"/>
    <x v="198"/>
    <x v="341"/>
    <x v="0"/>
    <n v="23.508763999999999"/>
    <n v="87.354439999999997"/>
    <x v="0"/>
    <n v="12"/>
    <n v="96"/>
    <n v="63"/>
  </r>
  <r>
    <s v="India"/>
    <x v="26"/>
    <x v="199"/>
    <x v="342"/>
    <x v="0"/>
    <n v="22.060469999999999"/>
    <n v="88.109736999999996"/>
    <x v="4"/>
    <n v="5"/>
    <n v="24"/>
    <n v="15"/>
  </r>
  <r>
    <s v="India"/>
    <x v="26"/>
    <x v="199"/>
    <x v="342"/>
    <x v="0"/>
    <n v="22.060469999999999"/>
    <n v="88.109736999999996"/>
    <x v="6"/>
    <n v="23"/>
    <n v="31"/>
    <n v="24"/>
  </r>
  <r>
    <s v="India"/>
    <x v="26"/>
    <x v="200"/>
    <x v="343"/>
    <x v="0"/>
    <n v="22.629801"/>
    <n v="88.352017000000004"/>
    <x v="1"/>
    <n v="49"/>
    <n v="111"/>
    <n v="71"/>
  </r>
  <r>
    <s v="India"/>
    <x v="26"/>
    <x v="201"/>
    <x v="344"/>
    <x v="0"/>
    <n v="23.697935999999999"/>
    <n v="86.944395"/>
    <x v="5"/>
    <n v="62"/>
    <n v="271"/>
    <n v="130"/>
  </r>
  <r>
    <s v="India"/>
    <x v="26"/>
    <x v="201"/>
    <x v="344"/>
    <x v="0"/>
    <n v="23.697935999999999"/>
    <n v="86.944395"/>
    <x v="0"/>
    <n v="3"/>
    <n v="79"/>
    <n v="55"/>
  </r>
  <r>
    <s v="India"/>
    <x v="26"/>
    <x v="202"/>
    <x v="345"/>
    <x v="0"/>
    <n v="22.760558100000001"/>
    <n v="88.361758899999998"/>
    <x v="1"/>
    <n v="42"/>
    <n v="101"/>
    <n v="84"/>
  </r>
  <r>
    <s v="India"/>
    <x v="26"/>
    <x v="202"/>
    <x v="345"/>
    <x v="0"/>
    <n v="22.760558100000001"/>
    <n v="88.361758899999998"/>
    <x v="0"/>
    <n v="9"/>
    <n v="66"/>
    <n v="37"/>
  </r>
  <r>
    <s v="India"/>
    <x v="26"/>
    <x v="198"/>
    <x v="346"/>
    <x v="0"/>
    <n v="23.567923"/>
    <n v="87.306843000000001"/>
    <x v="6"/>
    <n v="37"/>
    <n v="60"/>
    <n v="41"/>
  </r>
  <r>
    <s v="India"/>
    <x v="26"/>
    <x v="200"/>
    <x v="347"/>
    <x v="0"/>
    <n v="22.554953999999999"/>
    <n v="88.292568000000003"/>
    <x v="1"/>
    <n v="34"/>
    <n v="95"/>
    <n v="73"/>
  </r>
  <r>
    <s v="India"/>
    <x v="26"/>
    <x v="200"/>
    <x v="347"/>
    <x v="0"/>
    <n v="22.554953999999999"/>
    <n v="88.292568000000003"/>
    <x v="6"/>
    <n v="26"/>
    <n v="33"/>
    <n v="29"/>
  </r>
  <r>
    <s v="India"/>
    <x v="26"/>
    <x v="200"/>
    <x v="348"/>
    <x v="0"/>
    <n v="22.602557099999999"/>
    <n v="88.310566399999999"/>
    <x v="5"/>
    <n v="6"/>
    <n v="88"/>
    <n v="43"/>
  </r>
  <r>
    <s v="India"/>
    <x v="26"/>
    <x v="200"/>
    <x v="348"/>
    <x v="0"/>
    <n v="22.602557099999999"/>
    <n v="88.310566399999999"/>
    <x v="1"/>
    <n v="27"/>
    <n v="129"/>
    <n v="78"/>
  </r>
  <r>
    <s v="India"/>
    <x v="24"/>
    <x v="194"/>
    <x v="349"/>
    <x v="0"/>
    <n v="25.301777999999999"/>
    <n v="82.996789000000007"/>
    <x v="5"/>
    <n v="9"/>
    <n v="74"/>
    <n v="40"/>
  </r>
  <r>
    <s v="India"/>
    <x v="24"/>
    <x v="194"/>
    <x v="349"/>
    <x v="0"/>
    <n v="25.301777999999999"/>
    <n v="82.996789000000007"/>
    <x v="0"/>
    <n v="3"/>
    <n v="41"/>
    <n v="30"/>
  </r>
  <r>
    <s v="India"/>
    <x v="24"/>
    <x v="194"/>
    <x v="350"/>
    <x v="0"/>
    <n v="25.262326000000002"/>
    <n v="82.995407999999998"/>
    <x v="4"/>
    <n v="15"/>
    <n v="40"/>
    <n v="22"/>
  </r>
  <r>
    <s v="India"/>
    <x v="26"/>
    <x v="201"/>
    <x v="351"/>
    <x v="0"/>
    <n v="23.685296999999998"/>
    <n v="86.945967999999993"/>
    <x v="6"/>
    <n v="29"/>
    <n v="116"/>
    <n v="44"/>
  </r>
  <r>
    <s v="India"/>
    <x v="24"/>
    <x v="194"/>
    <x v="352"/>
    <x v="0"/>
    <n v="25.350598600000001"/>
    <n v="82.908307399999998"/>
    <x v="6"/>
    <n v="4"/>
    <n v="39"/>
    <n v="9"/>
  </r>
  <r>
    <s v="India"/>
    <x v="26"/>
    <x v="203"/>
    <x v="353"/>
    <x v="0"/>
    <n v="22.536750699999999"/>
    <n v="88.363802199999995"/>
    <x v="2"/>
    <n v="14"/>
    <n v="23"/>
    <n v="18"/>
  </r>
  <r>
    <s v="India"/>
    <x v="26"/>
    <x v="203"/>
    <x v="353"/>
    <x v="0"/>
    <n v="22.536750699999999"/>
    <n v="88.363802199999995"/>
    <x v="0"/>
    <n v="13"/>
    <n v="72"/>
    <n v="35"/>
  </r>
  <r>
    <s v="India"/>
    <x v="26"/>
    <x v="203"/>
    <x v="354"/>
    <x v="0"/>
    <n v="22.58157048"/>
    <n v="88.410024570000004"/>
    <x v="5"/>
    <n v="34"/>
    <n v="52"/>
    <n v="42"/>
  </r>
  <r>
    <s v="India"/>
    <x v="26"/>
    <x v="203"/>
    <x v="354"/>
    <x v="0"/>
    <n v="22.58157048"/>
    <n v="88.410024570000004"/>
    <x v="6"/>
    <n v="21"/>
    <n v="24"/>
    <n v="22"/>
  </r>
  <r>
    <s v="India"/>
    <x v="26"/>
    <x v="203"/>
    <x v="355"/>
    <x v="0"/>
    <n v="22.499289999999998"/>
    <n v="88.369169999999997"/>
    <x v="5"/>
    <n v="60"/>
    <n v="97"/>
    <n v="80"/>
  </r>
  <r>
    <s v="India"/>
    <x v="26"/>
    <x v="203"/>
    <x v="355"/>
    <x v="0"/>
    <n v="22.499289999999998"/>
    <n v="88.369169999999997"/>
    <x v="0"/>
    <n v="15"/>
    <n v="83"/>
    <n v="42"/>
  </r>
  <r>
    <s v="India"/>
    <x v="26"/>
    <x v="203"/>
    <x v="356"/>
    <x v="0"/>
    <n v="22.627846999999999"/>
    <n v="88.380668999999997"/>
    <x v="1"/>
    <n v="34"/>
    <n v="79"/>
    <n v="60"/>
  </r>
  <r>
    <s v="India"/>
    <x v="26"/>
    <x v="203"/>
    <x v="356"/>
    <x v="0"/>
    <n v="22.627846999999999"/>
    <n v="88.380668999999997"/>
    <x v="4"/>
    <n v="10"/>
    <n v="13"/>
    <n v="11"/>
  </r>
  <r>
    <s v="India"/>
    <x v="26"/>
    <x v="203"/>
    <x v="356"/>
    <x v="0"/>
    <n v="22.627846999999999"/>
    <n v="88.380668999999997"/>
    <x v="6"/>
    <n v="24"/>
    <n v="28"/>
    <n v="25"/>
  </r>
  <r>
    <s v="India"/>
    <x v="26"/>
    <x v="203"/>
    <x v="357"/>
    <x v="0"/>
    <n v="22.511060000000001"/>
    <n v="88.351420000000005"/>
    <x v="4"/>
    <n v="3"/>
    <n v="37"/>
    <n v="16"/>
  </r>
  <r>
    <s v="India"/>
    <x v="26"/>
    <x v="203"/>
    <x v="357"/>
    <x v="0"/>
    <n v="22.511060000000001"/>
    <n v="88.351420000000005"/>
    <x v="0"/>
    <n v="16"/>
    <n v="127"/>
    <n v="54"/>
  </r>
  <r>
    <s v="India"/>
    <x v="26"/>
    <x v="203"/>
    <x v="358"/>
    <x v="0"/>
    <n v="22.544808199999999"/>
    <n v="88.340369100000004"/>
    <x v="2"/>
    <n v="24"/>
    <n v="29"/>
    <n v="26"/>
  </r>
  <r>
    <s v="India"/>
    <x v="26"/>
    <x v="203"/>
    <x v="358"/>
    <x v="0"/>
    <n v="22.544808199999999"/>
    <n v="88.340369100000004"/>
    <x v="6"/>
    <n v="14"/>
    <n v="57"/>
    <n v="35"/>
  </r>
  <r>
    <s v="India"/>
    <x v="26"/>
    <x v="204"/>
    <x v="359"/>
    <x v="0"/>
    <n v="26.6879226"/>
    <n v="88.415249500000002"/>
    <x v="4"/>
    <n v="15"/>
    <n v="19"/>
    <n v="17"/>
  </r>
  <r>
    <s v="India"/>
    <x v="26"/>
    <x v="204"/>
    <x v="359"/>
    <x v="0"/>
    <n v="26.6879226"/>
    <n v="88.415249500000002"/>
    <x v="6"/>
    <n v="40"/>
    <n v="100"/>
    <n v="51"/>
  </r>
  <r>
    <s v="India"/>
    <x v="26"/>
    <x v="204"/>
    <x v="359"/>
    <x v="0"/>
    <n v="26.6879226"/>
    <n v="88.415249500000002"/>
    <x v="0"/>
    <n v="14"/>
    <n v="55"/>
    <n v="44"/>
  </r>
  <r>
    <s v="India"/>
    <x v="2"/>
    <x v="205"/>
    <x v="360"/>
    <x v="0"/>
    <n v="16.987286699999999"/>
    <n v="81.736317600000007"/>
    <x v="0"/>
    <n v="6"/>
    <n v="9"/>
    <n v="7"/>
  </r>
  <r>
    <s v="India"/>
    <x v="2"/>
    <x v="10"/>
    <x v="10"/>
    <x v="0"/>
    <n v="13.67"/>
    <n v="79.349999999999994"/>
    <x v="2"/>
    <n v="12"/>
    <n v="25"/>
    <n v="18"/>
  </r>
  <r>
    <s v="India"/>
    <x v="2"/>
    <x v="10"/>
    <x v="10"/>
    <x v="0"/>
    <n v="13.67"/>
    <n v="79.349999999999994"/>
    <x v="4"/>
    <n v="3"/>
    <n v="13"/>
    <n v="7"/>
  </r>
  <r>
    <s v="India"/>
    <x v="2"/>
    <x v="11"/>
    <x v="11"/>
    <x v="0"/>
    <n v="13.615387"/>
    <n v="79.409229999999994"/>
    <x v="2"/>
    <n v="3"/>
    <n v="3"/>
    <n v="3"/>
  </r>
  <r>
    <s v="India"/>
    <x v="2"/>
    <x v="11"/>
    <x v="11"/>
    <x v="0"/>
    <n v="13.615387"/>
    <n v="79.409229999999994"/>
    <x v="3"/>
    <n v="3"/>
    <n v="3"/>
    <n v="3"/>
  </r>
  <r>
    <s v="India"/>
    <x v="2"/>
    <x v="11"/>
    <x v="11"/>
    <x v="0"/>
    <n v="13.615387"/>
    <n v="79.409229999999994"/>
    <x v="4"/>
    <n v="10"/>
    <n v="11"/>
    <n v="10"/>
  </r>
  <r>
    <s v="India"/>
    <x v="2"/>
    <x v="7"/>
    <x v="361"/>
    <x v="0"/>
    <n v="16.536107000000001"/>
    <n v="80.594233000000003"/>
    <x v="5"/>
    <n v="47"/>
    <n v="65"/>
    <n v="54"/>
  </r>
  <r>
    <s v="India"/>
    <x v="2"/>
    <x v="7"/>
    <x v="361"/>
    <x v="0"/>
    <n v="16.536107000000001"/>
    <n v="80.594233000000003"/>
    <x v="4"/>
    <n v="6"/>
    <n v="8"/>
    <n v="7"/>
  </r>
  <r>
    <s v="India"/>
    <x v="1"/>
    <x v="5"/>
    <x v="5"/>
    <x v="0"/>
    <n v="25.562609500000001"/>
    <n v="84.663263999999998"/>
    <x v="4"/>
    <m/>
    <m/>
    <m/>
  </r>
  <r>
    <s v="India"/>
    <x v="1"/>
    <x v="6"/>
    <x v="6"/>
    <x v="0"/>
    <n v="24.757459999999998"/>
    <n v="84.366208"/>
    <x v="2"/>
    <n v="2"/>
    <n v="3"/>
    <n v="2"/>
  </r>
  <r>
    <s v="India"/>
    <x v="1"/>
    <x v="6"/>
    <x v="6"/>
    <x v="0"/>
    <n v="24.757459999999998"/>
    <n v="84.366208"/>
    <x v="4"/>
    <n v="11"/>
    <n v="19"/>
    <n v="15"/>
  </r>
  <r>
    <s v="India"/>
    <x v="1"/>
    <x v="206"/>
    <x v="362"/>
    <x v="0"/>
    <n v="25.427420229999999"/>
    <n v="86.138860789999995"/>
    <x v="1"/>
    <n v="86"/>
    <n v="211"/>
    <n v="140"/>
  </r>
  <r>
    <s v="India"/>
    <x v="1"/>
    <x v="206"/>
    <x v="362"/>
    <x v="0"/>
    <n v="25.427420229999999"/>
    <n v="86.138860789999995"/>
    <x v="3"/>
    <n v="11"/>
    <n v="11"/>
    <n v="11"/>
  </r>
  <r>
    <s v="India"/>
    <x v="2"/>
    <x v="12"/>
    <x v="13"/>
    <x v="0"/>
    <n v="14.675886"/>
    <n v="77.593027000000006"/>
    <x v="3"/>
    <n v="6"/>
    <n v="14"/>
    <n v="9"/>
  </r>
  <r>
    <s v="India"/>
    <x v="2"/>
    <x v="13"/>
    <x v="14"/>
    <x v="0"/>
    <n v="13.204879999999999"/>
    <n v="79.097888999999995"/>
    <x v="6"/>
    <n v="7"/>
    <n v="34"/>
    <n v="9"/>
  </r>
  <r>
    <s v="India"/>
    <x v="2"/>
    <x v="207"/>
    <x v="363"/>
    <x v="0"/>
    <n v="14.465052"/>
    <n v="78.824186999999995"/>
    <x v="3"/>
    <n v="4"/>
    <n v="5"/>
    <n v="5"/>
  </r>
  <r>
    <s v="India"/>
    <x v="2"/>
    <x v="7"/>
    <x v="12"/>
    <x v="0"/>
    <n v="16.486692000000001"/>
    <n v="80.699436000000006"/>
    <x v="0"/>
    <n v="26"/>
    <n v="43"/>
    <n v="30"/>
  </r>
  <r>
    <s v="India"/>
    <x v="2"/>
    <x v="7"/>
    <x v="364"/>
    <x v="0"/>
    <n v="16.509716999999998"/>
    <n v="80.612222000000003"/>
    <x v="5"/>
    <n v="54"/>
    <n v="82"/>
    <n v="69"/>
  </r>
  <r>
    <s v="India"/>
    <x v="2"/>
    <x v="7"/>
    <x v="364"/>
    <x v="0"/>
    <n v="16.509716999999998"/>
    <n v="80.612222000000003"/>
    <x v="3"/>
    <n v="2"/>
    <n v="5"/>
    <n v="3"/>
  </r>
  <r>
    <s v="India"/>
    <x v="1"/>
    <x v="14"/>
    <x v="15"/>
    <x v="0"/>
    <n v="26.803650000000001"/>
    <n v="84.519540000000006"/>
    <x v="0"/>
    <n v="22"/>
    <n v="29"/>
    <n v="26"/>
  </r>
  <r>
    <s v="India"/>
    <x v="1"/>
    <x v="15"/>
    <x v="365"/>
    <x v="0"/>
    <n v="25.251013"/>
    <n v="86.989001000000002"/>
    <x v="4"/>
    <n v="28"/>
    <n v="53"/>
    <n v="41"/>
  </r>
  <r>
    <s v="India"/>
    <x v="2"/>
    <x v="208"/>
    <x v="366"/>
    <x v="0"/>
    <n v="16.515083300000001"/>
    <n v="80.518166699999995"/>
    <x v="5"/>
    <n v="10"/>
    <n v="45"/>
    <n v="26"/>
  </r>
  <r>
    <s v="India"/>
    <x v="2"/>
    <x v="208"/>
    <x v="366"/>
    <x v="0"/>
    <n v="16.515083300000001"/>
    <n v="80.518166699999995"/>
    <x v="3"/>
    <n v="1"/>
    <n v="3"/>
    <n v="2"/>
  </r>
  <r>
    <s v="India"/>
    <x v="0"/>
    <x v="16"/>
    <x v="18"/>
    <x v="0"/>
    <n v="26.10887"/>
    <n v="91.589544000000004"/>
    <x v="2"/>
    <n v="18"/>
    <n v="23"/>
    <n v="21"/>
  </r>
  <r>
    <s v="India"/>
    <x v="0"/>
    <x v="16"/>
    <x v="18"/>
    <x v="0"/>
    <n v="26.10887"/>
    <n v="91.589544000000004"/>
    <x v="3"/>
    <n v="15"/>
    <n v="23"/>
    <n v="17"/>
  </r>
  <r>
    <s v="India"/>
    <x v="2"/>
    <x v="8"/>
    <x v="8"/>
    <x v="0"/>
    <n v="17.72"/>
    <n v="83.3"/>
    <x v="0"/>
    <n v="8"/>
    <n v="18"/>
    <n v="11"/>
  </r>
  <r>
    <s v="India"/>
    <x v="0"/>
    <x v="3"/>
    <x v="3"/>
    <x v="0"/>
    <n v="26.987634"/>
    <n v="94.636573999999996"/>
    <x v="1"/>
    <n v="36"/>
    <n v="95"/>
    <n v="56"/>
  </r>
  <r>
    <s v="India"/>
    <x v="0"/>
    <x v="0"/>
    <x v="0"/>
    <x v="0"/>
    <n v="26.349081999999999"/>
    <n v="92.684489999999997"/>
    <x v="4"/>
    <n v="3"/>
    <n v="23"/>
    <n v="13"/>
  </r>
  <r>
    <s v="India"/>
    <x v="1"/>
    <x v="18"/>
    <x v="21"/>
    <x v="0"/>
    <n v="25.596727000000001"/>
    <n v="85.085623999999996"/>
    <x v="6"/>
    <n v="3"/>
    <n v="103"/>
    <n v="18"/>
  </r>
  <r>
    <s v="India"/>
    <x v="1"/>
    <x v="19"/>
    <x v="22"/>
    <x v="0"/>
    <n v="25.366336"/>
    <n v="87.117468000000002"/>
    <x v="2"/>
    <n v="16"/>
    <n v="20"/>
    <n v="19"/>
  </r>
  <r>
    <s v="India"/>
    <x v="1"/>
    <x v="20"/>
    <x v="23"/>
    <x v="0"/>
    <n v="25.032800000000002"/>
    <n v="85.419479999999993"/>
    <x v="1"/>
    <m/>
    <m/>
    <m/>
  </r>
  <r>
    <s v="India"/>
    <x v="1"/>
    <x v="21"/>
    <x v="24"/>
    <x v="0"/>
    <n v="25.892357000000001"/>
    <n v="86.590325000000007"/>
    <x v="1"/>
    <n v="82"/>
    <n v="189"/>
    <n v="126"/>
  </r>
  <r>
    <s v="India"/>
    <x v="1"/>
    <x v="21"/>
    <x v="24"/>
    <x v="0"/>
    <n v="25.892357000000001"/>
    <n v="86.590325000000007"/>
    <x v="3"/>
    <n v="4"/>
    <n v="4"/>
    <n v="4"/>
  </r>
  <r>
    <s v="India"/>
    <x v="1"/>
    <x v="21"/>
    <x v="24"/>
    <x v="0"/>
    <n v="25.892357000000001"/>
    <n v="86.590325000000007"/>
    <x v="6"/>
    <n v="4"/>
    <n v="58"/>
    <n v="18"/>
  </r>
  <r>
    <s v="India"/>
    <x v="1"/>
    <x v="31"/>
    <x v="38"/>
    <x v="0"/>
    <n v="25.859655"/>
    <n v="85.779439999999994"/>
    <x v="1"/>
    <n v="55"/>
    <n v="184"/>
    <n v="114"/>
  </r>
  <r>
    <s v="India"/>
    <x v="1"/>
    <x v="31"/>
    <x v="38"/>
    <x v="0"/>
    <n v="25.859655"/>
    <n v="85.779439999999994"/>
    <x v="2"/>
    <n v="1"/>
    <n v="2"/>
    <n v="1"/>
  </r>
  <r>
    <s v="India"/>
    <x v="1"/>
    <x v="31"/>
    <x v="38"/>
    <x v="0"/>
    <n v="25.859655"/>
    <n v="85.779439999999994"/>
    <x v="3"/>
    <n v="2"/>
    <n v="2"/>
    <n v="2"/>
  </r>
  <r>
    <s v="India"/>
    <x v="1"/>
    <x v="28"/>
    <x v="33"/>
    <x v="0"/>
    <n v="26.114419999999999"/>
    <n v="85.398129999999995"/>
    <x v="3"/>
    <n v="10"/>
    <n v="15"/>
    <n v="12"/>
  </r>
  <r>
    <s v="India"/>
    <x v="1"/>
    <x v="28"/>
    <x v="367"/>
    <x v="0"/>
    <n v="26.140334500000002"/>
    <n v="85.365019200000006"/>
    <x v="2"/>
    <n v="17"/>
    <n v="17"/>
    <n v="17"/>
  </r>
  <r>
    <s v="India"/>
    <x v="1"/>
    <x v="28"/>
    <x v="368"/>
    <x v="0"/>
    <n v="26.120899999999999"/>
    <n v="85.364699999999999"/>
    <x v="5"/>
    <n v="17"/>
    <n v="75"/>
    <n v="44"/>
  </r>
  <r>
    <s v="India"/>
    <x v="1"/>
    <x v="28"/>
    <x v="368"/>
    <x v="0"/>
    <n v="26.120899999999999"/>
    <n v="85.364699999999999"/>
    <x v="2"/>
    <n v="3"/>
    <n v="9"/>
    <n v="7"/>
  </r>
  <r>
    <s v="India"/>
    <x v="1"/>
    <x v="28"/>
    <x v="368"/>
    <x v="0"/>
    <n v="26.120899999999999"/>
    <n v="85.364699999999999"/>
    <x v="6"/>
    <n v="8"/>
    <n v="24"/>
    <n v="14"/>
  </r>
  <r>
    <s v="India"/>
    <x v="1"/>
    <x v="28"/>
    <x v="368"/>
    <x v="0"/>
    <n v="26.120899999999999"/>
    <n v="85.364699999999999"/>
    <x v="0"/>
    <n v="16"/>
    <n v="93"/>
    <n v="51"/>
  </r>
  <r>
    <s v="India"/>
    <x v="1"/>
    <x v="18"/>
    <x v="34"/>
    <x v="0"/>
    <n v="25.586562000000001"/>
    <n v="85.043586000000005"/>
    <x v="5"/>
    <n v="86"/>
    <n v="400"/>
    <n v="190"/>
  </r>
  <r>
    <s v="India"/>
    <x v="1"/>
    <x v="18"/>
    <x v="34"/>
    <x v="0"/>
    <n v="25.586562000000001"/>
    <n v="85.043586000000005"/>
    <x v="2"/>
    <n v="27"/>
    <n v="35"/>
    <n v="32"/>
  </r>
  <r>
    <s v="India"/>
    <x v="1"/>
    <x v="18"/>
    <x v="369"/>
    <x v="0"/>
    <n v="25.610368999999999"/>
    <n v="85.132568000000006"/>
    <x v="0"/>
    <n v="41"/>
    <n v="43"/>
    <n v="42"/>
  </r>
  <r>
    <s v="India"/>
    <x v="1"/>
    <x v="18"/>
    <x v="30"/>
    <x v="0"/>
    <n v="25.619651000000001"/>
    <n v="85.147381999999993"/>
    <x v="0"/>
    <n v="6"/>
    <n v="41"/>
    <n v="26"/>
  </r>
  <r>
    <s v="India"/>
    <x v="1"/>
    <x v="18"/>
    <x v="31"/>
    <x v="0"/>
    <n v="25.599485999999999"/>
    <n v="85.113665999999995"/>
    <x v="4"/>
    <n v="1"/>
    <n v="3"/>
    <n v="1"/>
  </r>
  <r>
    <s v="India"/>
    <x v="1"/>
    <x v="18"/>
    <x v="21"/>
    <x v="0"/>
    <n v="25.596727000000001"/>
    <n v="85.085623999999996"/>
    <x v="5"/>
    <n v="67"/>
    <n v="275"/>
    <n v="152"/>
  </r>
  <r>
    <s v="India"/>
    <x v="1"/>
    <x v="18"/>
    <x v="21"/>
    <x v="0"/>
    <n v="25.596727000000001"/>
    <n v="85.085623999999996"/>
    <x v="2"/>
    <n v="40"/>
    <n v="51"/>
    <n v="45"/>
  </r>
  <r>
    <s v="India"/>
    <x v="1"/>
    <x v="18"/>
    <x v="21"/>
    <x v="0"/>
    <n v="25.596727000000001"/>
    <n v="85.085623999999996"/>
    <x v="3"/>
    <n v="6"/>
    <n v="7"/>
    <n v="6"/>
  </r>
  <r>
    <s v="India"/>
    <x v="1"/>
    <x v="26"/>
    <x v="370"/>
    <x v="0"/>
    <n v="24.762518"/>
    <n v="84.982348000000002"/>
    <x v="3"/>
    <n v="3"/>
    <n v="4"/>
    <n v="3"/>
  </r>
  <r>
    <s v="India"/>
    <x v="1"/>
    <x v="29"/>
    <x v="35"/>
    <x v="0"/>
    <n v="25.697189000000002"/>
    <n v="85.245900000000006"/>
    <x v="3"/>
    <n v="6"/>
    <n v="8"/>
    <n v="7"/>
  </r>
  <r>
    <s v="India"/>
    <x v="1"/>
    <x v="29"/>
    <x v="35"/>
    <x v="0"/>
    <n v="25.697189000000002"/>
    <n v="85.245900000000006"/>
    <x v="6"/>
    <n v="20"/>
    <n v="68"/>
    <n v="25"/>
  </r>
  <r>
    <s v="India"/>
    <x v="1"/>
    <x v="29"/>
    <x v="35"/>
    <x v="0"/>
    <n v="25.697189000000002"/>
    <n v="85.245900000000006"/>
    <x v="0"/>
    <n v="20"/>
    <n v="186"/>
    <n v="117"/>
  </r>
  <r>
    <s v="India"/>
    <x v="1"/>
    <x v="30"/>
    <x v="36"/>
    <x v="0"/>
    <n v="25.560082999999999"/>
    <n v="87.553264999999996"/>
    <x v="3"/>
    <n v="1"/>
    <n v="1"/>
    <n v="1"/>
  </r>
  <r>
    <s v="India"/>
    <x v="1"/>
    <x v="209"/>
    <x v="371"/>
    <x v="0"/>
    <n v="26.630859999999998"/>
    <n v="84.900509999999997"/>
    <x v="1"/>
    <n v="20"/>
    <n v="150"/>
    <n v="69"/>
  </r>
  <r>
    <s v="India"/>
    <x v="1"/>
    <x v="209"/>
    <x v="371"/>
    <x v="0"/>
    <n v="26.630859999999998"/>
    <n v="84.900509999999997"/>
    <x v="4"/>
    <n v="12"/>
    <n v="16"/>
    <n v="14"/>
  </r>
  <r>
    <s v="India"/>
    <x v="1"/>
    <x v="209"/>
    <x v="371"/>
    <x v="0"/>
    <n v="26.630859999999998"/>
    <n v="84.900509999999997"/>
    <x v="0"/>
    <n v="12"/>
    <n v="17"/>
    <n v="15"/>
  </r>
  <r>
    <s v="India"/>
    <x v="1"/>
    <x v="24"/>
    <x v="27"/>
    <x v="0"/>
    <n v="25.376776"/>
    <n v="86.471523000000005"/>
    <x v="0"/>
    <n v="1"/>
    <n v="7"/>
    <n v="5"/>
  </r>
  <r>
    <s v="India"/>
    <x v="1"/>
    <x v="23"/>
    <x v="26"/>
    <x v="0"/>
    <n v="27.308327999999999"/>
    <n v="84.531741999999994"/>
    <x v="1"/>
    <n v="66"/>
    <n v="228"/>
    <n v="122"/>
  </r>
  <r>
    <s v="India"/>
    <x v="1"/>
    <x v="23"/>
    <x v="26"/>
    <x v="0"/>
    <n v="27.308327999999999"/>
    <n v="84.531741999999994"/>
    <x v="2"/>
    <n v="7"/>
    <n v="13"/>
    <n v="9"/>
  </r>
  <r>
    <s v="India"/>
    <x v="1"/>
    <x v="23"/>
    <x v="26"/>
    <x v="0"/>
    <n v="27.308327999999999"/>
    <n v="84.531741999999994"/>
    <x v="3"/>
    <n v="1"/>
    <n v="2"/>
    <n v="1"/>
  </r>
  <r>
    <s v="India"/>
    <x v="1"/>
    <x v="15"/>
    <x v="16"/>
    <x v="0"/>
    <n v="25.265194000000001"/>
    <n v="87.012946999999997"/>
    <x v="6"/>
    <n v="20"/>
    <n v="35"/>
    <n v="28"/>
  </r>
  <r>
    <s v="India"/>
    <x v="1"/>
    <x v="27"/>
    <x v="32"/>
    <x v="0"/>
    <n v="25.567519999999998"/>
    <n v="83.966379000000003"/>
    <x v="3"/>
    <n v="4"/>
    <n v="4"/>
    <n v="4"/>
  </r>
  <r>
    <s v="India"/>
    <x v="1"/>
    <x v="25"/>
    <x v="28"/>
    <x v="0"/>
    <n v="25.780825700000001"/>
    <n v="84.744676799999993"/>
    <x v="1"/>
    <m/>
    <m/>
    <m/>
  </r>
  <r>
    <s v="India"/>
    <x v="1"/>
    <x v="15"/>
    <x v="16"/>
    <x v="0"/>
    <n v="25.265194000000001"/>
    <n v="87.012946999999997"/>
    <x v="3"/>
    <n v="4"/>
    <n v="4"/>
    <n v="4"/>
  </r>
  <r>
    <s v="India"/>
    <x v="6"/>
    <x v="39"/>
    <x v="47"/>
    <x v="0"/>
    <n v="28.815328999999998"/>
    <n v="77.153009999999995"/>
    <x v="2"/>
    <n v="22"/>
    <n v="102"/>
    <n v="55"/>
  </r>
  <r>
    <s v="India"/>
    <x v="6"/>
    <x v="39"/>
    <x v="47"/>
    <x v="0"/>
    <n v="28.815328999999998"/>
    <n v="77.153009999999995"/>
    <x v="4"/>
    <n v="7"/>
    <n v="105"/>
    <n v="34"/>
  </r>
  <r>
    <s v="India"/>
    <x v="6"/>
    <x v="39"/>
    <x v="372"/>
    <x v="0"/>
    <n v="28.647621999999998"/>
    <n v="77.315809000000002"/>
    <x v="3"/>
    <n v="1"/>
    <n v="10"/>
    <n v="6"/>
  </r>
  <r>
    <s v="India"/>
    <x v="6"/>
    <x v="39"/>
    <x v="372"/>
    <x v="0"/>
    <n v="28.647621999999998"/>
    <n v="77.315809000000002"/>
    <x v="0"/>
    <n v="1"/>
    <n v="44"/>
    <n v="20"/>
  </r>
  <r>
    <s v="India"/>
    <x v="6"/>
    <x v="39"/>
    <x v="48"/>
    <x v="0"/>
    <n v="28.695381000000001"/>
    <n v="77.181664999999995"/>
    <x v="5"/>
    <n v="50"/>
    <n v="402"/>
    <n v="216"/>
  </r>
  <r>
    <s v="India"/>
    <x v="6"/>
    <x v="39"/>
    <x v="48"/>
    <x v="0"/>
    <n v="28.695381000000001"/>
    <n v="77.181664999999995"/>
    <x v="1"/>
    <n v="103"/>
    <n v="403"/>
    <n v="219"/>
  </r>
  <r>
    <s v="India"/>
    <x v="6"/>
    <x v="39"/>
    <x v="48"/>
    <x v="0"/>
    <n v="28.695381000000001"/>
    <n v="77.181664999999995"/>
    <x v="4"/>
    <n v="13"/>
    <n v="91"/>
    <n v="39"/>
  </r>
  <r>
    <s v="India"/>
    <x v="6"/>
    <x v="39"/>
    <x v="48"/>
    <x v="0"/>
    <n v="28.695381000000001"/>
    <n v="77.181664999999995"/>
    <x v="6"/>
    <n v="11"/>
    <n v="119"/>
    <n v="48"/>
  </r>
  <r>
    <s v="India"/>
    <x v="6"/>
    <x v="39"/>
    <x v="49"/>
    <x v="0"/>
    <n v="28.776199999999999"/>
    <n v="77.051074"/>
    <x v="2"/>
    <n v="9"/>
    <n v="99"/>
    <n v="44"/>
  </r>
  <r>
    <s v="India"/>
    <x v="4"/>
    <x v="35"/>
    <x v="42"/>
    <x v="0"/>
    <n v="22.368195"/>
    <n v="82.746431000000001"/>
    <x v="6"/>
    <m/>
    <m/>
    <m/>
  </r>
  <r>
    <s v="India"/>
    <x v="4"/>
    <x v="35"/>
    <x v="43"/>
    <x v="0"/>
    <n v="22.348441000000001"/>
    <n v="82.549610999999999"/>
    <x v="6"/>
    <n v="15"/>
    <n v="101"/>
    <n v="28"/>
  </r>
  <r>
    <s v="India"/>
    <x v="4"/>
    <x v="210"/>
    <x v="373"/>
    <x v="0"/>
    <n v="22.126650000000001"/>
    <n v="83.483211999999995"/>
    <x v="1"/>
    <n v="72"/>
    <n v="242"/>
    <n v="114"/>
  </r>
  <r>
    <s v="India"/>
    <x v="4"/>
    <x v="211"/>
    <x v="374"/>
    <x v="0"/>
    <n v="22.191017200000001"/>
    <n v="83.519700900000004"/>
    <x v="1"/>
    <n v="60"/>
    <n v="166"/>
    <n v="103"/>
  </r>
  <r>
    <s v="India"/>
    <x v="4"/>
    <x v="211"/>
    <x v="374"/>
    <x v="0"/>
    <n v="22.191017200000001"/>
    <n v="83.519700900000004"/>
    <x v="2"/>
    <n v="14"/>
    <n v="89"/>
    <n v="47"/>
  </r>
  <r>
    <s v="India"/>
    <x v="5"/>
    <x v="38"/>
    <x v="375"/>
    <x v="0"/>
    <n v="30.751462"/>
    <n v="76.762878999999998"/>
    <x v="5"/>
    <n v="39"/>
    <n v="120"/>
    <n v="80"/>
  </r>
  <r>
    <s v="India"/>
    <x v="5"/>
    <x v="38"/>
    <x v="375"/>
    <x v="0"/>
    <n v="30.751462"/>
    <n v="76.762878999999998"/>
    <x v="4"/>
    <n v="2"/>
    <n v="8"/>
    <n v="6"/>
  </r>
  <r>
    <s v="India"/>
    <x v="5"/>
    <x v="38"/>
    <x v="375"/>
    <x v="0"/>
    <n v="30.751462"/>
    <n v="76.762878999999998"/>
    <x v="6"/>
    <n v="11"/>
    <n v="40"/>
    <n v="17"/>
  </r>
  <r>
    <s v="India"/>
    <x v="5"/>
    <x v="38"/>
    <x v="375"/>
    <x v="0"/>
    <n v="30.751462"/>
    <n v="76.762878999999998"/>
    <x v="0"/>
    <n v="2"/>
    <n v="80"/>
    <n v="53"/>
  </r>
  <r>
    <s v="India"/>
    <x v="4"/>
    <x v="32"/>
    <x v="376"/>
    <x v="0"/>
    <n v="21.194814999999998"/>
    <n v="81.314769999999996"/>
    <x v="3"/>
    <n v="3"/>
    <n v="4"/>
    <n v="4"/>
  </r>
  <r>
    <s v="India"/>
    <x v="1"/>
    <x v="36"/>
    <x v="44"/>
    <x v="0"/>
    <n v="24.952822000000001"/>
    <n v="84.002396000000005"/>
    <x v="3"/>
    <n v="3"/>
    <n v="3"/>
    <n v="3"/>
  </r>
  <r>
    <s v="India"/>
    <x v="1"/>
    <x v="36"/>
    <x v="44"/>
    <x v="0"/>
    <n v="24.952822000000001"/>
    <n v="84.002396000000005"/>
    <x v="0"/>
    <n v="3"/>
    <n v="15"/>
    <n v="8"/>
  </r>
  <r>
    <s v="India"/>
    <x v="1"/>
    <x v="37"/>
    <x v="45"/>
    <x v="0"/>
    <n v="26.227166499999999"/>
    <n v="84.357042699999994"/>
    <x v="5"/>
    <m/>
    <m/>
    <m/>
  </r>
  <r>
    <s v="India"/>
    <x v="1"/>
    <x v="37"/>
    <x v="45"/>
    <x v="0"/>
    <n v="26.227166499999999"/>
    <n v="84.357042699999994"/>
    <x v="1"/>
    <m/>
    <m/>
    <m/>
  </r>
  <r>
    <s v="India"/>
    <x v="1"/>
    <x v="37"/>
    <x v="45"/>
    <x v="0"/>
    <n v="26.227166499999999"/>
    <n v="84.357042699999994"/>
    <x v="0"/>
    <n v="3"/>
    <n v="103"/>
    <n v="27"/>
  </r>
  <r>
    <s v="India"/>
    <x v="4"/>
    <x v="211"/>
    <x v="374"/>
    <x v="0"/>
    <n v="22.191017200000001"/>
    <n v="83.519700900000004"/>
    <x v="0"/>
    <n v="13"/>
    <n v="35"/>
    <n v="27"/>
  </r>
  <r>
    <s v="India"/>
    <x v="4"/>
    <x v="40"/>
    <x v="55"/>
    <x v="0"/>
    <n v="21.258814999999998"/>
    <n v="81.578979000000004"/>
    <x v="3"/>
    <n v="7"/>
    <n v="7"/>
    <n v="7"/>
  </r>
  <r>
    <s v="India"/>
    <x v="4"/>
    <x v="40"/>
    <x v="56"/>
    <x v="0"/>
    <n v="21.219664999999999"/>
    <n v="81.630094"/>
    <x v="6"/>
    <n v="20"/>
    <n v="78"/>
    <n v="33"/>
  </r>
  <r>
    <s v="India"/>
    <x v="4"/>
    <x v="32"/>
    <x v="54"/>
    <x v="0"/>
    <n v="21.185570999999999"/>
    <n v="81.343175000000002"/>
    <x v="2"/>
    <n v="6"/>
    <n v="9"/>
    <n v="8"/>
  </r>
  <r>
    <s v="India"/>
    <x v="4"/>
    <x v="32"/>
    <x v="39"/>
    <x v="0"/>
    <n v="21.224231"/>
    <n v="81.408349999999999"/>
    <x v="3"/>
    <n v="3"/>
    <n v="5"/>
    <n v="4"/>
  </r>
  <r>
    <s v="India"/>
    <x v="4"/>
    <x v="32"/>
    <x v="39"/>
    <x v="0"/>
    <n v="21.224231"/>
    <n v="81.408349999999999"/>
    <x v="4"/>
    <n v="7"/>
    <n v="32"/>
    <n v="16"/>
  </r>
  <r>
    <s v="India"/>
    <x v="4"/>
    <x v="32"/>
    <x v="39"/>
    <x v="0"/>
    <n v="21.224231"/>
    <n v="81.408349999999999"/>
    <x v="0"/>
    <n v="18"/>
    <n v="35"/>
    <n v="26"/>
  </r>
  <r>
    <s v="India"/>
    <x v="4"/>
    <x v="212"/>
    <x v="377"/>
    <x v="0"/>
    <n v="22.06631475"/>
    <n v="83.33820077"/>
    <x v="1"/>
    <n v="41"/>
    <n v="435"/>
    <n v="147"/>
  </r>
  <r>
    <s v="India"/>
    <x v="4"/>
    <x v="212"/>
    <x v="377"/>
    <x v="0"/>
    <n v="22.06631475"/>
    <n v="83.33820077"/>
    <x v="2"/>
    <n v="17"/>
    <n v="87"/>
    <n v="50"/>
  </r>
  <r>
    <s v="India"/>
    <x v="4"/>
    <x v="212"/>
    <x v="377"/>
    <x v="0"/>
    <n v="22.06631475"/>
    <n v="83.33820077"/>
    <x v="4"/>
    <n v="6"/>
    <n v="10"/>
    <n v="7"/>
  </r>
  <r>
    <s v="India"/>
    <x v="4"/>
    <x v="40"/>
    <x v="58"/>
    <x v="0"/>
    <n v="21.371751"/>
    <n v="81.664929000000001"/>
    <x v="5"/>
    <n v="46"/>
    <n v="304"/>
    <n v="101"/>
  </r>
  <r>
    <s v="India"/>
    <x v="4"/>
    <x v="40"/>
    <x v="57"/>
    <x v="0"/>
    <n v="21.237755"/>
    <n v="81.705301000000006"/>
    <x v="1"/>
    <n v="43"/>
    <n v="69"/>
    <n v="56"/>
  </r>
  <r>
    <s v="India"/>
    <x v="6"/>
    <x v="39"/>
    <x v="378"/>
    <x v="0"/>
    <n v="28.725650399999999"/>
    <n v="77.201157300000006"/>
    <x v="2"/>
    <n v="15"/>
    <n v="25"/>
    <n v="20"/>
  </r>
  <r>
    <s v="India"/>
    <x v="6"/>
    <x v="39"/>
    <x v="50"/>
    <x v="0"/>
    <n v="28.5512005"/>
    <n v="77.2735737"/>
    <x v="1"/>
    <n v="82"/>
    <n v="415"/>
    <n v="213"/>
  </r>
  <r>
    <s v="India"/>
    <x v="6"/>
    <x v="39"/>
    <x v="51"/>
    <x v="0"/>
    <n v="28.656756000000001"/>
    <n v="77.227233999999996"/>
    <x v="5"/>
    <n v="70"/>
    <n v="245"/>
    <n v="114"/>
  </r>
  <r>
    <s v="India"/>
    <x v="6"/>
    <x v="39"/>
    <x v="51"/>
    <x v="0"/>
    <n v="28.656756000000001"/>
    <n v="77.227233999999996"/>
    <x v="1"/>
    <n v="15"/>
    <n v="276"/>
    <n v="164"/>
  </r>
  <r>
    <s v="India"/>
    <x v="6"/>
    <x v="39"/>
    <x v="379"/>
    <x v="0"/>
    <n v="28.7500499"/>
    <n v="77.111261499999998"/>
    <x v="1"/>
    <n v="83"/>
    <n v="453"/>
    <n v="225"/>
  </r>
  <r>
    <s v="India"/>
    <x v="6"/>
    <x v="39"/>
    <x v="379"/>
    <x v="0"/>
    <n v="28.7500499"/>
    <n v="77.111261499999998"/>
    <x v="2"/>
    <n v="42"/>
    <n v="55"/>
    <n v="47"/>
  </r>
  <r>
    <s v="India"/>
    <x v="6"/>
    <x v="39"/>
    <x v="379"/>
    <x v="0"/>
    <n v="28.7500499"/>
    <n v="77.111261499999998"/>
    <x v="6"/>
    <n v="24"/>
    <n v="49"/>
    <n v="30"/>
  </r>
  <r>
    <s v="India"/>
    <x v="6"/>
    <x v="39"/>
    <x v="380"/>
    <x v="0"/>
    <n v="28.571027399999998"/>
    <n v="77.071900600000006"/>
    <x v="2"/>
    <n v="7"/>
    <n v="27"/>
    <n v="16"/>
  </r>
  <r>
    <s v="India"/>
    <x v="6"/>
    <x v="39"/>
    <x v="380"/>
    <x v="0"/>
    <n v="28.571027399999998"/>
    <n v="77.071900600000006"/>
    <x v="3"/>
    <n v="11"/>
    <n v="22"/>
    <n v="14"/>
  </r>
  <r>
    <s v="India"/>
    <x v="6"/>
    <x v="39"/>
    <x v="69"/>
    <x v="0"/>
    <n v="28.684678000000002"/>
    <n v="77.076573999999994"/>
    <x v="2"/>
    <n v="38"/>
    <n v="103"/>
    <n v="66"/>
  </r>
  <r>
    <s v="India"/>
    <x v="6"/>
    <x v="39"/>
    <x v="70"/>
    <x v="0"/>
    <n v="28.609089999999998"/>
    <n v="77.032541300000005"/>
    <x v="1"/>
    <n v="81"/>
    <n v="437"/>
    <n v="175"/>
  </r>
  <r>
    <s v="India"/>
    <x v="6"/>
    <x v="39"/>
    <x v="70"/>
    <x v="0"/>
    <n v="28.609089999999998"/>
    <n v="77.032541300000005"/>
    <x v="2"/>
    <n v="44"/>
    <n v="47"/>
    <n v="46"/>
  </r>
  <r>
    <s v="India"/>
    <x v="6"/>
    <x v="39"/>
    <x v="71"/>
    <x v="0"/>
    <n v="28.570173"/>
    <n v="76.933762000000002"/>
    <x v="3"/>
    <n v="8"/>
    <n v="12"/>
    <n v="10"/>
  </r>
  <r>
    <s v="India"/>
    <x v="6"/>
    <x v="39"/>
    <x v="71"/>
    <x v="0"/>
    <n v="28.570173"/>
    <n v="76.933762000000002"/>
    <x v="0"/>
    <n v="2"/>
    <n v="226"/>
    <n v="150"/>
  </r>
  <r>
    <s v="India"/>
    <x v="6"/>
    <x v="39"/>
    <x v="72"/>
    <x v="0"/>
    <n v="28.822835999999999"/>
    <n v="77.101980999999995"/>
    <x v="5"/>
    <n v="47"/>
    <n v="408"/>
    <n v="232"/>
  </r>
  <r>
    <s v="India"/>
    <x v="6"/>
    <x v="39"/>
    <x v="72"/>
    <x v="0"/>
    <n v="28.822835999999999"/>
    <n v="77.101980999999995"/>
    <x v="2"/>
    <n v="10"/>
    <n v="78"/>
    <n v="28"/>
  </r>
  <r>
    <s v="India"/>
    <x v="6"/>
    <x v="39"/>
    <x v="72"/>
    <x v="0"/>
    <n v="28.822835999999999"/>
    <n v="77.101980999999995"/>
    <x v="4"/>
    <n v="19"/>
    <n v="61"/>
    <n v="33"/>
  </r>
  <r>
    <s v="India"/>
    <x v="6"/>
    <x v="39"/>
    <x v="73"/>
    <x v="0"/>
    <n v="28.567889999999998"/>
    <n v="77.250514999999993"/>
    <x v="5"/>
    <n v="47"/>
    <n v="325"/>
    <n v="169"/>
  </r>
  <r>
    <s v="India"/>
    <x v="6"/>
    <x v="39"/>
    <x v="381"/>
    <x v="0"/>
    <n v="28.591824500000001"/>
    <n v="77.227307400000001"/>
    <x v="5"/>
    <m/>
    <m/>
    <m/>
  </r>
  <r>
    <s v="India"/>
    <x v="6"/>
    <x v="39"/>
    <x v="381"/>
    <x v="0"/>
    <n v="28.591824500000001"/>
    <n v="77.227307400000001"/>
    <x v="6"/>
    <n v="18"/>
    <n v="26"/>
    <n v="19"/>
  </r>
  <r>
    <s v="India"/>
    <x v="6"/>
    <x v="39"/>
    <x v="382"/>
    <x v="0"/>
    <n v="28.611281000000002"/>
    <n v="77.237737999999993"/>
    <x v="5"/>
    <n v="73"/>
    <n v="342"/>
    <n v="196"/>
  </r>
  <r>
    <s v="India"/>
    <x v="6"/>
    <x v="39"/>
    <x v="382"/>
    <x v="0"/>
    <n v="28.611281000000002"/>
    <n v="77.237737999999993"/>
    <x v="2"/>
    <n v="15"/>
    <n v="157"/>
    <n v="85"/>
  </r>
  <r>
    <s v="India"/>
    <x v="6"/>
    <x v="39"/>
    <x v="383"/>
    <x v="0"/>
    <n v="28.636429"/>
    <n v="77.201066999999995"/>
    <x v="5"/>
    <n v="22"/>
    <n v="336"/>
    <n v="129"/>
  </r>
  <r>
    <s v="India"/>
    <x v="6"/>
    <x v="39"/>
    <x v="383"/>
    <x v="0"/>
    <n v="28.636429"/>
    <n v="77.201066999999995"/>
    <x v="1"/>
    <n v="58"/>
    <n v="218"/>
    <n v="121"/>
  </r>
  <r>
    <s v="India"/>
    <x v="6"/>
    <x v="39"/>
    <x v="383"/>
    <x v="0"/>
    <n v="28.636429"/>
    <n v="77.201066999999995"/>
    <x v="2"/>
    <n v="142"/>
    <n v="179"/>
    <n v="154"/>
  </r>
  <r>
    <s v="India"/>
    <x v="6"/>
    <x v="39"/>
    <x v="380"/>
    <x v="0"/>
    <n v="28.571027399999998"/>
    <n v="77.071900600000006"/>
    <x v="0"/>
    <n v="5"/>
    <n v="106"/>
    <n v="58"/>
  </r>
  <r>
    <s v="India"/>
    <x v="6"/>
    <x v="39"/>
    <x v="66"/>
    <x v="0"/>
    <n v="28.562776299999999"/>
    <n v="77.118005299999993"/>
    <x v="5"/>
    <n v="22"/>
    <n v="184"/>
    <n v="75"/>
  </r>
  <r>
    <s v="India"/>
    <x v="6"/>
    <x v="39"/>
    <x v="66"/>
    <x v="0"/>
    <n v="28.562776299999999"/>
    <n v="77.118005299999993"/>
    <x v="2"/>
    <n v="64"/>
    <n v="141"/>
    <n v="106"/>
  </r>
  <r>
    <s v="India"/>
    <x v="6"/>
    <x v="39"/>
    <x v="66"/>
    <x v="0"/>
    <n v="28.562776299999999"/>
    <n v="77.118005299999993"/>
    <x v="6"/>
    <n v="34"/>
    <n v="108"/>
    <n v="51"/>
  </r>
  <r>
    <s v="India"/>
    <x v="6"/>
    <x v="39"/>
    <x v="67"/>
    <x v="0"/>
    <n v="28.681173600000001"/>
    <n v="77.302523399999998"/>
    <x v="3"/>
    <n v="10"/>
    <n v="15"/>
    <n v="12"/>
  </r>
  <r>
    <s v="India"/>
    <x v="6"/>
    <x v="39"/>
    <x v="384"/>
    <x v="0"/>
    <n v="28.628623999999999"/>
    <n v="77.241060000000004"/>
    <x v="5"/>
    <n v="54"/>
    <n v="343"/>
    <n v="169"/>
  </r>
  <r>
    <s v="India"/>
    <x v="6"/>
    <x v="39"/>
    <x v="61"/>
    <x v="0"/>
    <n v="28.639652000000002"/>
    <n v="77.146275000000003"/>
    <x v="4"/>
    <n v="14"/>
    <n v="60"/>
    <n v="28"/>
  </r>
  <r>
    <s v="India"/>
    <x v="6"/>
    <x v="39"/>
    <x v="61"/>
    <x v="0"/>
    <n v="28.639652000000002"/>
    <n v="77.146275000000003"/>
    <x v="6"/>
    <n v="1"/>
    <n v="59"/>
    <n v="26"/>
  </r>
  <r>
    <s v="India"/>
    <x v="6"/>
    <x v="39"/>
    <x v="62"/>
    <x v="0"/>
    <n v="28.563262000000002"/>
    <n v="77.186937"/>
    <x v="6"/>
    <n v="2"/>
    <n v="146"/>
    <n v="48"/>
  </r>
  <r>
    <s v="India"/>
    <x v="6"/>
    <x v="39"/>
    <x v="63"/>
    <x v="0"/>
    <n v="28.732527999999999"/>
    <n v="77.119919999999993"/>
    <x v="0"/>
    <n v="3"/>
    <n v="172"/>
    <n v="84"/>
  </r>
  <r>
    <s v="India"/>
    <x v="6"/>
    <x v="39"/>
    <x v="64"/>
    <x v="0"/>
    <n v="28.651478099999999"/>
    <n v="77.147310500000003"/>
    <x v="5"/>
    <n v="192"/>
    <n v="500"/>
    <n v="328"/>
  </r>
  <r>
    <s v="India"/>
    <x v="6"/>
    <x v="39"/>
    <x v="64"/>
    <x v="0"/>
    <n v="28.651478099999999"/>
    <n v="77.147310500000003"/>
    <x v="1"/>
    <n v="124"/>
    <n v="500"/>
    <n v="228"/>
  </r>
  <r>
    <s v="India"/>
    <x v="6"/>
    <x v="39"/>
    <x v="64"/>
    <x v="0"/>
    <n v="28.651478099999999"/>
    <n v="77.147310500000003"/>
    <x v="6"/>
    <n v="26"/>
    <n v="79"/>
    <n v="46"/>
  </r>
  <r>
    <s v="India"/>
    <x v="6"/>
    <x v="39"/>
    <x v="74"/>
    <x v="0"/>
    <n v="28.657381399999998"/>
    <n v="77.158544699999993"/>
    <x v="2"/>
    <n v="13"/>
    <n v="125"/>
    <n v="66"/>
  </r>
  <r>
    <s v="India"/>
    <x v="6"/>
    <x v="39"/>
    <x v="59"/>
    <x v="0"/>
    <n v="28.623763"/>
    <n v="77.287209000000004"/>
    <x v="1"/>
    <n v="103"/>
    <n v="390"/>
    <n v="190"/>
  </r>
  <r>
    <s v="India"/>
    <x v="6"/>
    <x v="39"/>
    <x v="59"/>
    <x v="0"/>
    <n v="28.623763"/>
    <n v="77.287209000000004"/>
    <x v="2"/>
    <n v="19"/>
    <n v="140"/>
    <n v="76"/>
  </r>
  <r>
    <s v="India"/>
    <x v="6"/>
    <x v="39"/>
    <x v="59"/>
    <x v="0"/>
    <n v="28.623763"/>
    <n v="77.287209000000004"/>
    <x v="4"/>
    <n v="8"/>
    <n v="12"/>
    <n v="10"/>
  </r>
  <r>
    <s v="India"/>
    <x v="6"/>
    <x v="39"/>
    <x v="60"/>
    <x v="0"/>
    <n v="28.674045"/>
    <n v="77.131022999999999"/>
    <x v="0"/>
    <n v="1"/>
    <n v="305"/>
    <n v="125"/>
  </r>
  <r>
    <s v="India"/>
    <x v="6"/>
    <x v="39"/>
    <x v="61"/>
    <x v="0"/>
    <n v="28.639652000000002"/>
    <n v="77.146275000000003"/>
    <x v="1"/>
    <n v="86"/>
    <n v="233"/>
    <n v="150"/>
  </r>
  <r>
    <s v="India"/>
    <x v="6"/>
    <x v="39"/>
    <x v="79"/>
    <x v="0"/>
    <n v="28.710508000000001"/>
    <n v="77.249485000000007"/>
    <x v="5"/>
    <n v="33"/>
    <n v="343"/>
    <n v="139"/>
  </r>
  <r>
    <s v="India"/>
    <x v="6"/>
    <x v="39"/>
    <x v="79"/>
    <x v="0"/>
    <n v="28.710508000000001"/>
    <n v="77.249485000000007"/>
    <x v="1"/>
    <n v="69"/>
    <n v="443"/>
    <n v="177"/>
  </r>
  <r>
    <s v="India"/>
    <x v="6"/>
    <x v="39"/>
    <x v="79"/>
    <x v="0"/>
    <n v="28.710508000000001"/>
    <n v="77.249485000000007"/>
    <x v="3"/>
    <n v="5"/>
    <n v="7"/>
    <n v="6"/>
  </r>
  <r>
    <s v="India"/>
    <x v="6"/>
    <x v="39"/>
    <x v="79"/>
    <x v="0"/>
    <n v="28.710508000000001"/>
    <n v="77.249485000000007"/>
    <x v="6"/>
    <n v="22"/>
    <n v="100"/>
    <n v="34"/>
  </r>
  <r>
    <s v="India"/>
    <x v="6"/>
    <x v="39"/>
    <x v="385"/>
    <x v="0"/>
    <n v="28.580279999999998"/>
    <n v="77.233829"/>
    <x v="2"/>
    <n v="97"/>
    <n v="221"/>
    <n v="161"/>
  </r>
  <r>
    <s v="India"/>
    <x v="6"/>
    <x v="39"/>
    <x v="75"/>
    <x v="0"/>
    <n v="28.531345999999999"/>
    <n v="77.190156000000002"/>
    <x v="1"/>
    <n v="102"/>
    <n v="244"/>
    <n v="154"/>
  </r>
  <r>
    <s v="India"/>
    <x v="7"/>
    <x v="213"/>
    <x v="386"/>
    <x v="0"/>
    <n v="20.362421000000001"/>
    <n v="72.918013000000002"/>
    <x v="4"/>
    <n v="36"/>
    <n v="38"/>
    <n v="37"/>
  </r>
  <r>
    <s v="India"/>
    <x v="7"/>
    <x v="214"/>
    <x v="387"/>
    <x v="0"/>
    <n v="22.969611"/>
    <n v="72.643500000000003"/>
    <x v="5"/>
    <n v="30"/>
    <n v="313"/>
    <n v="102"/>
  </r>
  <r>
    <s v="India"/>
    <x v="7"/>
    <x v="214"/>
    <x v="387"/>
    <x v="0"/>
    <n v="22.969611"/>
    <n v="72.643500000000003"/>
    <x v="6"/>
    <n v="53"/>
    <n v="107"/>
    <n v="63"/>
  </r>
  <r>
    <s v="India"/>
    <x v="11"/>
    <x v="46"/>
    <x v="91"/>
    <x v="0"/>
    <n v="28.422681000000001"/>
    <n v="77.148944"/>
    <x v="6"/>
    <n v="11"/>
    <n v="42"/>
    <n v="19"/>
  </r>
  <r>
    <s v="India"/>
    <x v="11"/>
    <x v="47"/>
    <x v="92"/>
    <x v="0"/>
    <n v="28.315300000000001"/>
    <n v="76.914299999999997"/>
    <x v="1"/>
    <n v="20"/>
    <n v="48"/>
    <n v="37"/>
  </r>
  <r>
    <s v="India"/>
    <x v="11"/>
    <x v="47"/>
    <x v="92"/>
    <x v="0"/>
    <n v="28.315300000000001"/>
    <n v="76.914299999999997"/>
    <x v="2"/>
    <n v="33"/>
    <n v="80"/>
    <n v="48"/>
  </r>
  <r>
    <s v="India"/>
    <x v="8"/>
    <x v="42"/>
    <x v="83"/>
    <x v="0"/>
    <n v="30.943887"/>
    <n v="76.801991000000001"/>
    <x v="5"/>
    <n v="17"/>
    <n v="203"/>
    <n v="91"/>
  </r>
  <r>
    <s v="India"/>
    <x v="8"/>
    <x v="42"/>
    <x v="83"/>
    <x v="0"/>
    <n v="30.943887"/>
    <n v="76.801991000000001"/>
    <x v="1"/>
    <n v="62"/>
    <n v="288"/>
    <n v="124"/>
  </r>
  <r>
    <s v="India"/>
    <x v="10"/>
    <x v="215"/>
    <x v="388"/>
    <x v="0"/>
    <n v="15.888653"/>
    <n v="74.541751000000005"/>
    <x v="5"/>
    <n v="23"/>
    <n v="33"/>
    <n v="27"/>
  </r>
  <r>
    <s v="India"/>
    <x v="10"/>
    <x v="215"/>
    <x v="388"/>
    <x v="0"/>
    <n v="15.888653"/>
    <n v="74.541751000000005"/>
    <x v="0"/>
    <n v="19"/>
    <n v="20"/>
    <n v="19"/>
  </r>
  <r>
    <s v="India"/>
    <x v="10"/>
    <x v="45"/>
    <x v="88"/>
    <x v="0"/>
    <n v="12.9135218"/>
    <n v="77.595080400000001"/>
    <x v="2"/>
    <m/>
    <m/>
    <m/>
  </r>
  <r>
    <s v="India"/>
    <x v="10"/>
    <x v="45"/>
    <x v="89"/>
    <x v="0"/>
    <n v="12.951912999999999"/>
    <n v="77.539783999999997"/>
    <x v="2"/>
    <n v="5"/>
    <n v="15"/>
    <n v="8"/>
  </r>
  <r>
    <s v="India"/>
    <x v="10"/>
    <x v="45"/>
    <x v="89"/>
    <x v="0"/>
    <n v="12.951912999999999"/>
    <n v="77.539783999999997"/>
    <x v="0"/>
    <n v="27"/>
    <n v="168"/>
    <n v="82"/>
  </r>
  <r>
    <s v="India"/>
    <x v="10"/>
    <x v="45"/>
    <x v="90"/>
    <x v="0"/>
    <n v="12.975684299999999"/>
    <n v="77.566074900000004"/>
    <x v="2"/>
    <n v="31"/>
    <n v="36"/>
    <n v="33"/>
  </r>
  <r>
    <s v="India"/>
    <x v="10"/>
    <x v="45"/>
    <x v="389"/>
    <x v="0"/>
    <n v="13.029152"/>
    <n v="77.585901000000007"/>
    <x v="6"/>
    <n v="4"/>
    <n v="37"/>
    <n v="24"/>
  </r>
  <r>
    <s v="India"/>
    <x v="10"/>
    <x v="45"/>
    <x v="389"/>
    <x v="0"/>
    <n v="13.029152"/>
    <n v="77.585901000000007"/>
    <x v="0"/>
    <n v="6"/>
    <n v="28"/>
    <n v="18"/>
  </r>
  <r>
    <s v="India"/>
    <x v="8"/>
    <x v="42"/>
    <x v="83"/>
    <x v="0"/>
    <n v="30.943887"/>
    <n v="76.801991000000001"/>
    <x v="2"/>
    <n v="6"/>
    <n v="86"/>
    <n v="27"/>
  </r>
  <r>
    <s v="India"/>
    <x v="8"/>
    <x v="42"/>
    <x v="83"/>
    <x v="0"/>
    <n v="30.943887"/>
    <n v="76.801991000000001"/>
    <x v="3"/>
    <n v="5"/>
    <n v="8"/>
    <n v="7"/>
  </r>
  <r>
    <s v="India"/>
    <x v="9"/>
    <x v="43"/>
    <x v="84"/>
    <x v="0"/>
    <n v="34.066206000000001"/>
    <n v="74.819820000000007"/>
    <x v="5"/>
    <n v="39"/>
    <n v="83"/>
    <n v="62"/>
  </r>
  <r>
    <s v="India"/>
    <x v="9"/>
    <x v="43"/>
    <x v="84"/>
    <x v="0"/>
    <n v="34.066206000000001"/>
    <n v="74.819820000000007"/>
    <x v="2"/>
    <n v="21"/>
    <n v="21"/>
    <n v="21"/>
  </r>
  <r>
    <s v="India"/>
    <x v="27"/>
    <x v="216"/>
    <x v="390"/>
    <x v="0"/>
    <n v="23.805689999999998"/>
    <n v="86.442679999999996"/>
    <x v="1"/>
    <n v="103"/>
    <n v="283"/>
    <n v="165"/>
  </r>
  <r>
    <s v="India"/>
    <x v="10"/>
    <x v="44"/>
    <x v="85"/>
    <x v="0"/>
    <n v="16.172806000000001"/>
    <n v="75.659694000000002"/>
    <x v="5"/>
    <n v="33"/>
    <n v="34"/>
    <n v="34"/>
  </r>
  <r>
    <s v="India"/>
    <x v="10"/>
    <x v="44"/>
    <x v="85"/>
    <x v="0"/>
    <n v="16.172806000000001"/>
    <n v="75.659694000000002"/>
    <x v="2"/>
    <n v="9"/>
    <n v="10"/>
    <n v="9"/>
  </r>
  <r>
    <s v="India"/>
    <x v="7"/>
    <x v="49"/>
    <x v="391"/>
    <x v="0"/>
    <n v="23.243639000000002"/>
    <n v="72.689940000000007"/>
    <x v="5"/>
    <n v="48"/>
    <n v="253"/>
    <n v="118"/>
  </r>
  <r>
    <s v="India"/>
    <x v="7"/>
    <x v="49"/>
    <x v="95"/>
    <x v="0"/>
    <n v="23.221713999999999"/>
    <n v="72.654328000000007"/>
    <x v="3"/>
    <n v="5"/>
    <n v="6"/>
    <n v="5"/>
  </r>
  <r>
    <s v="India"/>
    <x v="7"/>
    <x v="49"/>
    <x v="95"/>
    <x v="0"/>
    <n v="23.221713999999999"/>
    <n v="72.654328000000007"/>
    <x v="4"/>
    <n v="5"/>
    <n v="7"/>
    <n v="6"/>
  </r>
  <r>
    <s v="India"/>
    <x v="7"/>
    <x v="217"/>
    <x v="392"/>
    <x v="0"/>
    <n v="22.410802"/>
    <n v="73.097922999999994"/>
    <x v="5"/>
    <n v="2"/>
    <n v="8"/>
    <n v="4"/>
  </r>
  <r>
    <s v="India"/>
    <x v="7"/>
    <x v="50"/>
    <x v="96"/>
    <x v="0"/>
    <n v="21.170045999999999"/>
    <n v="72.795405000000002"/>
    <x v="2"/>
    <m/>
    <m/>
    <m/>
  </r>
  <r>
    <s v="India"/>
    <x v="7"/>
    <x v="213"/>
    <x v="386"/>
    <x v="0"/>
    <n v="20.362421000000001"/>
    <n v="72.918013000000002"/>
    <x v="2"/>
    <n v="13"/>
    <n v="14"/>
    <n v="14"/>
  </r>
  <r>
    <s v="India"/>
    <x v="7"/>
    <x v="41"/>
    <x v="82"/>
    <x v="0"/>
    <n v="23.020509000000001"/>
    <n v="72.579261000000002"/>
    <x v="1"/>
    <n v="8"/>
    <n v="181"/>
    <n v="81"/>
  </r>
  <r>
    <s v="India"/>
    <x v="7"/>
    <x v="41"/>
    <x v="393"/>
    <x v="0"/>
    <n v="23.016833999999999"/>
    <n v="72.625775000000004"/>
    <x v="6"/>
    <n v="2"/>
    <n v="164"/>
    <n v="164"/>
  </r>
  <r>
    <s v="India"/>
    <x v="7"/>
    <x v="41"/>
    <x v="86"/>
    <x v="0"/>
    <n v="23.041136999999999"/>
    <n v="72.456691000000006"/>
    <x v="2"/>
    <n v="8"/>
    <n v="22"/>
    <n v="13"/>
  </r>
  <r>
    <s v="India"/>
    <x v="7"/>
    <x v="41"/>
    <x v="86"/>
    <x v="0"/>
    <n v="23.041136999999999"/>
    <n v="72.456691000000006"/>
    <x v="4"/>
    <n v="1"/>
    <n v="2"/>
    <n v="1"/>
  </r>
  <r>
    <s v="India"/>
    <x v="7"/>
    <x v="41"/>
    <x v="86"/>
    <x v="0"/>
    <n v="23.041136999999999"/>
    <n v="72.456691000000006"/>
    <x v="0"/>
    <n v="4"/>
    <n v="37"/>
    <n v="33"/>
  </r>
  <r>
    <s v="India"/>
    <x v="7"/>
    <x v="41"/>
    <x v="87"/>
    <x v="0"/>
    <n v="23.076792999999999"/>
    <n v="72.627874000000006"/>
    <x v="2"/>
    <n v="6"/>
    <n v="69"/>
    <n v="26"/>
  </r>
  <r>
    <s v="India"/>
    <x v="7"/>
    <x v="41"/>
    <x v="87"/>
    <x v="0"/>
    <n v="23.076792999999999"/>
    <n v="72.627874000000006"/>
    <x v="3"/>
    <n v="3"/>
    <n v="9"/>
    <n v="6"/>
  </r>
  <r>
    <s v="India"/>
    <x v="6"/>
    <x v="39"/>
    <x v="78"/>
    <x v="0"/>
    <n v="28.699793"/>
    <n v="77.165452999999999"/>
    <x v="0"/>
    <n v="5"/>
    <n v="303"/>
    <n v="120"/>
  </r>
  <r>
    <s v="India"/>
    <x v="7"/>
    <x v="41"/>
    <x v="97"/>
    <x v="0"/>
    <n v="23.107969000000001"/>
    <n v="72.574647999999996"/>
    <x v="3"/>
    <n v="3"/>
    <n v="9"/>
    <n v="4"/>
  </r>
  <r>
    <s v="India"/>
    <x v="7"/>
    <x v="41"/>
    <x v="80"/>
    <x v="0"/>
    <n v="22.977134"/>
    <n v="72.553023999999994"/>
    <x v="1"/>
    <n v="52"/>
    <n v="373"/>
    <n v="163"/>
  </r>
  <r>
    <s v="India"/>
    <x v="7"/>
    <x v="41"/>
    <x v="80"/>
    <x v="0"/>
    <n v="22.977134"/>
    <n v="72.553023999999994"/>
    <x v="2"/>
    <n v="7"/>
    <n v="87"/>
    <n v="38"/>
  </r>
  <r>
    <s v="India"/>
    <x v="7"/>
    <x v="41"/>
    <x v="93"/>
    <x v="0"/>
    <n v="23.04307"/>
    <n v="72.562967999999998"/>
    <x v="1"/>
    <n v="50"/>
    <n v="126"/>
    <n v="75"/>
  </r>
  <r>
    <s v="India"/>
    <x v="7"/>
    <x v="48"/>
    <x v="94"/>
    <x v="0"/>
    <n v="21.613267"/>
    <n v="73.010554999999997"/>
    <x v="3"/>
    <n v="7"/>
    <n v="8"/>
    <n v="7"/>
  </r>
  <r>
    <s v="India"/>
    <x v="6"/>
    <x v="39"/>
    <x v="77"/>
    <x v="0"/>
    <n v="28.672342"/>
    <n v="77.315259999999995"/>
    <x v="3"/>
    <n v="1"/>
    <n v="5"/>
    <n v="4"/>
  </r>
  <r>
    <s v="India"/>
    <x v="6"/>
    <x v="39"/>
    <x v="78"/>
    <x v="0"/>
    <n v="28.699793"/>
    <n v="77.165452999999999"/>
    <x v="1"/>
    <m/>
    <m/>
    <m/>
  </r>
  <r>
    <s v="India"/>
    <x v="6"/>
    <x v="39"/>
    <x v="78"/>
    <x v="0"/>
    <n v="28.699793"/>
    <n v="77.165452999999999"/>
    <x v="3"/>
    <n v="10"/>
    <n v="21"/>
    <n v="14"/>
  </r>
  <r>
    <s v="India"/>
    <x v="7"/>
    <x v="41"/>
    <x v="81"/>
    <x v="0"/>
    <n v="23.002656999999999"/>
    <n v="72.591911999999994"/>
    <x v="6"/>
    <n v="10"/>
    <n v="92"/>
    <n v="47"/>
  </r>
  <r>
    <s v="India"/>
    <x v="10"/>
    <x v="56"/>
    <x v="104"/>
    <x v="0"/>
    <n v="13.328028"/>
    <n v="75.797055999999998"/>
    <x v="0"/>
    <n v="12"/>
    <n v="41"/>
    <n v="15"/>
  </r>
  <r>
    <s v="India"/>
    <x v="10"/>
    <x v="57"/>
    <x v="105"/>
    <x v="0"/>
    <n v="14.4758"/>
    <n v="75.905199999999994"/>
    <x v="3"/>
    <n v="2"/>
    <n v="3"/>
    <n v="2"/>
  </r>
  <r>
    <s v="India"/>
    <x v="10"/>
    <x v="58"/>
    <x v="106"/>
    <x v="0"/>
    <n v="15.459706000000001"/>
    <n v="75.008381"/>
    <x v="5"/>
    <n v="46"/>
    <n v="68"/>
    <n v="50"/>
  </r>
  <r>
    <s v="India"/>
    <x v="10"/>
    <x v="58"/>
    <x v="106"/>
    <x v="0"/>
    <n v="15.459706000000001"/>
    <n v="75.008381"/>
    <x v="1"/>
    <n v="50"/>
    <n v="80"/>
    <n v="56"/>
  </r>
  <r>
    <s v="India"/>
    <x v="10"/>
    <x v="51"/>
    <x v="99"/>
    <x v="0"/>
    <n v="15.411455999999999"/>
    <n v="75.638132999999996"/>
    <x v="1"/>
    <n v="30"/>
    <n v="57"/>
    <n v="42"/>
  </r>
  <r>
    <s v="India"/>
    <x v="10"/>
    <x v="51"/>
    <x v="99"/>
    <x v="0"/>
    <n v="15.411455999999999"/>
    <n v="75.638132999999996"/>
    <x v="0"/>
    <n v="18"/>
    <n v="71"/>
    <n v="56"/>
  </r>
  <r>
    <s v="India"/>
    <x v="10"/>
    <x v="52"/>
    <x v="100"/>
    <x v="0"/>
    <n v="14.7918"/>
    <n v="75.389600000000002"/>
    <x v="2"/>
    <m/>
    <m/>
    <m/>
  </r>
  <r>
    <s v="India"/>
    <x v="10"/>
    <x v="53"/>
    <x v="101"/>
    <x v="0"/>
    <n v="15.3714823"/>
    <n v="75.116016799999997"/>
    <x v="1"/>
    <n v="46"/>
    <n v="47"/>
    <n v="47"/>
  </r>
  <r>
    <s v="India"/>
    <x v="10"/>
    <x v="53"/>
    <x v="101"/>
    <x v="0"/>
    <n v="15.3714823"/>
    <n v="75.116016799999997"/>
    <x v="6"/>
    <n v="6"/>
    <n v="19"/>
    <n v="8"/>
  </r>
  <r>
    <s v="India"/>
    <x v="10"/>
    <x v="54"/>
    <x v="102"/>
    <x v="0"/>
    <n v="17.321992999999999"/>
    <n v="76.822627999999995"/>
    <x v="0"/>
    <n v="23"/>
    <n v="70"/>
    <n v="59"/>
  </r>
  <r>
    <s v="India"/>
    <x v="10"/>
    <x v="54"/>
    <x v="394"/>
    <x v="0"/>
    <n v="17.336317999999999"/>
    <n v="76.847397000000001"/>
    <x v="6"/>
    <n v="31"/>
    <n v="80"/>
    <n v="44"/>
  </r>
  <r>
    <s v="India"/>
    <x v="10"/>
    <x v="218"/>
    <x v="395"/>
    <x v="0"/>
    <n v="15.347630000000001"/>
    <n v="76.181766999999994"/>
    <x v="5"/>
    <n v="11"/>
    <n v="51"/>
    <n v="25"/>
  </r>
  <r>
    <s v="India"/>
    <x v="10"/>
    <x v="45"/>
    <x v="396"/>
    <x v="0"/>
    <n v="13.003871999999999"/>
    <n v="77.664216999999994"/>
    <x v="2"/>
    <n v="20"/>
    <n v="23"/>
    <n v="22"/>
  </r>
  <r>
    <s v="India"/>
    <x v="10"/>
    <x v="45"/>
    <x v="396"/>
    <x v="0"/>
    <n v="13.003871999999999"/>
    <n v="77.664216999999994"/>
    <x v="3"/>
    <n v="2"/>
    <n v="2"/>
    <n v="2"/>
  </r>
  <r>
    <s v="India"/>
    <x v="10"/>
    <x v="45"/>
    <x v="112"/>
    <x v="0"/>
    <n v="13.027019900000001"/>
    <n v="77.494094000000004"/>
    <x v="6"/>
    <n v="23"/>
    <n v="70"/>
    <n v="44"/>
  </r>
  <r>
    <s v="India"/>
    <x v="10"/>
    <x v="45"/>
    <x v="113"/>
    <x v="0"/>
    <n v="12.921417999999999"/>
    <n v="77.502465999999998"/>
    <x v="2"/>
    <n v="18"/>
    <n v="21"/>
    <n v="20"/>
  </r>
  <r>
    <s v="India"/>
    <x v="10"/>
    <x v="45"/>
    <x v="109"/>
    <x v="0"/>
    <n v="13.024634199999999"/>
    <n v="77.508011499999995"/>
    <x v="1"/>
    <n v="28"/>
    <n v="88"/>
    <n v="47"/>
  </r>
  <r>
    <s v="India"/>
    <x v="10"/>
    <x v="45"/>
    <x v="109"/>
    <x v="0"/>
    <n v="13.024634199999999"/>
    <n v="77.508011499999995"/>
    <x v="2"/>
    <n v="8"/>
    <n v="10"/>
    <n v="8"/>
  </r>
  <r>
    <s v="India"/>
    <x v="10"/>
    <x v="61"/>
    <x v="111"/>
    <x v="0"/>
    <n v="11.55358"/>
    <n v="76.555210000000002"/>
    <x v="1"/>
    <n v="30"/>
    <n v="46"/>
    <n v="43"/>
  </r>
  <r>
    <s v="India"/>
    <x v="10"/>
    <x v="61"/>
    <x v="111"/>
    <x v="0"/>
    <n v="11.55358"/>
    <n v="76.555210000000002"/>
    <x v="6"/>
    <n v="18"/>
    <n v="120"/>
    <n v="22"/>
  </r>
  <r>
    <s v="India"/>
    <x v="10"/>
    <x v="61"/>
    <x v="111"/>
    <x v="0"/>
    <n v="11.55358"/>
    <n v="76.555210000000002"/>
    <x v="0"/>
    <n v="13"/>
    <n v="26"/>
    <n v="16"/>
  </r>
  <r>
    <s v="India"/>
    <x v="10"/>
    <x v="55"/>
    <x v="103"/>
    <x v="0"/>
    <n v="13.428827999999999"/>
    <n v="77.731418000000005"/>
    <x v="1"/>
    <n v="25"/>
    <n v="63"/>
    <n v="45"/>
  </r>
  <r>
    <s v="India"/>
    <x v="10"/>
    <x v="55"/>
    <x v="103"/>
    <x v="0"/>
    <n v="13.428827999999999"/>
    <n v="77.731418000000005"/>
    <x v="3"/>
    <n v="3"/>
    <n v="4"/>
    <n v="4"/>
  </r>
  <r>
    <s v="India"/>
    <x v="10"/>
    <x v="55"/>
    <x v="103"/>
    <x v="0"/>
    <n v="13.428827999999999"/>
    <n v="77.731418000000005"/>
    <x v="0"/>
    <n v="24"/>
    <n v="25"/>
    <n v="25"/>
  </r>
  <r>
    <s v="India"/>
    <x v="10"/>
    <x v="218"/>
    <x v="395"/>
    <x v="0"/>
    <n v="15.347630000000001"/>
    <n v="76.181766999999994"/>
    <x v="2"/>
    <n v="11"/>
    <n v="25"/>
    <n v="16"/>
  </r>
  <r>
    <s v="India"/>
    <x v="10"/>
    <x v="218"/>
    <x v="395"/>
    <x v="0"/>
    <n v="15.347630000000001"/>
    <n v="76.181766999999994"/>
    <x v="4"/>
    <n v="10"/>
    <n v="28"/>
    <n v="18"/>
  </r>
  <r>
    <s v="India"/>
    <x v="10"/>
    <x v="219"/>
    <x v="397"/>
    <x v="0"/>
    <n v="12.889250000000001"/>
    <n v="74.852999999999994"/>
    <x v="2"/>
    <n v="5"/>
    <n v="9"/>
    <n v="7"/>
  </r>
  <r>
    <s v="India"/>
    <x v="10"/>
    <x v="45"/>
    <x v="398"/>
    <x v="0"/>
    <n v="12.920984000000001"/>
    <n v="77.584907999999999"/>
    <x v="2"/>
    <n v="15"/>
    <n v="16"/>
    <n v="16"/>
  </r>
  <r>
    <s v="India"/>
    <x v="10"/>
    <x v="45"/>
    <x v="398"/>
    <x v="0"/>
    <n v="12.920984000000001"/>
    <n v="77.584907999999999"/>
    <x v="3"/>
    <n v="1"/>
    <n v="1"/>
    <n v="1"/>
  </r>
  <r>
    <s v="India"/>
    <x v="10"/>
    <x v="45"/>
    <x v="398"/>
    <x v="0"/>
    <n v="12.920984000000001"/>
    <n v="77.584907999999999"/>
    <x v="4"/>
    <n v="6"/>
    <n v="15"/>
    <n v="9"/>
  </r>
  <r>
    <s v="India"/>
    <x v="10"/>
    <x v="220"/>
    <x v="399"/>
    <x v="0"/>
    <n v="13.94"/>
    <n v="75.555916999999994"/>
    <x v="3"/>
    <n v="2"/>
    <n v="2"/>
    <n v="2"/>
  </r>
  <r>
    <s v="India"/>
    <x v="10"/>
    <x v="220"/>
    <x v="399"/>
    <x v="0"/>
    <n v="13.94"/>
    <n v="75.555916999999994"/>
    <x v="0"/>
    <n v="9"/>
    <n v="59"/>
    <n v="47"/>
  </r>
  <r>
    <s v="India"/>
    <x v="10"/>
    <x v="62"/>
    <x v="114"/>
    <x v="0"/>
    <n v="12.21041"/>
    <n v="76.373760000000004"/>
    <x v="5"/>
    <n v="16"/>
    <n v="35"/>
    <n v="23"/>
  </r>
  <r>
    <s v="India"/>
    <x v="10"/>
    <x v="62"/>
    <x v="114"/>
    <x v="0"/>
    <n v="12.21041"/>
    <n v="76.373760000000004"/>
    <x v="0"/>
    <n v="12"/>
    <n v="104"/>
    <n v="76"/>
  </r>
  <r>
    <s v="India"/>
    <x v="10"/>
    <x v="63"/>
    <x v="115"/>
    <x v="0"/>
    <n v="13.377516"/>
    <n v="77.099072000000007"/>
    <x v="5"/>
    <n v="20"/>
    <n v="56"/>
    <n v="33"/>
  </r>
  <r>
    <s v="India"/>
    <x v="13"/>
    <x v="71"/>
    <x v="124"/>
    <x v="0"/>
    <n v="23.108440000000002"/>
    <n v="77.511427999999995"/>
    <x v="6"/>
    <n v="14"/>
    <n v="148"/>
    <n v="40"/>
  </r>
  <r>
    <s v="India"/>
    <x v="13"/>
    <x v="71"/>
    <x v="124"/>
    <x v="0"/>
    <n v="23.108440000000002"/>
    <n v="77.511427999999995"/>
    <x v="0"/>
    <n v="29"/>
    <n v="38"/>
    <n v="32"/>
  </r>
  <r>
    <s v="India"/>
    <x v="13"/>
    <x v="72"/>
    <x v="125"/>
    <x v="0"/>
    <n v="22.624758"/>
    <n v="75.675237999999993"/>
    <x v="5"/>
    <n v="40"/>
    <n v="314"/>
    <n v="103"/>
  </r>
  <r>
    <s v="India"/>
    <x v="13"/>
    <x v="72"/>
    <x v="125"/>
    <x v="0"/>
    <n v="22.624758"/>
    <n v="75.675237999999993"/>
    <x v="0"/>
    <n v="50"/>
    <n v="109"/>
    <n v="86"/>
  </r>
  <r>
    <s v="India"/>
    <x v="13"/>
    <x v="221"/>
    <x v="400"/>
    <x v="0"/>
    <n v="23.331731000000001"/>
    <n v="75.045980999999998"/>
    <x v="5"/>
    <n v="43"/>
    <n v="106"/>
    <n v="68"/>
  </r>
  <r>
    <s v="India"/>
    <x v="13"/>
    <x v="76"/>
    <x v="137"/>
    <x v="0"/>
    <n v="23.838585999999999"/>
    <n v="78.759431000000006"/>
    <x v="5"/>
    <n v="17"/>
    <n v="119"/>
    <n v="51"/>
  </r>
  <r>
    <s v="India"/>
    <x v="13"/>
    <x v="76"/>
    <x v="138"/>
    <x v="0"/>
    <n v="23.864015800000001"/>
    <n v="78.802893209999993"/>
    <x v="5"/>
    <n v="19"/>
    <n v="98"/>
    <n v="57"/>
  </r>
  <r>
    <s v="India"/>
    <x v="13"/>
    <x v="76"/>
    <x v="138"/>
    <x v="0"/>
    <n v="23.864015800000001"/>
    <n v="78.802893209999993"/>
    <x v="1"/>
    <n v="45"/>
    <n v="124"/>
    <n v="80"/>
  </r>
  <r>
    <s v="India"/>
    <x v="13"/>
    <x v="68"/>
    <x v="129"/>
    <x v="0"/>
    <n v="23.142887999999999"/>
    <n v="79.916146999999995"/>
    <x v="6"/>
    <n v="24"/>
    <n v="114"/>
    <n v="59"/>
  </r>
  <r>
    <s v="India"/>
    <x v="13"/>
    <x v="68"/>
    <x v="130"/>
    <x v="0"/>
    <n v="23.168606"/>
    <n v="79.932247000000004"/>
    <x v="4"/>
    <n v="4"/>
    <n v="18"/>
    <n v="12"/>
  </r>
  <r>
    <s v="India"/>
    <x v="13"/>
    <x v="68"/>
    <x v="121"/>
    <x v="0"/>
    <n v="23.218135"/>
    <n v="79.957769999999996"/>
    <x v="6"/>
    <n v="16"/>
    <n v="117"/>
    <n v="71"/>
  </r>
  <r>
    <s v="India"/>
    <x v="13"/>
    <x v="69"/>
    <x v="122"/>
    <x v="0"/>
    <n v="23.500160000000001"/>
    <n v="80.232839999999996"/>
    <x v="6"/>
    <n v="21"/>
    <n v="114"/>
    <n v="54"/>
  </r>
  <r>
    <s v="India"/>
    <x v="13"/>
    <x v="70"/>
    <x v="123"/>
    <x v="0"/>
    <n v="24.261300899999998"/>
    <n v="80.723178300000001"/>
    <x v="2"/>
    <n v="11"/>
    <n v="12"/>
    <n v="11"/>
  </r>
  <r>
    <s v="India"/>
    <x v="13"/>
    <x v="71"/>
    <x v="124"/>
    <x v="0"/>
    <n v="23.108440000000002"/>
    <n v="77.511427999999995"/>
    <x v="1"/>
    <n v="81"/>
    <n v="472"/>
    <n v="187"/>
  </r>
  <r>
    <s v="India"/>
    <x v="12"/>
    <x v="65"/>
    <x v="117"/>
    <x v="0"/>
    <n v="8.5149092999999993"/>
    <n v="76.943587899999997"/>
    <x v="2"/>
    <n v="8"/>
    <n v="14"/>
    <n v="10"/>
  </r>
  <r>
    <s v="India"/>
    <x v="13"/>
    <x v="67"/>
    <x v="119"/>
    <x v="0"/>
    <n v="23.264759000000002"/>
    <n v="77.381568000000001"/>
    <x v="5"/>
    <n v="18"/>
    <n v="78"/>
    <n v="43"/>
  </r>
  <r>
    <s v="India"/>
    <x v="13"/>
    <x v="67"/>
    <x v="401"/>
    <x v="0"/>
    <n v="23.210494000000001"/>
    <n v="77.425409000000002"/>
    <x v="4"/>
    <n v="5"/>
    <n v="14"/>
    <n v="9"/>
  </r>
  <r>
    <s v="India"/>
    <x v="13"/>
    <x v="67"/>
    <x v="120"/>
    <x v="0"/>
    <n v="23.233584"/>
    <n v="77.400574000000006"/>
    <x v="1"/>
    <n v="81"/>
    <n v="160"/>
    <n v="117"/>
  </r>
  <r>
    <s v="India"/>
    <x v="12"/>
    <x v="60"/>
    <x v="108"/>
    <x v="0"/>
    <n v="10.073232000000001"/>
    <n v="76.302764999999994"/>
    <x v="3"/>
    <m/>
    <m/>
    <m/>
  </r>
  <r>
    <s v="India"/>
    <x v="12"/>
    <x v="60"/>
    <x v="108"/>
    <x v="0"/>
    <n v="10.073232000000001"/>
    <n v="76.302764999999994"/>
    <x v="6"/>
    <m/>
    <m/>
    <m/>
  </r>
  <r>
    <s v="India"/>
    <x v="12"/>
    <x v="222"/>
    <x v="402"/>
    <x v="0"/>
    <n v="11.875"/>
    <n v="75.373199999999997"/>
    <x v="5"/>
    <n v="48"/>
    <n v="55"/>
    <n v="53"/>
  </r>
  <r>
    <s v="India"/>
    <x v="12"/>
    <x v="222"/>
    <x v="402"/>
    <x v="0"/>
    <n v="11.875"/>
    <n v="75.373199999999997"/>
    <x v="1"/>
    <n v="58"/>
    <n v="66"/>
    <n v="63"/>
  </r>
  <r>
    <s v="India"/>
    <x v="12"/>
    <x v="222"/>
    <x v="402"/>
    <x v="0"/>
    <n v="11.875"/>
    <n v="75.373199999999997"/>
    <x v="6"/>
    <n v="24"/>
    <n v="30"/>
    <n v="28"/>
  </r>
  <r>
    <s v="India"/>
    <x v="12"/>
    <x v="79"/>
    <x v="142"/>
    <x v="0"/>
    <n v="8.8787000000000003"/>
    <n v="76.607299999999995"/>
    <x v="1"/>
    <n v="59"/>
    <n v="65"/>
    <n v="62"/>
  </r>
  <r>
    <s v="India"/>
    <x v="13"/>
    <x v="78"/>
    <x v="140"/>
    <x v="0"/>
    <n v="24.108969999999999"/>
    <n v="82.645579999999995"/>
    <x v="2"/>
    <n v="13"/>
    <n v="125"/>
    <n v="60"/>
  </r>
  <r>
    <s v="India"/>
    <x v="14"/>
    <x v="87"/>
    <x v="151"/>
    <x v="0"/>
    <n v="19.101220000000001"/>
    <n v="74.73339"/>
    <x v="5"/>
    <n v="71"/>
    <n v="268"/>
    <n v="132"/>
  </r>
  <r>
    <s v="India"/>
    <x v="14"/>
    <x v="88"/>
    <x v="152"/>
    <x v="0"/>
    <n v="20.719515999999999"/>
    <n v="77.000253000000001"/>
    <x v="3"/>
    <n v="6"/>
    <n v="21"/>
    <n v="8"/>
  </r>
  <r>
    <s v="India"/>
    <x v="14"/>
    <x v="88"/>
    <x v="152"/>
    <x v="0"/>
    <n v="20.719515999999999"/>
    <n v="77.000253000000001"/>
    <x v="0"/>
    <n v="1"/>
    <n v="90"/>
    <n v="56"/>
  </r>
  <r>
    <s v="India"/>
    <x v="13"/>
    <x v="223"/>
    <x v="403"/>
    <x v="0"/>
    <n v="22.968259100000001"/>
    <n v="76.064117999999993"/>
    <x v="2"/>
    <n v="78"/>
    <n v="138"/>
    <n v="98"/>
  </r>
  <r>
    <s v="India"/>
    <x v="13"/>
    <x v="75"/>
    <x v="132"/>
    <x v="0"/>
    <n v="26.203441999999999"/>
    <n v="78.193251000000004"/>
    <x v="1"/>
    <n v="74"/>
    <n v="252"/>
    <n v="150"/>
  </r>
  <r>
    <s v="India"/>
    <x v="13"/>
    <x v="75"/>
    <x v="132"/>
    <x v="0"/>
    <n v="26.203441999999999"/>
    <n v="78.193251000000004"/>
    <x v="0"/>
    <n v="17"/>
    <n v="158"/>
    <n v="117"/>
  </r>
  <r>
    <s v="India"/>
    <x v="13"/>
    <x v="73"/>
    <x v="135"/>
    <x v="0"/>
    <n v="22.728899999999999"/>
    <n v="75.807599999999994"/>
    <x v="1"/>
    <n v="58"/>
    <n v="131"/>
    <n v="95"/>
  </r>
  <r>
    <s v="India"/>
    <x v="13"/>
    <x v="73"/>
    <x v="135"/>
    <x v="0"/>
    <n v="22.728899999999999"/>
    <n v="75.807599999999994"/>
    <x v="4"/>
    <n v="16"/>
    <n v="16"/>
    <n v="16"/>
  </r>
  <r>
    <s v="India"/>
    <x v="13"/>
    <x v="77"/>
    <x v="139"/>
    <x v="0"/>
    <n v="24.584343629999999"/>
    <n v="80.854941400000001"/>
    <x v="1"/>
    <n v="54"/>
    <n v="57"/>
    <n v="55"/>
  </r>
  <r>
    <s v="India"/>
    <x v="12"/>
    <x v="65"/>
    <x v="141"/>
    <x v="0"/>
    <n v="8.5637000000000008"/>
    <n v="76.886499999999998"/>
    <x v="6"/>
    <n v="18"/>
    <n v="36"/>
    <n v="22"/>
  </r>
  <r>
    <s v="India"/>
    <x v="14"/>
    <x v="86"/>
    <x v="150"/>
    <x v="0"/>
    <n v="20.918945999999998"/>
    <n v="74.776387999999997"/>
    <x v="3"/>
    <n v="8"/>
    <n v="19"/>
    <n v="11"/>
  </r>
  <r>
    <s v="India"/>
    <x v="14"/>
    <x v="224"/>
    <x v="404"/>
    <x v="0"/>
    <n v="21.001263999999999"/>
    <n v="75.565601999999998"/>
    <x v="1"/>
    <m/>
    <m/>
    <m/>
  </r>
  <r>
    <s v="India"/>
    <x v="14"/>
    <x v="224"/>
    <x v="404"/>
    <x v="0"/>
    <n v="21.001263999999999"/>
    <n v="75.565601999999998"/>
    <x v="4"/>
    <n v="15"/>
    <n v="39"/>
    <n v="29"/>
  </r>
  <r>
    <s v="India"/>
    <x v="14"/>
    <x v="224"/>
    <x v="404"/>
    <x v="0"/>
    <n v="21.001263999999999"/>
    <n v="75.565601999999998"/>
    <x v="6"/>
    <n v="20"/>
    <n v="56"/>
    <n v="47"/>
  </r>
  <r>
    <s v="India"/>
    <x v="14"/>
    <x v="224"/>
    <x v="404"/>
    <x v="0"/>
    <n v="21.001263999999999"/>
    <n v="75.565601999999998"/>
    <x v="0"/>
    <n v="4"/>
    <n v="84"/>
    <n v="50"/>
  </r>
  <r>
    <s v="India"/>
    <x v="14"/>
    <x v="90"/>
    <x v="155"/>
    <x v="0"/>
    <n v="19.854616"/>
    <n v="75.905894000000004"/>
    <x v="5"/>
    <n v="49"/>
    <n v="119"/>
    <n v="78"/>
  </r>
  <r>
    <s v="India"/>
    <x v="14"/>
    <x v="90"/>
    <x v="155"/>
    <x v="0"/>
    <n v="19.854616"/>
    <n v="75.905894000000004"/>
    <x v="2"/>
    <n v="21"/>
    <n v="140"/>
    <n v="53"/>
  </r>
  <r>
    <s v="India"/>
    <x v="14"/>
    <x v="90"/>
    <x v="155"/>
    <x v="0"/>
    <n v="19.854616"/>
    <n v="75.905894000000004"/>
    <x v="0"/>
    <n v="14"/>
    <n v="46"/>
    <n v="35"/>
  </r>
  <r>
    <s v="India"/>
    <x v="14"/>
    <x v="91"/>
    <x v="156"/>
    <x v="0"/>
    <n v="19.25292"/>
    <n v="73.142019000000005"/>
    <x v="2"/>
    <n v="5"/>
    <n v="12"/>
    <n v="7"/>
  </r>
  <r>
    <s v="India"/>
    <x v="14"/>
    <x v="91"/>
    <x v="156"/>
    <x v="0"/>
    <n v="19.25292"/>
    <n v="73.142019000000005"/>
    <x v="3"/>
    <n v="1"/>
    <n v="2"/>
    <n v="1"/>
  </r>
  <r>
    <s v="India"/>
    <x v="14"/>
    <x v="91"/>
    <x v="156"/>
    <x v="0"/>
    <n v="19.25292"/>
    <n v="73.142019000000005"/>
    <x v="4"/>
    <n v="4"/>
    <n v="10"/>
    <n v="6"/>
  </r>
  <r>
    <s v="India"/>
    <x v="14"/>
    <x v="91"/>
    <x v="156"/>
    <x v="0"/>
    <n v="19.25292"/>
    <n v="73.142019000000005"/>
    <x v="0"/>
    <n v="16"/>
    <n v="16"/>
    <n v="16"/>
  </r>
  <r>
    <s v="India"/>
    <x v="14"/>
    <x v="80"/>
    <x v="158"/>
    <x v="0"/>
    <n v="16.6870449"/>
    <n v="74.250587199999998"/>
    <x v="1"/>
    <n v="48"/>
    <n v="64"/>
    <n v="56"/>
  </r>
  <r>
    <s v="India"/>
    <x v="14"/>
    <x v="89"/>
    <x v="153"/>
    <x v="0"/>
    <n v="20.940235900000001"/>
    <n v="77.789524799999995"/>
    <x v="4"/>
    <n v="8"/>
    <n v="10"/>
    <n v="9"/>
  </r>
  <r>
    <s v="India"/>
    <x v="14"/>
    <x v="89"/>
    <x v="153"/>
    <x v="0"/>
    <n v="20.940235900000001"/>
    <n v="77.789524799999995"/>
    <x v="6"/>
    <n v="16"/>
    <n v="49"/>
    <n v="27"/>
  </r>
  <r>
    <s v="India"/>
    <x v="14"/>
    <x v="89"/>
    <x v="153"/>
    <x v="0"/>
    <n v="20.940235900000001"/>
    <n v="77.789524799999995"/>
    <x v="0"/>
    <n v="1"/>
    <n v="83"/>
    <n v="49"/>
  </r>
  <r>
    <s v="India"/>
    <x v="14"/>
    <x v="89"/>
    <x v="154"/>
    <x v="0"/>
    <n v="20.939198000000001"/>
    <n v="77.765701000000007"/>
    <x v="4"/>
    <n v="1"/>
    <n v="14"/>
    <n v="6"/>
  </r>
  <r>
    <s v="India"/>
    <x v="14"/>
    <x v="6"/>
    <x v="161"/>
    <x v="0"/>
    <n v="19.875620000000001"/>
    <n v="75.387309999999999"/>
    <x v="4"/>
    <n v="6"/>
    <n v="32"/>
    <n v="12"/>
  </r>
  <r>
    <s v="India"/>
    <x v="14"/>
    <x v="6"/>
    <x v="405"/>
    <x v="0"/>
    <n v="19.8389439"/>
    <n v="75.244448000000006"/>
    <x v="1"/>
    <n v="49"/>
    <n v="108"/>
    <n v="83"/>
  </r>
  <r>
    <s v="India"/>
    <x v="14"/>
    <x v="6"/>
    <x v="405"/>
    <x v="0"/>
    <n v="19.8389439"/>
    <n v="75.244448000000006"/>
    <x v="4"/>
    <n v="24"/>
    <n v="38"/>
    <n v="30"/>
  </r>
  <r>
    <s v="India"/>
    <x v="14"/>
    <x v="93"/>
    <x v="162"/>
    <x v="0"/>
    <n v="19.309073000000001"/>
    <n v="73.057222999999993"/>
    <x v="6"/>
    <n v="15"/>
    <n v="76"/>
    <n v="19"/>
  </r>
  <r>
    <s v="India"/>
    <x v="14"/>
    <x v="93"/>
    <x v="162"/>
    <x v="0"/>
    <n v="19.309073000000001"/>
    <n v="73.057222999999993"/>
    <x v="0"/>
    <n v="31"/>
    <n v="122"/>
    <n v="75"/>
  </r>
  <r>
    <s v="India"/>
    <x v="14"/>
    <x v="84"/>
    <x v="147"/>
    <x v="0"/>
    <n v="19.786089"/>
    <n v="72.757970999999998"/>
    <x v="1"/>
    <n v="76"/>
    <n v="116"/>
    <n v="96"/>
  </r>
  <r>
    <s v="India"/>
    <x v="14"/>
    <x v="85"/>
    <x v="148"/>
    <x v="0"/>
    <n v="19.962900000000001"/>
    <n v="79.298714000000004"/>
    <x v="1"/>
    <n v="114"/>
    <n v="367"/>
    <n v="175"/>
  </r>
  <r>
    <s v="India"/>
    <x v="14"/>
    <x v="85"/>
    <x v="148"/>
    <x v="0"/>
    <n v="19.962900000000001"/>
    <n v="79.298714000000004"/>
    <x v="2"/>
    <n v="21"/>
    <n v="59"/>
    <n v="38"/>
  </r>
  <r>
    <s v="India"/>
    <x v="14"/>
    <x v="85"/>
    <x v="148"/>
    <x v="0"/>
    <n v="19.962900000000001"/>
    <n v="79.298714000000004"/>
    <x v="6"/>
    <n v="10"/>
    <n v="30"/>
    <n v="12"/>
  </r>
  <r>
    <s v="India"/>
    <x v="14"/>
    <x v="225"/>
    <x v="406"/>
    <x v="0"/>
    <n v="18.399629999999998"/>
    <n v="76.574520000000007"/>
    <x v="5"/>
    <n v="55"/>
    <n v="263"/>
    <n v="123"/>
  </r>
  <r>
    <s v="India"/>
    <x v="14"/>
    <x v="225"/>
    <x v="406"/>
    <x v="0"/>
    <n v="18.399629999999998"/>
    <n v="76.574520000000007"/>
    <x v="2"/>
    <n v="18"/>
    <n v="219"/>
    <n v="77"/>
  </r>
  <r>
    <s v="India"/>
    <x v="14"/>
    <x v="225"/>
    <x v="406"/>
    <x v="0"/>
    <n v="18.399629999999998"/>
    <n v="76.574520000000007"/>
    <x v="6"/>
    <n v="2"/>
    <n v="167"/>
    <n v="85"/>
  </r>
  <r>
    <s v="India"/>
    <x v="14"/>
    <x v="82"/>
    <x v="145"/>
    <x v="0"/>
    <n v="20.555712"/>
    <n v="74.529235999999997"/>
    <x v="1"/>
    <n v="26"/>
    <n v="306"/>
    <n v="94"/>
  </r>
  <r>
    <s v="India"/>
    <x v="14"/>
    <x v="82"/>
    <x v="145"/>
    <x v="0"/>
    <n v="20.555712"/>
    <n v="74.529235999999997"/>
    <x v="6"/>
    <n v="10"/>
    <n v="60"/>
    <n v="22"/>
  </r>
  <r>
    <s v="India"/>
    <x v="14"/>
    <x v="94"/>
    <x v="170"/>
    <x v="0"/>
    <n v="19.232410000000002"/>
    <n v="72.868949999999998"/>
    <x v="6"/>
    <n v="22"/>
    <n v="42"/>
    <n v="24"/>
  </r>
  <r>
    <s v="India"/>
    <x v="14"/>
    <x v="94"/>
    <x v="170"/>
    <x v="0"/>
    <n v="19.232410000000002"/>
    <n v="72.868949999999998"/>
    <x v="0"/>
    <n v="4"/>
    <n v="92"/>
    <n v="45"/>
  </r>
  <r>
    <s v="India"/>
    <x v="14"/>
    <x v="94"/>
    <x v="407"/>
    <x v="0"/>
    <n v="18.976700000000001"/>
    <n v="72.837999999999994"/>
    <x v="3"/>
    <n v="4"/>
    <n v="16"/>
    <n v="7"/>
  </r>
  <r>
    <s v="India"/>
    <x v="14"/>
    <x v="94"/>
    <x v="407"/>
    <x v="0"/>
    <n v="18.976700000000001"/>
    <n v="72.837999999999994"/>
    <x v="6"/>
    <n v="4"/>
    <n v="30"/>
    <n v="9"/>
  </r>
  <r>
    <s v="India"/>
    <x v="14"/>
    <x v="226"/>
    <x v="408"/>
    <x v="0"/>
    <n v="19.164850000000001"/>
    <n v="73.234089999999995"/>
    <x v="6"/>
    <n v="12"/>
    <n v="90"/>
    <n v="22"/>
  </r>
  <r>
    <s v="India"/>
    <x v="14"/>
    <x v="92"/>
    <x v="160"/>
    <x v="0"/>
    <n v="19.024390199999999"/>
    <n v="73.040672099999995"/>
    <x v="1"/>
    <n v="77"/>
    <n v="143"/>
    <n v="120"/>
  </r>
  <r>
    <s v="India"/>
    <x v="14"/>
    <x v="92"/>
    <x v="160"/>
    <x v="0"/>
    <n v="19.024390199999999"/>
    <n v="73.040672099999995"/>
    <x v="4"/>
    <n v="2"/>
    <n v="12"/>
    <n v="7"/>
  </r>
  <r>
    <s v="India"/>
    <x v="14"/>
    <x v="94"/>
    <x v="409"/>
    <x v="0"/>
    <n v="19.036458499999998"/>
    <n v="72.895437099999995"/>
    <x v="5"/>
    <n v="50"/>
    <n v="65"/>
    <n v="58"/>
  </r>
  <r>
    <s v="India"/>
    <x v="14"/>
    <x v="94"/>
    <x v="409"/>
    <x v="0"/>
    <n v="19.036458499999998"/>
    <n v="72.895437099999995"/>
    <x v="4"/>
    <n v="1"/>
    <n v="79"/>
    <n v="12"/>
  </r>
  <r>
    <s v="India"/>
    <x v="14"/>
    <x v="94"/>
    <x v="178"/>
    <x v="0"/>
    <n v="19.10078"/>
    <n v="72.874619999999993"/>
    <x v="4"/>
    <n v="12"/>
    <n v="24"/>
    <n v="20"/>
  </r>
  <r>
    <s v="India"/>
    <x v="14"/>
    <x v="6"/>
    <x v="405"/>
    <x v="0"/>
    <n v="19.8389439"/>
    <n v="75.244448000000006"/>
    <x v="6"/>
    <n v="30"/>
    <n v="48"/>
    <n v="41"/>
  </r>
  <r>
    <s v="India"/>
    <x v="14"/>
    <x v="6"/>
    <x v="159"/>
    <x v="0"/>
    <n v="19.863755999999999"/>
    <n v="75.321188000000006"/>
    <x v="2"/>
    <n v="13"/>
    <n v="158"/>
    <n v="52"/>
  </r>
  <r>
    <s v="India"/>
    <x v="14"/>
    <x v="94"/>
    <x v="177"/>
    <x v="0"/>
    <n v="19.11074"/>
    <n v="72.860839999999996"/>
    <x v="3"/>
    <n v="6"/>
    <n v="8"/>
    <n v="7"/>
  </r>
  <r>
    <s v="India"/>
    <x v="14"/>
    <x v="94"/>
    <x v="410"/>
    <x v="0"/>
    <n v="18.993616200000002"/>
    <n v="72.812811300000007"/>
    <x v="1"/>
    <n v="71"/>
    <n v="109"/>
    <n v="82"/>
  </r>
  <r>
    <s v="India"/>
    <x v="14"/>
    <x v="94"/>
    <x v="410"/>
    <x v="0"/>
    <n v="18.993616200000002"/>
    <n v="72.812811300000007"/>
    <x v="3"/>
    <n v="4"/>
    <n v="5"/>
    <n v="5"/>
  </r>
  <r>
    <s v="India"/>
    <x v="14"/>
    <x v="97"/>
    <x v="189"/>
    <x v="0"/>
    <n v="21.121801000000001"/>
    <n v="79.049520000000001"/>
    <x v="2"/>
    <n v="23"/>
    <n v="101"/>
    <n v="58"/>
  </r>
  <r>
    <s v="India"/>
    <x v="14"/>
    <x v="97"/>
    <x v="411"/>
    <x v="0"/>
    <n v="21.152875000000002"/>
    <n v="79.051753099999999"/>
    <x v="6"/>
    <n v="8"/>
    <n v="109"/>
    <n v="44"/>
  </r>
  <r>
    <s v="India"/>
    <x v="14"/>
    <x v="97"/>
    <x v="190"/>
    <x v="0"/>
    <n v="21.143383"/>
    <n v="79.048912000000001"/>
    <x v="5"/>
    <n v="49"/>
    <n v="306"/>
    <n v="131"/>
  </r>
  <r>
    <s v="India"/>
    <x v="14"/>
    <x v="97"/>
    <x v="190"/>
    <x v="0"/>
    <n v="21.143383"/>
    <n v="79.048912000000001"/>
    <x v="1"/>
    <n v="81"/>
    <n v="159"/>
    <n v="116"/>
  </r>
  <r>
    <s v="India"/>
    <x v="14"/>
    <x v="94"/>
    <x v="164"/>
    <x v="0"/>
    <n v="19.2058"/>
    <n v="72.868200000000002"/>
    <x v="3"/>
    <n v="4"/>
    <n v="7"/>
    <n v="6"/>
  </r>
  <r>
    <s v="India"/>
    <x v="14"/>
    <x v="94"/>
    <x v="165"/>
    <x v="0"/>
    <n v="19.215858999999998"/>
    <n v="72.831717999999995"/>
    <x v="1"/>
    <n v="31"/>
    <n v="88"/>
    <n v="54"/>
  </r>
  <r>
    <s v="India"/>
    <x v="14"/>
    <x v="94"/>
    <x v="165"/>
    <x v="0"/>
    <n v="19.215858999999998"/>
    <n v="72.831717999999995"/>
    <x v="3"/>
    <n v="1"/>
    <n v="9"/>
    <n v="7"/>
  </r>
  <r>
    <s v="India"/>
    <x v="14"/>
    <x v="94"/>
    <x v="166"/>
    <x v="0"/>
    <n v="19.063214299999999"/>
    <n v="72.8456324"/>
    <x v="3"/>
    <n v="2"/>
    <n v="32"/>
    <n v="13"/>
  </r>
  <r>
    <s v="India"/>
    <x v="14"/>
    <x v="94"/>
    <x v="166"/>
    <x v="0"/>
    <n v="19.063214299999999"/>
    <n v="72.8456324"/>
    <x v="4"/>
    <m/>
    <m/>
    <m/>
  </r>
  <r>
    <s v="India"/>
    <x v="14"/>
    <x v="94"/>
    <x v="179"/>
    <x v="0"/>
    <n v="19.165332299999999"/>
    <n v="72.922099000000003"/>
    <x v="4"/>
    <n v="2"/>
    <n v="22"/>
    <n v="7"/>
  </r>
  <r>
    <s v="India"/>
    <x v="14"/>
    <x v="98"/>
    <x v="191"/>
    <x v="0"/>
    <n v="19.173852"/>
    <n v="77.296290999999997"/>
    <x v="1"/>
    <n v="48"/>
    <n v="108"/>
    <n v="76"/>
  </r>
  <r>
    <s v="India"/>
    <x v="14"/>
    <x v="98"/>
    <x v="191"/>
    <x v="0"/>
    <n v="19.173852"/>
    <n v="77.296290999999997"/>
    <x v="0"/>
    <n v="15"/>
    <n v="117"/>
    <n v="84"/>
  </r>
  <r>
    <s v="India"/>
    <x v="14"/>
    <x v="99"/>
    <x v="192"/>
    <x v="0"/>
    <n v="20.0073285"/>
    <n v="73.776242699999997"/>
    <x v="0"/>
    <n v="34"/>
    <n v="90"/>
    <n v="83"/>
  </r>
  <r>
    <s v="India"/>
    <x v="14"/>
    <x v="99"/>
    <x v="198"/>
    <x v="0"/>
    <n v="20.021502999999999"/>
    <n v="73.813844000000003"/>
    <x v="1"/>
    <n v="78"/>
    <n v="169"/>
    <n v="119"/>
  </r>
  <r>
    <s v="India"/>
    <x v="14"/>
    <x v="94"/>
    <x v="412"/>
    <x v="0"/>
    <n v="19.086300000000001"/>
    <n v="72.888800000000003"/>
    <x v="5"/>
    <m/>
    <m/>
    <m/>
  </r>
  <r>
    <s v="India"/>
    <x v="14"/>
    <x v="94"/>
    <x v="175"/>
    <x v="0"/>
    <n v="19.197089999999999"/>
    <n v="72.822040000000001"/>
    <x v="5"/>
    <n v="13"/>
    <n v="64"/>
    <n v="40"/>
  </r>
  <r>
    <s v="India"/>
    <x v="14"/>
    <x v="94"/>
    <x v="175"/>
    <x v="0"/>
    <n v="19.197089999999999"/>
    <n v="72.822040000000001"/>
    <x v="1"/>
    <n v="36"/>
    <n v="121"/>
    <n v="78"/>
  </r>
  <r>
    <s v="India"/>
    <x v="14"/>
    <x v="94"/>
    <x v="175"/>
    <x v="0"/>
    <n v="19.197089999999999"/>
    <n v="72.822040000000001"/>
    <x v="3"/>
    <n v="9"/>
    <n v="15"/>
    <n v="11"/>
  </r>
  <r>
    <s v="India"/>
    <x v="14"/>
    <x v="94"/>
    <x v="175"/>
    <x v="0"/>
    <n v="19.197089999999999"/>
    <n v="72.822040000000001"/>
    <x v="0"/>
    <n v="2"/>
    <n v="84"/>
    <n v="60"/>
  </r>
  <r>
    <s v="India"/>
    <x v="14"/>
    <x v="94"/>
    <x v="173"/>
    <x v="0"/>
    <n v="19.1878657"/>
    <n v="72.8304069"/>
    <x v="3"/>
    <n v="1"/>
    <n v="4"/>
    <n v="2"/>
  </r>
  <r>
    <s v="India"/>
    <x v="14"/>
    <x v="94"/>
    <x v="173"/>
    <x v="0"/>
    <n v="19.1878657"/>
    <n v="72.8304069"/>
    <x v="4"/>
    <n v="8"/>
    <n v="24"/>
    <n v="12"/>
  </r>
  <r>
    <s v="India"/>
    <x v="14"/>
    <x v="94"/>
    <x v="171"/>
    <x v="0"/>
    <n v="19.137499999999999"/>
    <n v="72.915056000000007"/>
    <x v="3"/>
    <n v="2"/>
    <n v="2"/>
    <n v="2"/>
  </r>
  <r>
    <s v="India"/>
    <x v="14"/>
    <x v="99"/>
    <x v="199"/>
    <x v="0"/>
    <n v="19.950220000000002"/>
    <n v="73.731480000000005"/>
    <x v="4"/>
    <n v="7"/>
    <n v="25"/>
    <n v="14"/>
  </r>
  <r>
    <s v="India"/>
    <x v="14"/>
    <x v="99"/>
    <x v="200"/>
    <x v="0"/>
    <n v="19.959134599999999"/>
    <n v="73.778800799999999"/>
    <x v="4"/>
    <n v="2"/>
    <n v="25"/>
    <n v="10"/>
  </r>
  <r>
    <s v="India"/>
    <x v="14"/>
    <x v="94"/>
    <x v="172"/>
    <x v="0"/>
    <n v="19.060497999999999"/>
    <n v="72.923355999999998"/>
    <x v="0"/>
    <n v="1"/>
    <n v="86"/>
    <n v="42"/>
  </r>
  <r>
    <s v="India"/>
    <x v="14"/>
    <x v="94"/>
    <x v="180"/>
    <x v="0"/>
    <n v="18.91"/>
    <n v="72.819999999999993"/>
    <x v="1"/>
    <n v="36"/>
    <n v="97"/>
    <n v="52"/>
  </r>
  <r>
    <s v="India"/>
    <x v="14"/>
    <x v="94"/>
    <x v="176"/>
    <x v="0"/>
    <n v="18.967020000000002"/>
    <n v="72.842140000000001"/>
    <x v="6"/>
    <n v="16"/>
    <n v="82"/>
    <n v="53"/>
  </r>
  <r>
    <s v="India"/>
    <x v="14"/>
    <x v="116"/>
    <x v="413"/>
    <x v="0"/>
    <n v="17.654389999999999"/>
    <n v="75.906490000000005"/>
    <x v="1"/>
    <n v="51"/>
    <n v="132"/>
    <n v="75"/>
  </r>
  <r>
    <s v="India"/>
    <x v="14"/>
    <x v="116"/>
    <x v="413"/>
    <x v="0"/>
    <n v="17.654389999999999"/>
    <n v="75.906490000000005"/>
    <x v="6"/>
    <n v="15"/>
    <n v="65"/>
    <n v="31"/>
  </r>
  <r>
    <s v="India"/>
    <x v="14"/>
    <x v="116"/>
    <x v="413"/>
    <x v="0"/>
    <n v="17.654389999999999"/>
    <n v="75.906490000000005"/>
    <x v="0"/>
    <n v="28"/>
    <n v="94"/>
    <n v="72"/>
  </r>
  <r>
    <s v="India"/>
    <x v="14"/>
    <x v="116"/>
    <x v="217"/>
    <x v="0"/>
    <n v="17.6599188"/>
    <n v="75.906390599999995"/>
    <x v="5"/>
    <n v="75"/>
    <n v="75"/>
    <n v="75"/>
  </r>
  <r>
    <s v="India"/>
    <x v="14"/>
    <x v="117"/>
    <x v="414"/>
    <x v="0"/>
    <n v="19.267769999999999"/>
    <n v="72.971819999999994"/>
    <x v="5"/>
    <n v="51"/>
    <n v="96"/>
    <n v="71"/>
  </r>
  <r>
    <s v="India"/>
    <x v="14"/>
    <x v="117"/>
    <x v="414"/>
    <x v="0"/>
    <n v="19.267769999999999"/>
    <n v="72.971819999999994"/>
    <x v="2"/>
    <n v="13"/>
    <n v="99"/>
    <n v="41"/>
  </r>
  <r>
    <s v="India"/>
    <x v="14"/>
    <x v="117"/>
    <x v="414"/>
    <x v="0"/>
    <n v="19.267769999999999"/>
    <n v="72.971819999999994"/>
    <x v="3"/>
    <n v="5"/>
    <n v="22"/>
    <n v="9"/>
  </r>
  <r>
    <s v="India"/>
    <x v="14"/>
    <x v="117"/>
    <x v="414"/>
    <x v="0"/>
    <n v="19.267769999999999"/>
    <n v="72.971819999999994"/>
    <x v="0"/>
    <n v="2"/>
    <n v="97"/>
    <n v="32"/>
  </r>
  <r>
    <s v="India"/>
    <x v="14"/>
    <x v="96"/>
    <x v="187"/>
    <x v="0"/>
    <n v="19.025790000000001"/>
    <n v="73.102969999999999"/>
    <x v="4"/>
    <n v="3"/>
    <n v="28"/>
    <n v="10"/>
  </r>
  <r>
    <s v="India"/>
    <x v="14"/>
    <x v="96"/>
    <x v="187"/>
    <x v="0"/>
    <n v="19.025790000000001"/>
    <n v="73.102969999999999"/>
    <x v="0"/>
    <n v="1"/>
    <n v="88"/>
    <n v="50"/>
  </r>
  <r>
    <s v="India"/>
    <x v="14"/>
    <x v="96"/>
    <x v="188"/>
    <x v="0"/>
    <n v="19.062999999999999"/>
    <n v="73.120900000000006"/>
    <x v="1"/>
    <n v="71"/>
    <n v="233"/>
    <n v="120"/>
  </r>
  <r>
    <s v="India"/>
    <x v="14"/>
    <x v="101"/>
    <x v="201"/>
    <x v="0"/>
    <n v="19.265594"/>
    <n v="76.761463000000006"/>
    <x v="4"/>
    <m/>
    <m/>
    <m/>
  </r>
  <r>
    <s v="India"/>
    <x v="14"/>
    <x v="100"/>
    <x v="415"/>
    <x v="0"/>
    <n v="18.614767000000001"/>
    <n v="73.799515999999997"/>
    <x v="1"/>
    <n v="77"/>
    <n v="165"/>
    <n v="129"/>
  </r>
  <r>
    <s v="India"/>
    <x v="14"/>
    <x v="100"/>
    <x v="415"/>
    <x v="0"/>
    <n v="18.614767000000001"/>
    <n v="73.799515999999997"/>
    <x v="6"/>
    <n v="21"/>
    <n v="110"/>
    <n v="50"/>
  </r>
  <r>
    <s v="India"/>
    <x v="14"/>
    <x v="100"/>
    <x v="193"/>
    <x v="0"/>
    <n v="18.616318"/>
    <n v="73.765797000000006"/>
    <x v="2"/>
    <n v="27"/>
    <n v="144"/>
    <n v="76"/>
  </r>
  <r>
    <s v="India"/>
    <x v="14"/>
    <x v="100"/>
    <x v="193"/>
    <x v="0"/>
    <n v="18.616318"/>
    <n v="73.765797000000006"/>
    <x v="0"/>
    <n v="1"/>
    <n v="59"/>
    <n v="45"/>
  </r>
  <r>
    <s v="India"/>
    <x v="14"/>
    <x v="95"/>
    <x v="181"/>
    <x v="0"/>
    <n v="18.640051"/>
    <n v="73.848956000000001"/>
    <x v="0"/>
    <n v="1"/>
    <n v="98"/>
    <n v="72"/>
  </r>
  <r>
    <s v="India"/>
    <x v="14"/>
    <x v="95"/>
    <x v="183"/>
    <x v="0"/>
    <n v="18.501792999999999"/>
    <n v="73.927531999999999"/>
    <x v="5"/>
    <n v="25"/>
    <n v="99"/>
    <n v="71"/>
  </r>
  <r>
    <s v="India"/>
    <x v="14"/>
    <x v="95"/>
    <x v="183"/>
    <x v="0"/>
    <n v="18.501792999999999"/>
    <n v="73.927531999999999"/>
    <x v="2"/>
    <n v="75"/>
    <n v="125"/>
    <n v="97"/>
  </r>
  <r>
    <s v="India"/>
    <x v="14"/>
    <x v="95"/>
    <x v="416"/>
    <x v="0"/>
    <n v="18.501174299999999"/>
    <n v="73.816552700000003"/>
    <x v="2"/>
    <n v="2"/>
    <n v="2"/>
    <n v="2"/>
  </r>
  <r>
    <s v="India"/>
    <x v="14"/>
    <x v="96"/>
    <x v="417"/>
    <x v="0"/>
    <n v="19.090337000000002"/>
    <n v="73.014232000000007"/>
    <x v="4"/>
    <n v="3"/>
    <n v="13"/>
    <n v="6"/>
  </r>
  <r>
    <s v="India"/>
    <x v="14"/>
    <x v="96"/>
    <x v="417"/>
    <x v="0"/>
    <n v="19.090337000000002"/>
    <n v="73.014232000000007"/>
    <x v="6"/>
    <n v="34"/>
    <n v="120"/>
    <n v="43"/>
  </r>
  <r>
    <s v="India"/>
    <x v="14"/>
    <x v="96"/>
    <x v="186"/>
    <x v="0"/>
    <n v="19.057575199999999"/>
    <n v="73.015136699999999"/>
    <x v="3"/>
    <n v="7"/>
    <n v="24"/>
    <n v="12"/>
  </r>
  <r>
    <s v="India"/>
    <x v="14"/>
    <x v="114"/>
    <x v="215"/>
    <x v="0"/>
    <n v="19.235581"/>
    <n v="73.159120999999999"/>
    <x v="2"/>
    <n v="28"/>
    <n v="46"/>
    <n v="39"/>
  </r>
  <r>
    <s v="India"/>
    <x v="14"/>
    <x v="114"/>
    <x v="215"/>
    <x v="0"/>
    <n v="19.235581"/>
    <n v="73.159120999999999"/>
    <x v="3"/>
    <n v="3"/>
    <n v="6"/>
    <n v="4"/>
  </r>
  <r>
    <s v="India"/>
    <x v="14"/>
    <x v="227"/>
    <x v="418"/>
    <x v="0"/>
    <n v="19.445820999999999"/>
    <n v="72.798823100000007"/>
    <x v="4"/>
    <n v="1"/>
    <n v="3"/>
    <n v="1"/>
  </r>
  <r>
    <s v="India"/>
    <x v="14"/>
    <x v="116"/>
    <x v="220"/>
    <x v="0"/>
    <n v="17.633626400000001"/>
    <n v="75.913249500000006"/>
    <x v="5"/>
    <n v="47"/>
    <n v="99"/>
    <n v="75"/>
  </r>
  <r>
    <s v="India"/>
    <x v="14"/>
    <x v="116"/>
    <x v="220"/>
    <x v="0"/>
    <n v="17.633626400000001"/>
    <n v="75.913249500000006"/>
    <x v="1"/>
    <n v="52"/>
    <n v="141"/>
    <n v="95"/>
  </r>
  <r>
    <s v="India"/>
    <x v="14"/>
    <x v="100"/>
    <x v="196"/>
    <x v="0"/>
    <n v="18.63673"/>
    <n v="73.824870000000004"/>
    <x v="2"/>
    <n v="27"/>
    <n v="123"/>
    <n v="63"/>
  </r>
  <r>
    <s v="India"/>
    <x v="14"/>
    <x v="95"/>
    <x v="416"/>
    <x v="0"/>
    <n v="18.501174299999999"/>
    <n v="73.816552700000003"/>
    <x v="4"/>
    <n v="7"/>
    <n v="7"/>
    <n v="7"/>
  </r>
  <r>
    <s v="India"/>
    <x v="15"/>
    <x v="228"/>
    <x v="419"/>
    <x v="0"/>
    <n v="21.869985"/>
    <n v="85.167016000000004"/>
    <x v="1"/>
    <n v="81"/>
    <n v="121"/>
    <n v="99"/>
  </r>
  <r>
    <s v="India"/>
    <x v="15"/>
    <x v="228"/>
    <x v="419"/>
    <x v="0"/>
    <n v="21.869985"/>
    <n v="85.167016000000004"/>
    <x v="6"/>
    <n v="28"/>
    <n v="42"/>
    <n v="36"/>
  </r>
  <r>
    <s v="India"/>
    <x v="20"/>
    <x v="127"/>
    <x v="231"/>
    <x v="0"/>
    <n v="11.930899999999999"/>
    <n v="79.802700000000002"/>
    <x v="5"/>
    <n v="5"/>
    <n v="106"/>
    <n v="29"/>
  </r>
  <r>
    <s v="India"/>
    <x v="20"/>
    <x v="127"/>
    <x v="231"/>
    <x v="0"/>
    <n v="11.930899999999999"/>
    <n v="79.802700000000002"/>
    <x v="3"/>
    <n v="3"/>
    <n v="8"/>
    <n v="4"/>
  </r>
  <r>
    <s v="India"/>
    <x v="20"/>
    <x v="127"/>
    <x v="231"/>
    <x v="0"/>
    <n v="11.930899999999999"/>
    <n v="79.802700000000002"/>
    <x v="6"/>
    <n v="14"/>
    <n v="34"/>
    <n v="16"/>
  </r>
  <r>
    <s v="India"/>
    <x v="18"/>
    <x v="128"/>
    <x v="232"/>
    <x v="0"/>
    <n v="31.62"/>
    <n v="74.876512000000005"/>
    <x v="0"/>
    <n v="42"/>
    <n v="61"/>
    <n v="50"/>
  </r>
  <r>
    <s v="India"/>
    <x v="18"/>
    <x v="229"/>
    <x v="420"/>
    <x v="0"/>
    <n v="30.233011000000001"/>
    <n v="74.907758000000001"/>
    <x v="4"/>
    <n v="3"/>
    <n v="19"/>
    <n v="11"/>
  </r>
  <r>
    <s v="India"/>
    <x v="18"/>
    <x v="230"/>
    <x v="421"/>
    <x v="0"/>
    <n v="31.321906999999999"/>
    <n v="75.578913999999997"/>
    <x v="1"/>
    <n v="62"/>
    <n v="183"/>
    <n v="126"/>
  </r>
  <r>
    <s v="India"/>
    <x v="15"/>
    <x v="112"/>
    <x v="213"/>
    <x v="0"/>
    <n v="21.800499599999998"/>
    <n v="83.839697700000002"/>
    <x v="6"/>
    <n v="28"/>
    <n v="61"/>
    <n v="56"/>
  </r>
  <r>
    <s v="India"/>
    <x v="15"/>
    <x v="113"/>
    <x v="214"/>
    <x v="0"/>
    <n v="20.941849999999999"/>
    <n v="86.115099999999998"/>
    <x v="0"/>
    <n v="22"/>
    <n v="154"/>
    <n v="97"/>
  </r>
  <r>
    <s v="India"/>
    <x v="15"/>
    <x v="102"/>
    <x v="202"/>
    <x v="0"/>
    <n v="20.488910000000001"/>
    <n v="85.847679999999997"/>
    <x v="5"/>
    <n v="28"/>
    <n v="93"/>
    <n v="51"/>
  </r>
  <r>
    <s v="India"/>
    <x v="15"/>
    <x v="103"/>
    <x v="203"/>
    <x v="0"/>
    <n v="21.643899999999999"/>
    <n v="85.599355000000003"/>
    <x v="1"/>
    <n v="85"/>
    <n v="128"/>
    <n v="107"/>
  </r>
  <r>
    <s v="India"/>
    <x v="15"/>
    <x v="104"/>
    <x v="204"/>
    <x v="0"/>
    <n v="21.847279"/>
    <n v="85.416905"/>
    <x v="3"/>
    <m/>
    <m/>
    <m/>
  </r>
  <r>
    <s v="India"/>
    <x v="15"/>
    <x v="104"/>
    <x v="204"/>
    <x v="0"/>
    <n v="21.847279"/>
    <n v="85.416905"/>
    <x v="6"/>
    <m/>
    <m/>
    <m/>
  </r>
  <r>
    <s v="India"/>
    <x v="28"/>
    <x v="231"/>
    <x v="422"/>
    <x v="0"/>
    <n v="25.663541299999999"/>
    <n v="94.098987800000003"/>
    <x v="6"/>
    <n v="2"/>
    <n v="16"/>
    <n v="13"/>
  </r>
  <r>
    <s v="India"/>
    <x v="15"/>
    <x v="232"/>
    <x v="423"/>
    <x v="0"/>
    <n v="20.832874"/>
    <n v="85.104082000000005"/>
    <x v="5"/>
    <n v="55"/>
    <n v="325"/>
    <n v="131"/>
  </r>
  <r>
    <s v="India"/>
    <x v="15"/>
    <x v="107"/>
    <x v="207"/>
    <x v="0"/>
    <n v="21.511610000000001"/>
    <n v="86.890879999999996"/>
    <x v="1"/>
    <n v="43"/>
    <n v="164"/>
    <n v="102"/>
  </r>
  <r>
    <s v="India"/>
    <x v="15"/>
    <x v="108"/>
    <x v="208"/>
    <x v="0"/>
    <n v="22.116605400000001"/>
    <n v="85.394554600000006"/>
    <x v="2"/>
    <n v="13"/>
    <n v="79"/>
    <n v="26"/>
  </r>
  <r>
    <s v="India"/>
    <x v="15"/>
    <x v="108"/>
    <x v="208"/>
    <x v="0"/>
    <n v="22.116605400000001"/>
    <n v="85.394554600000006"/>
    <x v="4"/>
    <n v="15"/>
    <n v="92"/>
    <n v="30"/>
  </r>
  <r>
    <s v="India"/>
    <x v="15"/>
    <x v="110"/>
    <x v="210"/>
    <x v="0"/>
    <n v="20.240790000000001"/>
    <n v="85.836783999999994"/>
    <x v="4"/>
    <n v="1"/>
    <n v="12"/>
    <n v="6"/>
  </r>
  <r>
    <s v="India"/>
    <x v="15"/>
    <x v="110"/>
    <x v="211"/>
    <x v="0"/>
    <n v="20.346520000000002"/>
    <n v="85.816299999999998"/>
    <x v="5"/>
    <n v="12"/>
    <n v="326"/>
    <n v="74"/>
  </r>
  <r>
    <s v="India"/>
    <x v="15"/>
    <x v="110"/>
    <x v="211"/>
    <x v="0"/>
    <n v="20.346520000000002"/>
    <n v="85.816299999999998"/>
    <x v="3"/>
    <n v="2"/>
    <n v="2"/>
    <n v="2"/>
  </r>
  <r>
    <s v="India"/>
    <x v="15"/>
    <x v="110"/>
    <x v="211"/>
    <x v="0"/>
    <n v="20.346520000000002"/>
    <n v="85.816299999999998"/>
    <x v="4"/>
    <n v="3"/>
    <n v="13"/>
    <n v="7"/>
  </r>
  <r>
    <s v="India"/>
    <x v="15"/>
    <x v="111"/>
    <x v="212"/>
    <x v="0"/>
    <n v="22.061567029999999"/>
    <n v="85.474096130000007"/>
    <x v="4"/>
    <n v="6"/>
    <n v="19"/>
    <n v="9"/>
  </r>
  <r>
    <s v="India"/>
    <x v="29"/>
    <x v="233"/>
    <x v="424"/>
    <x v="0"/>
    <n v="25.580341900000001"/>
    <n v="91.894257100000004"/>
    <x v="5"/>
    <n v="69"/>
    <n v="310"/>
    <n v="186"/>
  </r>
  <r>
    <s v="India"/>
    <x v="29"/>
    <x v="233"/>
    <x v="424"/>
    <x v="0"/>
    <n v="25.580341900000001"/>
    <n v="91.894257100000004"/>
    <x v="2"/>
    <n v="14"/>
    <n v="58"/>
    <n v="31"/>
  </r>
  <r>
    <s v="India"/>
    <x v="29"/>
    <x v="233"/>
    <x v="425"/>
    <x v="0"/>
    <n v="25.558599999999998"/>
    <n v="91.898499999999999"/>
    <x v="4"/>
    <n v="6"/>
    <n v="11"/>
    <n v="8"/>
  </r>
  <r>
    <s v="India"/>
    <x v="17"/>
    <x v="118"/>
    <x v="221"/>
    <x v="0"/>
    <n v="23.717634199999999"/>
    <n v="92.719284099999996"/>
    <x v="3"/>
    <n v="1"/>
    <n v="2"/>
    <n v="1"/>
  </r>
  <r>
    <s v="India"/>
    <x v="18"/>
    <x v="129"/>
    <x v="233"/>
    <x v="0"/>
    <n v="30.736056000000001"/>
    <n v="76.209693999999999"/>
    <x v="3"/>
    <n v="7"/>
    <n v="8"/>
    <n v="7"/>
  </r>
  <r>
    <s v="India"/>
    <x v="18"/>
    <x v="119"/>
    <x v="222"/>
    <x v="0"/>
    <n v="30.902799999999999"/>
    <n v="75.808599999999998"/>
    <x v="5"/>
    <n v="88"/>
    <n v="181"/>
    <n v="101"/>
  </r>
  <r>
    <s v="India"/>
    <x v="18"/>
    <x v="119"/>
    <x v="222"/>
    <x v="0"/>
    <n v="30.902799999999999"/>
    <n v="75.808599999999998"/>
    <x v="1"/>
    <n v="103"/>
    <n v="146"/>
    <n v="111"/>
  </r>
  <r>
    <s v="India"/>
    <x v="19"/>
    <x v="124"/>
    <x v="227"/>
    <x v="0"/>
    <n v="27.554793"/>
    <n v="76.611536000000001"/>
    <x v="4"/>
    <n v="3"/>
    <n v="27"/>
    <n v="14"/>
  </r>
  <r>
    <s v="India"/>
    <x v="19"/>
    <x v="134"/>
    <x v="238"/>
    <x v="0"/>
    <n v="23.55519"/>
    <n v="74.440010000000001"/>
    <x v="6"/>
    <n v="14"/>
    <n v="36"/>
    <n v="22"/>
  </r>
  <r>
    <s v="India"/>
    <x v="19"/>
    <x v="134"/>
    <x v="238"/>
    <x v="0"/>
    <n v="23.55519"/>
    <n v="74.440010000000001"/>
    <x v="0"/>
    <n v="48"/>
    <n v="116"/>
    <n v="85"/>
  </r>
  <r>
    <s v="India"/>
    <x v="18"/>
    <x v="121"/>
    <x v="224"/>
    <x v="0"/>
    <n v="30.349388000000001"/>
    <n v="76.366641999999999"/>
    <x v="3"/>
    <n v="1"/>
    <n v="4"/>
    <n v="4"/>
  </r>
  <r>
    <s v="India"/>
    <x v="18"/>
    <x v="122"/>
    <x v="225"/>
    <x v="0"/>
    <n v="31.0325454"/>
    <n v="76.562304600000004"/>
    <x v="4"/>
    <n v="5"/>
    <n v="8"/>
    <n v="7"/>
  </r>
  <r>
    <s v="India"/>
    <x v="15"/>
    <x v="106"/>
    <x v="206"/>
    <x v="0"/>
    <n v="22.18972222"/>
    <n v="84.862777780000002"/>
    <x v="5"/>
    <m/>
    <m/>
    <m/>
  </r>
  <r>
    <s v="India"/>
    <x v="19"/>
    <x v="150"/>
    <x v="259"/>
    <x v="0"/>
    <n v="23.837789000000001"/>
    <n v="73.714926000000006"/>
    <x v="4"/>
    <n v="2"/>
    <n v="8"/>
    <n v="5"/>
  </r>
  <r>
    <s v="India"/>
    <x v="19"/>
    <x v="150"/>
    <x v="259"/>
    <x v="0"/>
    <n v="23.837789000000001"/>
    <n v="73.714926000000006"/>
    <x v="6"/>
    <n v="11"/>
    <n v="32"/>
    <n v="15"/>
  </r>
  <r>
    <s v="India"/>
    <x v="19"/>
    <x v="151"/>
    <x v="260"/>
    <x v="0"/>
    <n v="29.610749999999999"/>
    <n v="74.283608000000001"/>
    <x v="2"/>
    <n v="12"/>
    <n v="73"/>
    <n v="32"/>
  </r>
  <r>
    <s v="India"/>
    <x v="19"/>
    <x v="151"/>
    <x v="260"/>
    <x v="0"/>
    <n v="29.610749999999999"/>
    <n v="74.283608000000001"/>
    <x v="4"/>
    <n v="7"/>
    <n v="29"/>
    <n v="13"/>
  </r>
  <r>
    <s v="India"/>
    <x v="19"/>
    <x v="139"/>
    <x v="426"/>
    <x v="0"/>
    <n v="26.843698"/>
    <n v="75.766893999999994"/>
    <x v="2"/>
    <n v="9"/>
    <n v="138"/>
    <n v="65"/>
  </r>
  <r>
    <s v="India"/>
    <x v="19"/>
    <x v="139"/>
    <x v="426"/>
    <x v="0"/>
    <n v="26.843698"/>
    <n v="75.766893999999994"/>
    <x v="6"/>
    <n v="14"/>
    <n v="105"/>
    <n v="44"/>
  </r>
  <r>
    <s v="India"/>
    <x v="19"/>
    <x v="133"/>
    <x v="237"/>
    <x v="0"/>
    <n v="25.339604999999999"/>
    <n v="74.618882999999997"/>
    <x v="0"/>
    <n v="1"/>
    <n v="75"/>
    <n v="44"/>
  </r>
  <r>
    <s v="India"/>
    <x v="19"/>
    <x v="130"/>
    <x v="427"/>
    <x v="0"/>
    <n v="28.194908999999999"/>
    <n v="76.862296000000001"/>
    <x v="1"/>
    <m/>
    <m/>
    <m/>
  </r>
  <r>
    <s v="India"/>
    <x v="19"/>
    <x v="130"/>
    <x v="427"/>
    <x v="0"/>
    <n v="28.194908999999999"/>
    <n v="76.862296000000001"/>
    <x v="0"/>
    <n v="14"/>
    <n v="75"/>
    <n v="33"/>
  </r>
  <r>
    <s v="India"/>
    <x v="19"/>
    <x v="130"/>
    <x v="234"/>
    <x v="0"/>
    <n v="28.207266000000001"/>
    <n v="76.829265000000007"/>
    <x v="0"/>
    <n v="4"/>
    <n v="141"/>
    <n v="90"/>
  </r>
  <r>
    <s v="India"/>
    <x v="19"/>
    <x v="152"/>
    <x v="261"/>
    <x v="0"/>
    <n v="26.895551999999999"/>
    <n v="76.334753000000006"/>
    <x v="1"/>
    <n v="116"/>
    <n v="274"/>
    <n v="165"/>
  </r>
  <r>
    <s v="India"/>
    <x v="19"/>
    <x v="152"/>
    <x v="261"/>
    <x v="0"/>
    <n v="26.895551999999999"/>
    <n v="76.334753000000006"/>
    <x v="4"/>
    <n v="10"/>
    <n v="20"/>
    <n v="12"/>
  </r>
  <r>
    <s v="India"/>
    <x v="19"/>
    <x v="153"/>
    <x v="262"/>
    <x v="0"/>
    <n v="26.699556999999999"/>
    <n v="77.898881000000003"/>
    <x v="3"/>
    <n v="6"/>
    <n v="11"/>
    <n v="8"/>
  </r>
  <r>
    <s v="India"/>
    <x v="19"/>
    <x v="153"/>
    <x v="262"/>
    <x v="0"/>
    <n v="26.699556999999999"/>
    <n v="77.898881000000003"/>
    <x v="4"/>
    <n v="10"/>
    <n v="62"/>
    <n v="28"/>
  </r>
  <r>
    <s v="India"/>
    <x v="19"/>
    <x v="156"/>
    <x v="265"/>
    <x v="0"/>
    <n v="28.296139"/>
    <n v="74.961696000000003"/>
    <x v="4"/>
    <n v="3"/>
    <n v="5"/>
    <n v="4"/>
  </r>
  <r>
    <s v="India"/>
    <x v="19"/>
    <x v="156"/>
    <x v="265"/>
    <x v="0"/>
    <n v="28.296139"/>
    <n v="74.961696000000003"/>
    <x v="0"/>
    <n v="28"/>
    <n v="142"/>
    <n v="102"/>
  </r>
  <r>
    <s v="India"/>
    <x v="19"/>
    <x v="152"/>
    <x v="261"/>
    <x v="0"/>
    <n v="26.895551999999999"/>
    <n v="76.334753000000006"/>
    <x v="5"/>
    <n v="47"/>
    <n v="239"/>
    <n v="88"/>
  </r>
  <r>
    <s v="India"/>
    <x v="19"/>
    <x v="136"/>
    <x v="240"/>
    <x v="0"/>
    <n v="25.747299000000002"/>
    <n v="71.393989000000005"/>
    <x v="3"/>
    <n v="4"/>
    <n v="12"/>
    <n v="6"/>
  </r>
  <r>
    <s v="India"/>
    <x v="19"/>
    <x v="136"/>
    <x v="240"/>
    <x v="0"/>
    <n v="25.747299000000002"/>
    <n v="71.393989000000005"/>
    <x v="6"/>
    <n v="10"/>
    <n v="29"/>
    <n v="20"/>
  </r>
  <r>
    <s v="India"/>
    <x v="19"/>
    <x v="136"/>
    <x v="240"/>
    <x v="0"/>
    <n v="25.747299000000002"/>
    <n v="71.393989000000005"/>
    <x v="0"/>
    <n v="33"/>
    <n v="110"/>
    <n v="74"/>
  </r>
  <r>
    <s v="India"/>
    <x v="19"/>
    <x v="131"/>
    <x v="235"/>
    <x v="0"/>
    <n v="28.018792000000001"/>
    <n v="73.292658000000003"/>
    <x v="0"/>
    <n v="1"/>
    <n v="113"/>
    <n v="66"/>
  </r>
  <r>
    <s v="India"/>
    <x v="19"/>
    <x v="138"/>
    <x v="242"/>
    <x v="0"/>
    <n v="25.435773999999999"/>
    <n v="75.644272000000001"/>
    <x v="1"/>
    <n v="101"/>
    <n v="330"/>
    <n v="156"/>
  </r>
  <r>
    <s v="India"/>
    <x v="19"/>
    <x v="140"/>
    <x v="247"/>
    <x v="0"/>
    <n v="26.912329"/>
    <n v="70.909167999999994"/>
    <x v="3"/>
    <n v="6"/>
    <n v="36"/>
    <n v="18"/>
  </r>
  <r>
    <s v="India"/>
    <x v="19"/>
    <x v="133"/>
    <x v="237"/>
    <x v="0"/>
    <n v="25.339604999999999"/>
    <n v="74.618882999999997"/>
    <x v="4"/>
    <n v="27"/>
    <n v="42"/>
    <n v="32"/>
  </r>
  <r>
    <s v="India"/>
    <x v="19"/>
    <x v="156"/>
    <x v="265"/>
    <x v="0"/>
    <n v="28.296139"/>
    <n v="74.961696000000003"/>
    <x v="1"/>
    <n v="47"/>
    <n v="138"/>
    <n v="88"/>
  </r>
  <r>
    <s v="India"/>
    <x v="19"/>
    <x v="155"/>
    <x v="264"/>
    <x v="0"/>
    <n v="25.196024000000001"/>
    <n v="75.855667999999994"/>
    <x v="5"/>
    <n v="22"/>
    <n v="189"/>
    <n v="78"/>
  </r>
  <r>
    <s v="India"/>
    <x v="19"/>
    <x v="155"/>
    <x v="264"/>
    <x v="0"/>
    <n v="25.196024000000001"/>
    <n v="75.855667999999994"/>
    <x v="1"/>
    <n v="89"/>
    <n v="373"/>
    <n v="144"/>
  </r>
  <r>
    <s v="India"/>
    <x v="19"/>
    <x v="155"/>
    <x v="264"/>
    <x v="0"/>
    <n v="25.196024000000001"/>
    <n v="75.855667999999994"/>
    <x v="4"/>
    <n v="1"/>
    <n v="10"/>
    <n v="5"/>
  </r>
  <r>
    <s v="India"/>
    <x v="19"/>
    <x v="155"/>
    <x v="264"/>
    <x v="0"/>
    <n v="25.196024000000001"/>
    <n v="75.855667999999994"/>
    <x v="6"/>
    <n v="16"/>
    <n v="106"/>
    <n v="41"/>
  </r>
  <r>
    <s v="India"/>
    <x v="19"/>
    <x v="155"/>
    <x v="264"/>
    <x v="0"/>
    <n v="25.196024000000001"/>
    <n v="75.855667999999994"/>
    <x v="0"/>
    <n v="3"/>
    <n v="78"/>
    <n v="66"/>
  </r>
  <r>
    <s v="India"/>
    <x v="19"/>
    <x v="155"/>
    <x v="428"/>
    <x v="0"/>
    <n v="25.143889999999999"/>
    <n v="75.821256000000005"/>
    <x v="3"/>
    <n v="2"/>
    <n v="8"/>
    <n v="4"/>
  </r>
  <r>
    <s v="India"/>
    <x v="19"/>
    <x v="234"/>
    <x v="429"/>
    <x v="0"/>
    <n v="27.213494000000001"/>
    <n v="73.734443999999996"/>
    <x v="1"/>
    <n v="92"/>
    <n v="474"/>
    <n v="190"/>
  </r>
  <r>
    <s v="India"/>
    <x v="19"/>
    <x v="234"/>
    <x v="429"/>
    <x v="0"/>
    <n v="27.213494000000001"/>
    <n v="73.734443999999996"/>
    <x v="0"/>
    <n v="24"/>
    <n v="88"/>
    <n v="67"/>
  </r>
  <r>
    <s v="India"/>
    <x v="19"/>
    <x v="145"/>
    <x v="254"/>
    <x v="0"/>
    <n v="25.771061"/>
    <n v="73.340226999999999"/>
    <x v="1"/>
    <n v="103"/>
    <n v="339"/>
    <n v="156"/>
  </r>
  <r>
    <s v="India"/>
    <x v="19"/>
    <x v="145"/>
    <x v="254"/>
    <x v="0"/>
    <n v="25.771061"/>
    <n v="73.340226999999999"/>
    <x v="2"/>
    <n v="14"/>
    <n v="36"/>
    <n v="23"/>
  </r>
  <r>
    <s v="India"/>
    <x v="19"/>
    <x v="144"/>
    <x v="252"/>
    <x v="0"/>
    <n v="26.215415"/>
    <n v="73.070155999999997"/>
    <x v="3"/>
    <n v="5"/>
    <n v="33"/>
    <n v="19"/>
  </r>
  <r>
    <s v="India"/>
    <x v="19"/>
    <x v="144"/>
    <x v="252"/>
    <x v="0"/>
    <n v="26.215415"/>
    <n v="73.070155999999997"/>
    <x v="4"/>
    <n v="3"/>
    <n v="18"/>
    <n v="7"/>
  </r>
  <r>
    <s v="India"/>
    <x v="19"/>
    <x v="144"/>
    <x v="252"/>
    <x v="0"/>
    <n v="26.215415"/>
    <n v="73.070155999999997"/>
    <x v="0"/>
    <n v="10"/>
    <n v="62"/>
    <n v="43"/>
  </r>
  <r>
    <s v="India"/>
    <x v="19"/>
    <x v="144"/>
    <x v="253"/>
    <x v="0"/>
    <n v="26.358805"/>
    <n v="73.047443999999999"/>
    <x v="3"/>
    <n v="4"/>
    <n v="8"/>
    <n v="6"/>
  </r>
  <r>
    <s v="India"/>
    <x v="19"/>
    <x v="144"/>
    <x v="430"/>
    <x v="0"/>
    <n v="26.253384"/>
    <n v="72.976571000000007"/>
    <x v="4"/>
    <n v="4"/>
    <n v="37"/>
    <n v="10"/>
  </r>
  <r>
    <s v="India"/>
    <x v="19"/>
    <x v="154"/>
    <x v="263"/>
    <x v="0"/>
    <n v="26.506177000000001"/>
    <n v="77.025988999999996"/>
    <x v="6"/>
    <n v="16"/>
    <n v="75"/>
    <n v="31"/>
  </r>
  <r>
    <s v="India"/>
    <x v="19"/>
    <x v="154"/>
    <x v="263"/>
    <x v="0"/>
    <n v="26.506177000000001"/>
    <n v="77.025988999999996"/>
    <x v="0"/>
    <n v="3"/>
    <n v="152"/>
    <n v="102"/>
  </r>
  <r>
    <s v="India"/>
    <x v="19"/>
    <x v="155"/>
    <x v="431"/>
    <x v="0"/>
    <n v="25.164090000000002"/>
    <n v="75.858136999999999"/>
    <x v="5"/>
    <n v="14"/>
    <n v="136"/>
    <n v="47"/>
  </r>
  <r>
    <s v="India"/>
    <x v="19"/>
    <x v="155"/>
    <x v="431"/>
    <x v="0"/>
    <n v="25.164090000000002"/>
    <n v="75.858136999999999"/>
    <x v="6"/>
    <n v="12"/>
    <n v="109"/>
    <n v="40"/>
  </r>
  <r>
    <s v="India"/>
    <x v="19"/>
    <x v="149"/>
    <x v="258"/>
    <x v="0"/>
    <n v="27.608912"/>
    <n v="75.153301999999996"/>
    <x v="3"/>
    <n v="5"/>
    <n v="13"/>
    <n v="9"/>
  </r>
  <r>
    <s v="India"/>
    <x v="19"/>
    <x v="235"/>
    <x v="432"/>
    <x v="0"/>
    <n v="24.885261"/>
    <n v="72.857549000000006"/>
    <x v="1"/>
    <n v="38"/>
    <n v="260"/>
    <n v="85"/>
  </r>
  <r>
    <s v="India"/>
    <x v="19"/>
    <x v="235"/>
    <x v="432"/>
    <x v="0"/>
    <n v="24.885261"/>
    <n v="72.857549000000006"/>
    <x v="2"/>
    <n v="6"/>
    <n v="72"/>
    <n v="20"/>
  </r>
  <r>
    <s v="India"/>
    <x v="19"/>
    <x v="235"/>
    <x v="432"/>
    <x v="0"/>
    <n v="24.885261"/>
    <n v="72.857549000000006"/>
    <x v="4"/>
    <n v="3"/>
    <n v="7"/>
    <n v="5"/>
  </r>
  <r>
    <s v="India"/>
    <x v="19"/>
    <x v="235"/>
    <x v="432"/>
    <x v="0"/>
    <n v="24.885261"/>
    <n v="72.857549000000006"/>
    <x v="0"/>
    <n v="26"/>
    <n v="63"/>
    <n v="52"/>
  </r>
  <r>
    <s v="India"/>
    <x v="19"/>
    <x v="166"/>
    <x v="278"/>
    <x v="0"/>
    <n v="29.931623999999999"/>
    <n v="73.864510999999993"/>
    <x v="5"/>
    <n v="32"/>
    <n v="422"/>
    <n v="139"/>
  </r>
  <r>
    <s v="India"/>
    <x v="19"/>
    <x v="166"/>
    <x v="278"/>
    <x v="0"/>
    <n v="29.931623999999999"/>
    <n v="73.864510999999993"/>
    <x v="4"/>
    <n v="7"/>
    <n v="82"/>
    <n v="22"/>
  </r>
  <r>
    <s v="India"/>
    <x v="19"/>
    <x v="166"/>
    <x v="278"/>
    <x v="0"/>
    <n v="29.931623999999999"/>
    <n v="73.864510999999993"/>
    <x v="6"/>
    <n v="30"/>
    <n v="100"/>
    <n v="42"/>
  </r>
  <r>
    <s v="India"/>
    <x v="19"/>
    <x v="167"/>
    <x v="279"/>
    <x v="0"/>
    <n v="26.159932999999999"/>
    <n v="75.780517000000003"/>
    <x v="3"/>
    <n v="5"/>
    <n v="10"/>
    <n v="7"/>
  </r>
  <r>
    <s v="India"/>
    <x v="19"/>
    <x v="167"/>
    <x v="279"/>
    <x v="0"/>
    <n v="26.159932999999999"/>
    <n v="75.780517000000003"/>
    <x v="4"/>
    <n v="5"/>
    <n v="14"/>
    <n v="8"/>
  </r>
  <r>
    <s v="India"/>
    <x v="19"/>
    <x v="236"/>
    <x v="433"/>
    <x v="0"/>
    <n v="24.588616600000002"/>
    <n v="73.632139699999996"/>
    <x v="2"/>
    <n v="31"/>
    <n v="37"/>
    <n v="34"/>
  </r>
  <r>
    <s v="India"/>
    <x v="19"/>
    <x v="142"/>
    <x v="249"/>
    <x v="0"/>
    <n v="24.588397000000001"/>
    <n v="76.172781999999998"/>
    <x v="5"/>
    <n v="33"/>
    <n v="301"/>
    <n v="102"/>
  </r>
  <r>
    <s v="India"/>
    <x v="19"/>
    <x v="142"/>
    <x v="249"/>
    <x v="0"/>
    <n v="24.588397000000001"/>
    <n v="76.172781999999998"/>
    <x v="2"/>
    <n v="17"/>
    <n v="108"/>
    <n v="51"/>
  </r>
  <r>
    <s v="India"/>
    <x v="19"/>
    <x v="144"/>
    <x v="251"/>
    <x v="0"/>
    <n v="26.268249000000001"/>
    <n v="73.019385299999996"/>
    <x v="5"/>
    <n v="10"/>
    <n v="290"/>
    <n v="110"/>
  </r>
  <r>
    <s v="India"/>
    <x v="19"/>
    <x v="144"/>
    <x v="434"/>
    <x v="0"/>
    <n v="26.295809999999999"/>
    <n v="73.082283000000004"/>
    <x v="2"/>
    <n v="4"/>
    <n v="98"/>
    <n v="43"/>
  </r>
  <r>
    <s v="India"/>
    <x v="19"/>
    <x v="144"/>
    <x v="434"/>
    <x v="0"/>
    <n v="26.295809999999999"/>
    <n v="73.082283000000004"/>
    <x v="6"/>
    <n v="10"/>
    <n v="84"/>
    <n v="18"/>
  </r>
  <r>
    <s v="India"/>
    <x v="22"/>
    <x v="162"/>
    <x v="274"/>
    <x v="0"/>
    <n v="27.338529999999999"/>
    <n v="88.614098999999996"/>
    <x v="5"/>
    <n v="97"/>
    <n v="196"/>
    <n v="147"/>
  </r>
  <r>
    <s v="India"/>
    <x v="21"/>
    <x v="163"/>
    <x v="275"/>
    <x v="0"/>
    <n v="11.068250000000001"/>
    <n v="79.070329999999998"/>
    <x v="1"/>
    <n v="24"/>
    <n v="54"/>
    <n v="43"/>
  </r>
  <r>
    <s v="India"/>
    <x v="21"/>
    <x v="163"/>
    <x v="275"/>
    <x v="0"/>
    <n v="11.068250000000001"/>
    <n v="79.070329999999998"/>
    <x v="4"/>
    <n v="9"/>
    <n v="10"/>
    <n v="10"/>
  </r>
  <r>
    <s v="India"/>
    <x v="21"/>
    <x v="237"/>
    <x v="435"/>
    <x v="0"/>
    <n v="12.877731600000001"/>
    <n v="80.083480699999996"/>
    <x v="1"/>
    <m/>
    <m/>
    <m/>
  </r>
  <r>
    <s v="India"/>
    <x v="21"/>
    <x v="157"/>
    <x v="280"/>
    <x v="0"/>
    <n v="12.9099161"/>
    <n v="80.107653799999994"/>
    <x v="5"/>
    <n v="13"/>
    <n v="17"/>
    <n v="14"/>
  </r>
  <r>
    <s v="India"/>
    <x v="21"/>
    <x v="157"/>
    <x v="280"/>
    <x v="0"/>
    <n v="12.9099161"/>
    <n v="80.107653799999994"/>
    <x v="1"/>
    <n v="16"/>
    <n v="22"/>
    <n v="17"/>
  </r>
  <r>
    <s v="India"/>
    <x v="19"/>
    <x v="147"/>
    <x v="256"/>
    <x v="0"/>
    <n v="25.036359999999998"/>
    <n v="73.883501999999993"/>
    <x v="2"/>
    <n v="4"/>
    <n v="43"/>
    <n v="14"/>
  </r>
  <r>
    <s v="India"/>
    <x v="19"/>
    <x v="148"/>
    <x v="257"/>
    <x v="0"/>
    <n v="26.031442999999999"/>
    <n v="76.359326999999993"/>
    <x v="2"/>
    <n v="11"/>
    <n v="34"/>
    <n v="19"/>
  </r>
  <r>
    <s v="India"/>
    <x v="21"/>
    <x v="157"/>
    <x v="282"/>
    <x v="0"/>
    <n v="13.1662"/>
    <n v="80.258399999999995"/>
    <x v="5"/>
    <n v="1"/>
    <n v="71"/>
    <n v="27"/>
  </r>
  <r>
    <s v="India"/>
    <x v="21"/>
    <x v="157"/>
    <x v="266"/>
    <x v="0"/>
    <n v="12.9533"/>
    <n v="80.235699999999994"/>
    <x v="3"/>
    <n v="4"/>
    <n v="4"/>
    <n v="4"/>
  </r>
  <r>
    <s v="India"/>
    <x v="21"/>
    <x v="157"/>
    <x v="266"/>
    <x v="0"/>
    <n v="12.9533"/>
    <n v="80.235699999999994"/>
    <x v="6"/>
    <n v="28"/>
    <n v="38"/>
    <n v="32"/>
  </r>
  <r>
    <s v="India"/>
    <x v="21"/>
    <x v="157"/>
    <x v="267"/>
    <x v="0"/>
    <n v="13.1036"/>
    <n v="80.290899999999993"/>
    <x v="5"/>
    <n v="6"/>
    <n v="71"/>
    <n v="25"/>
  </r>
  <r>
    <s v="India"/>
    <x v="21"/>
    <x v="157"/>
    <x v="267"/>
    <x v="0"/>
    <n v="13.1036"/>
    <n v="80.290899999999993"/>
    <x v="1"/>
    <n v="9"/>
    <n v="94"/>
    <n v="28"/>
  </r>
  <r>
    <s v="India"/>
    <x v="21"/>
    <x v="157"/>
    <x v="268"/>
    <x v="0"/>
    <n v="13.005218899999999"/>
    <n v="80.239812499999999"/>
    <x v="0"/>
    <n v="43"/>
    <n v="52"/>
    <n v="48"/>
  </r>
  <r>
    <s v="India"/>
    <x v="21"/>
    <x v="158"/>
    <x v="269"/>
    <x v="0"/>
    <n v="11.0328"/>
    <n v="77.034899999999993"/>
    <x v="4"/>
    <n v="5"/>
    <n v="7"/>
    <n v="6"/>
  </r>
  <r>
    <s v="India"/>
    <x v="21"/>
    <x v="158"/>
    <x v="270"/>
    <x v="0"/>
    <n v="10.942451"/>
    <n v="76.978995999999995"/>
    <x v="3"/>
    <n v="1"/>
    <n v="1"/>
    <n v="1"/>
  </r>
  <r>
    <s v="India"/>
    <x v="21"/>
    <x v="164"/>
    <x v="276"/>
    <x v="0"/>
    <n v="10.358535"/>
    <n v="77.984320999999994"/>
    <x v="3"/>
    <n v="1"/>
    <n v="1"/>
    <n v="1"/>
  </r>
  <r>
    <s v="India"/>
    <x v="21"/>
    <x v="238"/>
    <x v="436"/>
    <x v="0"/>
    <n v="13.412699999999999"/>
    <n v="80.108099999999993"/>
    <x v="1"/>
    <n v="20"/>
    <n v="127"/>
    <n v="61"/>
  </r>
  <r>
    <s v="India"/>
    <x v="21"/>
    <x v="165"/>
    <x v="277"/>
    <x v="0"/>
    <n v="12.746998"/>
    <n v="77.813811000000001"/>
    <x v="2"/>
    <n v="2"/>
    <n v="2"/>
    <n v="2"/>
  </r>
  <r>
    <s v="India"/>
    <x v="21"/>
    <x v="165"/>
    <x v="277"/>
    <x v="0"/>
    <n v="12.746998"/>
    <n v="77.813811000000001"/>
    <x v="3"/>
    <n v="1"/>
    <n v="1"/>
    <n v="1"/>
  </r>
  <r>
    <s v="India"/>
    <x v="21"/>
    <x v="239"/>
    <x v="437"/>
    <x v="0"/>
    <n v="12.864618"/>
    <n v="79.659968000000006"/>
    <x v="2"/>
    <n v="1"/>
    <n v="12"/>
    <n v="4"/>
  </r>
  <r>
    <s v="India"/>
    <x v="21"/>
    <x v="177"/>
    <x v="300"/>
    <x v="0"/>
    <n v="9.3639899999999994"/>
    <n v="78.831976999999995"/>
    <x v="4"/>
    <n v="13"/>
    <n v="14"/>
    <n v="13"/>
  </r>
  <r>
    <s v="India"/>
    <x v="21"/>
    <x v="174"/>
    <x v="295"/>
    <x v="0"/>
    <n v="12.952707"/>
    <n v="79.303939999999997"/>
    <x v="4"/>
    <n v="15"/>
    <n v="16"/>
    <n v="16"/>
  </r>
  <r>
    <s v="India"/>
    <x v="21"/>
    <x v="240"/>
    <x v="438"/>
    <x v="0"/>
    <n v="11.679111000000001"/>
    <n v="78.125051999999997"/>
    <x v="0"/>
    <n v="16"/>
    <n v="17"/>
    <n v="16"/>
  </r>
  <r>
    <s v="India"/>
    <x v="21"/>
    <x v="241"/>
    <x v="439"/>
    <x v="0"/>
    <n v="10.7654824"/>
    <n v="79.138996800000001"/>
    <x v="3"/>
    <n v="2"/>
    <n v="2"/>
    <n v="2"/>
  </r>
  <r>
    <s v="India"/>
    <x v="21"/>
    <x v="239"/>
    <x v="437"/>
    <x v="0"/>
    <n v="12.864618"/>
    <n v="79.659968000000006"/>
    <x v="3"/>
    <n v="4"/>
    <n v="4"/>
    <n v="4"/>
  </r>
  <r>
    <s v="India"/>
    <x v="21"/>
    <x v="239"/>
    <x v="437"/>
    <x v="0"/>
    <n v="12.864618"/>
    <n v="79.659968000000006"/>
    <x v="6"/>
    <n v="20"/>
    <n v="23"/>
    <n v="21"/>
  </r>
  <r>
    <s v="India"/>
    <x v="21"/>
    <x v="242"/>
    <x v="440"/>
    <x v="0"/>
    <n v="9.8659350000000003"/>
    <n v="78.022668999999993"/>
    <x v="6"/>
    <n v="22"/>
    <n v="28"/>
    <n v="26"/>
  </r>
  <r>
    <s v="India"/>
    <x v="21"/>
    <x v="242"/>
    <x v="440"/>
    <x v="0"/>
    <n v="9.8659350000000003"/>
    <n v="78.022668999999993"/>
    <x v="0"/>
    <n v="6"/>
    <n v="6"/>
    <n v="6"/>
  </r>
  <r>
    <s v="India"/>
    <x v="21"/>
    <x v="161"/>
    <x v="273"/>
    <x v="0"/>
    <n v="11.273992"/>
    <n v="78.163544999999999"/>
    <x v="2"/>
    <n v="8"/>
    <n v="8"/>
    <n v="8"/>
  </r>
  <r>
    <s v="India"/>
    <x v="21"/>
    <x v="161"/>
    <x v="273"/>
    <x v="0"/>
    <n v="11.273992"/>
    <n v="78.163544999999999"/>
    <x v="0"/>
    <n v="10"/>
    <n v="11"/>
    <n v="10"/>
  </r>
  <r>
    <s v="India"/>
    <x v="21"/>
    <x v="243"/>
    <x v="441"/>
    <x v="0"/>
    <n v="10.681158"/>
    <n v="78.741746000000006"/>
    <x v="3"/>
    <n v="3"/>
    <n v="3"/>
    <n v="3"/>
  </r>
  <r>
    <s v="India"/>
    <x v="21"/>
    <x v="244"/>
    <x v="442"/>
    <x v="0"/>
    <n v="10.423417000000001"/>
    <n v="78.784889000000007"/>
    <x v="2"/>
    <n v="13"/>
    <n v="17"/>
    <n v="15"/>
  </r>
  <r>
    <s v="India"/>
    <x v="21"/>
    <x v="244"/>
    <x v="442"/>
    <x v="0"/>
    <n v="10.423417000000001"/>
    <n v="78.784889000000007"/>
    <x v="4"/>
    <n v="12"/>
    <n v="13"/>
    <n v="13"/>
  </r>
  <r>
    <s v="India"/>
    <x v="21"/>
    <x v="158"/>
    <x v="270"/>
    <x v="0"/>
    <n v="10.942451"/>
    <n v="76.978995999999995"/>
    <x v="0"/>
    <n v="3"/>
    <n v="85"/>
    <n v="61"/>
  </r>
  <r>
    <s v="India"/>
    <x v="21"/>
    <x v="168"/>
    <x v="284"/>
    <x v="0"/>
    <n v="11.6829898"/>
    <n v="79.753209900000002"/>
    <x v="5"/>
    <m/>
    <m/>
    <m/>
  </r>
  <r>
    <s v="India"/>
    <x v="21"/>
    <x v="168"/>
    <x v="443"/>
    <x v="0"/>
    <n v="11.763768300000001"/>
    <n v="79.749983499999999"/>
    <x v="5"/>
    <n v="10"/>
    <n v="65"/>
    <n v="30"/>
  </r>
  <r>
    <s v="India"/>
    <x v="21"/>
    <x v="157"/>
    <x v="282"/>
    <x v="0"/>
    <n v="13.1662"/>
    <n v="80.258399999999995"/>
    <x v="0"/>
    <n v="30"/>
    <n v="39"/>
    <n v="32"/>
  </r>
  <r>
    <s v="India"/>
    <x v="21"/>
    <x v="161"/>
    <x v="273"/>
    <x v="0"/>
    <n v="11.273992"/>
    <n v="78.163544999999999"/>
    <x v="3"/>
    <n v="2"/>
    <n v="2"/>
    <n v="2"/>
  </r>
  <r>
    <s v="India"/>
    <x v="21"/>
    <x v="175"/>
    <x v="296"/>
    <x v="0"/>
    <n v="8.8164280000000002"/>
    <n v="78.099039000000005"/>
    <x v="4"/>
    <n v="4"/>
    <n v="21"/>
    <n v="14"/>
  </r>
  <r>
    <s v="India"/>
    <x v="21"/>
    <x v="175"/>
    <x v="296"/>
    <x v="0"/>
    <n v="8.8164280000000002"/>
    <n v="78.099039000000005"/>
    <x v="0"/>
    <n v="15"/>
    <n v="21"/>
    <n v="16"/>
  </r>
  <r>
    <s v="India"/>
    <x v="21"/>
    <x v="169"/>
    <x v="285"/>
    <x v="0"/>
    <n v="10.830158000000001"/>
    <n v="78.691849000000005"/>
    <x v="6"/>
    <m/>
    <m/>
    <m/>
  </r>
  <r>
    <s v="India"/>
    <x v="21"/>
    <x v="171"/>
    <x v="287"/>
    <x v="0"/>
    <n v="11.0973603"/>
    <n v="77.322867299999999"/>
    <x v="6"/>
    <n v="52"/>
    <n v="61"/>
    <n v="55"/>
  </r>
  <r>
    <s v="India"/>
    <x v="21"/>
    <x v="245"/>
    <x v="444"/>
    <x v="0"/>
    <n v="12.909494"/>
    <n v="79.131861000000001"/>
    <x v="1"/>
    <n v="22"/>
    <n v="79"/>
    <n v="54"/>
  </r>
  <r>
    <s v="India"/>
    <x v="21"/>
    <x v="245"/>
    <x v="444"/>
    <x v="0"/>
    <n v="12.909494"/>
    <n v="79.131861000000001"/>
    <x v="3"/>
    <n v="1"/>
    <n v="4"/>
    <n v="2"/>
  </r>
  <r>
    <s v="India"/>
    <x v="21"/>
    <x v="245"/>
    <x v="444"/>
    <x v="0"/>
    <n v="12.909494"/>
    <n v="79.131861000000001"/>
    <x v="6"/>
    <n v="15"/>
    <n v="16"/>
    <n v="16"/>
  </r>
  <r>
    <s v="India"/>
    <x v="23"/>
    <x v="173"/>
    <x v="292"/>
    <x v="0"/>
    <n v="17.540890999999998"/>
    <n v="78.358528000000007"/>
    <x v="3"/>
    <n v="3"/>
    <n v="8"/>
    <n v="4"/>
  </r>
  <r>
    <s v="India"/>
    <x v="23"/>
    <x v="173"/>
    <x v="292"/>
    <x v="0"/>
    <n v="17.540890999999998"/>
    <n v="78.358528000000007"/>
    <x v="6"/>
    <n v="20"/>
    <n v="125"/>
    <n v="40"/>
  </r>
  <r>
    <s v="India"/>
    <x v="23"/>
    <x v="173"/>
    <x v="445"/>
    <x v="0"/>
    <n v="17.460103"/>
    <n v="78.334361000000001"/>
    <x v="6"/>
    <m/>
    <m/>
    <m/>
  </r>
  <r>
    <s v="India"/>
    <x v="23"/>
    <x v="173"/>
    <x v="445"/>
    <x v="0"/>
    <n v="17.460103"/>
    <n v="78.334361000000001"/>
    <x v="0"/>
    <m/>
    <m/>
    <m/>
  </r>
  <r>
    <s v="India"/>
    <x v="23"/>
    <x v="173"/>
    <x v="446"/>
    <x v="0"/>
    <n v="17.5184"/>
    <n v="78.278777000000005"/>
    <x v="3"/>
    <n v="1"/>
    <n v="15"/>
    <n v="2"/>
  </r>
  <r>
    <s v="India"/>
    <x v="24"/>
    <x v="176"/>
    <x v="299"/>
    <x v="0"/>
    <n v="27.198658330000001"/>
    <n v="78.005980559999998"/>
    <x v="4"/>
    <n v="12"/>
    <n v="47"/>
    <n v="24"/>
  </r>
  <r>
    <s v="India"/>
    <x v="24"/>
    <x v="176"/>
    <x v="299"/>
    <x v="0"/>
    <n v="27.198658330000001"/>
    <n v="78.005980559999998"/>
    <x v="6"/>
    <n v="24"/>
    <n v="52"/>
    <n v="27"/>
  </r>
  <r>
    <s v="India"/>
    <x v="24"/>
    <x v="176"/>
    <x v="314"/>
    <x v="0"/>
    <n v="27.169338"/>
    <n v="78.035820000000001"/>
    <x v="2"/>
    <m/>
    <m/>
    <m/>
  </r>
  <r>
    <s v="India"/>
    <x v="24"/>
    <x v="176"/>
    <x v="447"/>
    <x v="0"/>
    <n v="27.198619999999998"/>
    <n v="77.920659999999998"/>
    <x v="1"/>
    <n v="65"/>
    <n v="183"/>
    <n v="111"/>
  </r>
  <r>
    <s v="India"/>
    <x v="24"/>
    <x v="176"/>
    <x v="447"/>
    <x v="0"/>
    <n v="27.198619999999998"/>
    <n v="77.920659999999998"/>
    <x v="3"/>
    <m/>
    <m/>
    <m/>
  </r>
  <r>
    <s v="India"/>
    <x v="23"/>
    <x v="173"/>
    <x v="294"/>
    <x v="0"/>
    <n v="17.531689499999999"/>
    <n v="78.218939000000006"/>
    <x v="4"/>
    <n v="2"/>
    <n v="20"/>
    <n v="9"/>
  </r>
  <r>
    <s v="India"/>
    <x v="23"/>
    <x v="173"/>
    <x v="448"/>
    <x v="0"/>
    <n v="17.585705000000001"/>
    <n v="78.126199"/>
    <x v="6"/>
    <m/>
    <m/>
    <m/>
  </r>
  <r>
    <s v="India"/>
    <x v="23"/>
    <x v="173"/>
    <x v="290"/>
    <x v="0"/>
    <n v="17.372060000000001"/>
    <n v="78.50864"/>
    <x v="5"/>
    <n v="27"/>
    <n v="56"/>
    <n v="39"/>
  </r>
  <r>
    <s v="India"/>
    <x v="23"/>
    <x v="173"/>
    <x v="302"/>
    <x v="0"/>
    <n v="17.417093999999999"/>
    <n v="78.457436999999999"/>
    <x v="2"/>
    <n v="6"/>
    <n v="7"/>
    <n v="7"/>
  </r>
  <r>
    <s v="India"/>
    <x v="23"/>
    <x v="173"/>
    <x v="449"/>
    <x v="0"/>
    <n v="17.349694"/>
    <n v="78.451436999999999"/>
    <x v="1"/>
    <n v="53"/>
    <n v="152"/>
    <n v="95"/>
  </r>
  <r>
    <s v="India"/>
    <x v="23"/>
    <x v="173"/>
    <x v="449"/>
    <x v="0"/>
    <n v="17.349694"/>
    <n v="78.451436999999999"/>
    <x v="2"/>
    <n v="71"/>
    <n v="142"/>
    <n v="92"/>
  </r>
  <r>
    <s v="India"/>
    <x v="23"/>
    <x v="173"/>
    <x v="449"/>
    <x v="0"/>
    <n v="17.349694"/>
    <n v="78.451436999999999"/>
    <x v="0"/>
    <n v="22"/>
    <n v="25"/>
    <n v="23"/>
  </r>
  <r>
    <s v="India"/>
    <x v="23"/>
    <x v="173"/>
    <x v="291"/>
    <x v="0"/>
    <n v="17.528544"/>
    <n v="78.286195000000006"/>
    <x v="0"/>
    <n v="6"/>
    <n v="48"/>
    <n v="40"/>
  </r>
  <r>
    <s v="India"/>
    <x v="23"/>
    <x v="173"/>
    <x v="301"/>
    <x v="0"/>
    <n v="17.455945799999999"/>
    <n v="78.433215200000006"/>
    <x v="4"/>
    <n v="2"/>
    <n v="18"/>
    <n v="7"/>
  </r>
  <r>
    <s v="India"/>
    <x v="23"/>
    <x v="173"/>
    <x v="301"/>
    <x v="0"/>
    <n v="17.455945799999999"/>
    <n v="78.433215200000006"/>
    <x v="6"/>
    <n v="2"/>
    <n v="110"/>
    <n v="27"/>
  </r>
  <r>
    <s v="India"/>
    <x v="30"/>
    <x v="246"/>
    <x v="450"/>
    <x v="0"/>
    <n v="23.817549700000001"/>
    <n v="91.272697399999998"/>
    <x v="0"/>
    <n v="39"/>
    <n v="164"/>
    <n v="69"/>
  </r>
  <r>
    <s v="India"/>
    <x v="24"/>
    <x v="176"/>
    <x v="297"/>
    <x v="0"/>
    <n v="27.237110000000001"/>
    <n v="78.019360000000006"/>
    <x v="3"/>
    <n v="1"/>
    <n v="2"/>
    <n v="1"/>
  </r>
  <r>
    <s v="India"/>
    <x v="24"/>
    <x v="176"/>
    <x v="298"/>
    <x v="0"/>
    <n v="27.106971999999999"/>
    <n v="78.000111000000004"/>
    <x v="4"/>
    <n v="13"/>
    <n v="28"/>
    <n v="17"/>
  </r>
  <r>
    <s v="India"/>
    <x v="24"/>
    <x v="176"/>
    <x v="299"/>
    <x v="0"/>
    <n v="27.198658330000001"/>
    <n v="78.005980559999998"/>
    <x v="5"/>
    <n v="41"/>
    <n v="320"/>
    <n v="152"/>
  </r>
  <r>
    <s v="India"/>
    <x v="30"/>
    <x v="246"/>
    <x v="450"/>
    <x v="0"/>
    <n v="23.817549700000001"/>
    <n v="91.272697399999998"/>
    <x v="3"/>
    <n v="3"/>
    <n v="12"/>
    <n v="4"/>
  </r>
  <r>
    <s v="India"/>
    <x v="24"/>
    <x v="189"/>
    <x v="323"/>
    <x v="0"/>
    <n v="26.907229999999998"/>
    <n v="80.985789999999994"/>
    <x v="4"/>
    <n v="21"/>
    <n v="25"/>
    <n v="23"/>
  </r>
  <r>
    <s v="India"/>
    <x v="24"/>
    <x v="189"/>
    <x v="451"/>
    <x v="0"/>
    <n v="26.8458805"/>
    <n v="80.936554099999995"/>
    <x v="6"/>
    <m/>
    <m/>
    <m/>
  </r>
  <r>
    <s v="India"/>
    <x v="24"/>
    <x v="189"/>
    <x v="451"/>
    <x v="0"/>
    <n v="26.8458805"/>
    <n v="80.936554099999995"/>
    <x v="0"/>
    <m/>
    <m/>
    <m/>
  </r>
  <r>
    <s v="India"/>
    <x v="24"/>
    <x v="189"/>
    <x v="324"/>
    <x v="0"/>
    <n v="26.833997220000001"/>
    <n v="80.891736100000003"/>
    <x v="1"/>
    <n v="140"/>
    <n v="364"/>
    <n v="234"/>
  </r>
  <r>
    <s v="India"/>
    <x v="24"/>
    <x v="189"/>
    <x v="324"/>
    <x v="0"/>
    <n v="26.833997220000001"/>
    <n v="80.891736100000003"/>
    <x v="3"/>
    <n v="9"/>
    <n v="18"/>
    <n v="12"/>
  </r>
  <r>
    <s v="India"/>
    <x v="24"/>
    <x v="189"/>
    <x v="324"/>
    <x v="0"/>
    <n v="26.833997220000001"/>
    <n v="80.891736100000003"/>
    <x v="6"/>
    <n v="14"/>
    <n v="57"/>
    <n v="28"/>
  </r>
  <r>
    <s v="India"/>
    <x v="24"/>
    <x v="190"/>
    <x v="325"/>
    <x v="0"/>
    <n v="28.999264"/>
    <n v="77.759035400000002"/>
    <x v="5"/>
    <n v="75"/>
    <n v="328"/>
    <n v="182"/>
  </r>
  <r>
    <s v="India"/>
    <x v="24"/>
    <x v="190"/>
    <x v="325"/>
    <x v="0"/>
    <n v="28.999264"/>
    <n v="77.759035400000002"/>
    <x v="2"/>
    <n v="15"/>
    <n v="124"/>
    <n v="43"/>
  </r>
  <r>
    <s v="India"/>
    <x v="24"/>
    <x v="190"/>
    <x v="332"/>
    <x v="0"/>
    <n v="28.953588199999999"/>
    <n v="77.762294100000005"/>
    <x v="5"/>
    <n v="18"/>
    <n v="122"/>
    <n v="60"/>
  </r>
  <r>
    <s v="India"/>
    <x v="24"/>
    <x v="190"/>
    <x v="332"/>
    <x v="0"/>
    <n v="28.953588199999999"/>
    <n v="77.762294100000005"/>
    <x v="1"/>
    <n v="66"/>
    <n v="238"/>
    <n v="121"/>
  </r>
  <r>
    <s v="India"/>
    <x v="24"/>
    <x v="178"/>
    <x v="304"/>
    <x v="0"/>
    <n v="28.389109359999999"/>
    <n v="79.429637080000006"/>
    <x v="5"/>
    <n v="29"/>
    <n v="106"/>
    <n v="66"/>
  </r>
  <r>
    <s v="India"/>
    <x v="24"/>
    <x v="178"/>
    <x v="304"/>
    <x v="0"/>
    <n v="28.389109359999999"/>
    <n v="79.429637080000006"/>
    <x v="3"/>
    <n v="1"/>
    <n v="1"/>
    <n v="1"/>
  </r>
  <r>
    <s v="India"/>
    <x v="24"/>
    <x v="179"/>
    <x v="305"/>
    <x v="0"/>
    <n v="28.406963000000001"/>
    <n v="77.849830999999995"/>
    <x v="4"/>
    <n v="18"/>
    <n v="49"/>
    <n v="30"/>
  </r>
  <r>
    <s v="India"/>
    <x v="24"/>
    <x v="180"/>
    <x v="306"/>
    <x v="0"/>
    <n v="27.168897000000001"/>
    <n v="78.376959999999997"/>
    <x v="1"/>
    <n v="48"/>
    <n v="144"/>
    <n v="89"/>
  </r>
  <r>
    <s v="India"/>
    <x v="24"/>
    <x v="180"/>
    <x v="306"/>
    <x v="0"/>
    <n v="27.168897000000001"/>
    <n v="78.376959999999997"/>
    <x v="6"/>
    <n v="23"/>
    <n v="36"/>
    <n v="28"/>
  </r>
  <r>
    <s v="India"/>
    <x v="24"/>
    <x v="180"/>
    <x v="307"/>
    <x v="0"/>
    <n v="27.159400000000002"/>
    <n v="78.395300000000006"/>
    <x v="2"/>
    <n v="15"/>
    <n v="15"/>
    <n v="15"/>
  </r>
  <r>
    <s v="India"/>
    <x v="24"/>
    <x v="184"/>
    <x v="316"/>
    <x v="0"/>
    <n v="28.725645"/>
    <n v="77.749674999999996"/>
    <x v="5"/>
    <n v="29"/>
    <n v="209"/>
    <n v="104"/>
  </r>
  <r>
    <s v="India"/>
    <x v="24"/>
    <x v="185"/>
    <x v="317"/>
    <x v="0"/>
    <n v="25.454699999999999"/>
    <n v="78.603899999999996"/>
    <x v="2"/>
    <n v="6"/>
    <n v="7"/>
    <n v="6"/>
  </r>
  <r>
    <s v="India"/>
    <x v="24"/>
    <x v="185"/>
    <x v="317"/>
    <x v="0"/>
    <n v="25.454699999999999"/>
    <n v="78.603899999999996"/>
    <x v="3"/>
    <n v="4"/>
    <n v="4"/>
    <n v="4"/>
  </r>
  <r>
    <s v="India"/>
    <x v="24"/>
    <x v="185"/>
    <x v="317"/>
    <x v="0"/>
    <n v="25.454699999999999"/>
    <n v="78.603899999999996"/>
    <x v="4"/>
    <n v="57"/>
    <n v="98"/>
    <n v="67"/>
  </r>
  <r>
    <s v="India"/>
    <x v="24"/>
    <x v="185"/>
    <x v="317"/>
    <x v="0"/>
    <n v="25.454699999999999"/>
    <n v="78.603899999999996"/>
    <x v="6"/>
    <n v="6"/>
    <n v="49"/>
    <n v="13"/>
  </r>
  <r>
    <s v="India"/>
    <x v="24"/>
    <x v="186"/>
    <x v="452"/>
    <x v="0"/>
    <n v="26.428281999999999"/>
    <n v="80.327067"/>
    <x v="1"/>
    <m/>
    <m/>
    <m/>
  </r>
  <r>
    <s v="India"/>
    <x v="24"/>
    <x v="181"/>
    <x v="308"/>
    <x v="0"/>
    <n v="28.646232999999999"/>
    <n v="77.358074999999999"/>
    <x v="0"/>
    <n v="4"/>
    <n v="84"/>
    <n v="46"/>
  </r>
  <r>
    <s v="India"/>
    <x v="24"/>
    <x v="181"/>
    <x v="310"/>
    <x v="0"/>
    <n v="28.685382000000001"/>
    <n v="77.453839000000002"/>
    <x v="5"/>
    <n v="48"/>
    <n v="372"/>
    <n v="192"/>
  </r>
  <r>
    <s v="India"/>
    <x v="24"/>
    <x v="181"/>
    <x v="310"/>
    <x v="0"/>
    <n v="28.685382000000001"/>
    <n v="77.453839000000002"/>
    <x v="2"/>
    <n v="18"/>
    <n v="149"/>
    <n v="68"/>
  </r>
  <r>
    <s v="India"/>
    <x v="24"/>
    <x v="181"/>
    <x v="310"/>
    <x v="0"/>
    <n v="28.685382000000001"/>
    <n v="77.453839000000002"/>
    <x v="0"/>
    <n v="1"/>
    <n v="130"/>
    <n v="62"/>
  </r>
  <r>
    <s v="India"/>
    <x v="24"/>
    <x v="181"/>
    <x v="311"/>
    <x v="0"/>
    <n v="28.660334599999999"/>
    <n v="77.357256300000003"/>
    <x v="5"/>
    <n v="28"/>
    <n v="263"/>
    <n v="103"/>
  </r>
  <r>
    <s v="India"/>
    <x v="24"/>
    <x v="181"/>
    <x v="311"/>
    <x v="0"/>
    <n v="28.660334599999999"/>
    <n v="77.357256300000003"/>
    <x v="4"/>
    <n v="16"/>
    <n v="102"/>
    <n v="33"/>
  </r>
  <r>
    <s v="India"/>
    <x v="24"/>
    <x v="183"/>
    <x v="453"/>
    <x v="0"/>
    <n v="28.472719999999999"/>
    <n v="77.481999999999999"/>
    <x v="5"/>
    <n v="20"/>
    <n v="113"/>
    <n v="55"/>
  </r>
  <r>
    <s v="India"/>
    <x v="24"/>
    <x v="183"/>
    <x v="453"/>
    <x v="0"/>
    <n v="28.472719999999999"/>
    <n v="77.481999999999999"/>
    <x v="3"/>
    <n v="3"/>
    <n v="16"/>
    <n v="6"/>
  </r>
  <r>
    <s v="India"/>
    <x v="24"/>
    <x v="183"/>
    <x v="453"/>
    <x v="0"/>
    <n v="28.472719999999999"/>
    <n v="77.481999999999999"/>
    <x v="6"/>
    <n v="3"/>
    <n v="106"/>
    <n v="55"/>
  </r>
  <r>
    <s v="India"/>
    <x v="24"/>
    <x v="183"/>
    <x v="315"/>
    <x v="0"/>
    <n v="28.557054000000001"/>
    <n v="77.453663000000006"/>
    <x v="6"/>
    <n v="20"/>
    <n v="102"/>
    <n v="52"/>
  </r>
  <r>
    <s v="India"/>
    <x v="24"/>
    <x v="189"/>
    <x v="330"/>
    <x v="0"/>
    <n v="26.906110999999999"/>
    <n v="80.948222000000001"/>
    <x v="6"/>
    <n v="13"/>
    <n v="117"/>
    <n v="57"/>
  </r>
  <r>
    <s v="India"/>
    <x v="24"/>
    <x v="189"/>
    <x v="323"/>
    <x v="0"/>
    <n v="26.907229999999998"/>
    <n v="80.985789999999994"/>
    <x v="2"/>
    <n v="23"/>
    <n v="23"/>
    <n v="23"/>
  </r>
  <r>
    <s v="India"/>
    <x v="24"/>
    <x v="187"/>
    <x v="320"/>
    <x v="0"/>
    <n v="28.964949000000001"/>
    <n v="77.278761000000003"/>
    <x v="1"/>
    <n v="89"/>
    <n v="426"/>
    <n v="178"/>
  </r>
  <r>
    <s v="India"/>
    <x v="24"/>
    <x v="187"/>
    <x v="320"/>
    <x v="0"/>
    <n v="28.964949000000001"/>
    <n v="77.278761000000003"/>
    <x v="4"/>
    <n v="6"/>
    <n v="116"/>
    <n v="51"/>
  </r>
  <r>
    <s v="India"/>
    <x v="24"/>
    <x v="189"/>
    <x v="329"/>
    <x v="0"/>
    <n v="26.868120000000001"/>
    <n v="81.005118999999993"/>
    <x v="5"/>
    <n v="48"/>
    <n v="240"/>
    <n v="101"/>
  </r>
  <r>
    <s v="India"/>
    <x v="24"/>
    <x v="186"/>
    <x v="318"/>
    <x v="0"/>
    <n v="26.509954"/>
    <n v="80.249611999999999"/>
    <x v="6"/>
    <n v="28"/>
    <n v="37"/>
    <n v="29"/>
  </r>
  <r>
    <s v="India"/>
    <x v="24"/>
    <x v="193"/>
    <x v="454"/>
    <x v="0"/>
    <n v="25.494"/>
    <n v="81.863"/>
    <x v="5"/>
    <n v="22"/>
    <n v="97"/>
    <n v="65"/>
  </r>
  <r>
    <s v="India"/>
    <x v="24"/>
    <x v="193"/>
    <x v="454"/>
    <x v="0"/>
    <n v="25.494"/>
    <n v="81.863"/>
    <x v="2"/>
    <n v="11"/>
    <n v="12"/>
    <n v="12"/>
  </r>
  <r>
    <s v="India"/>
    <x v="24"/>
    <x v="193"/>
    <x v="454"/>
    <x v="0"/>
    <n v="25.494"/>
    <n v="81.863"/>
    <x v="0"/>
    <n v="4"/>
    <n v="83"/>
    <n v="34"/>
  </r>
  <r>
    <s v="India"/>
    <x v="24"/>
    <x v="193"/>
    <x v="455"/>
    <x v="0"/>
    <n v="25.449199159999999"/>
    <n v="81.827359860000001"/>
    <x v="5"/>
    <n v="29"/>
    <n v="228"/>
    <n v="83"/>
  </r>
  <r>
    <s v="India"/>
    <x v="24"/>
    <x v="193"/>
    <x v="455"/>
    <x v="0"/>
    <n v="25.449199159999999"/>
    <n v="81.827359860000001"/>
    <x v="1"/>
    <n v="42"/>
    <n v="216"/>
    <n v="125"/>
  </r>
  <r>
    <s v="India"/>
    <x v="24"/>
    <x v="193"/>
    <x v="455"/>
    <x v="0"/>
    <n v="25.449199159999999"/>
    <n v="81.827359860000001"/>
    <x v="2"/>
    <n v="5"/>
    <n v="5"/>
    <n v="5"/>
  </r>
  <r>
    <s v="India"/>
    <x v="24"/>
    <x v="193"/>
    <x v="455"/>
    <x v="0"/>
    <n v="25.449199159999999"/>
    <n v="81.827359860000001"/>
    <x v="3"/>
    <n v="10"/>
    <n v="28"/>
    <n v="15"/>
  </r>
  <r>
    <s v="India"/>
    <x v="24"/>
    <x v="191"/>
    <x v="326"/>
    <x v="0"/>
    <n v="28.835260000000002"/>
    <n v="78.744600000000005"/>
    <x v="2"/>
    <m/>
    <m/>
    <m/>
  </r>
  <r>
    <s v="India"/>
    <x v="24"/>
    <x v="191"/>
    <x v="456"/>
    <x v="0"/>
    <n v="28.885280000000002"/>
    <n v="78.738799999999998"/>
    <x v="2"/>
    <n v="11"/>
    <n v="16"/>
    <n v="15"/>
  </r>
  <r>
    <s v="India"/>
    <x v="24"/>
    <x v="191"/>
    <x v="456"/>
    <x v="0"/>
    <n v="28.885280000000002"/>
    <n v="78.738799999999998"/>
    <x v="6"/>
    <n v="2"/>
    <n v="107"/>
    <n v="50"/>
  </r>
  <r>
    <s v="India"/>
    <x v="24"/>
    <x v="191"/>
    <x v="328"/>
    <x v="0"/>
    <n v="28.856663999999999"/>
    <n v="78.772638000000001"/>
    <x v="2"/>
    <n v="23"/>
    <n v="25"/>
    <n v="25"/>
  </r>
  <r>
    <s v="India"/>
    <x v="24"/>
    <x v="191"/>
    <x v="457"/>
    <x v="0"/>
    <n v="28.849398999999998"/>
    <n v="78.742362"/>
    <x v="2"/>
    <n v="25"/>
    <n v="25"/>
    <n v="25"/>
  </r>
  <r>
    <s v="India"/>
    <x v="24"/>
    <x v="191"/>
    <x v="457"/>
    <x v="0"/>
    <n v="28.849398999999998"/>
    <n v="78.742362"/>
    <x v="4"/>
    <n v="20"/>
    <n v="78"/>
    <n v="40"/>
  </r>
  <r>
    <s v="India"/>
    <x v="24"/>
    <x v="191"/>
    <x v="457"/>
    <x v="0"/>
    <n v="28.849398999999998"/>
    <n v="78.742362"/>
    <x v="6"/>
    <n v="19"/>
    <n v="98"/>
    <n v="43"/>
  </r>
  <r>
    <s v="India"/>
    <x v="24"/>
    <x v="191"/>
    <x v="334"/>
    <x v="0"/>
    <n v="28.802624999999999"/>
    <n v="78.753727999999995"/>
    <x v="0"/>
    <n v="16"/>
    <n v="100"/>
    <n v="69"/>
  </r>
  <r>
    <s v="India"/>
    <x v="24"/>
    <x v="247"/>
    <x v="458"/>
    <x v="0"/>
    <n v="29.472350800000001"/>
    <n v="77.719403099999994"/>
    <x v="5"/>
    <n v="43"/>
    <n v="287"/>
    <n v="98"/>
  </r>
  <r>
    <s v="India"/>
    <x v="24"/>
    <x v="247"/>
    <x v="458"/>
    <x v="0"/>
    <n v="29.472350800000001"/>
    <n v="77.719403099999994"/>
    <x v="4"/>
    <n v="13"/>
    <n v="60"/>
    <n v="39"/>
  </r>
  <r>
    <s v="India"/>
    <x v="24"/>
    <x v="247"/>
    <x v="458"/>
    <x v="0"/>
    <n v="29.472350800000001"/>
    <n v="77.719403099999994"/>
    <x v="6"/>
    <n v="14"/>
    <n v="112"/>
    <n v="50"/>
  </r>
  <r>
    <s v="India"/>
    <x v="24"/>
    <x v="194"/>
    <x v="349"/>
    <x v="0"/>
    <n v="25.301777999999999"/>
    <n v="82.996789000000007"/>
    <x v="3"/>
    <n v="1"/>
    <n v="1"/>
    <n v="1"/>
  </r>
  <r>
    <s v="India"/>
    <x v="24"/>
    <x v="194"/>
    <x v="350"/>
    <x v="0"/>
    <n v="25.262326000000002"/>
    <n v="82.995407999999998"/>
    <x v="5"/>
    <n v="21"/>
    <n v="241"/>
    <n v="90"/>
  </r>
  <r>
    <s v="India"/>
    <x v="24"/>
    <x v="194"/>
    <x v="350"/>
    <x v="0"/>
    <n v="25.262326000000002"/>
    <n v="82.995407999999998"/>
    <x v="1"/>
    <n v="25"/>
    <n v="114"/>
    <n v="66"/>
  </r>
  <r>
    <s v="India"/>
    <x v="24"/>
    <x v="190"/>
    <x v="331"/>
    <x v="0"/>
    <n v="29.063510000000001"/>
    <n v="77.709722999999997"/>
    <x v="3"/>
    <n v="14"/>
    <n v="34"/>
    <n v="18"/>
  </r>
  <r>
    <s v="India"/>
    <x v="24"/>
    <x v="191"/>
    <x v="326"/>
    <x v="0"/>
    <n v="28.835260000000002"/>
    <n v="78.744600000000005"/>
    <x v="5"/>
    <m/>
    <m/>
    <m/>
  </r>
  <r>
    <s v="India"/>
    <x v="24"/>
    <x v="192"/>
    <x v="459"/>
    <x v="0"/>
    <n v="28.5898"/>
    <n v="77.310100000000006"/>
    <x v="4"/>
    <n v="10"/>
    <n v="44"/>
    <n v="25"/>
  </r>
  <r>
    <s v="India"/>
    <x v="24"/>
    <x v="192"/>
    <x v="335"/>
    <x v="0"/>
    <n v="28.569230000000001"/>
    <n v="77.393848000000006"/>
    <x v="4"/>
    <n v="21"/>
    <n v="57"/>
    <n v="36"/>
  </r>
  <r>
    <s v="India"/>
    <x v="24"/>
    <x v="192"/>
    <x v="333"/>
    <x v="0"/>
    <n v="28.544760799999999"/>
    <n v="77.323125700000006"/>
    <x v="1"/>
    <n v="58"/>
    <n v="424"/>
    <n v="151"/>
  </r>
  <r>
    <s v="India"/>
    <x v="24"/>
    <x v="192"/>
    <x v="333"/>
    <x v="0"/>
    <n v="28.544760799999999"/>
    <n v="77.323125700000006"/>
    <x v="4"/>
    <n v="17"/>
    <n v="49"/>
    <n v="31"/>
  </r>
  <r>
    <s v="India"/>
    <x v="24"/>
    <x v="194"/>
    <x v="352"/>
    <x v="0"/>
    <n v="25.350598600000001"/>
    <n v="82.908307399999998"/>
    <x v="4"/>
    <n v="11"/>
    <n v="22"/>
    <n v="16"/>
  </r>
  <r>
    <s v="India"/>
    <x v="24"/>
    <x v="192"/>
    <x v="333"/>
    <x v="0"/>
    <n v="28.544760799999999"/>
    <n v="77.323125700000006"/>
    <x v="6"/>
    <n v="46"/>
    <n v="117"/>
    <n v="70"/>
  </r>
  <r>
    <s v="India"/>
    <x v="26"/>
    <x v="201"/>
    <x v="344"/>
    <x v="0"/>
    <n v="23.697935999999999"/>
    <n v="86.944395"/>
    <x v="4"/>
    <n v="4"/>
    <n v="17"/>
    <n v="10"/>
  </r>
  <r>
    <s v="India"/>
    <x v="26"/>
    <x v="201"/>
    <x v="460"/>
    <x v="0"/>
    <n v="23.618182999999998"/>
    <n v="87.105717999999996"/>
    <x v="4"/>
    <n v="9"/>
    <n v="59"/>
    <n v="30"/>
  </r>
  <r>
    <s v="India"/>
    <x v="26"/>
    <x v="201"/>
    <x v="461"/>
    <x v="0"/>
    <n v="23.616515"/>
    <n v="87.119133000000005"/>
    <x v="3"/>
    <n v="2"/>
    <n v="4"/>
    <n v="3"/>
  </r>
  <r>
    <s v="India"/>
    <x v="26"/>
    <x v="202"/>
    <x v="345"/>
    <x v="0"/>
    <n v="22.760558100000001"/>
    <n v="88.361758899999998"/>
    <x v="5"/>
    <n v="22"/>
    <n v="71"/>
    <n v="53"/>
  </r>
  <r>
    <s v="India"/>
    <x v="26"/>
    <x v="202"/>
    <x v="345"/>
    <x v="0"/>
    <n v="22.760558100000001"/>
    <n v="88.361758899999998"/>
    <x v="3"/>
    <n v="5"/>
    <n v="7"/>
    <n v="7"/>
  </r>
  <r>
    <s v="India"/>
    <x v="26"/>
    <x v="202"/>
    <x v="345"/>
    <x v="0"/>
    <n v="22.760558100000001"/>
    <n v="88.361758899999998"/>
    <x v="6"/>
    <n v="57"/>
    <n v="66"/>
    <n v="63"/>
  </r>
  <r>
    <s v="India"/>
    <x v="26"/>
    <x v="198"/>
    <x v="346"/>
    <x v="0"/>
    <n v="23.567923"/>
    <n v="87.306843000000001"/>
    <x v="5"/>
    <n v="61"/>
    <n v="170"/>
    <n v="95"/>
  </r>
  <r>
    <s v="India"/>
    <x v="26"/>
    <x v="198"/>
    <x v="346"/>
    <x v="0"/>
    <n v="23.567923"/>
    <n v="87.306843000000001"/>
    <x v="2"/>
    <n v="7"/>
    <n v="47"/>
    <n v="16"/>
  </r>
  <r>
    <s v="India"/>
    <x v="26"/>
    <x v="198"/>
    <x v="341"/>
    <x v="0"/>
    <n v="23.508763999999999"/>
    <n v="87.354439999999997"/>
    <x v="5"/>
    <n v="50"/>
    <n v="119"/>
    <n v="72"/>
  </r>
  <r>
    <s v="India"/>
    <x v="26"/>
    <x v="200"/>
    <x v="462"/>
    <x v="0"/>
    <n v="22.611968000000001"/>
    <n v="88.347421999999995"/>
    <x v="0"/>
    <n v="8"/>
    <n v="12"/>
    <n v="10"/>
  </r>
  <r>
    <s v="India"/>
    <x v="26"/>
    <x v="200"/>
    <x v="463"/>
    <x v="0"/>
    <n v="22.5687319"/>
    <n v="88.279727600000001"/>
    <x v="5"/>
    <n v="50"/>
    <n v="94"/>
    <n v="71"/>
  </r>
  <r>
    <s v="India"/>
    <x v="26"/>
    <x v="200"/>
    <x v="463"/>
    <x v="0"/>
    <n v="22.5687319"/>
    <n v="88.279727600000001"/>
    <x v="1"/>
    <n v="45"/>
    <n v="99"/>
    <n v="72"/>
  </r>
  <r>
    <s v="India"/>
    <x v="26"/>
    <x v="200"/>
    <x v="463"/>
    <x v="0"/>
    <n v="22.5687319"/>
    <n v="88.279727600000001"/>
    <x v="3"/>
    <n v="2"/>
    <n v="4"/>
    <n v="3"/>
  </r>
  <r>
    <s v="India"/>
    <x v="26"/>
    <x v="200"/>
    <x v="463"/>
    <x v="0"/>
    <n v="22.5687319"/>
    <n v="88.279727600000001"/>
    <x v="4"/>
    <n v="6"/>
    <n v="61"/>
    <n v="27"/>
  </r>
  <r>
    <s v="India"/>
    <x v="26"/>
    <x v="203"/>
    <x v="353"/>
    <x v="0"/>
    <n v="22.536750699999999"/>
    <n v="88.363802199999995"/>
    <x v="1"/>
    <n v="53"/>
    <n v="96"/>
    <n v="69"/>
  </r>
  <r>
    <s v="India"/>
    <x v="26"/>
    <x v="203"/>
    <x v="353"/>
    <x v="0"/>
    <n v="22.536750699999999"/>
    <n v="88.363802199999995"/>
    <x v="3"/>
    <n v="5"/>
    <n v="6"/>
    <n v="6"/>
  </r>
  <r>
    <s v="India"/>
    <x v="26"/>
    <x v="203"/>
    <x v="354"/>
    <x v="0"/>
    <n v="22.58157048"/>
    <n v="88.410024570000004"/>
    <x v="1"/>
    <n v="40"/>
    <n v="60"/>
    <n v="48"/>
  </r>
  <r>
    <s v="India"/>
    <x v="26"/>
    <x v="203"/>
    <x v="354"/>
    <x v="0"/>
    <n v="22.58157048"/>
    <n v="88.410024570000004"/>
    <x v="4"/>
    <n v="6"/>
    <n v="18"/>
    <n v="10"/>
  </r>
  <r>
    <s v="India"/>
    <x v="26"/>
    <x v="203"/>
    <x v="354"/>
    <x v="0"/>
    <n v="22.58157048"/>
    <n v="88.410024570000004"/>
    <x v="0"/>
    <n v="16"/>
    <n v="52"/>
    <n v="28"/>
  </r>
  <r>
    <s v="India"/>
    <x v="26"/>
    <x v="203"/>
    <x v="355"/>
    <x v="0"/>
    <n v="22.499289999999998"/>
    <n v="88.369169999999997"/>
    <x v="1"/>
    <n v="61"/>
    <n v="103"/>
    <n v="81"/>
  </r>
  <r>
    <s v="India"/>
    <x v="26"/>
    <x v="203"/>
    <x v="355"/>
    <x v="0"/>
    <n v="22.499289999999998"/>
    <n v="88.369169999999997"/>
    <x v="2"/>
    <n v="15"/>
    <n v="39"/>
    <n v="22"/>
  </r>
  <r>
    <s v="India"/>
    <x v="26"/>
    <x v="203"/>
    <x v="355"/>
    <x v="0"/>
    <n v="22.499289999999998"/>
    <n v="88.369169999999997"/>
    <x v="3"/>
    <n v="5"/>
    <n v="6"/>
    <n v="6"/>
  </r>
  <r>
    <s v="India"/>
    <x v="26"/>
    <x v="203"/>
    <x v="355"/>
    <x v="0"/>
    <n v="22.499289999999998"/>
    <n v="88.369169999999997"/>
    <x v="6"/>
    <n v="18"/>
    <n v="22"/>
    <n v="20"/>
  </r>
  <r>
    <s v="India"/>
    <x v="26"/>
    <x v="203"/>
    <x v="356"/>
    <x v="0"/>
    <n v="22.627846999999999"/>
    <n v="88.380668999999997"/>
    <x v="3"/>
    <n v="9"/>
    <n v="9"/>
    <n v="9"/>
  </r>
  <r>
    <s v="India"/>
    <x v="26"/>
    <x v="203"/>
    <x v="357"/>
    <x v="0"/>
    <n v="22.511060000000001"/>
    <n v="88.351420000000005"/>
    <x v="3"/>
    <n v="4"/>
    <n v="6"/>
    <n v="5"/>
  </r>
  <r>
    <s v="India"/>
    <x v="26"/>
    <x v="198"/>
    <x v="341"/>
    <x v="0"/>
    <n v="23.508763999999999"/>
    <n v="87.354439999999997"/>
    <x v="1"/>
    <n v="93"/>
    <n v="164"/>
    <n v="124"/>
  </r>
  <r>
    <s v="India"/>
    <x v="26"/>
    <x v="199"/>
    <x v="342"/>
    <x v="0"/>
    <n v="22.060469999999999"/>
    <n v="88.109736999999996"/>
    <x v="5"/>
    <n v="6"/>
    <n v="39"/>
    <n v="23"/>
  </r>
  <r>
    <s v="India"/>
    <x v="26"/>
    <x v="199"/>
    <x v="342"/>
    <x v="0"/>
    <n v="22.060469999999999"/>
    <n v="88.109736999999996"/>
    <x v="2"/>
    <n v="10"/>
    <n v="22"/>
    <n v="13"/>
  </r>
  <r>
    <s v="India"/>
    <x v="26"/>
    <x v="200"/>
    <x v="343"/>
    <x v="0"/>
    <n v="22.629801"/>
    <n v="88.352017000000004"/>
    <x v="4"/>
    <n v="8"/>
    <n v="10"/>
    <n v="9"/>
  </r>
  <r>
    <s v="India"/>
    <x v="26"/>
    <x v="200"/>
    <x v="343"/>
    <x v="0"/>
    <n v="22.629801"/>
    <n v="88.352017000000004"/>
    <x v="0"/>
    <n v="17"/>
    <n v="86"/>
    <n v="46"/>
  </r>
  <r>
    <s v="India"/>
    <x v="26"/>
    <x v="200"/>
    <x v="348"/>
    <x v="0"/>
    <n v="22.602557099999999"/>
    <n v="88.310566399999999"/>
    <x v="4"/>
    <n v="2"/>
    <n v="44"/>
    <n v="20"/>
  </r>
  <r>
    <s v="India"/>
    <x v="26"/>
    <x v="200"/>
    <x v="348"/>
    <x v="0"/>
    <n v="22.602557099999999"/>
    <n v="88.310566399999999"/>
    <x v="6"/>
    <n v="16"/>
    <n v="25"/>
    <n v="20"/>
  </r>
  <r>
    <s v="India"/>
    <x v="24"/>
    <x v="194"/>
    <x v="337"/>
    <x v="0"/>
    <n v="25.323930000000001"/>
    <n v="82.996870000000001"/>
    <x v="4"/>
    <n v="28"/>
    <n v="28"/>
    <n v="28"/>
  </r>
  <r>
    <s v="India"/>
    <x v="24"/>
    <x v="194"/>
    <x v="337"/>
    <x v="0"/>
    <n v="25.323930000000001"/>
    <n v="82.996870000000001"/>
    <x v="0"/>
    <n v="1"/>
    <n v="15"/>
    <n v="9"/>
  </r>
  <r>
    <s v="India"/>
    <x v="26"/>
    <x v="201"/>
    <x v="351"/>
    <x v="0"/>
    <n v="23.685296999999998"/>
    <n v="86.945967999999993"/>
    <x v="5"/>
    <n v="14"/>
    <n v="347"/>
    <n v="139"/>
  </r>
  <r>
    <s v="India"/>
    <x v="25"/>
    <x v="248"/>
    <x v="464"/>
    <x v="0"/>
    <n v="30.075911000000001"/>
    <n v="78.285954700000005"/>
    <x v="1"/>
    <n v="55"/>
    <n v="112"/>
    <n v="86"/>
  </r>
  <r>
    <s v="India"/>
    <x v="26"/>
    <x v="204"/>
    <x v="359"/>
    <x v="0"/>
    <n v="26.6879226"/>
    <n v="88.415249500000002"/>
    <x v="1"/>
    <n v="102"/>
    <n v="261"/>
    <n v="144"/>
  </r>
  <r>
    <s v="India"/>
    <x v="2"/>
    <x v="205"/>
    <x v="360"/>
    <x v="0"/>
    <n v="16.987286699999999"/>
    <n v="81.736317600000007"/>
    <x v="4"/>
    <n v="10"/>
    <n v="14"/>
    <n v="12"/>
  </r>
  <r>
    <s v="India"/>
    <x v="2"/>
    <x v="10"/>
    <x v="10"/>
    <x v="0"/>
    <n v="13.67"/>
    <n v="79.349999999999994"/>
    <x v="1"/>
    <n v="22"/>
    <n v="89"/>
    <n v="49"/>
  </r>
  <r>
    <s v="India"/>
    <x v="2"/>
    <x v="11"/>
    <x v="11"/>
    <x v="0"/>
    <n v="13.615387"/>
    <n v="79.409229999999994"/>
    <x v="5"/>
    <n v="42"/>
    <n v="254"/>
    <n v="99"/>
  </r>
  <r>
    <s v="India"/>
    <x v="2"/>
    <x v="11"/>
    <x v="11"/>
    <x v="0"/>
    <n v="13.615387"/>
    <n v="79.409229999999994"/>
    <x v="0"/>
    <n v="41"/>
    <n v="41"/>
    <n v="41"/>
  </r>
  <r>
    <s v="India"/>
    <x v="2"/>
    <x v="7"/>
    <x v="361"/>
    <x v="0"/>
    <n v="16.536107000000001"/>
    <n v="80.594233000000003"/>
    <x v="2"/>
    <n v="13"/>
    <n v="13"/>
    <n v="13"/>
  </r>
  <r>
    <s v="India"/>
    <x v="2"/>
    <x v="7"/>
    <x v="12"/>
    <x v="0"/>
    <n v="16.486692000000001"/>
    <n v="80.699436000000006"/>
    <x v="5"/>
    <n v="62"/>
    <n v="72"/>
    <n v="66"/>
  </r>
  <r>
    <s v="India"/>
    <x v="2"/>
    <x v="7"/>
    <x v="12"/>
    <x v="0"/>
    <n v="16.486692000000001"/>
    <n v="80.699436000000006"/>
    <x v="1"/>
    <n v="50"/>
    <n v="58"/>
    <n v="54"/>
  </r>
  <r>
    <s v="India"/>
    <x v="2"/>
    <x v="8"/>
    <x v="8"/>
    <x v="0"/>
    <n v="17.72"/>
    <n v="83.3"/>
    <x v="2"/>
    <n v="34"/>
    <n v="71"/>
    <n v="56"/>
  </r>
  <r>
    <s v="India"/>
    <x v="2"/>
    <x v="8"/>
    <x v="8"/>
    <x v="0"/>
    <n v="17.72"/>
    <n v="83.3"/>
    <x v="3"/>
    <n v="1"/>
    <n v="7"/>
    <n v="2"/>
  </r>
  <r>
    <s v="India"/>
    <x v="2"/>
    <x v="8"/>
    <x v="8"/>
    <x v="0"/>
    <n v="17.72"/>
    <n v="83.3"/>
    <x v="4"/>
    <n v="2"/>
    <n v="12"/>
    <n v="8"/>
  </r>
  <r>
    <s v="India"/>
    <x v="2"/>
    <x v="8"/>
    <x v="8"/>
    <x v="0"/>
    <n v="17.72"/>
    <n v="83.3"/>
    <x v="6"/>
    <n v="8"/>
    <n v="40"/>
    <n v="20"/>
  </r>
  <r>
    <s v="India"/>
    <x v="0"/>
    <x v="9"/>
    <x v="9"/>
    <x v="0"/>
    <n v="26.071318000000002"/>
    <n v="91.874880000000005"/>
    <x v="6"/>
    <n v="48"/>
    <n v="64"/>
    <n v="56"/>
  </r>
  <r>
    <s v="India"/>
    <x v="0"/>
    <x v="16"/>
    <x v="17"/>
    <x v="0"/>
    <n v="26.202863600000001"/>
    <n v="91.700464359999998"/>
    <x v="5"/>
    <n v="69"/>
    <n v="167"/>
    <n v="102"/>
  </r>
  <r>
    <s v="India"/>
    <x v="0"/>
    <x v="16"/>
    <x v="465"/>
    <x v="0"/>
    <n v="26.181742"/>
    <n v="91.780630000000002"/>
    <x v="0"/>
    <n v="2"/>
    <n v="98"/>
    <n v="57"/>
  </r>
  <r>
    <s v="India"/>
    <x v="0"/>
    <x v="0"/>
    <x v="0"/>
    <x v="0"/>
    <n v="26.349081999999999"/>
    <n v="92.684489999999997"/>
    <x v="2"/>
    <n v="4"/>
    <n v="11"/>
    <n v="8"/>
  </r>
  <r>
    <s v="India"/>
    <x v="0"/>
    <x v="1"/>
    <x v="1"/>
    <x v="0"/>
    <n v="26.446912000000001"/>
    <n v="91.439057000000005"/>
    <x v="4"/>
    <n v="2"/>
    <n v="6"/>
    <n v="3"/>
  </r>
  <r>
    <s v="India"/>
    <x v="0"/>
    <x v="2"/>
    <x v="2"/>
    <x v="0"/>
    <n v="24.82827"/>
    <n v="92.795249999999996"/>
    <x v="5"/>
    <n v="27"/>
    <n v="68"/>
    <n v="40"/>
  </r>
  <r>
    <s v="India"/>
    <x v="0"/>
    <x v="2"/>
    <x v="2"/>
    <x v="0"/>
    <n v="24.82827"/>
    <n v="92.795249999999996"/>
    <x v="6"/>
    <n v="20"/>
    <n v="36"/>
    <n v="25"/>
  </r>
  <r>
    <s v="India"/>
    <x v="2"/>
    <x v="208"/>
    <x v="366"/>
    <x v="0"/>
    <n v="16.515083300000001"/>
    <n v="80.518166699999995"/>
    <x v="6"/>
    <n v="10"/>
    <n v="44"/>
    <n v="25"/>
  </r>
  <r>
    <s v="India"/>
    <x v="2"/>
    <x v="208"/>
    <x v="366"/>
    <x v="0"/>
    <n v="16.515083300000001"/>
    <n v="80.518166699999995"/>
    <x v="0"/>
    <n v="1"/>
    <n v="64"/>
    <n v="39"/>
  </r>
  <r>
    <s v="India"/>
    <x v="2"/>
    <x v="13"/>
    <x v="14"/>
    <x v="0"/>
    <n v="13.204879999999999"/>
    <n v="79.097888999999995"/>
    <x v="1"/>
    <n v="33"/>
    <n v="91"/>
    <n v="56"/>
  </r>
  <r>
    <s v="India"/>
    <x v="2"/>
    <x v="13"/>
    <x v="14"/>
    <x v="0"/>
    <n v="13.204879999999999"/>
    <n v="79.097888999999995"/>
    <x v="4"/>
    <n v="5"/>
    <n v="6"/>
    <n v="5"/>
  </r>
  <r>
    <s v="India"/>
    <x v="2"/>
    <x v="207"/>
    <x v="363"/>
    <x v="0"/>
    <n v="14.465052"/>
    <n v="78.824186999999995"/>
    <x v="0"/>
    <n v="32"/>
    <n v="32"/>
    <n v="32"/>
  </r>
  <r>
    <s v="India"/>
    <x v="1"/>
    <x v="4"/>
    <x v="4"/>
    <x v="0"/>
    <n v="26.146529000000001"/>
    <n v="87.454183999999998"/>
    <x v="1"/>
    <n v="94"/>
    <n v="125"/>
    <n v="110"/>
  </r>
  <r>
    <s v="India"/>
    <x v="1"/>
    <x v="4"/>
    <x v="4"/>
    <x v="0"/>
    <n v="26.146529000000001"/>
    <n v="87.454183999999998"/>
    <x v="3"/>
    <n v="10"/>
    <n v="12"/>
    <n v="11"/>
  </r>
  <r>
    <s v="India"/>
    <x v="1"/>
    <x v="5"/>
    <x v="5"/>
    <x v="0"/>
    <n v="25.562609500000001"/>
    <n v="84.663263999999998"/>
    <x v="1"/>
    <m/>
    <m/>
    <m/>
  </r>
  <r>
    <s v="India"/>
    <x v="1"/>
    <x v="6"/>
    <x v="6"/>
    <x v="0"/>
    <n v="24.757459999999998"/>
    <n v="84.366208"/>
    <x v="1"/>
    <n v="35"/>
    <n v="467"/>
    <n v="189"/>
  </r>
  <r>
    <s v="India"/>
    <x v="1"/>
    <x v="6"/>
    <x v="6"/>
    <x v="0"/>
    <n v="24.757459999999998"/>
    <n v="84.366208"/>
    <x v="0"/>
    <n v="8"/>
    <n v="96"/>
    <n v="69"/>
  </r>
  <r>
    <s v="India"/>
    <x v="1"/>
    <x v="206"/>
    <x v="362"/>
    <x v="0"/>
    <n v="25.427420229999999"/>
    <n v="86.138860789999995"/>
    <x v="2"/>
    <n v="83"/>
    <n v="114"/>
    <n v="97"/>
  </r>
  <r>
    <s v="India"/>
    <x v="1"/>
    <x v="14"/>
    <x v="15"/>
    <x v="0"/>
    <n v="26.803650000000001"/>
    <n v="84.519540000000006"/>
    <x v="1"/>
    <n v="56"/>
    <n v="185"/>
    <n v="122"/>
  </r>
  <r>
    <s v="India"/>
    <x v="1"/>
    <x v="15"/>
    <x v="365"/>
    <x v="0"/>
    <n v="25.251013"/>
    <n v="86.989001000000002"/>
    <x v="5"/>
    <m/>
    <m/>
    <m/>
  </r>
  <r>
    <s v="India"/>
    <x v="1"/>
    <x v="15"/>
    <x v="365"/>
    <x v="0"/>
    <n v="25.251013"/>
    <n v="86.989001000000002"/>
    <x v="1"/>
    <m/>
    <m/>
    <m/>
  </r>
  <r>
    <s v="India"/>
    <x v="2"/>
    <x v="7"/>
    <x v="364"/>
    <x v="0"/>
    <n v="16.509716999999998"/>
    <n v="80.612222000000003"/>
    <x v="1"/>
    <n v="58"/>
    <n v="86"/>
    <n v="73"/>
  </r>
  <r>
    <s v="India"/>
    <x v="2"/>
    <x v="7"/>
    <x v="364"/>
    <x v="0"/>
    <n v="16.509716999999998"/>
    <n v="80.612222000000003"/>
    <x v="2"/>
    <n v="41"/>
    <n v="77"/>
    <n v="57"/>
  </r>
  <r>
    <s v="India"/>
    <x v="2"/>
    <x v="7"/>
    <x v="364"/>
    <x v="0"/>
    <n v="16.509716999999998"/>
    <n v="80.612222000000003"/>
    <x v="4"/>
    <n v="8"/>
    <n v="13"/>
    <n v="9"/>
  </r>
  <r>
    <s v="India"/>
    <x v="2"/>
    <x v="7"/>
    <x v="364"/>
    <x v="0"/>
    <n v="16.509716999999998"/>
    <n v="80.612222000000003"/>
    <x v="6"/>
    <n v="30"/>
    <n v="44"/>
    <n v="39"/>
  </r>
  <r>
    <s v="India"/>
    <x v="2"/>
    <x v="7"/>
    <x v="364"/>
    <x v="0"/>
    <n v="16.509716999999998"/>
    <n v="80.612222000000003"/>
    <x v="0"/>
    <n v="6"/>
    <n v="27"/>
    <n v="17"/>
  </r>
  <r>
    <s v="India"/>
    <x v="0"/>
    <x v="16"/>
    <x v="17"/>
    <x v="0"/>
    <n v="26.202863600000001"/>
    <n v="91.700464359999998"/>
    <x v="4"/>
    <n v="19"/>
    <n v="20"/>
    <n v="19"/>
  </r>
  <r>
    <s v="India"/>
    <x v="0"/>
    <x v="16"/>
    <x v="18"/>
    <x v="0"/>
    <n v="26.10887"/>
    <n v="91.589544000000004"/>
    <x v="1"/>
    <n v="63"/>
    <n v="272"/>
    <n v="131"/>
  </r>
  <r>
    <s v="India"/>
    <x v="0"/>
    <x v="16"/>
    <x v="19"/>
    <x v="0"/>
    <n v="26.1875"/>
    <n v="91.744193999999993"/>
    <x v="4"/>
    <n v="25"/>
    <n v="42"/>
    <n v="32"/>
  </r>
  <r>
    <s v="India"/>
    <x v="3"/>
    <x v="17"/>
    <x v="20"/>
    <x v="0"/>
    <n v="11.654054"/>
    <n v="92.734054999999998"/>
    <x v="6"/>
    <n v="18"/>
    <n v="100"/>
    <n v="32"/>
  </r>
  <r>
    <s v="India"/>
    <x v="2"/>
    <x v="208"/>
    <x v="366"/>
    <x v="0"/>
    <n v="16.515083300000001"/>
    <n v="80.518166699999995"/>
    <x v="1"/>
    <n v="17"/>
    <n v="72"/>
    <n v="38"/>
  </r>
  <r>
    <s v="India"/>
    <x v="1"/>
    <x v="15"/>
    <x v="16"/>
    <x v="0"/>
    <n v="25.265194000000001"/>
    <n v="87.012946999999997"/>
    <x v="1"/>
    <n v="100"/>
    <n v="213"/>
    <n v="146"/>
  </r>
  <r>
    <s v="India"/>
    <x v="1"/>
    <x v="28"/>
    <x v="33"/>
    <x v="0"/>
    <n v="26.114419999999999"/>
    <n v="85.398129999999995"/>
    <x v="6"/>
    <n v="18"/>
    <n v="84"/>
    <n v="32"/>
  </r>
  <r>
    <s v="India"/>
    <x v="1"/>
    <x v="28"/>
    <x v="367"/>
    <x v="0"/>
    <n v="26.140334500000002"/>
    <n v="85.365019200000006"/>
    <x v="5"/>
    <n v="37"/>
    <n v="320"/>
    <n v="156"/>
  </r>
  <r>
    <s v="India"/>
    <x v="1"/>
    <x v="28"/>
    <x v="367"/>
    <x v="0"/>
    <n v="26.140334500000002"/>
    <n v="85.365019200000006"/>
    <x v="1"/>
    <m/>
    <m/>
    <m/>
  </r>
  <r>
    <s v="India"/>
    <x v="1"/>
    <x v="28"/>
    <x v="367"/>
    <x v="0"/>
    <n v="26.140334500000002"/>
    <n v="85.365019200000006"/>
    <x v="3"/>
    <n v="4"/>
    <n v="4"/>
    <n v="4"/>
  </r>
  <r>
    <s v="India"/>
    <x v="1"/>
    <x v="28"/>
    <x v="367"/>
    <x v="0"/>
    <n v="26.140334500000002"/>
    <n v="85.365019200000006"/>
    <x v="4"/>
    <n v="8"/>
    <n v="9"/>
    <n v="9"/>
  </r>
  <r>
    <s v="India"/>
    <x v="1"/>
    <x v="28"/>
    <x v="367"/>
    <x v="0"/>
    <n v="26.140334500000002"/>
    <n v="85.365019200000006"/>
    <x v="6"/>
    <n v="47"/>
    <n v="107"/>
    <n v="71"/>
  </r>
  <r>
    <s v="India"/>
    <x v="1"/>
    <x v="28"/>
    <x v="367"/>
    <x v="0"/>
    <n v="26.140334500000002"/>
    <n v="85.365019200000006"/>
    <x v="0"/>
    <n v="3"/>
    <n v="73"/>
    <n v="47"/>
  </r>
  <r>
    <s v="India"/>
    <x v="1"/>
    <x v="18"/>
    <x v="34"/>
    <x v="0"/>
    <n v="25.586562000000001"/>
    <n v="85.043586000000005"/>
    <x v="1"/>
    <n v="75"/>
    <n v="500"/>
    <n v="175"/>
  </r>
  <r>
    <s v="India"/>
    <x v="1"/>
    <x v="18"/>
    <x v="34"/>
    <x v="0"/>
    <n v="25.586562000000001"/>
    <n v="85.043586000000005"/>
    <x v="4"/>
    <n v="2"/>
    <n v="8"/>
    <n v="4"/>
  </r>
  <r>
    <s v="India"/>
    <x v="1"/>
    <x v="18"/>
    <x v="34"/>
    <x v="0"/>
    <n v="25.586562000000001"/>
    <n v="85.043586000000005"/>
    <x v="6"/>
    <n v="16"/>
    <n v="110"/>
    <n v="54"/>
  </r>
  <r>
    <s v="India"/>
    <x v="1"/>
    <x v="18"/>
    <x v="37"/>
    <x v="0"/>
    <n v="25.592538999999999"/>
    <n v="85.227158000000003"/>
    <x v="5"/>
    <n v="58"/>
    <n v="233"/>
    <n v="117"/>
  </r>
  <r>
    <s v="India"/>
    <x v="1"/>
    <x v="25"/>
    <x v="28"/>
    <x v="0"/>
    <n v="25.780825700000001"/>
    <n v="84.744676799999993"/>
    <x v="2"/>
    <n v="2"/>
    <n v="81"/>
    <n v="26"/>
  </r>
  <r>
    <s v="India"/>
    <x v="1"/>
    <x v="25"/>
    <x v="28"/>
    <x v="0"/>
    <n v="25.780825700000001"/>
    <n v="84.744676799999993"/>
    <x v="6"/>
    <n v="8"/>
    <n v="27"/>
    <n v="11"/>
  </r>
  <r>
    <s v="India"/>
    <x v="1"/>
    <x v="26"/>
    <x v="466"/>
    <x v="0"/>
    <n v="24.795500000000001"/>
    <n v="84.999399999999994"/>
    <x v="5"/>
    <n v="21"/>
    <n v="263"/>
    <n v="119"/>
  </r>
  <r>
    <s v="India"/>
    <x v="1"/>
    <x v="26"/>
    <x v="466"/>
    <x v="0"/>
    <n v="24.795500000000001"/>
    <n v="84.999399999999994"/>
    <x v="6"/>
    <n v="8"/>
    <n v="92"/>
    <n v="51"/>
  </r>
  <r>
    <s v="India"/>
    <x v="1"/>
    <x v="26"/>
    <x v="29"/>
    <x v="0"/>
    <n v="24.792403"/>
    <n v="84.992416000000006"/>
    <x v="1"/>
    <n v="81"/>
    <n v="281"/>
    <n v="153"/>
  </r>
  <r>
    <s v="India"/>
    <x v="1"/>
    <x v="26"/>
    <x v="29"/>
    <x v="0"/>
    <n v="24.792403"/>
    <n v="84.992416000000006"/>
    <x v="3"/>
    <n v="4"/>
    <n v="7"/>
    <n v="5"/>
  </r>
  <r>
    <s v="India"/>
    <x v="1"/>
    <x v="26"/>
    <x v="370"/>
    <x v="0"/>
    <n v="24.762518"/>
    <n v="84.982348000000002"/>
    <x v="1"/>
    <n v="57"/>
    <n v="105"/>
    <n v="80"/>
  </r>
  <r>
    <s v="India"/>
    <x v="1"/>
    <x v="26"/>
    <x v="370"/>
    <x v="0"/>
    <n v="24.762518"/>
    <n v="84.982348000000002"/>
    <x v="4"/>
    <n v="8"/>
    <n v="9"/>
    <n v="8"/>
  </r>
  <r>
    <s v="India"/>
    <x v="1"/>
    <x v="26"/>
    <x v="370"/>
    <x v="0"/>
    <n v="24.762518"/>
    <n v="84.982348000000002"/>
    <x v="6"/>
    <n v="2"/>
    <n v="30"/>
    <n v="20"/>
  </r>
  <r>
    <s v="India"/>
    <x v="1"/>
    <x v="29"/>
    <x v="35"/>
    <x v="0"/>
    <n v="25.697189000000002"/>
    <n v="85.245900000000006"/>
    <x v="5"/>
    <n v="125"/>
    <n v="319"/>
    <n v="227"/>
  </r>
  <r>
    <s v="India"/>
    <x v="1"/>
    <x v="209"/>
    <x v="371"/>
    <x v="0"/>
    <n v="26.630859999999998"/>
    <n v="84.900509999999997"/>
    <x v="5"/>
    <n v="13"/>
    <n v="62"/>
    <n v="43"/>
  </r>
  <r>
    <s v="India"/>
    <x v="1"/>
    <x v="209"/>
    <x v="371"/>
    <x v="0"/>
    <n v="26.630859999999998"/>
    <n v="84.900509999999997"/>
    <x v="3"/>
    <n v="3"/>
    <n v="3"/>
    <n v="3"/>
  </r>
  <r>
    <s v="India"/>
    <x v="1"/>
    <x v="209"/>
    <x v="371"/>
    <x v="0"/>
    <n v="26.630859999999998"/>
    <n v="84.900509999999997"/>
    <x v="6"/>
    <n v="20"/>
    <n v="65"/>
    <n v="30"/>
  </r>
  <r>
    <s v="India"/>
    <x v="1"/>
    <x v="24"/>
    <x v="27"/>
    <x v="0"/>
    <n v="25.376776"/>
    <n v="86.471523000000005"/>
    <x v="4"/>
    <m/>
    <m/>
    <m/>
  </r>
  <r>
    <s v="India"/>
    <x v="1"/>
    <x v="28"/>
    <x v="33"/>
    <x v="0"/>
    <n v="26.114419999999999"/>
    <n v="85.398129999999995"/>
    <x v="1"/>
    <n v="83"/>
    <n v="252"/>
    <n v="148"/>
  </r>
  <r>
    <s v="India"/>
    <x v="1"/>
    <x v="29"/>
    <x v="35"/>
    <x v="0"/>
    <n v="25.697189000000002"/>
    <n v="85.245900000000006"/>
    <x v="1"/>
    <n v="77"/>
    <n v="214"/>
    <n v="142"/>
  </r>
  <r>
    <s v="India"/>
    <x v="1"/>
    <x v="30"/>
    <x v="36"/>
    <x v="0"/>
    <n v="25.560082999999999"/>
    <n v="87.553264999999996"/>
    <x v="1"/>
    <n v="32"/>
    <n v="60"/>
    <n v="50"/>
  </r>
  <r>
    <s v="India"/>
    <x v="1"/>
    <x v="30"/>
    <x v="36"/>
    <x v="0"/>
    <n v="25.560082999999999"/>
    <n v="87.553264999999996"/>
    <x v="2"/>
    <n v="9"/>
    <n v="15"/>
    <n v="14"/>
  </r>
  <r>
    <s v="India"/>
    <x v="1"/>
    <x v="30"/>
    <x v="36"/>
    <x v="0"/>
    <n v="25.560082999999999"/>
    <n v="87.553264999999996"/>
    <x v="0"/>
    <n v="1"/>
    <n v="25"/>
    <n v="16"/>
  </r>
  <r>
    <s v="India"/>
    <x v="1"/>
    <x v="18"/>
    <x v="21"/>
    <x v="0"/>
    <n v="25.596727000000001"/>
    <n v="85.085623999999996"/>
    <x v="4"/>
    <n v="4"/>
    <n v="9"/>
    <n v="6"/>
  </r>
  <r>
    <s v="India"/>
    <x v="1"/>
    <x v="19"/>
    <x v="22"/>
    <x v="0"/>
    <n v="25.366336"/>
    <n v="87.117468000000002"/>
    <x v="5"/>
    <n v="88"/>
    <n v="243"/>
    <n v="165"/>
  </r>
  <r>
    <s v="India"/>
    <x v="1"/>
    <x v="21"/>
    <x v="24"/>
    <x v="0"/>
    <n v="25.892357000000001"/>
    <n v="86.590325000000007"/>
    <x v="2"/>
    <n v="6"/>
    <n v="8"/>
    <n v="7"/>
  </r>
  <r>
    <s v="India"/>
    <x v="1"/>
    <x v="18"/>
    <x v="30"/>
    <x v="0"/>
    <n v="25.619651000000001"/>
    <n v="85.147381999999993"/>
    <x v="1"/>
    <n v="120"/>
    <n v="500"/>
    <n v="270"/>
  </r>
  <r>
    <s v="India"/>
    <x v="1"/>
    <x v="18"/>
    <x v="31"/>
    <x v="0"/>
    <n v="25.599485999999999"/>
    <n v="85.113665999999995"/>
    <x v="1"/>
    <n v="78"/>
    <n v="169"/>
    <n v="119"/>
  </r>
  <r>
    <s v="India"/>
    <x v="1"/>
    <x v="18"/>
    <x v="31"/>
    <x v="0"/>
    <n v="25.599485999999999"/>
    <n v="85.113665999999995"/>
    <x v="0"/>
    <n v="2"/>
    <n v="181"/>
    <n v="100"/>
  </r>
  <r>
    <s v="India"/>
    <x v="1"/>
    <x v="27"/>
    <x v="32"/>
    <x v="0"/>
    <n v="25.567519999999998"/>
    <n v="83.966379000000003"/>
    <x v="0"/>
    <n v="6"/>
    <n v="165"/>
    <n v="136"/>
  </r>
  <r>
    <s v="India"/>
    <x v="1"/>
    <x v="25"/>
    <x v="28"/>
    <x v="0"/>
    <n v="25.780825700000001"/>
    <n v="84.744676799999993"/>
    <x v="5"/>
    <m/>
    <m/>
    <m/>
  </r>
  <r>
    <s v="India"/>
    <x v="1"/>
    <x v="18"/>
    <x v="37"/>
    <x v="0"/>
    <n v="25.592538999999999"/>
    <n v="85.227158000000003"/>
    <x v="6"/>
    <n v="22"/>
    <n v="96"/>
    <n v="46"/>
  </r>
  <r>
    <s v="India"/>
    <x v="1"/>
    <x v="18"/>
    <x v="369"/>
    <x v="0"/>
    <n v="25.610368999999999"/>
    <n v="85.132568000000006"/>
    <x v="5"/>
    <n v="58"/>
    <n v="308"/>
    <n v="161"/>
  </r>
  <r>
    <s v="India"/>
    <x v="1"/>
    <x v="22"/>
    <x v="25"/>
    <x v="0"/>
    <n v="26.088130499999998"/>
    <n v="87.938403359999995"/>
    <x v="1"/>
    <m/>
    <m/>
    <m/>
  </r>
  <r>
    <s v="India"/>
    <x v="1"/>
    <x v="22"/>
    <x v="25"/>
    <x v="0"/>
    <n v="26.088130499999998"/>
    <n v="87.938403359999995"/>
    <x v="3"/>
    <m/>
    <m/>
    <m/>
  </r>
  <r>
    <s v="India"/>
    <x v="4"/>
    <x v="35"/>
    <x v="43"/>
    <x v="0"/>
    <n v="22.348441000000001"/>
    <n v="82.549610999999999"/>
    <x v="3"/>
    <n v="1"/>
    <n v="7"/>
    <n v="3"/>
  </r>
  <r>
    <s v="India"/>
    <x v="4"/>
    <x v="210"/>
    <x v="373"/>
    <x v="0"/>
    <n v="22.126650000000001"/>
    <n v="83.483211999999995"/>
    <x v="5"/>
    <n v="40"/>
    <n v="87"/>
    <n v="56"/>
  </r>
  <r>
    <s v="India"/>
    <x v="4"/>
    <x v="211"/>
    <x v="374"/>
    <x v="0"/>
    <n v="22.191017200000001"/>
    <n v="83.519700900000004"/>
    <x v="5"/>
    <n v="24"/>
    <n v="66"/>
    <n v="44"/>
  </r>
  <r>
    <s v="India"/>
    <x v="4"/>
    <x v="211"/>
    <x v="374"/>
    <x v="0"/>
    <n v="22.191017200000001"/>
    <n v="83.519700900000004"/>
    <x v="3"/>
    <n v="1"/>
    <n v="3"/>
    <n v="2"/>
  </r>
  <r>
    <s v="India"/>
    <x v="4"/>
    <x v="211"/>
    <x v="374"/>
    <x v="0"/>
    <n v="22.191017200000001"/>
    <n v="83.519700900000004"/>
    <x v="6"/>
    <n v="10"/>
    <n v="57"/>
    <n v="26"/>
  </r>
  <r>
    <s v="India"/>
    <x v="4"/>
    <x v="40"/>
    <x v="55"/>
    <x v="0"/>
    <n v="21.258814999999998"/>
    <n v="81.578979000000004"/>
    <x v="2"/>
    <n v="34"/>
    <n v="58"/>
    <n v="45"/>
  </r>
  <r>
    <s v="India"/>
    <x v="4"/>
    <x v="40"/>
    <x v="55"/>
    <x v="0"/>
    <n v="21.258814999999998"/>
    <n v="81.578979000000004"/>
    <x v="4"/>
    <n v="4"/>
    <n v="12"/>
    <n v="8"/>
  </r>
  <r>
    <s v="India"/>
    <x v="4"/>
    <x v="40"/>
    <x v="55"/>
    <x v="0"/>
    <n v="21.258814999999998"/>
    <n v="81.578979000000004"/>
    <x v="6"/>
    <n v="20"/>
    <n v="40"/>
    <n v="24"/>
  </r>
  <r>
    <s v="India"/>
    <x v="6"/>
    <x v="39"/>
    <x v="51"/>
    <x v="0"/>
    <n v="28.656756000000001"/>
    <n v="77.227233999999996"/>
    <x v="3"/>
    <n v="3"/>
    <n v="13"/>
    <n v="5"/>
  </r>
  <r>
    <s v="India"/>
    <x v="6"/>
    <x v="39"/>
    <x v="379"/>
    <x v="0"/>
    <n v="28.7500499"/>
    <n v="77.111261499999998"/>
    <x v="3"/>
    <n v="11"/>
    <n v="14"/>
    <n v="12"/>
  </r>
  <r>
    <s v="India"/>
    <x v="6"/>
    <x v="39"/>
    <x v="52"/>
    <x v="0"/>
    <n v="28.498570999999998"/>
    <n v="77.264840000000007"/>
    <x v="5"/>
    <n v="52"/>
    <n v="331"/>
    <n v="168"/>
  </r>
  <r>
    <s v="India"/>
    <x v="6"/>
    <x v="39"/>
    <x v="52"/>
    <x v="0"/>
    <n v="28.498570999999998"/>
    <n v="77.264840000000007"/>
    <x v="2"/>
    <n v="41"/>
    <n v="101"/>
    <n v="71"/>
  </r>
  <r>
    <s v="India"/>
    <x v="6"/>
    <x v="39"/>
    <x v="52"/>
    <x v="0"/>
    <n v="28.498570999999998"/>
    <n v="77.264840000000007"/>
    <x v="3"/>
    <n v="3"/>
    <n v="9"/>
    <n v="6"/>
  </r>
  <r>
    <s v="India"/>
    <x v="6"/>
    <x v="39"/>
    <x v="52"/>
    <x v="0"/>
    <n v="28.498570999999998"/>
    <n v="77.264840000000007"/>
    <x v="0"/>
    <n v="4"/>
    <n v="178"/>
    <n v="100"/>
  </r>
  <r>
    <s v="India"/>
    <x v="6"/>
    <x v="39"/>
    <x v="380"/>
    <x v="0"/>
    <n v="28.571027399999998"/>
    <n v="77.071900600000006"/>
    <x v="6"/>
    <n v="25"/>
    <n v="186"/>
    <n v="172"/>
  </r>
  <r>
    <s v="India"/>
    <x v="4"/>
    <x v="32"/>
    <x v="39"/>
    <x v="0"/>
    <n v="21.224231"/>
    <n v="81.408349999999999"/>
    <x v="2"/>
    <n v="17"/>
    <n v="93"/>
    <n v="41"/>
  </r>
  <r>
    <s v="India"/>
    <x v="4"/>
    <x v="33"/>
    <x v="40"/>
    <x v="0"/>
    <n v="22.088149999999999"/>
    <n v="82.137370000000004"/>
    <x v="2"/>
    <m/>
    <m/>
    <m/>
  </r>
  <r>
    <s v="India"/>
    <x v="4"/>
    <x v="33"/>
    <x v="40"/>
    <x v="0"/>
    <n v="22.088149999999999"/>
    <n v="82.137370000000004"/>
    <x v="6"/>
    <m/>
    <m/>
    <m/>
  </r>
  <r>
    <s v="India"/>
    <x v="4"/>
    <x v="34"/>
    <x v="41"/>
    <x v="0"/>
    <n v="22.118124999999999"/>
    <n v="83.140608"/>
    <x v="6"/>
    <n v="30"/>
    <n v="72"/>
    <n v="34"/>
  </r>
  <r>
    <s v="India"/>
    <x v="4"/>
    <x v="35"/>
    <x v="42"/>
    <x v="0"/>
    <n v="22.368195"/>
    <n v="82.746431000000001"/>
    <x v="5"/>
    <m/>
    <m/>
    <m/>
  </r>
  <r>
    <s v="India"/>
    <x v="4"/>
    <x v="35"/>
    <x v="43"/>
    <x v="0"/>
    <n v="22.348441000000001"/>
    <n v="82.549610999999999"/>
    <x v="5"/>
    <n v="111"/>
    <n v="347"/>
    <n v="198"/>
  </r>
  <r>
    <s v="India"/>
    <x v="5"/>
    <x v="38"/>
    <x v="53"/>
    <x v="0"/>
    <n v="30.719859"/>
    <n v="76.738636999999997"/>
    <x v="4"/>
    <m/>
    <m/>
    <m/>
  </r>
  <r>
    <s v="India"/>
    <x v="4"/>
    <x v="32"/>
    <x v="376"/>
    <x v="0"/>
    <n v="21.194814999999998"/>
    <n v="81.314769999999996"/>
    <x v="5"/>
    <n v="35"/>
    <n v="56"/>
    <n v="47"/>
  </r>
  <r>
    <s v="India"/>
    <x v="4"/>
    <x v="32"/>
    <x v="54"/>
    <x v="0"/>
    <n v="21.185570999999999"/>
    <n v="81.343175000000002"/>
    <x v="5"/>
    <n v="20"/>
    <n v="45"/>
    <n v="31"/>
  </r>
  <r>
    <s v="India"/>
    <x v="4"/>
    <x v="32"/>
    <x v="54"/>
    <x v="0"/>
    <n v="21.185570999999999"/>
    <n v="81.343175000000002"/>
    <x v="6"/>
    <n v="7"/>
    <n v="186"/>
    <n v="105"/>
  </r>
  <r>
    <s v="India"/>
    <x v="4"/>
    <x v="32"/>
    <x v="54"/>
    <x v="0"/>
    <n v="21.185570999999999"/>
    <n v="81.343175000000002"/>
    <x v="0"/>
    <n v="5"/>
    <n v="25"/>
    <n v="15"/>
  </r>
  <r>
    <s v="India"/>
    <x v="4"/>
    <x v="212"/>
    <x v="377"/>
    <x v="0"/>
    <n v="22.06631475"/>
    <n v="83.33820077"/>
    <x v="3"/>
    <n v="1"/>
    <n v="3"/>
    <n v="2"/>
  </r>
  <r>
    <s v="India"/>
    <x v="4"/>
    <x v="212"/>
    <x v="377"/>
    <x v="0"/>
    <n v="22.06631475"/>
    <n v="83.33820077"/>
    <x v="0"/>
    <n v="4"/>
    <n v="106"/>
    <n v="67"/>
  </r>
  <r>
    <s v="India"/>
    <x v="6"/>
    <x v="39"/>
    <x v="47"/>
    <x v="0"/>
    <n v="28.815328999999998"/>
    <n v="77.153009999999995"/>
    <x v="1"/>
    <n v="85"/>
    <n v="428"/>
    <n v="240"/>
  </r>
  <r>
    <s v="India"/>
    <x v="6"/>
    <x v="39"/>
    <x v="372"/>
    <x v="0"/>
    <n v="28.647621999999998"/>
    <n v="77.315809000000002"/>
    <x v="2"/>
    <n v="48"/>
    <n v="126"/>
    <n v="84"/>
  </r>
  <r>
    <s v="India"/>
    <x v="6"/>
    <x v="39"/>
    <x v="48"/>
    <x v="0"/>
    <n v="28.695381000000001"/>
    <n v="77.181664999999995"/>
    <x v="0"/>
    <n v="1"/>
    <n v="301"/>
    <n v="123"/>
  </r>
  <r>
    <s v="India"/>
    <x v="6"/>
    <x v="39"/>
    <x v="49"/>
    <x v="0"/>
    <n v="28.776199999999999"/>
    <n v="77.051074"/>
    <x v="3"/>
    <n v="6"/>
    <n v="8"/>
    <n v="7"/>
  </r>
  <r>
    <s v="India"/>
    <x v="1"/>
    <x v="37"/>
    <x v="45"/>
    <x v="0"/>
    <n v="26.227166499999999"/>
    <n v="84.357042699999994"/>
    <x v="3"/>
    <m/>
    <m/>
    <m/>
  </r>
  <r>
    <s v="India"/>
    <x v="5"/>
    <x v="38"/>
    <x v="375"/>
    <x v="0"/>
    <n v="30.751462"/>
    <n v="76.762878999999998"/>
    <x v="3"/>
    <n v="17"/>
    <n v="32"/>
    <n v="24"/>
  </r>
  <r>
    <s v="India"/>
    <x v="4"/>
    <x v="40"/>
    <x v="56"/>
    <x v="0"/>
    <n v="21.219664999999999"/>
    <n v="81.630094"/>
    <x v="5"/>
    <n v="1"/>
    <n v="65"/>
    <n v="33"/>
  </r>
  <r>
    <s v="India"/>
    <x v="1"/>
    <x v="36"/>
    <x v="44"/>
    <x v="0"/>
    <n v="24.952822000000001"/>
    <n v="84.002396000000005"/>
    <x v="1"/>
    <n v="69"/>
    <n v="164"/>
    <n v="105"/>
  </r>
  <r>
    <s v="India"/>
    <x v="6"/>
    <x v="39"/>
    <x v="72"/>
    <x v="0"/>
    <n v="28.822835999999999"/>
    <n v="77.101980999999995"/>
    <x v="3"/>
    <n v="7"/>
    <n v="14"/>
    <n v="9"/>
  </r>
  <r>
    <s v="India"/>
    <x v="6"/>
    <x v="39"/>
    <x v="73"/>
    <x v="0"/>
    <n v="28.567889999999998"/>
    <n v="77.250514999999993"/>
    <x v="2"/>
    <n v="14"/>
    <n v="98"/>
    <n v="54"/>
  </r>
  <r>
    <s v="India"/>
    <x v="6"/>
    <x v="39"/>
    <x v="73"/>
    <x v="0"/>
    <n v="28.567889999999998"/>
    <n v="77.250514999999993"/>
    <x v="6"/>
    <n v="19"/>
    <n v="120"/>
    <n v="45"/>
  </r>
  <r>
    <s v="India"/>
    <x v="6"/>
    <x v="39"/>
    <x v="74"/>
    <x v="0"/>
    <n v="28.657381399999998"/>
    <n v="77.158544699999993"/>
    <x v="1"/>
    <n v="88"/>
    <n v="335"/>
    <n v="175"/>
  </r>
  <r>
    <s v="India"/>
    <x v="6"/>
    <x v="39"/>
    <x v="467"/>
    <x v="0"/>
    <n v="28.530785000000002"/>
    <n v="77.271254999999996"/>
    <x v="4"/>
    <n v="10"/>
    <n v="34"/>
    <n v="21"/>
  </r>
  <r>
    <s v="India"/>
    <x v="6"/>
    <x v="39"/>
    <x v="467"/>
    <x v="0"/>
    <n v="28.530785000000002"/>
    <n v="77.271254999999996"/>
    <x v="0"/>
    <n v="4"/>
    <n v="303"/>
    <n v="165"/>
  </r>
  <r>
    <s v="India"/>
    <x v="6"/>
    <x v="39"/>
    <x v="59"/>
    <x v="0"/>
    <n v="28.623763"/>
    <n v="77.287209000000004"/>
    <x v="5"/>
    <n v="32"/>
    <n v="329"/>
    <n v="137"/>
  </r>
  <r>
    <s v="India"/>
    <x v="6"/>
    <x v="39"/>
    <x v="59"/>
    <x v="0"/>
    <n v="28.623763"/>
    <n v="77.287209000000004"/>
    <x v="6"/>
    <n v="15"/>
    <n v="112"/>
    <n v="35"/>
  </r>
  <r>
    <s v="India"/>
    <x v="6"/>
    <x v="39"/>
    <x v="60"/>
    <x v="0"/>
    <n v="28.674045"/>
    <n v="77.131022999999999"/>
    <x v="6"/>
    <n v="32"/>
    <n v="127"/>
    <n v="53"/>
  </r>
  <r>
    <s v="India"/>
    <x v="6"/>
    <x v="39"/>
    <x v="61"/>
    <x v="0"/>
    <n v="28.639652000000002"/>
    <n v="77.146275000000003"/>
    <x v="3"/>
    <n v="6"/>
    <n v="15"/>
    <n v="11"/>
  </r>
  <r>
    <s v="India"/>
    <x v="6"/>
    <x v="39"/>
    <x v="62"/>
    <x v="0"/>
    <n v="28.563262000000002"/>
    <n v="77.186937"/>
    <x v="2"/>
    <n v="10"/>
    <n v="102"/>
    <n v="55"/>
  </r>
  <r>
    <s v="India"/>
    <x v="6"/>
    <x v="39"/>
    <x v="382"/>
    <x v="0"/>
    <n v="28.611281000000002"/>
    <n v="77.237737999999993"/>
    <x v="4"/>
    <n v="12"/>
    <n v="53"/>
    <n v="24"/>
  </r>
  <r>
    <s v="India"/>
    <x v="6"/>
    <x v="39"/>
    <x v="383"/>
    <x v="0"/>
    <n v="28.636429"/>
    <n v="77.201066999999995"/>
    <x v="6"/>
    <n v="8"/>
    <n v="47"/>
    <n v="20"/>
  </r>
  <r>
    <s v="India"/>
    <x v="6"/>
    <x v="39"/>
    <x v="69"/>
    <x v="0"/>
    <n v="28.684678000000002"/>
    <n v="77.076573999999994"/>
    <x v="3"/>
    <n v="6"/>
    <n v="12"/>
    <n v="8"/>
  </r>
  <r>
    <s v="India"/>
    <x v="6"/>
    <x v="39"/>
    <x v="69"/>
    <x v="0"/>
    <n v="28.684678000000002"/>
    <n v="77.076573999999994"/>
    <x v="0"/>
    <n v="4"/>
    <n v="94"/>
    <n v="56"/>
  </r>
  <r>
    <s v="India"/>
    <x v="6"/>
    <x v="39"/>
    <x v="63"/>
    <x v="0"/>
    <n v="28.732527999999999"/>
    <n v="77.119919999999993"/>
    <x v="3"/>
    <n v="8"/>
    <n v="19"/>
    <n v="12"/>
  </r>
  <r>
    <s v="India"/>
    <x v="6"/>
    <x v="39"/>
    <x v="63"/>
    <x v="0"/>
    <n v="28.732527999999999"/>
    <n v="77.119919999999993"/>
    <x v="6"/>
    <n v="14"/>
    <n v="163"/>
    <n v="150"/>
  </r>
  <r>
    <s v="India"/>
    <x v="6"/>
    <x v="39"/>
    <x v="64"/>
    <x v="0"/>
    <n v="28.651478099999999"/>
    <n v="77.147310500000003"/>
    <x v="2"/>
    <n v="56"/>
    <n v="104"/>
    <n v="74"/>
  </r>
  <r>
    <s v="India"/>
    <x v="6"/>
    <x v="39"/>
    <x v="65"/>
    <x v="0"/>
    <n v="28.550424899999999"/>
    <n v="77.215937699999998"/>
    <x v="3"/>
    <n v="8"/>
    <n v="27"/>
    <n v="15"/>
  </r>
  <r>
    <s v="India"/>
    <x v="6"/>
    <x v="39"/>
    <x v="76"/>
    <x v="0"/>
    <n v="28.588332999999999"/>
    <n v="77.221666999999997"/>
    <x v="1"/>
    <n v="71"/>
    <n v="192"/>
    <n v="134"/>
  </r>
  <r>
    <s v="India"/>
    <x v="6"/>
    <x v="39"/>
    <x v="381"/>
    <x v="0"/>
    <n v="28.591824500000001"/>
    <n v="77.227307400000001"/>
    <x v="0"/>
    <n v="81"/>
    <n v="110"/>
    <n v="89"/>
  </r>
  <r>
    <s v="India"/>
    <x v="6"/>
    <x v="39"/>
    <x v="384"/>
    <x v="0"/>
    <n v="28.628623999999999"/>
    <n v="77.241060000000004"/>
    <x v="4"/>
    <n v="11"/>
    <n v="28"/>
    <n v="19"/>
  </r>
  <r>
    <s v="India"/>
    <x v="6"/>
    <x v="39"/>
    <x v="68"/>
    <x v="0"/>
    <n v="28.73282"/>
    <n v="77.170632999999995"/>
    <x v="4"/>
    <n v="20"/>
    <n v="116"/>
    <n v="56"/>
  </r>
  <r>
    <s v="India"/>
    <x v="6"/>
    <x v="39"/>
    <x v="385"/>
    <x v="0"/>
    <n v="28.580279999999998"/>
    <n v="77.233829"/>
    <x v="0"/>
    <n v="2"/>
    <n v="93"/>
    <n v="60"/>
  </r>
  <r>
    <s v="India"/>
    <x v="6"/>
    <x v="39"/>
    <x v="385"/>
    <x v="0"/>
    <n v="28.580279999999998"/>
    <n v="77.233829"/>
    <x v="6"/>
    <n v="40"/>
    <n v="128"/>
    <n v="63"/>
  </r>
  <r>
    <s v="India"/>
    <x v="6"/>
    <x v="39"/>
    <x v="75"/>
    <x v="0"/>
    <n v="28.531345999999999"/>
    <n v="77.190156000000002"/>
    <x v="3"/>
    <n v="8"/>
    <n v="12"/>
    <n v="10"/>
  </r>
  <r>
    <s v="India"/>
    <x v="8"/>
    <x v="42"/>
    <x v="83"/>
    <x v="0"/>
    <n v="30.943887"/>
    <n v="76.801991000000001"/>
    <x v="0"/>
    <n v="31"/>
    <n v="136"/>
    <n v="105"/>
  </r>
  <r>
    <s v="India"/>
    <x v="9"/>
    <x v="43"/>
    <x v="84"/>
    <x v="0"/>
    <n v="34.066206000000001"/>
    <n v="74.819820000000007"/>
    <x v="3"/>
    <n v="2"/>
    <n v="2"/>
    <n v="2"/>
  </r>
  <r>
    <s v="India"/>
    <x v="27"/>
    <x v="216"/>
    <x v="390"/>
    <x v="0"/>
    <n v="23.805689999999998"/>
    <n v="86.442679999999996"/>
    <x v="5"/>
    <n v="76"/>
    <n v="337"/>
    <n v="163"/>
  </r>
  <r>
    <s v="India"/>
    <x v="27"/>
    <x v="216"/>
    <x v="390"/>
    <x v="0"/>
    <n v="23.805689999999998"/>
    <n v="86.442679999999996"/>
    <x v="6"/>
    <n v="2"/>
    <n v="2"/>
    <n v="2"/>
  </r>
  <r>
    <s v="India"/>
    <x v="27"/>
    <x v="216"/>
    <x v="390"/>
    <x v="0"/>
    <n v="23.805689999999998"/>
    <n v="86.442679999999996"/>
    <x v="0"/>
    <n v="15"/>
    <n v="57"/>
    <n v="41"/>
  </r>
  <r>
    <s v="India"/>
    <x v="10"/>
    <x v="44"/>
    <x v="85"/>
    <x v="0"/>
    <n v="16.172806000000001"/>
    <n v="75.659694000000002"/>
    <x v="1"/>
    <n v="45"/>
    <n v="46"/>
    <n v="46"/>
  </r>
  <r>
    <s v="India"/>
    <x v="10"/>
    <x v="44"/>
    <x v="85"/>
    <x v="0"/>
    <n v="16.172806000000001"/>
    <n v="75.659694000000002"/>
    <x v="3"/>
    <n v="1"/>
    <n v="2"/>
    <n v="1"/>
  </r>
  <r>
    <s v="India"/>
    <x v="7"/>
    <x v="49"/>
    <x v="391"/>
    <x v="0"/>
    <n v="23.243639000000002"/>
    <n v="72.689940000000007"/>
    <x v="1"/>
    <n v="60"/>
    <n v="142"/>
    <n v="97"/>
  </r>
  <r>
    <s v="India"/>
    <x v="7"/>
    <x v="49"/>
    <x v="391"/>
    <x v="0"/>
    <n v="23.243639000000002"/>
    <n v="72.689940000000007"/>
    <x v="0"/>
    <n v="2"/>
    <n v="49"/>
    <n v="26"/>
  </r>
  <r>
    <s v="India"/>
    <x v="7"/>
    <x v="49"/>
    <x v="95"/>
    <x v="0"/>
    <n v="23.221713999999999"/>
    <n v="72.654328000000007"/>
    <x v="5"/>
    <n v="18"/>
    <n v="67"/>
    <n v="37"/>
  </r>
  <r>
    <s v="India"/>
    <x v="7"/>
    <x v="49"/>
    <x v="95"/>
    <x v="0"/>
    <n v="23.221713999999999"/>
    <n v="72.654328000000007"/>
    <x v="2"/>
    <n v="23"/>
    <n v="25"/>
    <n v="24"/>
  </r>
  <r>
    <s v="India"/>
    <x v="7"/>
    <x v="217"/>
    <x v="392"/>
    <x v="0"/>
    <n v="22.410802"/>
    <n v="73.097922999999994"/>
    <x v="2"/>
    <n v="4"/>
    <n v="27"/>
    <n v="14"/>
  </r>
  <r>
    <s v="India"/>
    <x v="7"/>
    <x v="50"/>
    <x v="96"/>
    <x v="0"/>
    <n v="21.170045999999999"/>
    <n v="72.795405000000002"/>
    <x v="6"/>
    <m/>
    <m/>
    <m/>
  </r>
  <r>
    <s v="India"/>
    <x v="7"/>
    <x v="213"/>
    <x v="386"/>
    <x v="0"/>
    <n v="20.362421000000001"/>
    <n v="72.918013000000002"/>
    <x v="5"/>
    <n v="42"/>
    <n v="309"/>
    <n v="122"/>
  </r>
  <r>
    <s v="India"/>
    <x v="7"/>
    <x v="214"/>
    <x v="387"/>
    <x v="0"/>
    <n v="22.969611"/>
    <n v="72.643500000000003"/>
    <x v="4"/>
    <n v="17"/>
    <n v="34"/>
    <n v="24"/>
  </r>
  <r>
    <s v="India"/>
    <x v="7"/>
    <x v="214"/>
    <x v="387"/>
    <x v="0"/>
    <n v="22.969611"/>
    <n v="72.643500000000003"/>
    <x v="0"/>
    <n v="1"/>
    <n v="2"/>
    <n v="1"/>
  </r>
  <r>
    <s v="India"/>
    <x v="11"/>
    <x v="46"/>
    <x v="91"/>
    <x v="0"/>
    <n v="28.422681000000001"/>
    <n v="77.148944"/>
    <x v="5"/>
    <n v="42"/>
    <n v="304"/>
    <n v="141"/>
  </r>
  <r>
    <s v="India"/>
    <x v="11"/>
    <x v="46"/>
    <x v="91"/>
    <x v="0"/>
    <n v="28.422681000000001"/>
    <n v="77.148944"/>
    <x v="1"/>
    <n v="33"/>
    <n v="162"/>
    <n v="108"/>
  </r>
  <r>
    <s v="India"/>
    <x v="11"/>
    <x v="47"/>
    <x v="92"/>
    <x v="0"/>
    <n v="28.315300000000001"/>
    <n v="76.914299999999997"/>
    <x v="5"/>
    <n v="23"/>
    <n v="46"/>
    <n v="37"/>
  </r>
  <r>
    <s v="India"/>
    <x v="7"/>
    <x v="41"/>
    <x v="393"/>
    <x v="0"/>
    <n v="23.016833999999999"/>
    <n v="72.625775000000004"/>
    <x v="5"/>
    <n v="21"/>
    <n v="309"/>
    <n v="99"/>
  </r>
  <r>
    <s v="India"/>
    <x v="7"/>
    <x v="41"/>
    <x v="393"/>
    <x v="0"/>
    <n v="23.016833999999999"/>
    <n v="72.625775000000004"/>
    <x v="3"/>
    <n v="6"/>
    <n v="15"/>
    <n v="9"/>
  </r>
  <r>
    <s v="India"/>
    <x v="7"/>
    <x v="41"/>
    <x v="87"/>
    <x v="0"/>
    <n v="23.076792999999999"/>
    <n v="72.627874000000006"/>
    <x v="1"/>
    <n v="40"/>
    <n v="185"/>
    <n v="85"/>
  </r>
  <r>
    <s v="India"/>
    <x v="7"/>
    <x v="41"/>
    <x v="87"/>
    <x v="0"/>
    <n v="23.076792999999999"/>
    <n v="72.627874000000006"/>
    <x v="4"/>
    <n v="1"/>
    <n v="12"/>
    <n v="4"/>
  </r>
  <r>
    <s v="India"/>
    <x v="7"/>
    <x v="41"/>
    <x v="87"/>
    <x v="0"/>
    <n v="23.076792999999999"/>
    <n v="72.627874000000006"/>
    <x v="0"/>
    <n v="1"/>
    <n v="55"/>
    <n v="26"/>
  </r>
  <r>
    <s v="India"/>
    <x v="6"/>
    <x v="39"/>
    <x v="77"/>
    <x v="0"/>
    <n v="28.672342"/>
    <n v="77.315259999999995"/>
    <x v="5"/>
    <n v="45"/>
    <n v="361"/>
    <n v="158"/>
  </r>
  <r>
    <s v="India"/>
    <x v="6"/>
    <x v="39"/>
    <x v="77"/>
    <x v="0"/>
    <n v="28.672342"/>
    <n v="77.315259999999995"/>
    <x v="1"/>
    <n v="84"/>
    <n v="308"/>
    <n v="170"/>
  </r>
  <r>
    <s v="India"/>
    <x v="6"/>
    <x v="39"/>
    <x v="77"/>
    <x v="0"/>
    <n v="28.672342"/>
    <n v="77.315259999999995"/>
    <x v="6"/>
    <n v="30"/>
    <n v="111"/>
    <n v="53"/>
  </r>
  <r>
    <s v="India"/>
    <x v="6"/>
    <x v="39"/>
    <x v="77"/>
    <x v="0"/>
    <n v="28.672342"/>
    <n v="77.315259999999995"/>
    <x v="0"/>
    <n v="2"/>
    <n v="238"/>
    <n v="100"/>
  </r>
  <r>
    <s v="India"/>
    <x v="6"/>
    <x v="39"/>
    <x v="78"/>
    <x v="0"/>
    <n v="28.699793"/>
    <n v="77.165452999999999"/>
    <x v="4"/>
    <n v="27"/>
    <n v="102"/>
    <n v="55"/>
  </r>
  <r>
    <s v="India"/>
    <x v="7"/>
    <x v="41"/>
    <x v="93"/>
    <x v="0"/>
    <n v="23.04307"/>
    <n v="72.562967999999998"/>
    <x v="4"/>
    <n v="7"/>
    <n v="42"/>
    <n v="18"/>
  </r>
  <r>
    <s v="India"/>
    <x v="7"/>
    <x v="48"/>
    <x v="94"/>
    <x v="0"/>
    <n v="21.613267"/>
    <n v="73.010554999999997"/>
    <x v="1"/>
    <n v="45"/>
    <n v="129"/>
    <n v="74"/>
  </r>
  <r>
    <s v="India"/>
    <x v="7"/>
    <x v="48"/>
    <x v="94"/>
    <x v="0"/>
    <n v="21.613267"/>
    <n v="73.010554999999997"/>
    <x v="2"/>
    <n v="70"/>
    <n v="106"/>
    <n v="88"/>
  </r>
  <r>
    <s v="India"/>
    <x v="7"/>
    <x v="48"/>
    <x v="94"/>
    <x v="0"/>
    <n v="21.613267"/>
    <n v="73.010554999999997"/>
    <x v="4"/>
    <n v="45"/>
    <n v="45"/>
    <n v="45"/>
  </r>
  <r>
    <s v="India"/>
    <x v="10"/>
    <x v="215"/>
    <x v="388"/>
    <x v="0"/>
    <n v="15.888653"/>
    <n v="74.541751000000005"/>
    <x v="2"/>
    <n v="65"/>
    <n v="122"/>
    <n v="92"/>
  </r>
  <r>
    <s v="India"/>
    <x v="10"/>
    <x v="45"/>
    <x v="89"/>
    <x v="0"/>
    <n v="12.951912999999999"/>
    <n v="77.539783999999997"/>
    <x v="6"/>
    <n v="18"/>
    <n v="100"/>
    <n v="72"/>
  </r>
  <r>
    <s v="India"/>
    <x v="10"/>
    <x v="45"/>
    <x v="90"/>
    <x v="0"/>
    <n v="12.975684299999999"/>
    <n v="77.566074900000004"/>
    <x v="1"/>
    <n v="84"/>
    <n v="100"/>
    <n v="92"/>
  </r>
  <r>
    <s v="India"/>
    <x v="7"/>
    <x v="41"/>
    <x v="81"/>
    <x v="0"/>
    <n v="23.002656999999999"/>
    <n v="72.591911999999994"/>
    <x v="2"/>
    <n v="30"/>
    <n v="31"/>
    <n v="30"/>
  </r>
  <r>
    <s v="India"/>
    <x v="7"/>
    <x v="41"/>
    <x v="82"/>
    <x v="0"/>
    <n v="23.020509000000001"/>
    <n v="72.579261000000002"/>
    <x v="2"/>
    <n v="8"/>
    <n v="106"/>
    <n v="27"/>
  </r>
  <r>
    <s v="India"/>
    <x v="7"/>
    <x v="41"/>
    <x v="97"/>
    <x v="0"/>
    <n v="23.107969000000001"/>
    <n v="72.574647999999996"/>
    <x v="5"/>
    <n v="30"/>
    <n v="328"/>
    <n v="104"/>
  </r>
  <r>
    <s v="India"/>
    <x v="7"/>
    <x v="41"/>
    <x v="97"/>
    <x v="0"/>
    <n v="23.107969000000001"/>
    <n v="72.574647999999996"/>
    <x v="0"/>
    <n v="1"/>
    <n v="105"/>
    <n v="48"/>
  </r>
  <r>
    <s v="India"/>
    <x v="10"/>
    <x v="45"/>
    <x v="468"/>
    <x v="0"/>
    <n v="12.990328"/>
    <n v="77.543138499999998"/>
    <x v="1"/>
    <n v="38"/>
    <n v="46"/>
    <n v="39"/>
  </r>
  <r>
    <s v="India"/>
    <x v="10"/>
    <x v="45"/>
    <x v="468"/>
    <x v="0"/>
    <n v="12.990328"/>
    <n v="77.543138499999998"/>
    <x v="2"/>
    <n v="21"/>
    <n v="29"/>
    <n v="23"/>
  </r>
  <r>
    <s v="India"/>
    <x v="10"/>
    <x v="45"/>
    <x v="468"/>
    <x v="0"/>
    <n v="12.990328"/>
    <n v="77.543138499999998"/>
    <x v="6"/>
    <n v="26"/>
    <n v="40"/>
    <n v="33"/>
  </r>
  <r>
    <s v="India"/>
    <x v="10"/>
    <x v="45"/>
    <x v="109"/>
    <x v="0"/>
    <n v="13.024634199999999"/>
    <n v="77.508011499999995"/>
    <x v="5"/>
    <n v="36"/>
    <n v="46"/>
    <n v="42"/>
  </r>
  <r>
    <s v="India"/>
    <x v="10"/>
    <x v="45"/>
    <x v="109"/>
    <x v="0"/>
    <n v="13.024634199999999"/>
    <n v="77.508011499999995"/>
    <x v="4"/>
    <n v="6"/>
    <n v="10"/>
    <n v="8"/>
  </r>
  <r>
    <s v="India"/>
    <x v="10"/>
    <x v="45"/>
    <x v="110"/>
    <x v="0"/>
    <n v="12.917348"/>
    <n v="77.622812999999994"/>
    <x v="1"/>
    <n v="41"/>
    <n v="131"/>
    <n v="94"/>
  </r>
  <r>
    <s v="India"/>
    <x v="10"/>
    <x v="45"/>
    <x v="110"/>
    <x v="0"/>
    <n v="12.917348"/>
    <n v="77.622812999999994"/>
    <x v="6"/>
    <n v="5"/>
    <n v="32"/>
    <n v="13"/>
  </r>
  <r>
    <s v="India"/>
    <x v="10"/>
    <x v="61"/>
    <x v="111"/>
    <x v="0"/>
    <n v="11.55358"/>
    <n v="76.555210000000002"/>
    <x v="5"/>
    <n v="20"/>
    <n v="31"/>
    <n v="29"/>
  </r>
  <r>
    <s v="India"/>
    <x v="10"/>
    <x v="54"/>
    <x v="394"/>
    <x v="0"/>
    <n v="17.336317999999999"/>
    <n v="76.847397000000001"/>
    <x v="2"/>
    <n v="8"/>
    <n v="18"/>
    <n v="14"/>
  </r>
  <r>
    <s v="India"/>
    <x v="10"/>
    <x v="54"/>
    <x v="394"/>
    <x v="0"/>
    <n v="17.336317999999999"/>
    <n v="76.847397000000001"/>
    <x v="3"/>
    <n v="2"/>
    <n v="3"/>
    <n v="3"/>
  </r>
  <r>
    <s v="India"/>
    <x v="10"/>
    <x v="64"/>
    <x v="116"/>
    <x v="0"/>
    <n v="12.415910999999999"/>
    <n v="75.735050000000001"/>
    <x v="1"/>
    <n v="6"/>
    <n v="48"/>
    <n v="18"/>
  </r>
  <r>
    <s v="India"/>
    <x v="10"/>
    <x v="64"/>
    <x v="116"/>
    <x v="0"/>
    <n v="12.415910999999999"/>
    <n v="75.735050000000001"/>
    <x v="6"/>
    <n v="10"/>
    <n v="19"/>
    <n v="15"/>
  </r>
  <r>
    <s v="India"/>
    <x v="10"/>
    <x v="64"/>
    <x v="116"/>
    <x v="0"/>
    <n v="12.415910999999999"/>
    <n v="75.735050000000001"/>
    <x v="0"/>
    <n v="3"/>
    <n v="7"/>
    <n v="5"/>
  </r>
  <r>
    <s v="India"/>
    <x v="10"/>
    <x v="219"/>
    <x v="397"/>
    <x v="0"/>
    <n v="12.889250000000001"/>
    <n v="74.852999999999994"/>
    <x v="4"/>
    <n v="6"/>
    <n v="7"/>
    <n v="6"/>
  </r>
  <r>
    <s v="India"/>
    <x v="10"/>
    <x v="62"/>
    <x v="114"/>
    <x v="0"/>
    <n v="12.21041"/>
    <n v="76.373760000000004"/>
    <x v="6"/>
    <n v="6"/>
    <n v="34"/>
    <n v="18"/>
  </r>
  <r>
    <s v="India"/>
    <x v="10"/>
    <x v="220"/>
    <x v="399"/>
    <x v="0"/>
    <n v="13.94"/>
    <n v="75.555916999999994"/>
    <x v="5"/>
    <n v="24"/>
    <n v="45"/>
    <n v="34"/>
  </r>
  <r>
    <s v="India"/>
    <x v="10"/>
    <x v="220"/>
    <x v="399"/>
    <x v="0"/>
    <n v="13.94"/>
    <n v="75.555916999999994"/>
    <x v="1"/>
    <n v="38"/>
    <n v="61"/>
    <n v="49"/>
  </r>
  <r>
    <s v="India"/>
    <x v="10"/>
    <x v="55"/>
    <x v="103"/>
    <x v="0"/>
    <n v="13.428827999999999"/>
    <n v="77.731418000000005"/>
    <x v="4"/>
    <n v="16"/>
    <n v="26"/>
    <n v="20"/>
  </r>
  <r>
    <s v="India"/>
    <x v="10"/>
    <x v="57"/>
    <x v="105"/>
    <x v="0"/>
    <n v="14.4758"/>
    <n v="75.905199999999994"/>
    <x v="0"/>
    <n v="19"/>
    <n v="20"/>
    <n v="19"/>
  </r>
  <r>
    <s v="India"/>
    <x v="10"/>
    <x v="58"/>
    <x v="106"/>
    <x v="0"/>
    <n v="15.459706000000001"/>
    <n v="75.008381"/>
    <x v="4"/>
    <n v="2"/>
    <n v="5"/>
    <n v="3"/>
  </r>
  <r>
    <s v="India"/>
    <x v="10"/>
    <x v="51"/>
    <x v="99"/>
    <x v="0"/>
    <n v="15.411455999999999"/>
    <n v="75.638132999999996"/>
    <x v="5"/>
    <n v="4"/>
    <n v="19"/>
    <n v="10"/>
  </r>
  <r>
    <s v="India"/>
    <x v="10"/>
    <x v="52"/>
    <x v="100"/>
    <x v="0"/>
    <n v="14.7918"/>
    <n v="75.389600000000002"/>
    <x v="0"/>
    <m/>
    <m/>
    <m/>
  </r>
  <r>
    <s v="India"/>
    <x v="10"/>
    <x v="54"/>
    <x v="394"/>
    <x v="0"/>
    <n v="17.336317999999999"/>
    <n v="76.847397000000001"/>
    <x v="5"/>
    <n v="11"/>
    <n v="42"/>
    <n v="20"/>
  </r>
  <r>
    <s v="India"/>
    <x v="10"/>
    <x v="45"/>
    <x v="396"/>
    <x v="0"/>
    <n v="13.003871999999999"/>
    <n v="77.664216999999994"/>
    <x v="6"/>
    <n v="18"/>
    <n v="62"/>
    <n v="38"/>
  </r>
  <r>
    <s v="India"/>
    <x v="10"/>
    <x v="45"/>
    <x v="112"/>
    <x v="0"/>
    <n v="13.027019900000001"/>
    <n v="77.494094000000004"/>
    <x v="5"/>
    <n v="4"/>
    <n v="81"/>
    <n v="36"/>
  </r>
  <r>
    <s v="India"/>
    <x v="10"/>
    <x v="45"/>
    <x v="113"/>
    <x v="0"/>
    <n v="12.921417999999999"/>
    <n v="77.502465999999998"/>
    <x v="0"/>
    <n v="21"/>
    <n v="22"/>
    <n v="21"/>
  </r>
  <r>
    <s v="India"/>
    <x v="10"/>
    <x v="45"/>
    <x v="98"/>
    <x v="0"/>
    <n v="12.938539"/>
    <n v="77.590100000000007"/>
    <x v="1"/>
    <n v="24"/>
    <n v="44"/>
    <n v="35"/>
  </r>
  <r>
    <s v="India"/>
    <x v="10"/>
    <x v="45"/>
    <x v="398"/>
    <x v="0"/>
    <n v="12.920984000000001"/>
    <n v="77.584907999999999"/>
    <x v="6"/>
    <n v="2"/>
    <n v="36"/>
    <n v="18"/>
  </r>
  <r>
    <s v="India"/>
    <x v="10"/>
    <x v="45"/>
    <x v="398"/>
    <x v="0"/>
    <n v="12.920984000000001"/>
    <n v="77.584907999999999"/>
    <x v="0"/>
    <n v="4"/>
    <n v="21"/>
    <n v="7"/>
  </r>
  <r>
    <s v="India"/>
    <x v="10"/>
    <x v="63"/>
    <x v="115"/>
    <x v="0"/>
    <n v="13.377516"/>
    <n v="77.099072000000007"/>
    <x v="6"/>
    <n v="56"/>
    <n v="60"/>
    <n v="57"/>
  </r>
  <r>
    <s v="India"/>
    <x v="10"/>
    <x v="59"/>
    <x v="107"/>
    <x v="0"/>
    <n v="16.760200000000001"/>
    <n v="77.142799999999994"/>
    <x v="4"/>
    <n v="13"/>
    <n v="19"/>
    <n v="15"/>
  </r>
  <r>
    <s v="India"/>
    <x v="12"/>
    <x v="65"/>
    <x v="117"/>
    <x v="0"/>
    <n v="8.5149092999999993"/>
    <n v="76.943587899999997"/>
    <x v="6"/>
    <n v="9"/>
    <n v="16"/>
    <n v="11"/>
  </r>
  <r>
    <s v="India"/>
    <x v="12"/>
    <x v="66"/>
    <x v="118"/>
    <x v="0"/>
    <n v="10.532400000000001"/>
    <n v="76.215900000000005"/>
    <x v="1"/>
    <n v="55"/>
    <n v="62"/>
    <n v="59"/>
  </r>
  <r>
    <s v="India"/>
    <x v="12"/>
    <x v="66"/>
    <x v="118"/>
    <x v="0"/>
    <n v="10.532400000000001"/>
    <n v="76.215900000000005"/>
    <x v="4"/>
    <n v="1"/>
    <n v="1"/>
    <n v="1"/>
  </r>
  <r>
    <s v="India"/>
    <x v="12"/>
    <x v="66"/>
    <x v="118"/>
    <x v="0"/>
    <n v="10.532400000000001"/>
    <n v="76.215900000000005"/>
    <x v="6"/>
    <n v="24"/>
    <n v="28"/>
    <n v="26"/>
  </r>
  <r>
    <s v="India"/>
    <x v="13"/>
    <x v="67"/>
    <x v="119"/>
    <x v="0"/>
    <n v="23.264759000000002"/>
    <n v="77.381568000000001"/>
    <x v="1"/>
    <n v="73"/>
    <n v="119"/>
    <n v="89"/>
  </r>
  <r>
    <s v="India"/>
    <x v="13"/>
    <x v="67"/>
    <x v="119"/>
    <x v="0"/>
    <n v="23.264759000000002"/>
    <n v="77.381568000000001"/>
    <x v="2"/>
    <n v="14"/>
    <n v="90"/>
    <n v="29"/>
  </r>
  <r>
    <s v="India"/>
    <x v="13"/>
    <x v="67"/>
    <x v="401"/>
    <x v="0"/>
    <n v="23.210494000000001"/>
    <n v="77.425409000000002"/>
    <x v="5"/>
    <n v="15"/>
    <n v="233"/>
    <n v="63"/>
  </r>
  <r>
    <s v="India"/>
    <x v="13"/>
    <x v="67"/>
    <x v="401"/>
    <x v="0"/>
    <n v="23.210494000000001"/>
    <n v="77.425409000000002"/>
    <x v="0"/>
    <n v="10"/>
    <n v="63"/>
    <n v="42"/>
  </r>
  <r>
    <s v="India"/>
    <x v="13"/>
    <x v="67"/>
    <x v="120"/>
    <x v="0"/>
    <n v="23.233584"/>
    <n v="77.400574000000006"/>
    <x v="4"/>
    <n v="16"/>
    <n v="28"/>
    <n v="21"/>
  </r>
  <r>
    <s v="India"/>
    <x v="13"/>
    <x v="74"/>
    <x v="131"/>
    <x v="0"/>
    <n v="23.817486779999999"/>
    <n v="79.446246000000002"/>
    <x v="5"/>
    <n v="12"/>
    <n v="79"/>
    <n v="46"/>
  </r>
  <r>
    <s v="India"/>
    <x v="13"/>
    <x v="223"/>
    <x v="403"/>
    <x v="0"/>
    <n v="22.968259100000001"/>
    <n v="76.064117999999993"/>
    <x v="3"/>
    <n v="5"/>
    <n v="10"/>
    <n v="7"/>
  </r>
  <r>
    <s v="India"/>
    <x v="13"/>
    <x v="223"/>
    <x v="403"/>
    <x v="0"/>
    <n v="22.968259100000001"/>
    <n v="76.064117999999993"/>
    <x v="6"/>
    <n v="16"/>
    <n v="109"/>
    <n v="34"/>
  </r>
  <r>
    <s v="India"/>
    <x v="13"/>
    <x v="223"/>
    <x v="403"/>
    <x v="0"/>
    <n v="22.968259100000001"/>
    <n v="76.064117999999993"/>
    <x v="0"/>
    <n v="59"/>
    <n v="82"/>
    <n v="65"/>
  </r>
  <r>
    <s v="India"/>
    <x v="13"/>
    <x v="75"/>
    <x v="132"/>
    <x v="0"/>
    <n v="26.203441999999999"/>
    <n v="78.193251000000004"/>
    <x v="2"/>
    <n v="7"/>
    <n v="88"/>
    <n v="28"/>
  </r>
  <r>
    <s v="India"/>
    <x v="13"/>
    <x v="75"/>
    <x v="133"/>
    <x v="0"/>
    <n v="26.259242"/>
    <n v="78.216431999999998"/>
    <x v="2"/>
    <n v="5"/>
    <n v="118"/>
    <n v="51"/>
  </r>
  <r>
    <s v="India"/>
    <x v="13"/>
    <x v="75"/>
    <x v="134"/>
    <x v="0"/>
    <n v="26.200388"/>
    <n v="78.147713999999993"/>
    <x v="5"/>
    <n v="37"/>
    <n v="301"/>
    <n v="81"/>
  </r>
  <r>
    <s v="India"/>
    <x v="13"/>
    <x v="75"/>
    <x v="134"/>
    <x v="0"/>
    <n v="26.200388"/>
    <n v="78.147713999999993"/>
    <x v="1"/>
    <n v="72"/>
    <n v="368"/>
    <n v="132"/>
  </r>
  <r>
    <s v="India"/>
    <x v="13"/>
    <x v="75"/>
    <x v="134"/>
    <x v="0"/>
    <n v="26.200388"/>
    <n v="78.147713999999993"/>
    <x v="2"/>
    <n v="1"/>
    <n v="5"/>
    <n v="3"/>
  </r>
  <r>
    <s v="India"/>
    <x v="13"/>
    <x v="75"/>
    <x v="134"/>
    <x v="0"/>
    <n v="26.200388"/>
    <n v="78.147713999999993"/>
    <x v="3"/>
    <n v="2"/>
    <n v="2"/>
    <n v="2"/>
  </r>
  <r>
    <s v="India"/>
    <x v="13"/>
    <x v="249"/>
    <x v="469"/>
    <x v="0"/>
    <n v="23.182718999999999"/>
    <n v="75.768218000000005"/>
    <x v="0"/>
    <n v="46"/>
    <n v="72"/>
    <n v="51"/>
  </r>
  <r>
    <s v="India"/>
    <x v="14"/>
    <x v="87"/>
    <x v="151"/>
    <x v="0"/>
    <n v="19.101220000000001"/>
    <n v="74.73339"/>
    <x v="2"/>
    <n v="15"/>
    <n v="122"/>
    <n v="55"/>
  </r>
  <r>
    <s v="India"/>
    <x v="14"/>
    <x v="87"/>
    <x v="151"/>
    <x v="0"/>
    <n v="19.101220000000001"/>
    <n v="74.73339"/>
    <x v="0"/>
    <n v="6"/>
    <n v="115"/>
    <n v="69"/>
  </r>
  <r>
    <s v="India"/>
    <x v="14"/>
    <x v="89"/>
    <x v="153"/>
    <x v="0"/>
    <n v="20.940235900000001"/>
    <n v="77.789524799999995"/>
    <x v="1"/>
    <n v="79"/>
    <n v="121"/>
    <n v="96"/>
  </r>
  <r>
    <s v="India"/>
    <x v="14"/>
    <x v="89"/>
    <x v="153"/>
    <x v="0"/>
    <n v="20.940235900000001"/>
    <n v="77.789524799999995"/>
    <x v="2"/>
    <n v="7"/>
    <n v="51"/>
    <n v="25"/>
  </r>
  <r>
    <s v="India"/>
    <x v="14"/>
    <x v="89"/>
    <x v="154"/>
    <x v="0"/>
    <n v="20.939198000000001"/>
    <n v="77.765701000000007"/>
    <x v="0"/>
    <n v="2"/>
    <n v="79"/>
    <n v="49"/>
  </r>
  <r>
    <s v="India"/>
    <x v="12"/>
    <x v="222"/>
    <x v="402"/>
    <x v="0"/>
    <n v="11.875"/>
    <n v="75.373199999999997"/>
    <x v="2"/>
    <n v="15"/>
    <n v="17"/>
    <n v="16"/>
  </r>
  <r>
    <s v="India"/>
    <x v="12"/>
    <x v="222"/>
    <x v="402"/>
    <x v="0"/>
    <n v="11.875"/>
    <n v="75.373199999999997"/>
    <x v="0"/>
    <n v="26"/>
    <n v="32"/>
    <n v="28"/>
  </r>
  <r>
    <s v="India"/>
    <x v="12"/>
    <x v="79"/>
    <x v="142"/>
    <x v="0"/>
    <n v="8.8787000000000003"/>
    <n v="76.607299999999995"/>
    <x v="0"/>
    <n v="29"/>
    <n v="37"/>
    <n v="34"/>
  </r>
  <r>
    <s v="India"/>
    <x v="12"/>
    <x v="65"/>
    <x v="141"/>
    <x v="0"/>
    <n v="8.5637000000000008"/>
    <n v="76.886499999999998"/>
    <x v="5"/>
    <n v="40"/>
    <n v="45"/>
    <n v="42"/>
  </r>
  <r>
    <s v="India"/>
    <x v="12"/>
    <x v="65"/>
    <x v="141"/>
    <x v="0"/>
    <n v="8.5637000000000008"/>
    <n v="76.886499999999998"/>
    <x v="1"/>
    <n v="56"/>
    <n v="63"/>
    <n v="60"/>
  </r>
  <r>
    <s v="India"/>
    <x v="13"/>
    <x v="68"/>
    <x v="121"/>
    <x v="0"/>
    <n v="23.218135"/>
    <n v="79.957769999999996"/>
    <x v="1"/>
    <n v="40"/>
    <n v="129"/>
    <n v="92"/>
  </r>
  <r>
    <s v="India"/>
    <x v="13"/>
    <x v="69"/>
    <x v="122"/>
    <x v="0"/>
    <n v="23.500160000000001"/>
    <n v="80.232839999999996"/>
    <x v="0"/>
    <n v="6"/>
    <n v="145"/>
    <n v="72"/>
  </r>
  <r>
    <s v="India"/>
    <x v="13"/>
    <x v="72"/>
    <x v="125"/>
    <x v="0"/>
    <n v="22.624758"/>
    <n v="75.675237999999993"/>
    <x v="1"/>
    <n v="53"/>
    <n v="254"/>
    <n v="111"/>
  </r>
  <r>
    <s v="India"/>
    <x v="13"/>
    <x v="72"/>
    <x v="125"/>
    <x v="0"/>
    <n v="22.624758"/>
    <n v="75.675237999999993"/>
    <x v="4"/>
    <n v="10"/>
    <n v="49"/>
    <n v="21"/>
  </r>
  <r>
    <s v="India"/>
    <x v="13"/>
    <x v="221"/>
    <x v="400"/>
    <x v="0"/>
    <n v="23.331731000000001"/>
    <n v="75.045980999999998"/>
    <x v="2"/>
    <n v="40"/>
    <n v="42"/>
    <n v="41"/>
  </r>
  <r>
    <s v="India"/>
    <x v="13"/>
    <x v="221"/>
    <x v="400"/>
    <x v="0"/>
    <n v="23.331731000000001"/>
    <n v="75.045980999999998"/>
    <x v="4"/>
    <n v="40"/>
    <n v="46"/>
    <n v="42"/>
  </r>
  <r>
    <s v="India"/>
    <x v="13"/>
    <x v="76"/>
    <x v="137"/>
    <x v="0"/>
    <n v="23.838585999999999"/>
    <n v="78.759431000000006"/>
    <x v="6"/>
    <n v="49"/>
    <n v="76"/>
    <n v="56"/>
  </r>
  <r>
    <s v="India"/>
    <x v="13"/>
    <x v="76"/>
    <x v="137"/>
    <x v="0"/>
    <n v="23.838585999999999"/>
    <n v="78.759431000000006"/>
    <x v="0"/>
    <n v="9"/>
    <n v="48"/>
    <n v="37"/>
  </r>
  <r>
    <s v="India"/>
    <x v="13"/>
    <x v="73"/>
    <x v="136"/>
    <x v="0"/>
    <n v="22.431000000000001"/>
    <n v="75.521299999999997"/>
    <x v="1"/>
    <n v="104"/>
    <n v="236"/>
    <n v="149"/>
  </r>
  <r>
    <s v="India"/>
    <x v="13"/>
    <x v="73"/>
    <x v="136"/>
    <x v="0"/>
    <n v="22.431000000000001"/>
    <n v="75.521299999999997"/>
    <x v="3"/>
    <n v="4"/>
    <n v="23"/>
    <n v="16"/>
  </r>
  <r>
    <s v="India"/>
    <x v="13"/>
    <x v="73"/>
    <x v="136"/>
    <x v="0"/>
    <n v="22.431000000000001"/>
    <n v="75.521299999999997"/>
    <x v="4"/>
    <n v="7"/>
    <n v="21"/>
    <n v="12"/>
  </r>
  <r>
    <s v="India"/>
    <x v="13"/>
    <x v="73"/>
    <x v="126"/>
    <x v="0"/>
    <n v="22.678000000000001"/>
    <n v="75.855900000000005"/>
    <x v="1"/>
    <n v="35"/>
    <n v="130"/>
    <n v="67"/>
  </r>
  <r>
    <s v="India"/>
    <x v="13"/>
    <x v="68"/>
    <x v="128"/>
    <x v="0"/>
    <n v="23.163174000000001"/>
    <n v="79.973061000000001"/>
    <x v="0"/>
    <n v="11"/>
    <n v="99"/>
    <n v="63"/>
  </r>
  <r>
    <s v="India"/>
    <x v="13"/>
    <x v="68"/>
    <x v="129"/>
    <x v="0"/>
    <n v="23.142887999999999"/>
    <n v="79.916146999999995"/>
    <x v="3"/>
    <m/>
    <m/>
    <m/>
  </r>
  <r>
    <s v="India"/>
    <x v="13"/>
    <x v="68"/>
    <x v="130"/>
    <x v="0"/>
    <n v="23.168606"/>
    <n v="79.932247000000004"/>
    <x v="3"/>
    <n v="2"/>
    <n v="3"/>
    <n v="3"/>
  </r>
  <r>
    <s v="India"/>
    <x v="13"/>
    <x v="78"/>
    <x v="140"/>
    <x v="0"/>
    <n v="24.108969999999999"/>
    <n v="82.645579999999995"/>
    <x v="6"/>
    <n v="39"/>
    <n v="108"/>
    <n v="48"/>
  </r>
  <r>
    <s v="India"/>
    <x v="14"/>
    <x v="225"/>
    <x v="406"/>
    <x v="0"/>
    <n v="18.399629999999998"/>
    <n v="76.574520000000007"/>
    <x v="4"/>
    <n v="4"/>
    <n v="18"/>
    <n v="9"/>
  </r>
  <r>
    <s v="India"/>
    <x v="14"/>
    <x v="225"/>
    <x v="406"/>
    <x v="0"/>
    <n v="18.399629999999998"/>
    <n v="76.574520000000007"/>
    <x v="0"/>
    <n v="1"/>
    <n v="126"/>
    <n v="72"/>
  </r>
  <r>
    <s v="India"/>
    <x v="14"/>
    <x v="81"/>
    <x v="144"/>
    <x v="0"/>
    <n v="18.1023399"/>
    <n v="73.478368700000004"/>
    <x v="3"/>
    <n v="7"/>
    <n v="8"/>
    <n v="7"/>
  </r>
  <r>
    <s v="India"/>
    <x v="14"/>
    <x v="82"/>
    <x v="145"/>
    <x v="0"/>
    <n v="20.555712"/>
    <n v="74.529235999999997"/>
    <x v="2"/>
    <n v="9"/>
    <n v="54"/>
    <n v="25"/>
  </r>
  <r>
    <s v="India"/>
    <x v="14"/>
    <x v="83"/>
    <x v="146"/>
    <x v="0"/>
    <n v="19.296481"/>
    <n v="72.840923000000004"/>
    <x v="5"/>
    <n v="33"/>
    <n v="58"/>
    <n v="43"/>
  </r>
  <r>
    <s v="India"/>
    <x v="14"/>
    <x v="85"/>
    <x v="148"/>
    <x v="0"/>
    <n v="19.962900000000001"/>
    <n v="79.298714000000004"/>
    <x v="4"/>
    <n v="19"/>
    <n v="48"/>
    <n v="23"/>
  </r>
  <r>
    <s v="India"/>
    <x v="14"/>
    <x v="85"/>
    <x v="149"/>
    <x v="0"/>
    <n v="19.9775302"/>
    <n v="79.2337086"/>
    <x v="5"/>
    <n v="36"/>
    <n v="95"/>
    <n v="70"/>
  </r>
  <r>
    <s v="India"/>
    <x v="14"/>
    <x v="85"/>
    <x v="149"/>
    <x v="0"/>
    <n v="19.9775302"/>
    <n v="79.2337086"/>
    <x v="1"/>
    <n v="99"/>
    <n v="194"/>
    <n v="144"/>
  </r>
  <r>
    <s v="India"/>
    <x v="14"/>
    <x v="85"/>
    <x v="149"/>
    <x v="0"/>
    <n v="19.9775302"/>
    <n v="79.2337086"/>
    <x v="6"/>
    <n v="4"/>
    <n v="16"/>
    <n v="9"/>
  </r>
  <r>
    <s v="India"/>
    <x v="14"/>
    <x v="86"/>
    <x v="150"/>
    <x v="0"/>
    <n v="20.918945999999998"/>
    <n v="74.776387999999997"/>
    <x v="5"/>
    <n v="38"/>
    <n v="54"/>
    <n v="48"/>
  </r>
  <r>
    <s v="India"/>
    <x v="14"/>
    <x v="86"/>
    <x v="150"/>
    <x v="0"/>
    <n v="20.918945999999998"/>
    <n v="74.776387999999997"/>
    <x v="2"/>
    <n v="8"/>
    <n v="45"/>
    <n v="18"/>
  </r>
  <r>
    <s v="India"/>
    <x v="14"/>
    <x v="224"/>
    <x v="404"/>
    <x v="0"/>
    <n v="21.001263999999999"/>
    <n v="75.565601999999998"/>
    <x v="3"/>
    <m/>
    <m/>
    <m/>
  </r>
  <r>
    <s v="India"/>
    <x v="14"/>
    <x v="90"/>
    <x v="155"/>
    <x v="0"/>
    <n v="19.854616"/>
    <n v="75.905894000000004"/>
    <x v="4"/>
    <n v="3"/>
    <n v="4"/>
    <n v="3"/>
  </r>
  <r>
    <s v="India"/>
    <x v="14"/>
    <x v="91"/>
    <x v="156"/>
    <x v="0"/>
    <n v="19.25292"/>
    <n v="73.142019000000005"/>
    <x v="5"/>
    <n v="50"/>
    <n v="97"/>
    <n v="72"/>
  </r>
  <r>
    <s v="India"/>
    <x v="14"/>
    <x v="91"/>
    <x v="157"/>
    <x v="0"/>
    <n v="19.192056000000001"/>
    <n v="72.958518799999993"/>
    <x v="4"/>
    <n v="3"/>
    <n v="16"/>
    <n v="8"/>
  </r>
  <r>
    <s v="India"/>
    <x v="14"/>
    <x v="94"/>
    <x v="177"/>
    <x v="0"/>
    <n v="19.11074"/>
    <n v="72.860839999999996"/>
    <x v="1"/>
    <n v="62"/>
    <n v="193"/>
    <n v="118"/>
  </r>
  <r>
    <s v="India"/>
    <x v="14"/>
    <x v="94"/>
    <x v="409"/>
    <x v="0"/>
    <n v="19.036458499999998"/>
    <n v="72.895437099999995"/>
    <x v="6"/>
    <n v="23"/>
    <n v="74"/>
    <n v="28"/>
  </r>
  <r>
    <s v="India"/>
    <x v="14"/>
    <x v="94"/>
    <x v="178"/>
    <x v="0"/>
    <n v="19.10078"/>
    <n v="72.874619999999993"/>
    <x v="5"/>
    <n v="40"/>
    <n v="60"/>
    <n v="48"/>
  </r>
  <r>
    <s v="India"/>
    <x v="14"/>
    <x v="226"/>
    <x v="408"/>
    <x v="0"/>
    <n v="19.164850000000001"/>
    <n v="73.234089999999995"/>
    <x v="5"/>
    <n v="61"/>
    <n v="143"/>
    <n v="91"/>
  </r>
  <r>
    <s v="India"/>
    <x v="14"/>
    <x v="226"/>
    <x v="408"/>
    <x v="0"/>
    <n v="19.164850000000001"/>
    <n v="73.234089999999995"/>
    <x v="3"/>
    <n v="2"/>
    <n v="6"/>
    <n v="4"/>
  </r>
  <r>
    <s v="India"/>
    <x v="14"/>
    <x v="92"/>
    <x v="160"/>
    <x v="0"/>
    <n v="19.024390199999999"/>
    <n v="73.040672099999995"/>
    <x v="3"/>
    <n v="5"/>
    <n v="17"/>
    <n v="10"/>
  </r>
  <r>
    <s v="India"/>
    <x v="14"/>
    <x v="94"/>
    <x v="470"/>
    <x v="0"/>
    <n v="19.224333300000001"/>
    <n v="72.865811300000004"/>
    <x v="1"/>
    <n v="45"/>
    <n v="119"/>
    <n v="67"/>
  </r>
  <r>
    <s v="India"/>
    <x v="14"/>
    <x v="94"/>
    <x v="470"/>
    <x v="0"/>
    <n v="19.224333300000001"/>
    <n v="72.865811300000004"/>
    <x v="4"/>
    <n v="6"/>
    <n v="31"/>
    <n v="17"/>
  </r>
  <r>
    <s v="India"/>
    <x v="14"/>
    <x v="94"/>
    <x v="407"/>
    <x v="0"/>
    <n v="18.976700000000001"/>
    <n v="72.837999999999994"/>
    <x v="5"/>
    <n v="29"/>
    <n v="58"/>
    <n v="40"/>
  </r>
  <r>
    <s v="India"/>
    <x v="14"/>
    <x v="6"/>
    <x v="161"/>
    <x v="0"/>
    <n v="19.875620000000001"/>
    <n v="75.387309999999999"/>
    <x v="2"/>
    <n v="7"/>
    <n v="105"/>
    <n v="31"/>
  </r>
  <r>
    <s v="India"/>
    <x v="14"/>
    <x v="6"/>
    <x v="161"/>
    <x v="0"/>
    <n v="19.875620000000001"/>
    <n v="75.387309999999999"/>
    <x v="0"/>
    <n v="7"/>
    <n v="88"/>
    <n v="63"/>
  </r>
  <r>
    <s v="India"/>
    <x v="14"/>
    <x v="80"/>
    <x v="143"/>
    <x v="0"/>
    <n v="16.714374500000002"/>
    <n v="74.242639800000006"/>
    <x v="5"/>
    <n v="34"/>
    <n v="69"/>
    <n v="45"/>
  </r>
  <r>
    <s v="India"/>
    <x v="14"/>
    <x v="80"/>
    <x v="143"/>
    <x v="0"/>
    <n v="16.714374500000002"/>
    <n v="74.242639800000006"/>
    <x v="3"/>
    <m/>
    <m/>
    <m/>
  </r>
  <r>
    <s v="India"/>
    <x v="14"/>
    <x v="93"/>
    <x v="162"/>
    <x v="0"/>
    <n v="19.309073000000001"/>
    <n v="73.057222999999993"/>
    <x v="1"/>
    <n v="62"/>
    <n v="159"/>
    <n v="110"/>
  </r>
  <r>
    <s v="India"/>
    <x v="14"/>
    <x v="97"/>
    <x v="411"/>
    <x v="0"/>
    <n v="21.152875000000002"/>
    <n v="79.051753099999999"/>
    <x v="2"/>
    <n v="5"/>
    <n v="68"/>
    <n v="31"/>
  </r>
  <r>
    <s v="India"/>
    <x v="14"/>
    <x v="97"/>
    <x v="411"/>
    <x v="0"/>
    <n v="21.152875000000002"/>
    <n v="79.051753099999999"/>
    <x v="3"/>
    <n v="2"/>
    <n v="9"/>
    <n v="4"/>
  </r>
  <r>
    <s v="India"/>
    <x v="14"/>
    <x v="97"/>
    <x v="411"/>
    <x v="0"/>
    <n v="21.152875000000002"/>
    <n v="79.051753099999999"/>
    <x v="4"/>
    <n v="5"/>
    <n v="60"/>
    <n v="22"/>
  </r>
  <r>
    <s v="India"/>
    <x v="14"/>
    <x v="97"/>
    <x v="190"/>
    <x v="0"/>
    <n v="21.143383"/>
    <n v="79.048912000000001"/>
    <x v="3"/>
    <n v="3"/>
    <n v="11"/>
    <n v="6"/>
  </r>
  <r>
    <s v="India"/>
    <x v="14"/>
    <x v="97"/>
    <x v="190"/>
    <x v="0"/>
    <n v="21.143383"/>
    <n v="79.048912000000001"/>
    <x v="4"/>
    <n v="1"/>
    <n v="43"/>
    <n v="17"/>
  </r>
  <r>
    <s v="India"/>
    <x v="14"/>
    <x v="98"/>
    <x v="191"/>
    <x v="0"/>
    <n v="19.173852"/>
    <n v="77.296290999999997"/>
    <x v="6"/>
    <n v="6"/>
    <n v="67"/>
    <n v="19"/>
  </r>
  <r>
    <s v="India"/>
    <x v="14"/>
    <x v="99"/>
    <x v="192"/>
    <x v="0"/>
    <n v="20.0073285"/>
    <n v="73.776242699999997"/>
    <x v="5"/>
    <n v="119"/>
    <n v="219"/>
    <n v="165"/>
  </r>
  <r>
    <s v="India"/>
    <x v="14"/>
    <x v="99"/>
    <x v="192"/>
    <x v="0"/>
    <n v="20.0073285"/>
    <n v="73.776242699999997"/>
    <x v="6"/>
    <n v="28"/>
    <n v="36"/>
    <n v="31"/>
  </r>
  <r>
    <s v="India"/>
    <x v="14"/>
    <x v="94"/>
    <x v="163"/>
    <x v="0"/>
    <n v="19.083694000000001"/>
    <n v="72.920967000000005"/>
    <x v="5"/>
    <n v="28"/>
    <n v="100"/>
    <n v="59"/>
  </r>
  <r>
    <s v="India"/>
    <x v="14"/>
    <x v="94"/>
    <x v="163"/>
    <x v="0"/>
    <n v="19.083694000000001"/>
    <n v="72.920967000000005"/>
    <x v="3"/>
    <n v="2"/>
    <n v="30"/>
    <n v="10"/>
  </r>
  <r>
    <s v="India"/>
    <x v="14"/>
    <x v="94"/>
    <x v="163"/>
    <x v="0"/>
    <n v="19.083694000000001"/>
    <n v="72.920967000000005"/>
    <x v="4"/>
    <n v="1"/>
    <n v="10"/>
    <n v="3"/>
  </r>
  <r>
    <s v="India"/>
    <x v="14"/>
    <x v="94"/>
    <x v="163"/>
    <x v="0"/>
    <n v="19.083694000000001"/>
    <n v="72.920967000000005"/>
    <x v="0"/>
    <n v="2"/>
    <n v="46"/>
    <n v="26"/>
  </r>
  <r>
    <s v="India"/>
    <x v="14"/>
    <x v="94"/>
    <x v="164"/>
    <x v="0"/>
    <n v="19.2058"/>
    <n v="72.868200000000002"/>
    <x v="5"/>
    <n v="78"/>
    <n v="90"/>
    <n v="82"/>
  </r>
  <r>
    <s v="India"/>
    <x v="14"/>
    <x v="94"/>
    <x v="164"/>
    <x v="0"/>
    <n v="19.2058"/>
    <n v="72.868200000000002"/>
    <x v="2"/>
    <n v="1"/>
    <n v="1"/>
    <n v="1"/>
  </r>
  <r>
    <s v="India"/>
    <x v="14"/>
    <x v="94"/>
    <x v="164"/>
    <x v="0"/>
    <n v="19.2058"/>
    <n v="72.868200000000002"/>
    <x v="4"/>
    <m/>
    <m/>
    <m/>
  </r>
  <r>
    <s v="India"/>
    <x v="14"/>
    <x v="94"/>
    <x v="166"/>
    <x v="0"/>
    <n v="19.063214299999999"/>
    <n v="72.8456324"/>
    <x v="1"/>
    <n v="19"/>
    <n v="121"/>
    <n v="58"/>
  </r>
  <r>
    <s v="India"/>
    <x v="14"/>
    <x v="94"/>
    <x v="166"/>
    <x v="0"/>
    <n v="19.063214299999999"/>
    <n v="72.8456324"/>
    <x v="2"/>
    <n v="9"/>
    <n v="97"/>
    <n v="39"/>
  </r>
  <r>
    <s v="India"/>
    <x v="14"/>
    <x v="94"/>
    <x v="166"/>
    <x v="0"/>
    <n v="19.063214299999999"/>
    <n v="72.8456324"/>
    <x v="0"/>
    <n v="2"/>
    <n v="49"/>
    <n v="40"/>
  </r>
  <r>
    <s v="India"/>
    <x v="14"/>
    <x v="94"/>
    <x v="179"/>
    <x v="0"/>
    <n v="19.165332299999999"/>
    <n v="72.922099000000003"/>
    <x v="2"/>
    <n v="16"/>
    <n v="71"/>
    <n v="33"/>
  </r>
  <r>
    <s v="India"/>
    <x v="14"/>
    <x v="94"/>
    <x v="179"/>
    <x v="0"/>
    <n v="19.165332299999999"/>
    <n v="72.922099000000003"/>
    <x v="0"/>
    <n v="4"/>
    <n v="99"/>
    <n v="60"/>
  </r>
  <r>
    <s v="India"/>
    <x v="14"/>
    <x v="94"/>
    <x v="412"/>
    <x v="0"/>
    <n v="19.086300000000001"/>
    <n v="72.888800000000003"/>
    <x v="3"/>
    <m/>
    <m/>
    <m/>
  </r>
  <r>
    <s v="India"/>
    <x v="14"/>
    <x v="94"/>
    <x v="412"/>
    <x v="0"/>
    <n v="19.086300000000001"/>
    <n v="72.888800000000003"/>
    <x v="0"/>
    <n v="28"/>
    <n v="29"/>
    <n v="28"/>
  </r>
  <r>
    <s v="India"/>
    <x v="14"/>
    <x v="99"/>
    <x v="199"/>
    <x v="0"/>
    <n v="19.950220000000002"/>
    <n v="73.731480000000005"/>
    <x v="6"/>
    <n v="5"/>
    <n v="52"/>
    <n v="19"/>
  </r>
  <r>
    <s v="India"/>
    <x v="14"/>
    <x v="99"/>
    <x v="199"/>
    <x v="0"/>
    <n v="19.950220000000002"/>
    <n v="73.731480000000005"/>
    <x v="0"/>
    <n v="20"/>
    <n v="100"/>
    <n v="78"/>
  </r>
  <r>
    <s v="India"/>
    <x v="14"/>
    <x v="99"/>
    <x v="200"/>
    <x v="0"/>
    <n v="19.959134599999999"/>
    <n v="73.778800799999999"/>
    <x v="3"/>
    <n v="3"/>
    <n v="4"/>
    <n v="4"/>
  </r>
  <r>
    <s v="India"/>
    <x v="14"/>
    <x v="96"/>
    <x v="417"/>
    <x v="0"/>
    <n v="19.090337000000002"/>
    <n v="73.014232000000007"/>
    <x v="5"/>
    <n v="38"/>
    <n v="335"/>
    <n v="141"/>
  </r>
  <r>
    <s v="India"/>
    <x v="14"/>
    <x v="94"/>
    <x v="167"/>
    <x v="0"/>
    <n v="19.383199999999999"/>
    <n v="72.820400000000006"/>
    <x v="2"/>
    <n v="47"/>
    <n v="80"/>
    <n v="58"/>
  </r>
  <r>
    <s v="India"/>
    <x v="14"/>
    <x v="94"/>
    <x v="167"/>
    <x v="0"/>
    <n v="19.383199999999999"/>
    <n v="72.820400000000006"/>
    <x v="4"/>
    <n v="32"/>
    <n v="33"/>
    <n v="32"/>
  </r>
  <r>
    <s v="India"/>
    <x v="14"/>
    <x v="97"/>
    <x v="189"/>
    <x v="0"/>
    <n v="21.121801000000001"/>
    <n v="79.049520000000001"/>
    <x v="5"/>
    <n v="44"/>
    <n v="268"/>
    <n v="137"/>
  </r>
  <r>
    <s v="India"/>
    <x v="14"/>
    <x v="97"/>
    <x v="189"/>
    <x v="0"/>
    <n v="21.121801000000001"/>
    <n v="79.049520000000001"/>
    <x v="3"/>
    <n v="2"/>
    <n v="20"/>
    <n v="7"/>
  </r>
  <r>
    <s v="India"/>
    <x v="14"/>
    <x v="97"/>
    <x v="189"/>
    <x v="0"/>
    <n v="21.121801000000001"/>
    <n v="79.049520000000001"/>
    <x v="6"/>
    <n v="2"/>
    <n v="104"/>
    <n v="37"/>
  </r>
  <r>
    <s v="India"/>
    <x v="14"/>
    <x v="94"/>
    <x v="176"/>
    <x v="0"/>
    <n v="18.967020000000002"/>
    <n v="72.842140000000001"/>
    <x v="4"/>
    <n v="1"/>
    <n v="30"/>
    <n v="6"/>
  </r>
  <r>
    <s v="India"/>
    <x v="14"/>
    <x v="94"/>
    <x v="174"/>
    <x v="0"/>
    <n v="18.897756000000001"/>
    <n v="72.813320000000004"/>
    <x v="2"/>
    <n v="11"/>
    <n v="65"/>
    <n v="27"/>
  </r>
  <r>
    <s v="India"/>
    <x v="14"/>
    <x v="94"/>
    <x v="174"/>
    <x v="0"/>
    <n v="18.897756000000001"/>
    <n v="72.813320000000004"/>
    <x v="3"/>
    <n v="4"/>
    <n v="4"/>
    <n v="4"/>
  </r>
  <r>
    <s v="India"/>
    <x v="14"/>
    <x v="94"/>
    <x v="171"/>
    <x v="0"/>
    <n v="19.137499999999999"/>
    <n v="72.915056000000007"/>
    <x v="1"/>
    <n v="63"/>
    <n v="122"/>
    <n v="82"/>
  </r>
  <r>
    <s v="India"/>
    <x v="14"/>
    <x v="94"/>
    <x v="172"/>
    <x v="0"/>
    <n v="19.060497999999999"/>
    <n v="72.923355999999998"/>
    <x v="1"/>
    <n v="55"/>
    <n v="142"/>
    <n v="101"/>
  </r>
  <r>
    <s v="India"/>
    <x v="14"/>
    <x v="94"/>
    <x v="471"/>
    <x v="0"/>
    <n v="19.000083"/>
    <n v="72.813992999999996"/>
    <x v="2"/>
    <n v="17"/>
    <n v="77"/>
    <n v="32"/>
  </r>
  <r>
    <s v="India"/>
    <x v="14"/>
    <x v="94"/>
    <x v="471"/>
    <x v="0"/>
    <n v="19.000083"/>
    <n v="72.813992999999996"/>
    <x v="6"/>
    <n v="49"/>
    <n v="83"/>
    <n v="61"/>
  </r>
  <r>
    <s v="India"/>
    <x v="14"/>
    <x v="94"/>
    <x v="180"/>
    <x v="0"/>
    <n v="18.91"/>
    <n v="72.819999999999993"/>
    <x v="5"/>
    <n v="10"/>
    <n v="22"/>
    <n v="15"/>
  </r>
  <r>
    <s v="India"/>
    <x v="14"/>
    <x v="94"/>
    <x v="180"/>
    <x v="0"/>
    <n v="18.91"/>
    <n v="72.819999999999993"/>
    <x v="2"/>
    <n v="26"/>
    <n v="30"/>
    <n v="27"/>
  </r>
  <r>
    <s v="India"/>
    <x v="14"/>
    <x v="94"/>
    <x v="180"/>
    <x v="0"/>
    <n v="18.91"/>
    <n v="72.819999999999993"/>
    <x v="0"/>
    <n v="10"/>
    <n v="11"/>
    <n v="11"/>
  </r>
  <r>
    <s v="India"/>
    <x v="14"/>
    <x v="99"/>
    <x v="198"/>
    <x v="0"/>
    <n v="20.021502999999999"/>
    <n v="73.813844000000003"/>
    <x v="2"/>
    <n v="2"/>
    <n v="32"/>
    <n v="12"/>
  </r>
  <r>
    <s v="India"/>
    <x v="14"/>
    <x v="99"/>
    <x v="198"/>
    <x v="0"/>
    <n v="20.021502999999999"/>
    <n v="73.813844000000003"/>
    <x v="0"/>
    <n v="1"/>
    <n v="68"/>
    <n v="60"/>
  </r>
  <r>
    <s v="India"/>
    <x v="29"/>
    <x v="233"/>
    <x v="424"/>
    <x v="0"/>
    <n v="25.580341900000001"/>
    <n v="91.894257100000004"/>
    <x v="0"/>
    <n v="1"/>
    <n v="9"/>
    <n v="7"/>
  </r>
  <r>
    <s v="India"/>
    <x v="29"/>
    <x v="233"/>
    <x v="425"/>
    <x v="0"/>
    <n v="25.558599999999998"/>
    <n v="91.898499999999999"/>
    <x v="6"/>
    <n v="10"/>
    <n v="24"/>
    <n v="19"/>
  </r>
  <r>
    <s v="India"/>
    <x v="29"/>
    <x v="233"/>
    <x v="425"/>
    <x v="0"/>
    <n v="25.558599999999998"/>
    <n v="91.898499999999999"/>
    <x v="0"/>
    <n v="89"/>
    <n v="190"/>
    <n v="107"/>
  </r>
  <r>
    <s v="India"/>
    <x v="17"/>
    <x v="118"/>
    <x v="221"/>
    <x v="0"/>
    <n v="23.717634199999999"/>
    <n v="92.719284099999996"/>
    <x v="4"/>
    <n v="2"/>
    <n v="2"/>
    <n v="2"/>
  </r>
  <r>
    <s v="India"/>
    <x v="17"/>
    <x v="118"/>
    <x v="221"/>
    <x v="0"/>
    <n v="23.717634199999999"/>
    <n v="92.719284099999996"/>
    <x v="0"/>
    <n v="1"/>
    <n v="7"/>
    <n v="3"/>
  </r>
  <r>
    <s v="India"/>
    <x v="15"/>
    <x v="232"/>
    <x v="423"/>
    <x v="0"/>
    <n v="20.832874"/>
    <n v="85.104082000000005"/>
    <x v="3"/>
    <n v="3"/>
    <n v="5"/>
    <n v="4"/>
  </r>
  <r>
    <s v="India"/>
    <x v="15"/>
    <x v="232"/>
    <x v="423"/>
    <x v="0"/>
    <n v="20.832874"/>
    <n v="85.104082000000005"/>
    <x v="4"/>
    <n v="15"/>
    <n v="123"/>
    <n v="43"/>
  </r>
  <r>
    <s v="India"/>
    <x v="14"/>
    <x v="250"/>
    <x v="472"/>
    <x v="0"/>
    <n v="16.503799999999998"/>
    <n v="74.362300000000005"/>
    <x v="1"/>
    <n v="58"/>
    <n v="152"/>
    <n v="88"/>
  </r>
  <r>
    <s v="India"/>
    <x v="14"/>
    <x v="250"/>
    <x v="472"/>
    <x v="0"/>
    <n v="16.503799999999998"/>
    <n v="74.362300000000005"/>
    <x v="2"/>
    <n v="12"/>
    <n v="142"/>
    <n v="40"/>
  </r>
  <r>
    <s v="India"/>
    <x v="14"/>
    <x v="250"/>
    <x v="472"/>
    <x v="0"/>
    <n v="16.503799999999998"/>
    <n v="74.362300000000005"/>
    <x v="3"/>
    <n v="2"/>
    <n v="7"/>
    <n v="3"/>
  </r>
  <r>
    <s v="India"/>
    <x v="14"/>
    <x v="116"/>
    <x v="220"/>
    <x v="0"/>
    <n v="17.633626400000001"/>
    <n v="75.913249500000006"/>
    <x v="4"/>
    <n v="3"/>
    <n v="8"/>
    <n v="5"/>
  </r>
  <r>
    <s v="India"/>
    <x v="14"/>
    <x v="116"/>
    <x v="413"/>
    <x v="0"/>
    <n v="17.654389999999999"/>
    <n v="75.906490000000005"/>
    <x v="5"/>
    <n v="40"/>
    <n v="133"/>
    <n v="69"/>
  </r>
  <r>
    <s v="India"/>
    <x v="14"/>
    <x v="116"/>
    <x v="413"/>
    <x v="0"/>
    <n v="17.654389999999999"/>
    <n v="75.906490000000005"/>
    <x v="2"/>
    <n v="12"/>
    <n v="97"/>
    <n v="38"/>
  </r>
  <r>
    <s v="India"/>
    <x v="14"/>
    <x v="116"/>
    <x v="413"/>
    <x v="0"/>
    <n v="17.654389999999999"/>
    <n v="75.906490000000005"/>
    <x v="4"/>
    <n v="1"/>
    <n v="19"/>
    <n v="6"/>
  </r>
  <r>
    <s v="India"/>
    <x v="14"/>
    <x v="114"/>
    <x v="215"/>
    <x v="0"/>
    <n v="19.235581"/>
    <n v="73.159120999999999"/>
    <x v="1"/>
    <n v="74"/>
    <n v="205"/>
    <n v="127"/>
  </r>
  <r>
    <s v="India"/>
    <x v="14"/>
    <x v="227"/>
    <x v="418"/>
    <x v="0"/>
    <n v="19.445820999999999"/>
    <n v="72.798823100000007"/>
    <x v="2"/>
    <n v="9"/>
    <n v="73"/>
    <n v="31"/>
  </r>
  <r>
    <s v="India"/>
    <x v="14"/>
    <x v="227"/>
    <x v="418"/>
    <x v="0"/>
    <n v="19.445820999999999"/>
    <n v="72.798823100000007"/>
    <x v="3"/>
    <n v="1"/>
    <n v="3"/>
    <n v="3"/>
  </r>
  <r>
    <s v="India"/>
    <x v="14"/>
    <x v="227"/>
    <x v="418"/>
    <x v="0"/>
    <n v="19.445820999999999"/>
    <n v="72.798823100000007"/>
    <x v="6"/>
    <n v="12"/>
    <n v="120"/>
    <n v="36"/>
  </r>
  <r>
    <s v="India"/>
    <x v="16"/>
    <x v="115"/>
    <x v="216"/>
    <x v="0"/>
    <n v="24.820738899999998"/>
    <n v="93.942308499999996"/>
    <x v="5"/>
    <m/>
    <m/>
    <m/>
  </r>
  <r>
    <s v="India"/>
    <x v="16"/>
    <x v="115"/>
    <x v="216"/>
    <x v="0"/>
    <n v="24.820738899999998"/>
    <n v="93.942308499999996"/>
    <x v="4"/>
    <m/>
    <m/>
    <m/>
  </r>
  <r>
    <s v="India"/>
    <x v="14"/>
    <x v="96"/>
    <x v="185"/>
    <x v="0"/>
    <n v="19.113505100000001"/>
    <n v="73.008977999999999"/>
    <x v="5"/>
    <m/>
    <m/>
    <m/>
  </r>
  <r>
    <s v="India"/>
    <x v="14"/>
    <x v="96"/>
    <x v="185"/>
    <x v="0"/>
    <n v="19.113505100000001"/>
    <n v="73.008977999999999"/>
    <x v="6"/>
    <n v="36"/>
    <n v="57"/>
    <n v="38"/>
  </r>
  <r>
    <s v="India"/>
    <x v="14"/>
    <x v="96"/>
    <x v="187"/>
    <x v="0"/>
    <n v="19.025790000000001"/>
    <n v="73.102969999999999"/>
    <x v="2"/>
    <n v="20"/>
    <n v="78"/>
    <n v="48"/>
  </r>
  <r>
    <s v="India"/>
    <x v="14"/>
    <x v="96"/>
    <x v="188"/>
    <x v="0"/>
    <n v="19.062999999999999"/>
    <n v="73.120900000000006"/>
    <x v="4"/>
    <n v="1"/>
    <n v="2"/>
    <n v="1"/>
  </r>
  <r>
    <s v="India"/>
    <x v="14"/>
    <x v="101"/>
    <x v="201"/>
    <x v="0"/>
    <n v="19.265594"/>
    <n v="76.761463000000006"/>
    <x v="2"/>
    <n v="13"/>
    <n v="77"/>
    <n v="29"/>
  </r>
  <r>
    <s v="India"/>
    <x v="14"/>
    <x v="100"/>
    <x v="196"/>
    <x v="0"/>
    <n v="18.63673"/>
    <n v="73.824870000000004"/>
    <x v="0"/>
    <n v="1"/>
    <n v="86"/>
    <n v="68"/>
  </r>
  <r>
    <s v="India"/>
    <x v="14"/>
    <x v="100"/>
    <x v="197"/>
    <x v="0"/>
    <n v="18.590509999999998"/>
    <n v="73.77946"/>
    <x v="5"/>
    <n v="14"/>
    <n v="125"/>
    <n v="78"/>
  </r>
  <r>
    <s v="India"/>
    <x v="14"/>
    <x v="100"/>
    <x v="415"/>
    <x v="0"/>
    <n v="18.614767000000001"/>
    <n v="73.799515999999997"/>
    <x v="0"/>
    <n v="1"/>
    <n v="86"/>
    <n v="61"/>
  </r>
  <r>
    <s v="India"/>
    <x v="14"/>
    <x v="100"/>
    <x v="193"/>
    <x v="0"/>
    <n v="18.616318"/>
    <n v="73.765797000000006"/>
    <x v="5"/>
    <n v="43"/>
    <n v="181"/>
    <n v="89"/>
  </r>
  <r>
    <s v="India"/>
    <x v="14"/>
    <x v="117"/>
    <x v="414"/>
    <x v="0"/>
    <n v="19.267769999999999"/>
    <n v="72.971819999999994"/>
    <x v="4"/>
    <n v="2"/>
    <n v="31"/>
    <n v="8"/>
  </r>
  <r>
    <s v="India"/>
    <x v="14"/>
    <x v="117"/>
    <x v="218"/>
    <x v="0"/>
    <n v="19.222279"/>
    <n v="72.957978999999995"/>
    <x v="5"/>
    <n v="22"/>
    <n v="134"/>
    <n v="58"/>
  </r>
  <r>
    <s v="India"/>
    <x v="14"/>
    <x v="117"/>
    <x v="218"/>
    <x v="0"/>
    <n v="19.222279"/>
    <n v="72.957978999999995"/>
    <x v="3"/>
    <n v="4"/>
    <n v="8"/>
    <n v="6"/>
  </r>
  <r>
    <s v="India"/>
    <x v="14"/>
    <x v="117"/>
    <x v="218"/>
    <x v="0"/>
    <n v="19.222279"/>
    <n v="72.957978999999995"/>
    <x v="0"/>
    <n v="2"/>
    <n v="190"/>
    <n v="75"/>
  </r>
  <r>
    <s v="India"/>
    <x v="14"/>
    <x v="95"/>
    <x v="184"/>
    <x v="0"/>
    <n v="18.454450000000001"/>
    <n v="73.854155000000006"/>
    <x v="4"/>
    <n v="2"/>
    <n v="8"/>
    <n v="7"/>
  </r>
  <r>
    <s v="India"/>
    <x v="14"/>
    <x v="95"/>
    <x v="184"/>
    <x v="0"/>
    <n v="18.454450000000001"/>
    <n v="73.854155000000006"/>
    <x v="6"/>
    <n v="18"/>
    <n v="74"/>
    <n v="48"/>
  </r>
  <r>
    <s v="India"/>
    <x v="14"/>
    <x v="95"/>
    <x v="184"/>
    <x v="0"/>
    <n v="18.454450000000001"/>
    <n v="73.854155000000006"/>
    <x v="0"/>
    <n v="44"/>
    <n v="87"/>
    <n v="70"/>
  </r>
  <r>
    <s v="India"/>
    <x v="14"/>
    <x v="95"/>
    <x v="194"/>
    <x v="0"/>
    <n v="18.536456999999999"/>
    <n v="73.805453999999997"/>
    <x v="6"/>
    <n v="14"/>
    <n v="35"/>
    <n v="22"/>
  </r>
  <r>
    <s v="India"/>
    <x v="14"/>
    <x v="95"/>
    <x v="416"/>
    <x v="0"/>
    <n v="18.501174299999999"/>
    <n v="73.816552700000003"/>
    <x v="6"/>
    <n v="17"/>
    <n v="17"/>
    <n v="17"/>
  </r>
  <r>
    <s v="India"/>
    <x v="14"/>
    <x v="95"/>
    <x v="184"/>
    <x v="0"/>
    <n v="18.454450000000001"/>
    <n v="73.854155000000006"/>
    <x v="1"/>
    <n v="48"/>
    <n v="170"/>
    <n v="149"/>
  </r>
  <r>
    <s v="India"/>
    <x v="14"/>
    <x v="95"/>
    <x v="195"/>
    <x v="0"/>
    <n v="18.530085"/>
    <n v="73.849598"/>
    <x v="4"/>
    <n v="2"/>
    <n v="28"/>
    <n v="14"/>
  </r>
  <r>
    <s v="India"/>
    <x v="15"/>
    <x v="107"/>
    <x v="207"/>
    <x v="0"/>
    <n v="21.511610000000001"/>
    <n v="86.890879999999996"/>
    <x v="2"/>
    <n v="3"/>
    <n v="19"/>
    <n v="11"/>
  </r>
  <r>
    <s v="India"/>
    <x v="15"/>
    <x v="107"/>
    <x v="207"/>
    <x v="0"/>
    <n v="21.511610000000001"/>
    <n v="86.890879999999996"/>
    <x v="3"/>
    <n v="3"/>
    <n v="6"/>
    <n v="4"/>
  </r>
  <r>
    <s v="India"/>
    <x v="15"/>
    <x v="108"/>
    <x v="208"/>
    <x v="0"/>
    <n v="22.116605400000001"/>
    <n v="85.394554600000006"/>
    <x v="3"/>
    <n v="3"/>
    <n v="8"/>
    <n v="4"/>
  </r>
  <r>
    <s v="India"/>
    <x v="15"/>
    <x v="109"/>
    <x v="209"/>
    <x v="0"/>
    <n v="21.941841"/>
    <n v="86.728318000000002"/>
    <x v="5"/>
    <n v="41"/>
    <n v="112"/>
    <n v="81"/>
  </r>
  <r>
    <s v="India"/>
    <x v="15"/>
    <x v="109"/>
    <x v="209"/>
    <x v="0"/>
    <n v="21.941841"/>
    <n v="86.728318000000002"/>
    <x v="0"/>
    <n v="10"/>
    <n v="103"/>
    <n v="48"/>
  </r>
  <r>
    <s v="India"/>
    <x v="15"/>
    <x v="110"/>
    <x v="210"/>
    <x v="0"/>
    <n v="20.240790000000001"/>
    <n v="85.836783999999994"/>
    <x v="1"/>
    <n v="27"/>
    <n v="96"/>
    <n v="63"/>
  </r>
  <r>
    <s v="India"/>
    <x v="15"/>
    <x v="110"/>
    <x v="210"/>
    <x v="0"/>
    <n v="20.240790000000001"/>
    <n v="85.836783999999994"/>
    <x v="2"/>
    <n v="4"/>
    <n v="43"/>
    <n v="13"/>
  </r>
  <r>
    <s v="India"/>
    <x v="18"/>
    <x v="120"/>
    <x v="223"/>
    <x v="0"/>
    <n v="30.649961000000001"/>
    <n v="76.331441999999996"/>
    <x v="5"/>
    <n v="52"/>
    <n v="319"/>
    <n v="140"/>
  </r>
  <r>
    <s v="India"/>
    <x v="18"/>
    <x v="120"/>
    <x v="223"/>
    <x v="0"/>
    <n v="30.649961000000001"/>
    <n v="76.331441999999996"/>
    <x v="2"/>
    <n v="21"/>
    <n v="32"/>
    <n v="26"/>
  </r>
  <r>
    <s v="India"/>
    <x v="18"/>
    <x v="120"/>
    <x v="223"/>
    <x v="0"/>
    <n v="30.649961000000001"/>
    <n v="76.331441999999996"/>
    <x v="6"/>
    <n v="70"/>
    <n v="101"/>
    <n v="82"/>
  </r>
  <r>
    <s v="India"/>
    <x v="18"/>
    <x v="121"/>
    <x v="224"/>
    <x v="0"/>
    <n v="30.349388000000001"/>
    <n v="76.366641999999999"/>
    <x v="1"/>
    <n v="46"/>
    <n v="118"/>
    <n v="93"/>
  </r>
  <r>
    <s v="India"/>
    <x v="19"/>
    <x v="123"/>
    <x v="226"/>
    <x v="0"/>
    <n v="26.470859000000001"/>
    <n v="74.646593999999993"/>
    <x v="3"/>
    <n v="7"/>
    <n v="9"/>
    <n v="8"/>
  </r>
  <r>
    <s v="India"/>
    <x v="18"/>
    <x v="128"/>
    <x v="232"/>
    <x v="0"/>
    <n v="31.62"/>
    <n v="74.876512000000005"/>
    <x v="2"/>
    <n v="21"/>
    <n v="127"/>
    <n v="45"/>
  </r>
  <r>
    <s v="India"/>
    <x v="18"/>
    <x v="128"/>
    <x v="232"/>
    <x v="0"/>
    <n v="31.62"/>
    <n v="74.876512000000005"/>
    <x v="3"/>
    <n v="6"/>
    <n v="13"/>
    <n v="8"/>
  </r>
  <r>
    <s v="India"/>
    <x v="18"/>
    <x v="129"/>
    <x v="233"/>
    <x v="0"/>
    <n v="30.736056000000001"/>
    <n v="76.209693999999999"/>
    <x v="6"/>
    <n v="50"/>
    <n v="66"/>
    <n v="56"/>
  </r>
  <r>
    <s v="India"/>
    <x v="18"/>
    <x v="129"/>
    <x v="233"/>
    <x v="0"/>
    <n v="30.736056000000001"/>
    <n v="76.209693999999999"/>
    <x v="0"/>
    <n v="28"/>
    <n v="57"/>
    <n v="40"/>
  </r>
  <r>
    <s v="India"/>
    <x v="18"/>
    <x v="119"/>
    <x v="222"/>
    <x v="0"/>
    <n v="30.902799999999999"/>
    <n v="75.808599999999998"/>
    <x v="6"/>
    <n v="2"/>
    <n v="113"/>
    <n v="32"/>
  </r>
  <r>
    <s v="India"/>
    <x v="15"/>
    <x v="106"/>
    <x v="228"/>
    <x v="0"/>
    <n v="22.220832999999999"/>
    <n v="84.809443999999999"/>
    <x v="1"/>
    <n v="139"/>
    <n v="337"/>
    <n v="207"/>
  </r>
  <r>
    <s v="India"/>
    <x v="15"/>
    <x v="125"/>
    <x v="229"/>
    <x v="0"/>
    <n v="21.606864999999999"/>
    <n v="85.510537999999997"/>
    <x v="1"/>
    <n v="91"/>
    <n v="106"/>
    <n v="99"/>
  </r>
  <r>
    <s v="India"/>
    <x v="15"/>
    <x v="125"/>
    <x v="229"/>
    <x v="0"/>
    <n v="21.606864999999999"/>
    <n v="85.510537999999997"/>
    <x v="4"/>
    <n v="6"/>
    <n v="60"/>
    <n v="21"/>
  </r>
  <r>
    <s v="India"/>
    <x v="15"/>
    <x v="228"/>
    <x v="419"/>
    <x v="0"/>
    <n v="21.869985"/>
    <n v="85.167016000000004"/>
    <x v="5"/>
    <n v="74"/>
    <n v="114"/>
    <n v="89"/>
  </r>
  <r>
    <s v="India"/>
    <x v="15"/>
    <x v="228"/>
    <x v="419"/>
    <x v="0"/>
    <n v="21.869985"/>
    <n v="85.167016000000004"/>
    <x v="2"/>
    <n v="45"/>
    <n v="60"/>
    <n v="52"/>
  </r>
  <r>
    <s v="India"/>
    <x v="15"/>
    <x v="102"/>
    <x v="202"/>
    <x v="0"/>
    <n v="20.488910000000001"/>
    <n v="85.847679999999997"/>
    <x v="2"/>
    <n v="9"/>
    <n v="33"/>
    <n v="17"/>
  </r>
  <r>
    <s v="India"/>
    <x v="15"/>
    <x v="102"/>
    <x v="202"/>
    <x v="0"/>
    <n v="20.488910000000001"/>
    <n v="85.847679999999997"/>
    <x v="3"/>
    <n v="1"/>
    <n v="2"/>
    <n v="2"/>
  </r>
  <r>
    <s v="India"/>
    <x v="15"/>
    <x v="102"/>
    <x v="202"/>
    <x v="0"/>
    <n v="20.488910000000001"/>
    <n v="85.847679999999997"/>
    <x v="0"/>
    <n v="11"/>
    <n v="142"/>
    <n v="78"/>
  </r>
  <r>
    <s v="India"/>
    <x v="15"/>
    <x v="104"/>
    <x v="204"/>
    <x v="0"/>
    <n v="21.847279"/>
    <n v="85.416905"/>
    <x v="5"/>
    <m/>
    <m/>
    <m/>
  </r>
  <r>
    <s v="India"/>
    <x v="15"/>
    <x v="104"/>
    <x v="204"/>
    <x v="0"/>
    <n v="21.847279"/>
    <n v="85.416905"/>
    <x v="4"/>
    <m/>
    <m/>
    <m/>
  </r>
  <r>
    <s v="India"/>
    <x v="15"/>
    <x v="104"/>
    <x v="204"/>
    <x v="0"/>
    <n v="21.847279"/>
    <n v="85.416905"/>
    <x v="0"/>
    <m/>
    <m/>
    <m/>
  </r>
  <r>
    <s v="India"/>
    <x v="15"/>
    <x v="112"/>
    <x v="213"/>
    <x v="0"/>
    <n v="21.800499599999998"/>
    <n v="83.839697700000002"/>
    <x v="0"/>
    <n v="2"/>
    <n v="56"/>
    <n v="36"/>
  </r>
  <r>
    <s v="India"/>
    <x v="15"/>
    <x v="113"/>
    <x v="214"/>
    <x v="0"/>
    <n v="20.941849999999999"/>
    <n v="86.115099999999998"/>
    <x v="1"/>
    <n v="37"/>
    <n v="142"/>
    <n v="85"/>
  </r>
  <r>
    <s v="India"/>
    <x v="15"/>
    <x v="113"/>
    <x v="214"/>
    <x v="0"/>
    <n v="20.941849999999999"/>
    <n v="86.115099999999998"/>
    <x v="2"/>
    <n v="1"/>
    <n v="12"/>
    <n v="3"/>
  </r>
  <r>
    <s v="India"/>
    <x v="19"/>
    <x v="136"/>
    <x v="240"/>
    <x v="0"/>
    <n v="25.747299000000002"/>
    <n v="71.393989000000005"/>
    <x v="5"/>
    <n v="13"/>
    <n v="72"/>
    <n v="31"/>
  </r>
  <r>
    <s v="India"/>
    <x v="19"/>
    <x v="136"/>
    <x v="240"/>
    <x v="0"/>
    <n v="25.747299000000002"/>
    <n v="71.393989000000005"/>
    <x v="4"/>
    <n v="5"/>
    <n v="9"/>
    <n v="7"/>
  </r>
  <r>
    <s v="India"/>
    <x v="19"/>
    <x v="124"/>
    <x v="227"/>
    <x v="0"/>
    <n v="27.554793"/>
    <n v="76.611536000000001"/>
    <x v="1"/>
    <n v="50"/>
    <n v="107"/>
    <n v="74"/>
  </r>
  <r>
    <s v="India"/>
    <x v="19"/>
    <x v="124"/>
    <x v="227"/>
    <x v="0"/>
    <n v="27.554793"/>
    <n v="76.611536000000001"/>
    <x v="3"/>
    <n v="13"/>
    <n v="23"/>
    <n v="19"/>
  </r>
  <r>
    <s v="India"/>
    <x v="19"/>
    <x v="132"/>
    <x v="236"/>
    <x v="0"/>
    <n v="27.215415"/>
    <n v="77.50873"/>
    <x v="0"/>
    <n v="56"/>
    <n v="133"/>
    <n v="92"/>
  </r>
  <r>
    <s v="India"/>
    <x v="19"/>
    <x v="139"/>
    <x v="473"/>
    <x v="0"/>
    <n v="26.902909000000001"/>
    <n v="75.836858000000007"/>
    <x v="4"/>
    <n v="12"/>
    <n v="33"/>
    <n v="20"/>
  </r>
  <r>
    <s v="India"/>
    <x v="19"/>
    <x v="139"/>
    <x v="473"/>
    <x v="0"/>
    <n v="26.902909000000001"/>
    <n v="75.836858000000007"/>
    <x v="0"/>
    <n v="28"/>
    <n v="68"/>
    <n v="51"/>
  </r>
  <r>
    <s v="India"/>
    <x v="19"/>
    <x v="139"/>
    <x v="426"/>
    <x v="0"/>
    <n v="26.843698"/>
    <n v="75.766893999999994"/>
    <x v="5"/>
    <n v="23"/>
    <n v="318"/>
    <n v="75"/>
  </r>
  <r>
    <s v="India"/>
    <x v="19"/>
    <x v="139"/>
    <x v="426"/>
    <x v="0"/>
    <n v="26.843698"/>
    <n v="75.766893999999994"/>
    <x v="0"/>
    <n v="9"/>
    <n v="86"/>
    <n v="43"/>
  </r>
  <r>
    <s v="India"/>
    <x v="19"/>
    <x v="139"/>
    <x v="243"/>
    <x v="0"/>
    <n v="26.9164092"/>
    <n v="75.7994901"/>
    <x v="5"/>
    <n v="69"/>
    <n v="164"/>
    <n v="102"/>
  </r>
  <r>
    <s v="India"/>
    <x v="19"/>
    <x v="139"/>
    <x v="243"/>
    <x v="0"/>
    <n v="26.9164092"/>
    <n v="75.7994901"/>
    <x v="4"/>
    <n v="15"/>
    <n v="15"/>
    <n v="15"/>
  </r>
  <r>
    <s v="India"/>
    <x v="19"/>
    <x v="139"/>
    <x v="244"/>
    <x v="0"/>
    <n v="26.786681999999999"/>
    <n v="75.827928"/>
    <x v="0"/>
    <n v="4"/>
    <n v="193"/>
    <n v="101"/>
  </r>
  <r>
    <s v="India"/>
    <x v="19"/>
    <x v="139"/>
    <x v="245"/>
    <x v="0"/>
    <n v="26.960668999999999"/>
    <n v="75.771816999999999"/>
    <x v="3"/>
    <n v="3"/>
    <n v="9"/>
    <n v="5"/>
  </r>
  <r>
    <s v="India"/>
    <x v="19"/>
    <x v="139"/>
    <x v="245"/>
    <x v="0"/>
    <n v="26.960668999999999"/>
    <n v="75.771816999999999"/>
    <x v="4"/>
    <n v="4"/>
    <n v="93"/>
    <n v="20"/>
  </r>
  <r>
    <s v="India"/>
    <x v="19"/>
    <x v="139"/>
    <x v="245"/>
    <x v="0"/>
    <n v="26.960668999999999"/>
    <n v="75.771816999999999"/>
    <x v="6"/>
    <n v="16"/>
    <n v="164"/>
    <n v="45"/>
  </r>
  <r>
    <s v="India"/>
    <x v="19"/>
    <x v="139"/>
    <x v="245"/>
    <x v="0"/>
    <n v="26.960668999999999"/>
    <n v="75.771816999999999"/>
    <x v="0"/>
    <n v="2"/>
    <n v="105"/>
    <n v="57"/>
  </r>
  <r>
    <s v="India"/>
    <x v="19"/>
    <x v="139"/>
    <x v="246"/>
    <x v="0"/>
    <n v="26.950292900000001"/>
    <n v="75.730942999999996"/>
    <x v="4"/>
    <n v="14"/>
    <n v="30"/>
    <n v="20"/>
  </r>
  <r>
    <s v="India"/>
    <x v="19"/>
    <x v="139"/>
    <x v="246"/>
    <x v="0"/>
    <n v="26.950292900000001"/>
    <n v="75.730942999999996"/>
    <x v="6"/>
    <n v="32"/>
    <n v="75"/>
    <n v="55"/>
  </r>
  <r>
    <s v="India"/>
    <x v="19"/>
    <x v="140"/>
    <x v="247"/>
    <x v="0"/>
    <n v="26.912329"/>
    <n v="70.909167999999994"/>
    <x v="1"/>
    <n v="50"/>
    <n v="173"/>
    <n v="95"/>
  </r>
  <r>
    <s v="India"/>
    <x v="19"/>
    <x v="140"/>
    <x v="247"/>
    <x v="0"/>
    <n v="26.912329"/>
    <n v="70.909167999999994"/>
    <x v="2"/>
    <n v="2"/>
    <n v="89"/>
    <n v="19"/>
  </r>
  <r>
    <s v="India"/>
    <x v="19"/>
    <x v="141"/>
    <x v="248"/>
    <x v="0"/>
    <n v="25.344694"/>
    <n v="72.626208000000005"/>
    <x v="6"/>
    <n v="4"/>
    <n v="31"/>
    <n v="10"/>
  </r>
  <r>
    <s v="India"/>
    <x v="19"/>
    <x v="142"/>
    <x v="249"/>
    <x v="0"/>
    <n v="24.588397000000001"/>
    <n v="76.172781999999998"/>
    <x v="6"/>
    <n v="32"/>
    <n v="115"/>
    <n v="61"/>
  </r>
  <r>
    <s v="India"/>
    <x v="19"/>
    <x v="144"/>
    <x v="430"/>
    <x v="0"/>
    <n v="26.253384"/>
    <n v="72.976571000000007"/>
    <x v="2"/>
    <n v="3"/>
    <n v="98"/>
    <n v="35"/>
  </r>
  <r>
    <s v="India"/>
    <x v="19"/>
    <x v="144"/>
    <x v="430"/>
    <x v="0"/>
    <n v="26.253384"/>
    <n v="72.976571000000007"/>
    <x v="3"/>
    <n v="9"/>
    <n v="11"/>
    <n v="10"/>
  </r>
  <r>
    <s v="India"/>
    <x v="19"/>
    <x v="154"/>
    <x v="263"/>
    <x v="0"/>
    <n v="26.506177000000001"/>
    <n v="77.025988999999996"/>
    <x v="1"/>
    <n v="86"/>
    <n v="197"/>
    <n v="124"/>
  </r>
  <r>
    <s v="India"/>
    <x v="19"/>
    <x v="154"/>
    <x v="263"/>
    <x v="0"/>
    <n v="26.506177000000001"/>
    <n v="77.025988999999996"/>
    <x v="3"/>
    <n v="1"/>
    <n v="3"/>
    <n v="2"/>
  </r>
  <r>
    <s v="India"/>
    <x v="19"/>
    <x v="154"/>
    <x v="263"/>
    <x v="0"/>
    <n v="26.506177000000001"/>
    <n v="77.025988999999996"/>
    <x v="4"/>
    <n v="9"/>
    <n v="18"/>
    <n v="13"/>
  </r>
  <r>
    <s v="India"/>
    <x v="19"/>
    <x v="155"/>
    <x v="431"/>
    <x v="0"/>
    <n v="25.164090000000002"/>
    <n v="75.858136999999999"/>
    <x v="1"/>
    <n v="76"/>
    <n v="172"/>
    <n v="109"/>
  </r>
  <r>
    <s v="India"/>
    <x v="19"/>
    <x v="155"/>
    <x v="431"/>
    <x v="0"/>
    <n v="25.164090000000002"/>
    <n v="75.858136999999999"/>
    <x v="4"/>
    <n v="6"/>
    <n v="17"/>
    <n v="9"/>
  </r>
  <r>
    <s v="India"/>
    <x v="19"/>
    <x v="155"/>
    <x v="428"/>
    <x v="0"/>
    <n v="25.143889999999999"/>
    <n v="75.821256000000005"/>
    <x v="5"/>
    <n v="62"/>
    <n v="219"/>
    <n v="117"/>
  </r>
  <r>
    <s v="India"/>
    <x v="19"/>
    <x v="143"/>
    <x v="250"/>
    <x v="0"/>
    <n v="28.108988"/>
    <n v="75.386577000000003"/>
    <x v="5"/>
    <n v="26"/>
    <n v="96"/>
    <n v="57"/>
  </r>
  <r>
    <s v="India"/>
    <x v="19"/>
    <x v="143"/>
    <x v="250"/>
    <x v="0"/>
    <n v="28.108988"/>
    <n v="75.386577000000003"/>
    <x v="0"/>
    <n v="10"/>
    <n v="126"/>
    <n v="79"/>
  </r>
  <r>
    <s v="India"/>
    <x v="19"/>
    <x v="144"/>
    <x v="251"/>
    <x v="0"/>
    <n v="26.268249000000001"/>
    <n v="73.019385299999996"/>
    <x v="4"/>
    <n v="2"/>
    <n v="31"/>
    <n v="12"/>
  </r>
  <r>
    <s v="India"/>
    <x v="19"/>
    <x v="144"/>
    <x v="251"/>
    <x v="0"/>
    <n v="26.268249000000001"/>
    <n v="73.019385299999996"/>
    <x v="6"/>
    <n v="4"/>
    <n v="116"/>
    <n v="69"/>
  </r>
  <r>
    <s v="India"/>
    <x v="19"/>
    <x v="144"/>
    <x v="434"/>
    <x v="0"/>
    <n v="26.295809999999999"/>
    <n v="73.082283000000004"/>
    <x v="0"/>
    <n v="1"/>
    <n v="63"/>
    <n v="38"/>
  </r>
  <r>
    <s v="India"/>
    <x v="19"/>
    <x v="130"/>
    <x v="234"/>
    <x v="0"/>
    <n v="28.207266000000001"/>
    <n v="76.829265000000007"/>
    <x v="1"/>
    <n v="79"/>
    <n v="256"/>
    <n v="150"/>
  </r>
  <r>
    <s v="India"/>
    <x v="19"/>
    <x v="130"/>
    <x v="234"/>
    <x v="0"/>
    <n v="28.207266000000001"/>
    <n v="76.829265000000007"/>
    <x v="4"/>
    <n v="19"/>
    <n v="53"/>
    <n v="24"/>
  </r>
  <r>
    <s v="India"/>
    <x v="19"/>
    <x v="131"/>
    <x v="235"/>
    <x v="0"/>
    <n v="28.018792000000001"/>
    <n v="73.292658000000003"/>
    <x v="5"/>
    <n v="25"/>
    <n v="258"/>
    <n v="74"/>
  </r>
  <r>
    <s v="India"/>
    <x v="19"/>
    <x v="152"/>
    <x v="261"/>
    <x v="0"/>
    <n v="26.895551999999999"/>
    <n v="76.334753000000006"/>
    <x v="2"/>
    <n v="11"/>
    <n v="104"/>
    <n v="57"/>
  </r>
  <r>
    <s v="India"/>
    <x v="19"/>
    <x v="153"/>
    <x v="262"/>
    <x v="0"/>
    <n v="26.699556999999999"/>
    <n v="77.898881000000003"/>
    <x v="2"/>
    <n v="9"/>
    <n v="59"/>
    <n v="29"/>
  </r>
  <r>
    <s v="India"/>
    <x v="19"/>
    <x v="153"/>
    <x v="262"/>
    <x v="0"/>
    <n v="26.699556999999999"/>
    <n v="77.898881000000003"/>
    <x v="0"/>
    <n v="17"/>
    <n v="98"/>
    <n v="67"/>
  </r>
  <r>
    <s v="India"/>
    <x v="19"/>
    <x v="138"/>
    <x v="242"/>
    <x v="0"/>
    <n v="25.435773999999999"/>
    <n v="75.644272000000001"/>
    <x v="0"/>
    <n v="5"/>
    <n v="102"/>
    <n v="70"/>
  </r>
  <r>
    <s v="India"/>
    <x v="19"/>
    <x v="156"/>
    <x v="265"/>
    <x v="0"/>
    <n v="28.296139"/>
    <n v="74.961696000000003"/>
    <x v="5"/>
    <n v="28"/>
    <n v="131"/>
    <n v="58"/>
  </r>
  <r>
    <s v="India"/>
    <x v="19"/>
    <x v="156"/>
    <x v="265"/>
    <x v="0"/>
    <n v="28.296139"/>
    <n v="74.961696000000003"/>
    <x v="2"/>
    <n v="6"/>
    <n v="50"/>
    <n v="25"/>
  </r>
  <r>
    <s v="India"/>
    <x v="19"/>
    <x v="150"/>
    <x v="259"/>
    <x v="0"/>
    <n v="23.837789000000001"/>
    <n v="73.714926000000006"/>
    <x v="1"/>
    <n v="62"/>
    <n v="130"/>
    <n v="93"/>
  </r>
  <r>
    <s v="India"/>
    <x v="19"/>
    <x v="139"/>
    <x v="473"/>
    <x v="0"/>
    <n v="26.902909000000001"/>
    <n v="75.836858000000007"/>
    <x v="1"/>
    <n v="74"/>
    <n v="119"/>
    <n v="95"/>
  </r>
  <r>
    <s v="India"/>
    <x v="19"/>
    <x v="130"/>
    <x v="427"/>
    <x v="0"/>
    <n v="28.194908999999999"/>
    <n v="76.862296000000001"/>
    <x v="5"/>
    <m/>
    <m/>
    <m/>
  </r>
  <r>
    <s v="India"/>
    <x v="19"/>
    <x v="130"/>
    <x v="427"/>
    <x v="0"/>
    <n v="28.194908999999999"/>
    <n v="76.862296000000001"/>
    <x v="2"/>
    <m/>
    <m/>
    <m/>
  </r>
  <r>
    <s v="India"/>
    <x v="19"/>
    <x v="235"/>
    <x v="432"/>
    <x v="0"/>
    <n v="24.885261"/>
    <n v="72.857549000000006"/>
    <x v="5"/>
    <n v="25"/>
    <n v="126"/>
    <n v="42"/>
  </r>
  <r>
    <s v="India"/>
    <x v="19"/>
    <x v="235"/>
    <x v="432"/>
    <x v="0"/>
    <n v="24.885261"/>
    <n v="72.857549000000006"/>
    <x v="3"/>
    <n v="1"/>
    <n v="3"/>
    <n v="2"/>
  </r>
  <r>
    <s v="India"/>
    <x v="19"/>
    <x v="166"/>
    <x v="278"/>
    <x v="0"/>
    <n v="29.931623999999999"/>
    <n v="73.864510999999993"/>
    <x v="1"/>
    <n v="117"/>
    <n v="446"/>
    <n v="188"/>
  </r>
  <r>
    <s v="India"/>
    <x v="19"/>
    <x v="167"/>
    <x v="279"/>
    <x v="0"/>
    <n v="26.159932999999999"/>
    <n v="75.780517000000003"/>
    <x v="5"/>
    <n v="32"/>
    <n v="311"/>
    <n v="85"/>
  </r>
  <r>
    <s v="India"/>
    <x v="19"/>
    <x v="167"/>
    <x v="279"/>
    <x v="0"/>
    <n v="26.159932999999999"/>
    <n v="75.780517000000003"/>
    <x v="1"/>
    <n v="74"/>
    <n v="500"/>
    <n v="194"/>
  </r>
  <r>
    <s v="India"/>
    <x v="19"/>
    <x v="167"/>
    <x v="279"/>
    <x v="0"/>
    <n v="26.159932999999999"/>
    <n v="75.780517000000003"/>
    <x v="2"/>
    <n v="9"/>
    <n v="124"/>
    <n v="43"/>
  </r>
  <r>
    <s v="India"/>
    <x v="21"/>
    <x v="164"/>
    <x v="276"/>
    <x v="0"/>
    <n v="10.358535"/>
    <n v="77.984320999999994"/>
    <x v="4"/>
    <n v="19"/>
    <n v="23"/>
    <n v="21"/>
  </r>
  <r>
    <s v="India"/>
    <x v="21"/>
    <x v="238"/>
    <x v="436"/>
    <x v="0"/>
    <n v="13.412699999999999"/>
    <n v="80.108099999999993"/>
    <x v="3"/>
    <n v="3"/>
    <n v="7"/>
    <n v="5"/>
  </r>
  <r>
    <s v="India"/>
    <x v="21"/>
    <x v="165"/>
    <x v="277"/>
    <x v="0"/>
    <n v="12.746998"/>
    <n v="77.813811000000001"/>
    <x v="6"/>
    <n v="17"/>
    <n v="21"/>
    <n v="20"/>
  </r>
  <r>
    <s v="India"/>
    <x v="21"/>
    <x v="157"/>
    <x v="266"/>
    <x v="0"/>
    <n v="12.9533"/>
    <n v="80.235699999999994"/>
    <x v="4"/>
    <n v="4"/>
    <n v="8"/>
    <n v="5"/>
  </r>
  <r>
    <s v="India"/>
    <x v="21"/>
    <x v="157"/>
    <x v="266"/>
    <x v="0"/>
    <n v="12.9533"/>
    <n v="80.235699999999994"/>
    <x v="0"/>
    <n v="15"/>
    <n v="19"/>
    <n v="17"/>
  </r>
  <r>
    <s v="India"/>
    <x v="21"/>
    <x v="157"/>
    <x v="268"/>
    <x v="0"/>
    <n v="13.005218899999999"/>
    <n v="80.239812499999999"/>
    <x v="5"/>
    <n v="21"/>
    <n v="50"/>
    <n v="33"/>
  </r>
  <r>
    <s v="India"/>
    <x v="21"/>
    <x v="157"/>
    <x v="268"/>
    <x v="0"/>
    <n v="13.005218899999999"/>
    <n v="80.239812499999999"/>
    <x v="4"/>
    <n v="8"/>
    <n v="10"/>
    <n v="9"/>
  </r>
  <r>
    <s v="India"/>
    <x v="19"/>
    <x v="155"/>
    <x v="428"/>
    <x v="0"/>
    <n v="25.143889999999999"/>
    <n v="75.821256000000005"/>
    <x v="4"/>
    <n v="8"/>
    <n v="31"/>
    <n v="12"/>
  </r>
  <r>
    <s v="India"/>
    <x v="19"/>
    <x v="155"/>
    <x v="428"/>
    <x v="0"/>
    <n v="25.143889999999999"/>
    <n v="75.821256000000005"/>
    <x v="6"/>
    <n v="20"/>
    <n v="102"/>
    <n v="70"/>
  </r>
  <r>
    <s v="India"/>
    <x v="19"/>
    <x v="155"/>
    <x v="428"/>
    <x v="0"/>
    <n v="25.143889999999999"/>
    <n v="75.821256000000005"/>
    <x v="0"/>
    <n v="13"/>
    <n v="67"/>
    <n v="41"/>
  </r>
  <r>
    <s v="India"/>
    <x v="19"/>
    <x v="147"/>
    <x v="256"/>
    <x v="0"/>
    <n v="25.036359999999998"/>
    <n v="73.883501999999993"/>
    <x v="1"/>
    <n v="35"/>
    <n v="117"/>
    <n v="63"/>
  </r>
  <r>
    <s v="India"/>
    <x v="19"/>
    <x v="148"/>
    <x v="257"/>
    <x v="0"/>
    <n v="26.031442999999999"/>
    <n v="76.359326999999993"/>
    <x v="4"/>
    <n v="6"/>
    <n v="20"/>
    <n v="9"/>
  </r>
  <r>
    <s v="India"/>
    <x v="19"/>
    <x v="148"/>
    <x v="257"/>
    <x v="0"/>
    <n v="26.031442999999999"/>
    <n v="76.359326999999993"/>
    <x v="6"/>
    <n v="44"/>
    <n v="117"/>
    <n v="70"/>
  </r>
  <r>
    <s v="India"/>
    <x v="19"/>
    <x v="149"/>
    <x v="258"/>
    <x v="0"/>
    <n v="27.608912"/>
    <n v="75.153301999999996"/>
    <x v="1"/>
    <n v="94"/>
    <n v="429"/>
    <n v="199"/>
  </r>
  <r>
    <s v="India"/>
    <x v="21"/>
    <x v="157"/>
    <x v="283"/>
    <x v="0"/>
    <n v="13.164543999999999"/>
    <n v="80.26285"/>
    <x v="3"/>
    <n v="6"/>
    <n v="7"/>
    <n v="7"/>
  </r>
  <r>
    <s v="India"/>
    <x v="21"/>
    <x v="157"/>
    <x v="266"/>
    <x v="0"/>
    <n v="12.9533"/>
    <n v="80.235699999999994"/>
    <x v="1"/>
    <n v="30"/>
    <n v="146"/>
    <n v="58"/>
  </r>
  <r>
    <s v="India"/>
    <x v="21"/>
    <x v="157"/>
    <x v="281"/>
    <x v="0"/>
    <n v="13.127800000000001"/>
    <n v="80.264200000000002"/>
    <x v="0"/>
    <n v="6"/>
    <n v="29"/>
    <n v="13"/>
  </r>
  <r>
    <s v="India"/>
    <x v="21"/>
    <x v="157"/>
    <x v="282"/>
    <x v="0"/>
    <n v="13.1662"/>
    <n v="80.258399999999995"/>
    <x v="3"/>
    <n v="1"/>
    <n v="1"/>
    <n v="1"/>
  </r>
  <r>
    <s v="India"/>
    <x v="21"/>
    <x v="237"/>
    <x v="435"/>
    <x v="0"/>
    <n v="12.877731600000001"/>
    <n v="80.083480699999996"/>
    <x v="5"/>
    <m/>
    <m/>
    <m/>
  </r>
  <r>
    <s v="India"/>
    <x v="21"/>
    <x v="237"/>
    <x v="435"/>
    <x v="0"/>
    <n v="12.877731600000001"/>
    <n v="80.083480699999996"/>
    <x v="4"/>
    <m/>
    <m/>
    <m/>
  </r>
  <r>
    <s v="India"/>
    <x v="21"/>
    <x v="168"/>
    <x v="443"/>
    <x v="0"/>
    <n v="11.763768300000001"/>
    <n v="79.749983499999999"/>
    <x v="2"/>
    <n v="9"/>
    <n v="15"/>
    <n v="12"/>
  </r>
  <r>
    <s v="India"/>
    <x v="21"/>
    <x v="251"/>
    <x v="474"/>
    <x v="0"/>
    <n v="11.4068288"/>
    <n v="76.713897299999999"/>
    <x v="1"/>
    <n v="40"/>
    <n v="155"/>
    <n v="74"/>
  </r>
  <r>
    <s v="India"/>
    <x v="21"/>
    <x v="251"/>
    <x v="474"/>
    <x v="0"/>
    <n v="11.4068288"/>
    <n v="76.713897299999999"/>
    <x v="4"/>
    <n v="23"/>
    <n v="24"/>
    <n v="23"/>
  </r>
  <r>
    <s v="India"/>
    <x v="21"/>
    <x v="251"/>
    <x v="474"/>
    <x v="0"/>
    <n v="11.4068288"/>
    <n v="76.713897299999999"/>
    <x v="0"/>
    <n v="5"/>
    <n v="6"/>
    <n v="5"/>
  </r>
  <r>
    <s v="India"/>
    <x v="21"/>
    <x v="243"/>
    <x v="441"/>
    <x v="0"/>
    <n v="10.681158"/>
    <n v="78.741746000000006"/>
    <x v="1"/>
    <n v="12"/>
    <n v="37"/>
    <n v="24"/>
  </r>
  <r>
    <s v="India"/>
    <x v="21"/>
    <x v="243"/>
    <x v="441"/>
    <x v="0"/>
    <n v="10.681158"/>
    <n v="78.741746000000006"/>
    <x v="2"/>
    <n v="10"/>
    <n v="10"/>
    <n v="10"/>
  </r>
  <r>
    <s v="India"/>
    <x v="21"/>
    <x v="243"/>
    <x v="441"/>
    <x v="0"/>
    <n v="10.681158"/>
    <n v="78.741746000000006"/>
    <x v="4"/>
    <n v="9"/>
    <n v="9"/>
    <n v="9"/>
  </r>
  <r>
    <s v="India"/>
    <x v="21"/>
    <x v="244"/>
    <x v="442"/>
    <x v="0"/>
    <n v="10.423417000000001"/>
    <n v="78.784889000000007"/>
    <x v="5"/>
    <n v="8"/>
    <n v="35"/>
    <n v="19"/>
  </r>
  <r>
    <s v="India"/>
    <x v="21"/>
    <x v="244"/>
    <x v="442"/>
    <x v="0"/>
    <n v="10.423417000000001"/>
    <n v="78.784889000000007"/>
    <x v="1"/>
    <n v="13"/>
    <n v="45"/>
    <n v="26"/>
  </r>
  <r>
    <s v="India"/>
    <x v="21"/>
    <x v="177"/>
    <x v="300"/>
    <x v="0"/>
    <n v="9.3639899999999994"/>
    <n v="78.831976999999995"/>
    <x v="0"/>
    <n v="10"/>
    <n v="16"/>
    <n v="13"/>
  </r>
  <r>
    <s v="India"/>
    <x v="21"/>
    <x v="169"/>
    <x v="285"/>
    <x v="0"/>
    <n v="10.830158000000001"/>
    <n v="78.691849000000005"/>
    <x v="2"/>
    <n v="10"/>
    <n v="10"/>
    <n v="10"/>
  </r>
  <r>
    <s v="India"/>
    <x v="21"/>
    <x v="170"/>
    <x v="286"/>
    <x v="0"/>
    <n v="8.7284419999999994"/>
    <n v="77.696200000000005"/>
    <x v="5"/>
    <n v="18"/>
    <n v="33"/>
    <n v="26"/>
  </r>
  <r>
    <s v="India"/>
    <x v="21"/>
    <x v="170"/>
    <x v="286"/>
    <x v="0"/>
    <n v="8.7284419999999994"/>
    <n v="77.696200000000005"/>
    <x v="6"/>
    <n v="29"/>
    <n v="42"/>
    <n v="34"/>
  </r>
  <r>
    <s v="India"/>
    <x v="21"/>
    <x v="245"/>
    <x v="444"/>
    <x v="0"/>
    <n v="12.909494"/>
    <n v="79.131861000000001"/>
    <x v="5"/>
    <n v="17"/>
    <n v="64"/>
    <n v="43"/>
  </r>
  <r>
    <s v="India"/>
    <x v="21"/>
    <x v="245"/>
    <x v="444"/>
    <x v="0"/>
    <n v="12.909494"/>
    <n v="79.131861000000001"/>
    <x v="2"/>
    <n v="1"/>
    <n v="15"/>
    <n v="7"/>
  </r>
  <r>
    <s v="India"/>
    <x v="21"/>
    <x v="245"/>
    <x v="444"/>
    <x v="0"/>
    <n v="12.909494"/>
    <n v="79.131861000000001"/>
    <x v="4"/>
    <n v="16"/>
    <n v="16"/>
    <n v="16"/>
  </r>
  <r>
    <s v="India"/>
    <x v="21"/>
    <x v="245"/>
    <x v="444"/>
    <x v="0"/>
    <n v="12.909494"/>
    <n v="79.131861000000001"/>
    <x v="0"/>
    <n v="4"/>
    <n v="58"/>
    <n v="17"/>
  </r>
  <r>
    <s v="India"/>
    <x v="21"/>
    <x v="172"/>
    <x v="288"/>
    <x v="0"/>
    <n v="9.5593819999999994"/>
    <n v="77.948828000000006"/>
    <x v="4"/>
    <n v="18"/>
    <n v="20"/>
    <n v="18"/>
  </r>
  <r>
    <s v="India"/>
    <x v="21"/>
    <x v="172"/>
    <x v="288"/>
    <x v="0"/>
    <n v="9.5593819999999994"/>
    <n v="77.948828000000006"/>
    <x v="0"/>
    <n v="2"/>
    <n v="3"/>
    <n v="3"/>
  </r>
  <r>
    <s v="India"/>
    <x v="23"/>
    <x v="173"/>
    <x v="445"/>
    <x v="0"/>
    <n v="17.460103"/>
    <n v="78.334361000000001"/>
    <x v="2"/>
    <m/>
    <m/>
    <m/>
  </r>
  <r>
    <s v="India"/>
    <x v="23"/>
    <x v="173"/>
    <x v="445"/>
    <x v="0"/>
    <n v="17.460103"/>
    <n v="78.334361000000001"/>
    <x v="3"/>
    <m/>
    <m/>
    <m/>
  </r>
  <r>
    <s v="India"/>
    <x v="23"/>
    <x v="173"/>
    <x v="293"/>
    <x v="0"/>
    <n v="17.470431000000001"/>
    <n v="78.566958999999997"/>
    <x v="6"/>
    <n v="29"/>
    <n v="52"/>
    <n v="37"/>
  </r>
  <r>
    <s v="India"/>
    <x v="23"/>
    <x v="173"/>
    <x v="446"/>
    <x v="0"/>
    <n v="17.5184"/>
    <n v="78.278777000000005"/>
    <x v="6"/>
    <n v="10"/>
    <n v="50"/>
    <n v="19"/>
  </r>
  <r>
    <s v="India"/>
    <x v="23"/>
    <x v="173"/>
    <x v="294"/>
    <x v="0"/>
    <n v="17.531689499999999"/>
    <n v="78.218939000000006"/>
    <x v="5"/>
    <n v="51"/>
    <n v="130"/>
    <n v="82"/>
  </r>
  <r>
    <s v="India"/>
    <x v="23"/>
    <x v="173"/>
    <x v="294"/>
    <x v="0"/>
    <n v="17.531689499999999"/>
    <n v="78.218939000000006"/>
    <x v="0"/>
    <n v="9"/>
    <n v="28"/>
    <n v="20"/>
  </r>
  <r>
    <s v="India"/>
    <x v="23"/>
    <x v="173"/>
    <x v="448"/>
    <x v="0"/>
    <n v="17.585705000000001"/>
    <n v="78.126199"/>
    <x v="4"/>
    <n v="11"/>
    <n v="11"/>
    <n v="11"/>
  </r>
  <r>
    <s v="India"/>
    <x v="23"/>
    <x v="173"/>
    <x v="448"/>
    <x v="0"/>
    <n v="17.585705000000001"/>
    <n v="78.126199"/>
    <x v="0"/>
    <n v="24"/>
    <n v="26"/>
    <n v="25"/>
  </r>
  <r>
    <s v="India"/>
    <x v="23"/>
    <x v="173"/>
    <x v="289"/>
    <x v="0"/>
    <n v="17.544899000000001"/>
    <n v="78.486948999999996"/>
    <x v="1"/>
    <n v="76"/>
    <n v="90"/>
    <n v="82"/>
  </r>
  <r>
    <s v="India"/>
    <x v="23"/>
    <x v="173"/>
    <x v="290"/>
    <x v="0"/>
    <n v="17.372060000000001"/>
    <n v="78.50864"/>
    <x v="3"/>
    <n v="2"/>
    <n v="3"/>
    <n v="2"/>
  </r>
  <r>
    <s v="India"/>
    <x v="21"/>
    <x v="159"/>
    <x v="271"/>
    <x v="0"/>
    <n v="10.96782"/>
    <n v="78.080882000000003"/>
    <x v="3"/>
    <n v="1"/>
    <n v="4"/>
    <n v="3"/>
  </r>
  <r>
    <s v="India"/>
    <x v="21"/>
    <x v="159"/>
    <x v="271"/>
    <x v="0"/>
    <n v="10.96782"/>
    <n v="78.080882000000003"/>
    <x v="6"/>
    <n v="12"/>
    <n v="26"/>
    <n v="19"/>
  </r>
  <r>
    <s v="India"/>
    <x v="21"/>
    <x v="242"/>
    <x v="440"/>
    <x v="0"/>
    <n v="9.8659350000000003"/>
    <n v="78.022668999999993"/>
    <x v="1"/>
    <n v="11"/>
    <n v="33"/>
    <n v="23"/>
  </r>
  <r>
    <s v="India"/>
    <x v="21"/>
    <x v="160"/>
    <x v="272"/>
    <x v="0"/>
    <n v="10.798548"/>
    <n v="79.838211999999999"/>
    <x v="3"/>
    <n v="2"/>
    <n v="2"/>
    <n v="2"/>
  </r>
  <r>
    <s v="India"/>
    <x v="21"/>
    <x v="160"/>
    <x v="272"/>
    <x v="0"/>
    <n v="10.798548"/>
    <n v="79.838211999999999"/>
    <x v="6"/>
    <n v="12"/>
    <n v="24"/>
    <n v="16"/>
  </r>
  <r>
    <s v="India"/>
    <x v="23"/>
    <x v="173"/>
    <x v="302"/>
    <x v="0"/>
    <n v="17.417093999999999"/>
    <n v="78.457436999999999"/>
    <x v="1"/>
    <n v="72"/>
    <n v="88"/>
    <n v="76"/>
  </r>
  <r>
    <s v="India"/>
    <x v="23"/>
    <x v="173"/>
    <x v="302"/>
    <x v="0"/>
    <n v="17.417093999999999"/>
    <n v="78.457436999999999"/>
    <x v="3"/>
    <n v="5"/>
    <n v="5"/>
    <n v="5"/>
  </r>
  <r>
    <s v="India"/>
    <x v="23"/>
    <x v="173"/>
    <x v="302"/>
    <x v="0"/>
    <n v="17.417093999999999"/>
    <n v="78.457436999999999"/>
    <x v="4"/>
    <n v="17"/>
    <n v="23"/>
    <n v="20"/>
  </r>
  <r>
    <s v="India"/>
    <x v="23"/>
    <x v="173"/>
    <x v="449"/>
    <x v="0"/>
    <n v="17.349694"/>
    <n v="78.451436999999999"/>
    <x v="5"/>
    <n v="59"/>
    <n v="161"/>
    <n v="89"/>
  </r>
  <r>
    <s v="India"/>
    <x v="23"/>
    <x v="173"/>
    <x v="449"/>
    <x v="0"/>
    <n v="17.349694"/>
    <n v="78.451436999999999"/>
    <x v="4"/>
    <n v="3"/>
    <n v="7"/>
    <n v="5"/>
  </r>
  <r>
    <s v="India"/>
    <x v="23"/>
    <x v="173"/>
    <x v="449"/>
    <x v="0"/>
    <n v="17.349694"/>
    <n v="78.451436999999999"/>
    <x v="6"/>
    <n v="5"/>
    <n v="14"/>
    <n v="8"/>
  </r>
  <r>
    <s v="India"/>
    <x v="21"/>
    <x v="174"/>
    <x v="295"/>
    <x v="0"/>
    <n v="12.952707"/>
    <n v="79.303939999999997"/>
    <x v="1"/>
    <n v="19"/>
    <n v="64"/>
    <n v="39"/>
  </r>
  <r>
    <s v="India"/>
    <x v="21"/>
    <x v="174"/>
    <x v="295"/>
    <x v="0"/>
    <n v="12.952707"/>
    <n v="79.303939999999997"/>
    <x v="3"/>
    <n v="8"/>
    <n v="9"/>
    <n v="8"/>
  </r>
  <r>
    <s v="India"/>
    <x v="21"/>
    <x v="240"/>
    <x v="438"/>
    <x v="0"/>
    <n v="11.679111000000001"/>
    <n v="78.125051999999997"/>
    <x v="5"/>
    <n v="17"/>
    <n v="47"/>
    <n v="33"/>
  </r>
  <r>
    <s v="India"/>
    <x v="21"/>
    <x v="240"/>
    <x v="438"/>
    <x v="0"/>
    <n v="11.679111000000001"/>
    <n v="78.125051999999997"/>
    <x v="2"/>
    <n v="12"/>
    <n v="12"/>
    <n v="12"/>
  </r>
  <r>
    <s v="India"/>
    <x v="24"/>
    <x v="176"/>
    <x v="298"/>
    <x v="0"/>
    <n v="27.106971999999999"/>
    <n v="78.000111000000004"/>
    <x v="2"/>
    <n v="12"/>
    <n v="12"/>
    <n v="12"/>
  </r>
  <r>
    <s v="India"/>
    <x v="24"/>
    <x v="176"/>
    <x v="298"/>
    <x v="0"/>
    <n v="27.106971999999999"/>
    <n v="78.000111000000004"/>
    <x v="3"/>
    <n v="4"/>
    <n v="5"/>
    <n v="4"/>
  </r>
  <r>
    <s v="India"/>
    <x v="24"/>
    <x v="176"/>
    <x v="298"/>
    <x v="0"/>
    <n v="27.106971999999999"/>
    <n v="78.000111000000004"/>
    <x v="0"/>
    <n v="12"/>
    <n v="15"/>
    <n v="14"/>
  </r>
  <r>
    <s v="India"/>
    <x v="23"/>
    <x v="173"/>
    <x v="291"/>
    <x v="0"/>
    <n v="17.528544"/>
    <n v="78.286195000000006"/>
    <x v="4"/>
    <n v="22"/>
    <n v="43"/>
    <n v="30"/>
  </r>
  <r>
    <s v="India"/>
    <x v="23"/>
    <x v="173"/>
    <x v="302"/>
    <x v="0"/>
    <n v="17.417093999999999"/>
    <n v="78.457436999999999"/>
    <x v="5"/>
    <n v="52"/>
    <n v="98"/>
    <n v="72"/>
  </r>
  <r>
    <s v="India"/>
    <x v="24"/>
    <x v="178"/>
    <x v="303"/>
    <x v="0"/>
    <n v="28.359580999999999"/>
    <n v="79.414455000000004"/>
    <x v="6"/>
    <n v="5"/>
    <n v="92"/>
    <n v="40"/>
  </r>
  <r>
    <s v="India"/>
    <x v="24"/>
    <x v="178"/>
    <x v="304"/>
    <x v="0"/>
    <n v="28.389109359999999"/>
    <n v="79.429637080000006"/>
    <x v="1"/>
    <n v="45"/>
    <n v="146"/>
    <n v="99"/>
  </r>
  <r>
    <s v="India"/>
    <x v="24"/>
    <x v="178"/>
    <x v="304"/>
    <x v="0"/>
    <n v="28.389109359999999"/>
    <n v="79.429637080000006"/>
    <x v="2"/>
    <n v="2"/>
    <n v="5"/>
    <n v="2"/>
  </r>
  <r>
    <s v="India"/>
    <x v="24"/>
    <x v="178"/>
    <x v="304"/>
    <x v="0"/>
    <n v="28.389109359999999"/>
    <n v="79.429637080000006"/>
    <x v="0"/>
    <n v="1"/>
    <n v="69"/>
    <n v="29"/>
  </r>
  <r>
    <s v="India"/>
    <x v="24"/>
    <x v="179"/>
    <x v="305"/>
    <x v="0"/>
    <n v="28.406963000000001"/>
    <n v="77.849830999999995"/>
    <x v="2"/>
    <n v="12"/>
    <n v="165"/>
    <n v="73"/>
  </r>
  <r>
    <s v="India"/>
    <x v="24"/>
    <x v="180"/>
    <x v="306"/>
    <x v="0"/>
    <n v="27.168897000000001"/>
    <n v="78.376959999999997"/>
    <x v="3"/>
    <n v="2"/>
    <n v="2"/>
    <n v="2"/>
  </r>
  <r>
    <s v="India"/>
    <x v="24"/>
    <x v="180"/>
    <x v="307"/>
    <x v="0"/>
    <n v="27.159400000000002"/>
    <n v="78.395300000000006"/>
    <x v="1"/>
    <n v="49"/>
    <n v="145"/>
    <n v="87"/>
  </r>
  <r>
    <s v="India"/>
    <x v="24"/>
    <x v="181"/>
    <x v="308"/>
    <x v="0"/>
    <n v="28.646232999999999"/>
    <n v="77.358074999999999"/>
    <x v="5"/>
    <n v="54"/>
    <n v="350"/>
    <n v="154"/>
  </r>
  <r>
    <s v="India"/>
    <x v="24"/>
    <x v="184"/>
    <x v="316"/>
    <x v="0"/>
    <n v="28.725645"/>
    <n v="77.749674999999996"/>
    <x v="2"/>
    <n v="27"/>
    <n v="202"/>
    <n v="79"/>
  </r>
  <r>
    <s v="India"/>
    <x v="24"/>
    <x v="185"/>
    <x v="317"/>
    <x v="0"/>
    <n v="25.454699999999999"/>
    <n v="78.603899999999996"/>
    <x v="5"/>
    <n v="38"/>
    <n v="500"/>
    <n v="143"/>
  </r>
  <r>
    <s v="India"/>
    <x v="24"/>
    <x v="186"/>
    <x v="452"/>
    <x v="0"/>
    <n v="26.428281999999999"/>
    <n v="80.327067"/>
    <x v="2"/>
    <m/>
    <m/>
    <m/>
  </r>
  <r>
    <s v="India"/>
    <x v="24"/>
    <x v="186"/>
    <x v="452"/>
    <x v="0"/>
    <n v="26.428281999999999"/>
    <n v="80.327067"/>
    <x v="3"/>
    <m/>
    <m/>
    <m/>
  </r>
  <r>
    <s v="India"/>
    <x v="24"/>
    <x v="186"/>
    <x v="452"/>
    <x v="0"/>
    <n v="26.428281999999999"/>
    <n v="80.327067"/>
    <x v="4"/>
    <m/>
    <m/>
    <m/>
  </r>
  <r>
    <s v="India"/>
    <x v="24"/>
    <x v="176"/>
    <x v="313"/>
    <x v="0"/>
    <n v="27.194120000000002"/>
    <n v="77.962370000000007"/>
    <x v="2"/>
    <n v="35"/>
    <n v="36"/>
    <n v="36"/>
  </r>
  <r>
    <s v="India"/>
    <x v="24"/>
    <x v="176"/>
    <x v="314"/>
    <x v="0"/>
    <n v="27.169338"/>
    <n v="78.035820000000001"/>
    <x v="5"/>
    <m/>
    <m/>
    <m/>
  </r>
  <r>
    <s v="India"/>
    <x v="24"/>
    <x v="187"/>
    <x v="320"/>
    <x v="0"/>
    <n v="28.964949000000001"/>
    <n v="77.278761000000003"/>
    <x v="5"/>
    <n v="42"/>
    <n v="351"/>
    <n v="148"/>
  </r>
  <r>
    <s v="India"/>
    <x v="24"/>
    <x v="181"/>
    <x v="308"/>
    <x v="0"/>
    <n v="28.646232999999999"/>
    <n v="77.358074999999999"/>
    <x v="4"/>
    <n v="1"/>
    <n v="37"/>
    <n v="13"/>
  </r>
  <r>
    <s v="India"/>
    <x v="24"/>
    <x v="181"/>
    <x v="309"/>
    <x v="0"/>
    <n v="28.757294000000002"/>
    <n v="77.278791999999996"/>
    <x v="5"/>
    <n v="74"/>
    <n v="500"/>
    <n v="337"/>
  </r>
  <r>
    <s v="India"/>
    <x v="24"/>
    <x v="181"/>
    <x v="309"/>
    <x v="0"/>
    <n v="28.757294000000002"/>
    <n v="77.278791999999996"/>
    <x v="2"/>
    <n v="106"/>
    <n v="149"/>
    <n v="126"/>
  </r>
  <r>
    <s v="India"/>
    <x v="24"/>
    <x v="188"/>
    <x v="321"/>
    <x v="0"/>
    <n v="28.2348927"/>
    <n v="77.868300199999993"/>
    <x v="6"/>
    <n v="37"/>
    <n v="65"/>
    <n v="41"/>
  </r>
  <r>
    <s v="India"/>
    <x v="24"/>
    <x v="189"/>
    <x v="322"/>
    <x v="0"/>
    <n v="26.766432999999999"/>
    <n v="80.927299000000005"/>
    <x v="1"/>
    <n v="53"/>
    <n v="231"/>
    <n v="113"/>
  </r>
  <r>
    <s v="India"/>
    <x v="24"/>
    <x v="183"/>
    <x v="315"/>
    <x v="0"/>
    <n v="28.557054000000001"/>
    <n v="77.453663000000006"/>
    <x v="1"/>
    <m/>
    <m/>
    <m/>
  </r>
  <r>
    <s v="India"/>
    <x v="24"/>
    <x v="183"/>
    <x v="315"/>
    <x v="0"/>
    <n v="28.557054000000001"/>
    <n v="77.453663000000006"/>
    <x v="3"/>
    <n v="7"/>
    <n v="13"/>
    <n v="10"/>
  </r>
  <r>
    <s v="India"/>
    <x v="24"/>
    <x v="183"/>
    <x v="315"/>
    <x v="0"/>
    <n v="28.557054000000001"/>
    <n v="77.453663000000006"/>
    <x v="4"/>
    <n v="12"/>
    <n v="41"/>
    <n v="27"/>
  </r>
  <r>
    <s v="India"/>
    <x v="24"/>
    <x v="189"/>
    <x v="322"/>
    <x v="0"/>
    <n v="26.766432999999999"/>
    <n v="80.927299000000005"/>
    <x v="4"/>
    <n v="24"/>
    <n v="35"/>
    <n v="29"/>
  </r>
  <r>
    <s v="India"/>
    <x v="24"/>
    <x v="189"/>
    <x v="322"/>
    <x v="0"/>
    <n v="26.766432999999999"/>
    <n v="80.927299000000005"/>
    <x v="2"/>
    <n v="12"/>
    <n v="13"/>
    <n v="12"/>
  </r>
  <r>
    <s v="India"/>
    <x v="24"/>
    <x v="178"/>
    <x v="303"/>
    <x v="0"/>
    <n v="28.359580999999999"/>
    <n v="79.414455000000004"/>
    <x v="3"/>
    <n v="1"/>
    <n v="2"/>
    <n v="1"/>
  </r>
  <r>
    <s v="India"/>
    <x v="24"/>
    <x v="191"/>
    <x v="326"/>
    <x v="0"/>
    <n v="28.835260000000002"/>
    <n v="78.744600000000005"/>
    <x v="6"/>
    <n v="42"/>
    <n v="79"/>
    <n v="76"/>
  </r>
  <r>
    <s v="India"/>
    <x v="24"/>
    <x v="191"/>
    <x v="327"/>
    <x v="0"/>
    <n v="28.840738999999999"/>
    <n v="78.697530999999998"/>
    <x v="1"/>
    <n v="40"/>
    <n v="208"/>
    <n v="93"/>
  </r>
  <r>
    <s v="India"/>
    <x v="24"/>
    <x v="191"/>
    <x v="456"/>
    <x v="0"/>
    <n v="28.885280000000002"/>
    <n v="78.738799999999998"/>
    <x v="5"/>
    <n v="27"/>
    <n v="343"/>
    <n v="80"/>
  </r>
  <r>
    <s v="India"/>
    <x v="24"/>
    <x v="191"/>
    <x v="456"/>
    <x v="0"/>
    <n v="28.885280000000002"/>
    <n v="78.738799999999998"/>
    <x v="3"/>
    <n v="3"/>
    <n v="4"/>
    <n v="4"/>
  </r>
  <r>
    <s v="India"/>
    <x v="24"/>
    <x v="191"/>
    <x v="328"/>
    <x v="0"/>
    <n v="28.856663999999999"/>
    <n v="78.772638000000001"/>
    <x v="6"/>
    <n v="25"/>
    <n v="46"/>
    <n v="38"/>
  </r>
  <r>
    <s v="India"/>
    <x v="24"/>
    <x v="191"/>
    <x v="457"/>
    <x v="0"/>
    <n v="28.849398999999998"/>
    <n v="78.742362"/>
    <x v="0"/>
    <n v="19"/>
    <n v="122"/>
    <n v="55"/>
  </r>
  <r>
    <s v="India"/>
    <x v="24"/>
    <x v="189"/>
    <x v="323"/>
    <x v="0"/>
    <n v="26.907229999999998"/>
    <n v="80.985789999999994"/>
    <x v="1"/>
    <n v="41"/>
    <n v="220"/>
    <n v="70"/>
  </r>
  <r>
    <s v="India"/>
    <x v="24"/>
    <x v="189"/>
    <x v="323"/>
    <x v="0"/>
    <n v="26.907229999999998"/>
    <n v="80.985789999999994"/>
    <x v="6"/>
    <n v="8"/>
    <n v="26"/>
    <n v="16"/>
  </r>
  <r>
    <s v="India"/>
    <x v="24"/>
    <x v="189"/>
    <x v="324"/>
    <x v="0"/>
    <n v="26.833997220000001"/>
    <n v="80.891736100000003"/>
    <x v="5"/>
    <n v="72"/>
    <n v="238"/>
    <n v="136"/>
  </r>
  <r>
    <s v="India"/>
    <x v="24"/>
    <x v="190"/>
    <x v="325"/>
    <x v="0"/>
    <n v="28.999264"/>
    <n v="77.759035400000002"/>
    <x v="3"/>
    <n v="9"/>
    <n v="13"/>
    <n v="10"/>
  </r>
  <r>
    <s v="India"/>
    <x v="24"/>
    <x v="190"/>
    <x v="325"/>
    <x v="0"/>
    <n v="28.999264"/>
    <n v="77.759035400000002"/>
    <x v="4"/>
    <n v="8"/>
    <n v="50"/>
    <n v="27"/>
  </r>
  <r>
    <s v="India"/>
    <x v="24"/>
    <x v="189"/>
    <x v="329"/>
    <x v="0"/>
    <n v="26.868120000000001"/>
    <n v="81.005118999999993"/>
    <x v="2"/>
    <n v="9"/>
    <n v="12"/>
    <n v="10"/>
  </r>
  <r>
    <s v="India"/>
    <x v="24"/>
    <x v="189"/>
    <x v="330"/>
    <x v="0"/>
    <n v="26.906110999999999"/>
    <n v="80.948222000000001"/>
    <x v="5"/>
    <n v="51"/>
    <n v="335"/>
    <n v="165"/>
  </r>
  <r>
    <s v="India"/>
    <x v="24"/>
    <x v="189"/>
    <x v="330"/>
    <x v="0"/>
    <n v="26.906110999999999"/>
    <n v="80.948222000000001"/>
    <x v="3"/>
    <n v="3"/>
    <n v="20"/>
    <n v="14"/>
  </r>
  <r>
    <s v="India"/>
    <x v="24"/>
    <x v="193"/>
    <x v="454"/>
    <x v="0"/>
    <n v="25.494"/>
    <n v="81.863"/>
    <x v="4"/>
    <n v="17"/>
    <n v="105"/>
    <n v="36"/>
  </r>
  <r>
    <s v="India"/>
    <x v="24"/>
    <x v="193"/>
    <x v="454"/>
    <x v="0"/>
    <n v="25.494"/>
    <n v="81.863"/>
    <x v="6"/>
    <n v="12"/>
    <n v="42"/>
    <n v="19"/>
  </r>
  <r>
    <s v="India"/>
    <x v="24"/>
    <x v="193"/>
    <x v="455"/>
    <x v="0"/>
    <n v="25.449199159999999"/>
    <n v="81.827359860000001"/>
    <x v="4"/>
    <n v="45"/>
    <n v="78"/>
    <n v="54"/>
  </r>
  <r>
    <s v="India"/>
    <x v="24"/>
    <x v="193"/>
    <x v="455"/>
    <x v="0"/>
    <n v="25.449199159999999"/>
    <n v="81.827359860000001"/>
    <x v="0"/>
    <n v="11"/>
    <n v="27"/>
    <n v="12"/>
  </r>
  <r>
    <s v="India"/>
    <x v="24"/>
    <x v="194"/>
    <x v="352"/>
    <x v="0"/>
    <n v="25.350598600000001"/>
    <n v="82.908307399999998"/>
    <x v="2"/>
    <n v="14"/>
    <n v="46"/>
    <n v="27"/>
  </r>
  <r>
    <s v="India"/>
    <x v="24"/>
    <x v="189"/>
    <x v="322"/>
    <x v="0"/>
    <n v="26.766432999999999"/>
    <n v="80.927299000000005"/>
    <x v="6"/>
    <n v="9"/>
    <n v="44"/>
    <n v="16"/>
  </r>
  <r>
    <s v="India"/>
    <x v="24"/>
    <x v="189"/>
    <x v="329"/>
    <x v="0"/>
    <n v="26.868120000000001"/>
    <n v="81.005118999999993"/>
    <x v="1"/>
    <n v="34"/>
    <n v="111"/>
    <n v="64"/>
  </r>
  <r>
    <s v="India"/>
    <x v="24"/>
    <x v="190"/>
    <x v="331"/>
    <x v="0"/>
    <n v="29.063510000000001"/>
    <n v="77.709722999999997"/>
    <x v="1"/>
    <n v="74"/>
    <n v="275"/>
    <n v="144"/>
  </r>
  <r>
    <s v="India"/>
    <x v="24"/>
    <x v="190"/>
    <x v="331"/>
    <x v="0"/>
    <n v="29.063510000000001"/>
    <n v="77.709722999999997"/>
    <x v="2"/>
    <n v="14"/>
    <n v="78"/>
    <n v="31"/>
  </r>
  <r>
    <s v="India"/>
    <x v="24"/>
    <x v="191"/>
    <x v="334"/>
    <x v="0"/>
    <n v="28.802624999999999"/>
    <n v="78.753727999999995"/>
    <x v="6"/>
    <n v="2"/>
    <n v="100"/>
    <n v="65"/>
  </r>
  <r>
    <s v="India"/>
    <x v="24"/>
    <x v="192"/>
    <x v="335"/>
    <x v="0"/>
    <n v="28.569230000000001"/>
    <n v="77.393848000000006"/>
    <x v="2"/>
    <n v="28"/>
    <n v="196"/>
    <n v="109"/>
  </r>
  <r>
    <s v="India"/>
    <x v="26"/>
    <x v="201"/>
    <x v="344"/>
    <x v="0"/>
    <n v="23.697935999999999"/>
    <n v="86.944395"/>
    <x v="1"/>
    <n v="92"/>
    <n v="254"/>
    <n v="152"/>
  </r>
  <r>
    <s v="India"/>
    <x v="26"/>
    <x v="201"/>
    <x v="460"/>
    <x v="0"/>
    <n v="23.618182999999998"/>
    <n v="87.105717999999996"/>
    <x v="1"/>
    <n v="39"/>
    <n v="117"/>
    <n v="93"/>
  </r>
  <r>
    <s v="India"/>
    <x v="26"/>
    <x v="201"/>
    <x v="461"/>
    <x v="0"/>
    <n v="23.616515"/>
    <n v="87.119133000000005"/>
    <x v="4"/>
    <n v="10"/>
    <n v="73"/>
    <n v="32"/>
  </r>
  <r>
    <s v="India"/>
    <x v="26"/>
    <x v="201"/>
    <x v="461"/>
    <x v="0"/>
    <n v="23.616515"/>
    <n v="87.119133000000005"/>
    <x v="0"/>
    <n v="20"/>
    <n v="125"/>
    <n v="85"/>
  </r>
  <r>
    <s v="India"/>
    <x v="26"/>
    <x v="202"/>
    <x v="345"/>
    <x v="0"/>
    <n v="22.760558100000001"/>
    <n v="88.361758899999998"/>
    <x v="2"/>
    <n v="8"/>
    <n v="23"/>
    <n v="16"/>
  </r>
  <r>
    <s v="India"/>
    <x v="26"/>
    <x v="198"/>
    <x v="346"/>
    <x v="0"/>
    <n v="23.567923"/>
    <n v="87.306843000000001"/>
    <x v="3"/>
    <n v="3"/>
    <n v="4"/>
    <n v="3"/>
  </r>
  <r>
    <s v="India"/>
    <x v="26"/>
    <x v="198"/>
    <x v="346"/>
    <x v="0"/>
    <n v="23.567923"/>
    <n v="87.306843000000001"/>
    <x v="4"/>
    <n v="7"/>
    <n v="51"/>
    <n v="21"/>
  </r>
  <r>
    <s v="India"/>
    <x v="26"/>
    <x v="200"/>
    <x v="343"/>
    <x v="0"/>
    <n v="22.629801"/>
    <n v="88.352017000000004"/>
    <x v="6"/>
    <n v="2"/>
    <n v="8"/>
    <n v="2"/>
  </r>
  <r>
    <s v="India"/>
    <x v="26"/>
    <x v="200"/>
    <x v="347"/>
    <x v="0"/>
    <n v="22.554953999999999"/>
    <n v="88.292568000000003"/>
    <x v="5"/>
    <n v="24"/>
    <n v="67"/>
    <n v="52"/>
  </r>
  <r>
    <s v="India"/>
    <x v="26"/>
    <x v="200"/>
    <x v="348"/>
    <x v="0"/>
    <n v="22.602557099999999"/>
    <n v="88.310566399999999"/>
    <x v="2"/>
    <n v="6"/>
    <n v="39"/>
    <n v="18"/>
  </r>
  <r>
    <s v="India"/>
    <x v="26"/>
    <x v="200"/>
    <x v="462"/>
    <x v="0"/>
    <n v="22.611968000000001"/>
    <n v="88.347421999999995"/>
    <x v="5"/>
    <n v="29"/>
    <n v="122"/>
    <n v="69"/>
  </r>
  <r>
    <s v="India"/>
    <x v="26"/>
    <x v="200"/>
    <x v="462"/>
    <x v="0"/>
    <n v="22.611968000000001"/>
    <n v="88.347421999999995"/>
    <x v="4"/>
    <n v="10"/>
    <n v="12"/>
    <n v="10"/>
  </r>
  <r>
    <s v="India"/>
    <x v="24"/>
    <x v="195"/>
    <x v="338"/>
    <x v="0"/>
    <n v="27.571408999999999"/>
    <n v="77.655756999999994"/>
    <x v="1"/>
    <n v="28"/>
    <n v="128"/>
    <n v="72"/>
  </r>
  <r>
    <s v="India"/>
    <x v="25"/>
    <x v="196"/>
    <x v="339"/>
    <x v="0"/>
    <n v="30.269444"/>
    <n v="78.044167000000002"/>
    <x v="5"/>
    <n v="48"/>
    <n v="127"/>
    <n v="79"/>
  </r>
  <r>
    <s v="India"/>
    <x v="25"/>
    <x v="196"/>
    <x v="339"/>
    <x v="0"/>
    <n v="30.269444"/>
    <n v="78.044167000000002"/>
    <x v="4"/>
    <n v="1"/>
    <n v="7"/>
    <n v="2"/>
  </r>
  <r>
    <s v="India"/>
    <x v="25"/>
    <x v="197"/>
    <x v="340"/>
    <x v="0"/>
    <n v="29.212411400000001"/>
    <n v="78.961175299999994"/>
    <x v="2"/>
    <n v="6"/>
    <n v="35"/>
    <n v="14"/>
  </r>
  <r>
    <s v="India"/>
    <x v="25"/>
    <x v="248"/>
    <x v="464"/>
    <x v="0"/>
    <n v="30.075911000000001"/>
    <n v="78.285954700000005"/>
    <x v="3"/>
    <n v="9"/>
    <n v="12"/>
    <n v="10"/>
  </r>
  <r>
    <s v="India"/>
    <x v="26"/>
    <x v="199"/>
    <x v="342"/>
    <x v="0"/>
    <n v="22.060469999999999"/>
    <n v="88.109736999999996"/>
    <x v="0"/>
    <n v="23"/>
    <n v="25"/>
    <n v="24"/>
  </r>
  <r>
    <s v="India"/>
    <x v="26"/>
    <x v="200"/>
    <x v="343"/>
    <x v="0"/>
    <n v="22.629801"/>
    <n v="88.352017000000004"/>
    <x v="2"/>
    <n v="34"/>
    <n v="36"/>
    <n v="35"/>
  </r>
  <r>
    <s v="India"/>
    <x v="26"/>
    <x v="201"/>
    <x v="351"/>
    <x v="0"/>
    <n v="23.685296999999998"/>
    <n v="86.945967999999993"/>
    <x v="2"/>
    <n v="27"/>
    <n v="85"/>
    <n v="43"/>
  </r>
  <r>
    <s v="India"/>
    <x v="26"/>
    <x v="201"/>
    <x v="351"/>
    <x v="0"/>
    <n v="23.685296999999998"/>
    <n v="86.945967999999993"/>
    <x v="3"/>
    <n v="7"/>
    <n v="16"/>
    <n v="10"/>
  </r>
  <r>
    <s v="India"/>
    <x v="25"/>
    <x v="248"/>
    <x v="464"/>
    <x v="0"/>
    <n v="30.075911000000001"/>
    <n v="78.285954700000005"/>
    <x v="0"/>
    <n v="18"/>
    <n v="161"/>
    <n v="103"/>
  </r>
  <r>
    <s v="India"/>
    <x v="26"/>
    <x v="201"/>
    <x v="351"/>
    <x v="0"/>
    <n v="23.685296999999998"/>
    <n v="86.945967999999993"/>
    <x v="1"/>
    <n v="92"/>
    <n v="312"/>
    <n v="134"/>
  </r>
  <r>
    <s v="India"/>
    <x v="24"/>
    <x v="194"/>
    <x v="349"/>
    <x v="0"/>
    <n v="25.301777999999999"/>
    <n v="82.996789000000007"/>
    <x v="2"/>
    <n v="7"/>
    <n v="8"/>
    <n v="8"/>
  </r>
  <r>
    <s v="India"/>
    <x v="26"/>
    <x v="200"/>
    <x v="463"/>
    <x v="0"/>
    <n v="22.5687319"/>
    <n v="88.279727600000001"/>
    <x v="0"/>
    <n v="15"/>
    <n v="66"/>
    <n v="39"/>
  </r>
  <r>
    <s v="India"/>
    <x v="26"/>
    <x v="203"/>
    <x v="353"/>
    <x v="0"/>
    <n v="22.536750699999999"/>
    <n v="88.363802199999995"/>
    <x v="5"/>
    <n v="36"/>
    <n v="81"/>
    <n v="58"/>
  </r>
  <r>
    <s v="India"/>
    <x v="26"/>
    <x v="203"/>
    <x v="353"/>
    <x v="0"/>
    <n v="22.536750699999999"/>
    <n v="88.363802199999995"/>
    <x v="4"/>
    <n v="3"/>
    <n v="34"/>
    <n v="14"/>
  </r>
  <r>
    <s v="India"/>
    <x v="26"/>
    <x v="203"/>
    <x v="356"/>
    <x v="0"/>
    <n v="22.627846999999999"/>
    <n v="88.380668999999997"/>
    <x v="5"/>
    <n v="34"/>
    <n v="68"/>
    <n v="53"/>
  </r>
  <r>
    <s v="India"/>
    <x v="26"/>
    <x v="203"/>
    <x v="357"/>
    <x v="0"/>
    <n v="22.511060000000001"/>
    <n v="88.351420000000005"/>
    <x v="5"/>
    <n v="27"/>
    <n v="63"/>
    <n v="47"/>
  </r>
  <r>
    <s v="India"/>
    <x v="26"/>
    <x v="203"/>
    <x v="357"/>
    <x v="0"/>
    <n v="22.511060000000001"/>
    <n v="88.351420000000005"/>
    <x v="2"/>
    <n v="31"/>
    <n v="56"/>
    <n v="41"/>
  </r>
  <r>
    <s v="India"/>
    <x v="26"/>
    <x v="203"/>
    <x v="357"/>
    <x v="0"/>
    <n v="22.511060000000001"/>
    <n v="88.351420000000005"/>
    <x v="6"/>
    <n v="14"/>
    <n v="21"/>
    <n v="15"/>
  </r>
  <r>
    <s v="India"/>
    <x v="26"/>
    <x v="203"/>
    <x v="358"/>
    <x v="0"/>
    <n v="22.544808199999999"/>
    <n v="88.340369100000004"/>
    <x v="5"/>
    <n v="46"/>
    <n v="104"/>
    <n v="72"/>
  </r>
  <r>
    <s v="India"/>
    <x v="26"/>
    <x v="203"/>
    <x v="358"/>
    <x v="0"/>
    <n v="22.544808199999999"/>
    <n v="88.340369100000004"/>
    <x v="1"/>
    <n v="54"/>
    <n v="100"/>
    <n v="77"/>
  </r>
  <r>
    <s v="India"/>
    <x v="26"/>
    <x v="203"/>
    <x v="358"/>
    <x v="0"/>
    <n v="22.544808199999999"/>
    <n v="88.340369100000004"/>
    <x v="3"/>
    <n v="4"/>
    <n v="5"/>
    <n v="5"/>
  </r>
  <r>
    <s v="India"/>
    <x v="26"/>
    <x v="203"/>
    <x v="358"/>
    <x v="0"/>
    <n v="22.544808199999999"/>
    <n v="88.340369100000004"/>
    <x v="4"/>
    <n v="6"/>
    <n v="10"/>
    <n v="8"/>
  </r>
  <r>
    <s v="India"/>
    <x v="26"/>
    <x v="204"/>
    <x v="359"/>
    <x v="0"/>
    <n v="26.6879226"/>
    <n v="88.415249500000002"/>
    <x v="5"/>
    <n v="90"/>
    <n v="315"/>
    <n v="186"/>
  </r>
  <r>
    <s v="India"/>
    <x v="26"/>
    <x v="204"/>
    <x v="359"/>
    <x v="0"/>
    <n v="26.6879226"/>
    <n v="88.415249500000002"/>
    <x v="3"/>
    <n v="12"/>
    <n v="21"/>
    <n v="15"/>
  </r>
  <r>
    <s v="India"/>
    <x v="2"/>
    <x v="205"/>
    <x v="360"/>
    <x v="0"/>
    <n v="16.987286699999999"/>
    <n v="81.736317600000007"/>
    <x v="2"/>
    <n v="14"/>
    <n v="82"/>
    <n v="35"/>
  </r>
  <r>
    <s v="India"/>
    <x v="2"/>
    <x v="205"/>
    <x v="360"/>
    <x v="0"/>
    <n v="16.987286699999999"/>
    <n v="81.736317600000007"/>
    <x v="3"/>
    <n v="2"/>
    <n v="13"/>
    <n v="6"/>
  </r>
  <r>
    <s v="India"/>
    <x v="2"/>
    <x v="10"/>
    <x v="10"/>
    <x v="0"/>
    <n v="13.67"/>
    <n v="79.349999999999994"/>
    <x v="6"/>
    <n v="4"/>
    <n v="147"/>
    <n v="98"/>
  </r>
  <r>
    <s v="India"/>
    <x v="2"/>
    <x v="11"/>
    <x v="11"/>
    <x v="0"/>
    <n v="13.615387"/>
    <n v="79.409229999999994"/>
    <x v="1"/>
    <n v="35"/>
    <n v="140"/>
    <n v="72"/>
  </r>
  <r>
    <s v="India"/>
    <x v="2"/>
    <x v="7"/>
    <x v="361"/>
    <x v="0"/>
    <n v="16.536107000000001"/>
    <n v="80.594233000000003"/>
    <x v="1"/>
    <n v="41"/>
    <n v="60"/>
    <n v="49"/>
  </r>
  <r>
    <s v="India"/>
    <x v="2"/>
    <x v="7"/>
    <x v="361"/>
    <x v="0"/>
    <n v="16.536107000000001"/>
    <n v="80.594233000000003"/>
    <x v="0"/>
    <n v="1"/>
    <n v="44"/>
    <n v="22"/>
  </r>
  <r>
    <s v="India"/>
    <x v="2"/>
    <x v="7"/>
    <x v="12"/>
    <x v="0"/>
    <n v="16.486692000000001"/>
    <n v="80.699436000000006"/>
    <x v="3"/>
    <n v="4"/>
    <n v="7"/>
    <n v="6"/>
  </r>
  <r>
    <s v="India"/>
    <x v="0"/>
    <x v="16"/>
    <x v="17"/>
    <x v="0"/>
    <n v="26.202863600000001"/>
    <n v="91.700464359999998"/>
    <x v="2"/>
    <n v="1"/>
    <n v="6"/>
    <n v="1"/>
  </r>
  <r>
    <s v="India"/>
    <x v="0"/>
    <x v="16"/>
    <x v="17"/>
    <x v="0"/>
    <n v="26.202863600000001"/>
    <n v="91.700464359999998"/>
    <x v="6"/>
    <n v="10"/>
    <n v="19"/>
    <n v="13"/>
  </r>
  <r>
    <s v="India"/>
    <x v="0"/>
    <x v="16"/>
    <x v="18"/>
    <x v="0"/>
    <n v="26.10887"/>
    <n v="91.589544000000004"/>
    <x v="5"/>
    <n v="38"/>
    <n v="133"/>
    <n v="91"/>
  </r>
  <r>
    <s v="India"/>
    <x v="0"/>
    <x v="16"/>
    <x v="18"/>
    <x v="0"/>
    <n v="26.10887"/>
    <n v="91.589544000000004"/>
    <x v="0"/>
    <n v="15"/>
    <n v="22"/>
    <n v="18"/>
  </r>
  <r>
    <s v="India"/>
    <x v="0"/>
    <x v="16"/>
    <x v="19"/>
    <x v="0"/>
    <n v="26.1875"/>
    <n v="91.744193999999993"/>
    <x v="6"/>
    <n v="25"/>
    <n v="51"/>
    <n v="30"/>
  </r>
  <r>
    <s v="India"/>
    <x v="0"/>
    <x v="16"/>
    <x v="19"/>
    <x v="0"/>
    <n v="26.1875"/>
    <n v="91.744193999999993"/>
    <x v="0"/>
    <n v="17"/>
    <n v="17"/>
    <n v="17"/>
  </r>
  <r>
    <s v="India"/>
    <x v="0"/>
    <x v="16"/>
    <x v="465"/>
    <x v="0"/>
    <n v="26.181742"/>
    <n v="91.780630000000002"/>
    <x v="1"/>
    <n v="96"/>
    <n v="207"/>
    <n v="130"/>
  </r>
  <r>
    <s v="India"/>
    <x v="0"/>
    <x v="16"/>
    <x v="465"/>
    <x v="0"/>
    <n v="26.181742"/>
    <n v="91.780630000000002"/>
    <x v="6"/>
    <n v="30"/>
    <n v="76"/>
    <n v="42"/>
  </r>
  <r>
    <s v="India"/>
    <x v="2"/>
    <x v="208"/>
    <x v="366"/>
    <x v="0"/>
    <n v="16.515083300000001"/>
    <n v="80.518166699999995"/>
    <x v="4"/>
    <n v="8"/>
    <n v="17"/>
    <n v="11"/>
  </r>
  <r>
    <s v="India"/>
    <x v="2"/>
    <x v="12"/>
    <x v="13"/>
    <x v="0"/>
    <n v="14.675886"/>
    <n v="77.593027000000006"/>
    <x v="4"/>
    <n v="8"/>
    <n v="11"/>
    <n v="10"/>
  </r>
  <r>
    <s v="India"/>
    <x v="2"/>
    <x v="207"/>
    <x v="363"/>
    <x v="0"/>
    <n v="14.465052"/>
    <n v="78.824186999999995"/>
    <x v="1"/>
    <n v="43"/>
    <n v="59"/>
    <n v="49"/>
  </r>
  <r>
    <s v="India"/>
    <x v="2"/>
    <x v="207"/>
    <x v="363"/>
    <x v="0"/>
    <n v="14.465052"/>
    <n v="78.824186999999995"/>
    <x v="2"/>
    <n v="10"/>
    <n v="23"/>
    <n v="15"/>
  </r>
  <r>
    <s v="India"/>
    <x v="2"/>
    <x v="207"/>
    <x v="363"/>
    <x v="0"/>
    <n v="14.465052"/>
    <n v="78.824186999999995"/>
    <x v="6"/>
    <n v="34"/>
    <n v="36"/>
    <n v="35"/>
  </r>
  <r>
    <s v="India"/>
    <x v="2"/>
    <x v="205"/>
    <x v="360"/>
    <x v="0"/>
    <n v="16.987286699999999"/>
    <n v="81.736317600000007"/>
    <x v="1"/>
    <n v="28"/>
    <n v="305"/>
    <n v="73"/>
  </r>
  <r>
    <s v="India"/>
    <x v="2"/>
    <x v="7"/>
    <x v="7"/>
    <x v="0"/>
    <n v="16.554731"/>
    <n v="80.649109999999993"/>
    <x v="3"/>
    <n v="2"/>
    <n v="3"/>
    <n v="3"/>
  </r>
  <r>
    <s v="India"/>
    <x v="2"/>
    <x v="7"/>
    <x v="7"/>
    <x v="0"/>
    <n v="16.554731"/>
    <n v="80.649109999999993"/>
    <x v="6"/>
    <n v="39"/>
    <n v="62"/>
    <n v="40"/>
  </r>
  <r>
    <s v="India"/>
    <x v="2"/>
    <x v="8"/>
    <x v="8"/>
    <x v="0"/>
    <n v="17.72"/>
    <n v="83.3"/>
    <x v="5"/>
    <n v="10"/>
    <n v="55"/>
    <n v="32"/>
  </r>
  <r>
    <s v="India"/>
    <x v="0"/>
    <x v="9"/>
    <x v="9"/>
    <x v="0"/>
    <n v="26.071318000000002"/>
    <n v="91.874880000000005"/>
    <x v="5"/>
    <m/>
    <m/>
    <m/>
  </r>
  <r>
    <s v="India"/>
    <x v="0"/>
    <x v="16"/>
    <x v="17"/>
    <x v="0"/>
    <n v="26.202863600000001"/>
    <n v="91.700464359999998"/>
    <x v="1"/>
    <n v="108"/>
    <n v="442"/>
    <n v="164"/>
  </r>
  <r>
    <s v="India"/>
    <x v="0"/>
    <x v="3"/>
    <x v="3"/>
    <x v="0"/>
    <n v="26.987634"/>
    <n v="94.636573999999996"/>
    <x v="2"/>
    <n v="28"/>
    <n v="53"/>
    <n v="39"/>
  </r>
  <r>
    <s v="India"/>
    <x v="0"/>
    <x v="3"/>
    <x v="3"/>
    <x v="0"/>
    <n v="26.987634"/>
    <n v="94.636573999999996"/>
    <x v="3"/>
    <n v="3"/>
    <n v="6"/>
    <n v="4"/>
  </r>
  <r>
    <s v="India"/>
    <x v="1"/>
    <x v="4"/>
    <x v="4"/>
    <x v="0"/>
    <n v="26.146529000000001"/>
    <n v="87.454183999999998"/>
    <x v="2"/>
    <n v="5"/>
    <n v="7"/>
    <n v="7"/>
  </r>
  <r>
    <s v="India"/>
    <x v="1"/>
    <x v="4"/>
    <x v="4"/>
    <x v="0"/>
    <n v="26.146529000000001"/>
    <n v="87.454183999999998"/>
    <x v="6"/>
    <n v="22"/>
    <n v="66"/>
    <n v="53"/>
  </r>
  <r>
    <s v="India"/>
    <x v="1"/>
    <x v="4"/>
    <x v="4"/>
    <x v="0"/>
    <n v="26.146529000000001"/>
    <n v="87.454183999999998"/>
    <x v="0"/>
    <n v="10"/>
    <n v="11"/>
    <n v="10"/>
  </r>
  <r>
    <s v="India"/>
    <x v="1"/>
    <x v="5"/>
    <x v="5"/>
    <x v="0"/>
    <n v="25.562609500000001"/>
    <n v="84.663263999999998"/>
    <x v="5"/>
    <m/>
    <m/>
    <m/>
  </r>
  <r>
    <s v="India"/>
    <x v="3"/>
    <x v="17"/>
    <x v="20"/>
    <x v="0"/>
    <n v="11.654054"/>
    <n v="92.734054999999998"/>
    <x v="5"/>
    <n v="4"/>
    <n v="5"/>
    <n v="4"/>
  </r>
  <r>
    <s v="India"/>
    <x v="3"/>
    <x v="17"/>
    <x v="20"/>
    <x v="0"/>
    <n v="11.654054"/>
    <n v="92.734054999999998"/>
    <x v="2"/>
    <n v="14"/>
    <n v="39"/>
    <n v="28"/>
  </r>
  <r>
    <s v="India"/>
    <x v="3"/>
    <x v="17"/>
    <x v="20"/>
    <x v="0"/>
    <n v="11.654054"/>
    <n v="92.734054999999998"/>
    <x v="0"/>
    <n v="3"/>
    <n v="9"/>
    <n v="6"/>
  </r>
  <r>
    <s v="India"/>
    <x v="2"/>
    <x v="208"/>
    <x v="366"/>
    <x v="0"/>
    <n v="16.515083300000001"/>
    <n v="80.518166699999995"/>
    <x v="2"/>
    <n v="23"/>
    <n v="38"/>
    <n v="30"/>
  </r>
  <r>
    <s v="India"/>
    <x v="0"/>
    <x v="1"/>
    <x v="1"/>
    <x v="0"/>
    <n v="26.446912000000001"/>
    <n v="91.439057000000005"/>
    <x v="6"/>
    <n v="12"/>
    <n v="51"/>
    <n v="23"/>
  </r>
  <r>
    <s v="India"/>
    <x v="0"/>
    <x v="2"/>
    <x v="2"/>
    <x v="0"/>
    <n v="24.82827"/>
    <n v="92.795249999999996"/>
    <x v="2"/>
    <n v="2"/>
    <n v="16"/>
    <n v="11"/>
  </r>
  <r>
    <s v="India"/>
    <x v="0"/>
    <x v="2"/>
    <x v="2"/>
    <x v="0"/>
    <n v="24.82827"/>
    <n v="92.795249999999996"/>
    <x v="3"/>
    <n v="1"/>
    <n v="2"/>
    <n v="1"/>
  </r>
  <r>
    <s v="India"/>
    <x v="0"/>
    <x v="2"/>
    <x v="2"/>
    <x v="0"/>
    <n v="24.82827"/>
    <n v="92.795249999999996"/>
    <x v="0"/>
    <n v="1"/>
    <n v="15"/>
    <n v="5"/>
  </r>
  <r>
    <s v="India"/>
    <x v="1"/>
    <x v="206"/>
    <x v="362"/>
    <x v="0"/>
    <n v="25.427420229999999"/>
    <n v="86.138860789999995"/>
    <x v="5"/>
    <n v="77"/>
    <n v="315"/>
    <n v="187"/>
  </r>
  <r>
    <s v="India"/>
    <x v="1"/>
    <x v="14"/>
    <x v="15"/>
    <x v="0"/>
    <n v="26.803650000000001"/>
    <n v="84.519540000000006"/>
    <x v="3"/>
    <n v="2"/>
    <n v="5"/>
    <n v="4"/>
  </r>
  <r>
    <s v="India"/>
    <x v="2"/>
    <x v="7"/>
    <x v="12"/>
    <x v="0"/>
    <n v="16.486692000000001"/>
    <n v="80.699436000000006"/>
    <x v="6"/>
    <n v="14"/>
    <n v="30"/>
    <n v="16"/>
  </r>
  <r>
    <s v="India"/>
    <x v="0"/>
    <x v="0"/>
    <x v="0"/>
    <x v="0"/>
    <n v="26.349081999999999"/>
    <n v="92.684489999999997"/>
    <x v="6"/>
    <n v="22"/>
    <n v="52"/>
    <n v="50"/>
  </r>
  <r>
    <s v="India"/>
    <x v="1"/>
    <x v="19"/>
    <x v="22"/>
    <x v="0"/>
    <n v="25.366336"/>
    <n v="87.117468000000002"/>
    <x v="3"/>
    <n v="3"/>
    <n v="3"/>
    <n v="3"/>
  </r>
  <r>
    <s v="India"/>
    <x v="1"/>
    <x v="19"/>
    <x v="22"/>
    <x v="0"/>
    <n v="25.366336"/>
    <n v="87.117468000000002"/>
    <x v="4"/>
    <n v="16"/>
    <n v="17"/>
    <n v="16"/>
  </r>
  <r>
    <s v="India"/>
    <x v="1"/>
    <x v="20"/>
    <x v="23"/>
    <x v="0"/>
    <n v="25.032800000000002"/>
    <n v="85.419479999999993"/>
    <x v="5"/>
    <m/>
    <m/>
    <m/>
  </r>
  <r>
    <s v="India"/>
    <x v="1"/>
    <x v="21"/>
    <x v="24"/>
    <x v="0"/>
    <n v="25.892357000000001"/>
    <n v="86.590325000000007"/>
    <x v="4"/>
    <n v="5"/>
    <n v="17"/>
    <n v="15"/>
  </r>
  <r>
    <s v="India"/>
    <x v="1"/>
    <x v="31"/>
    <x v="38"/>
    <x v="0"/>
    <n v="25.859655"/>
    <n v="85.779439999999994"/>
    <x v="4"/>
    <n v="8"/>
    <n v="32"/>
    <n v="29"/>
  </r>
  <r>
    <s v="India"/>
    <x v="1"/>
    <x v="26"/>
    <x v="29"/>
    <x v="0"/>
    <n v="24.792403"/>
    <n v="84.992416000000006"/>
    <x v="6"/>
    <n v="10"/>
    <n v="70"/>
    <n v="37"/>
  </r>
  <r>
    <s v="India"/>
    <x v="1"/>
    <x v="26"/>
    <x v="370"/>
    <x v="0"/>
    <n v="24.762518"/>
    <n v="84.982348000000002"/>
    <x v="5"/>
    <n v="19"/>
    <n v="78"/>
    <n v="48"/>
  </r>
  <r>
    <s v="India"/>
    <x v="1"/>
    <x v="26"/>
    <x v="370"/>
    <x v="0"/>
    <n v="24.762518"/>
    <n v="84.982348000000002"/>
    <x v="2"/>
    <n v="17"/>
    <n v="25"/>
    <n v="22"/>
  </r>
  <r>
    <s v="India"/>
    <x v="1"/>
    <x v="29"/>
    <x v="35"/>
    <x v="0"/>
    <n v="25.697189000000002"/>
    <n v="85.245900000000006"/>
    <x v="2"/>
    <n v="14"/>
    <n v="42"/>
    <n v="28"/>
  </r>
  <r>
    <s v="India"/>
    <x v="1"/>
    <x v="30"/>
    <x v="36"/>
    <x v="0"/>
    <n v="25.560082999999999"/>
    <n v="87.553264999999996"/>
    <x v="4"/>
    <n v="13"/>
    <n v="26"/>
    <n v="21"/>
  </r>
  <r>
    <s v="India"/>
    <x v="1"/>
    <x v="22"/>
    <x v="25"/>
    <x v="0"/>
    <n v="26.088130499999998"/>
    <n v="87.938403359999995"/>
    <x v="5"/>
    <m/>
    <m/>
    <m/>
  </r>
  <r>
    <s v="India"/>
    <x v="1"/>
    <x v="22"/>
    <x v="25"/>
    <x v="0"/>
    <n v="26.088130499999998"/>
    <n v="87.938403359999995"/>
    <x v="2"/>
    <m/>
    <m/>
    <m/>
  </r>
  <r>
    <s v="India"/>
    <x v="1"/>
    <x v="22"/>
    <x v="25"/>
    <x v="0"/>
    <n v="26.088130499999998"/>
    <n v="87.938403359999995"/>
    <x v="6"/>
    <m/>
    <m/>
    <m/>
  </r>
  <r>
    <s v="India"/>
    <x v="1"/>
    <x v="23"/>
    <x v="26"/>
    <x v="0"/>
    <n v="27.308327999999999"/>
    <n v="84.531741999999994"/>
    <x v="6"/>
    <n v="2"/>
    <n v="104"/>
    <n v="7"/>
  </r>
  <r>
    <s v="India"/>
    <x v="1"/>
    <x v="18"/>
    <x v="369"/>
    <x v="0"/>
    <n v="25.610368999999999"/>
    <n v="85.132568000000006"/>
    <x v="6"/>
    <n v="74"/>
    <n v="88"/>
    <n v="78"/>
  </r>
  <r>
    <s v="India"/>
    <x v="1"/>
    <x v="18"/>
    <x v="30"/>
    <x v="0"/>
    <n v="25.619651000000001"/>
    <n v="85.147381999999993"/>
    <x v="4"/>
    <n v="6"/>
    <n v="8"/>
    <n v="7"/>
  </r>
  <r>
    <s v="India"/>
    <x v="1"/>
    <x v="18"/>
    <x v="21"/>
    <x v="0"/>
    <n v="25.596727000000001"/>
    <n v="85.085623999999996"/>
    <x v="1"/>
    <m/>
    <m/>
    <m/>
  </r>
  <r>
    <s v="India"/>
    <x v="1"/>
    <x v="24"/>
    <x v="27"/>
    <x v="0"/>
    <n v="25.376776"/>
    <n v="86.471523000000005"/>
    <x v="3"/>
    <n v="6"/>
    <n v="8"/>
    <n v="7"/>
  </r>
  <r>
    <s v="India"/>
    <x v="1"/>
    <x v="28"/>
    <x v="33"/>
    <x v="0"/>
    <n v="26.114419999999999"/>
    <n v="85.398129999999995"/>
    <x v="5"/>
    <n v="80"/>
    <n v="266"/>
    <n v="184"/>
  </r>
  <r>
    <s v="India"/>
    <x v="1"/>
    <x v="15"/>
    <x v="16"/>
    <x v="0"/>
    <n v="25.265194000000001"/>
    <n v="87.012946999999997"/>
    <x v="0"/>
    <n v="3"/>
    <n v="26"/>
    <n v="13"/>
  </r>
  <r>
    <s v="India"/>
    <x v="1"/>
    <x v="27"/>
    <x v="32"/>
    <x v="0"/>
    <n v="25.567519999999998"/>
    <n v="83.966379000000003"/>
    <x v="1"/>
    <n v="44"/>
    <n v="189"/>
    <n v="117"/>
  </r>
  <r>
    <s v="India"/>
    <x v="1"/>
    <x v="26"/>
    <x v="466"/>
    <x v="0"/>
    <n v="24.795500000000001"/>
    <n v="84.999399999999994"/>
    <x v="2"/>
    <n v="1"/>
    <n v="12"/>
    <n v="6"/>
  </r>
  <r>
    <s v="India"/>
    <x v="1"/>
    <x v="26"/>
    <x v="466"/>
    <x v="0"/>
    <n v="24.795500000000001"/>
    <n v="84.999399999999994"/>
    <x v="4"/>
    <n v="13"/>
    <n v="15"/>
    <n v="14"/>
  </r>
  <r>
    <s v="India"/>
    <x v="1"/>
    <x v="26"/>
    <x v="466"/>
    <x v="0"/>
    <n v="24.795500000000001"/>
    <n v="84.999399999999994"/>
    <x v="0"/>
    <n v="19"/>
    <n v="21"/>
    <n v="20"/>
  </r>
  <r>
    <s v="India"/>
    <x v="1"/>
    <x v="18"/>
    <x v="37"/>
    <x v="0"/>
    <n v="25.592538999999999"/>
    <n v="85.227158000000003"/>
    <x v="3"/>
    <n v="10"/>
    <n v="14"/>
    <n v="12"/>
  </r>
  <r>
    <s v="India"/>
    <x v="1"/>
    <x v="28"/>
    <x v="33"/>
    <x v="0"/>
    <n v="26.114419999999999"/>
    <n v="85.398129999999995"/>
    <x v="0"/>
    <n v="1"/>
    <n v="84"/>
    <n v="60"/>
  </r>
  <r>
    <s v="India"/>
    <x v="4"/>
    <x v="35"/>
    <x v="42"/>
    <x v="0"/>
    <n v="22.368195"/>
    <n v="82.746431000000001"/>
    <x v="3"/>
    <m/>
    <m/>
    <m/>
  </r>
  <r>
    <s v="India"/>
    <x v="4"/>
    <x v="35"/>
    <x v="43"/>
    <x v="0"/>
    <n v="22.348441000000001"/>
    <n v="82.549610999999999"/>
    <x v="4"/>
    <n v="7"/>
    <n v="10"/>
    <n v="8"/>
  </r>
  <r>
    <s v="India"/>
    <x v="4"/>
    <x v="210"/>
    <x v="373"/>
    <x v="0"/>
    <n v="22.126650000000001"/>
    <n v="83.483211999999995"/>
    <x v="4"/>
    <n v="1"/>
    <n v="6"/>
    <n v="4"/>
  </r>
  <r>
    <s v="India"/>
    <x v="4"/>
    <x v="210"/>
    <x v="373"/>
    <x v="0"/>
    <n v="22.126650000000001"/>
    <n v="83.483211999999995"/>
    <x v="6"/>
    <n v="20"/>
    <n v="57"/>
    <n v="25"/>
  </r>
  <r>
    <s v="India"/>
    <x v="4"/>
    <x v="210"/>
    <x v="373"/>
    <x v="0"/>
    <n v="22.126650000000001"/>
    <n v="83.483211999999995"/>
    <x v="0"/>
    <n v="8"/>
    <n v="9"/>
    <n v="8"/>
  </r>
  <r>
    <s v="India"/>
    <x v="4"/>
    <x v="211"/>
    <x v="374"/>
    <x v="0"/>
    <n v="22.191017200000001"/>
    <n v="83.519700900000004"/>
    <x v="4"/>
    <n v="5"/>
    <n v="36"/>
    <n v="15"/>
  </r>
  <r>
    <s v="India"/>
    <x v="4"/>
    <x v="40"/>
    <x v="58"/>
    <x v="0"/>
    <n v="21.371751"/>
    <n v="81.664929000000001"/>
    <x v="6"/>
    <n v="10"/>
    <n v="62"/>
    <n v="18"/>
  </r>
  <r>
    <s v="India"/>
    <x v="4"/>
    <x v="40"/>
    <x v="58"/>
    <x v="0"/>
    <n v="21.371751"/>
    <n v="81.664929000000001"/>
    <x v="0"/>
    <n v="4"/>
    <n v="37"/>
    <n v="19"/>
  </r>
  <r>
    <s v="India"/>
    <x v="4"/>
    <x v="212"/>
    <x v="377"/>
    <x v="0"/>
    <n v="22.06631475"/>
    <n v="83.33820077"/>
    <x v="5"/>
    <n v="18"/>
    <n v="322"/>
    <n v="102"/>
  </r>
  <r>
    <s v="India"/>
    <x v="6"/>
    <x v="39"/>
    <x v="47"/>
    <x v="0"/>
    <n v="28.815328999999998"/>
    <n v="77.153009999999995"/>
    <x v="5"/>
    <n v="23"/>
    <n v="419"/>
    <n v="190"/>
  </r>
  <r>
    <s v="India"/>
    <x v="5"/>
    <x v="38"/>
    <x v="46"/>
    <x v="0"/>
    <n v="30.735567"/>
    <n v="76.775713999999994"/>
    <x v="0"/>
    <n v="4"/>
    <n v="188"/>
    <n v="104"/>
  </r>
  <r>
    <s v="India"/>
    <x v="5"/>
    <x v="38"/>
    <x v="53"/>
    <x v="0"/>
    <n v="30.719859"/>
    <n v="76.738636999999997"/>
    <x v="5"/>
    <m/>
    <m/>
    <m/>
  </r>
  <r>
    <s v="India"/>
    <x v="4"/>
    <x v="32"/>
    <x v="376"/>
    <x v="0"/>
    <n v="21.194814999999998"/>
    <n v="81.314769999999996"/>
    <x v="1"/>
    <n v="31"/>
    <n v="70"/>
    <n v="54"/>
  </r>
  <r>
    <s v="India"/>
    <x v="4"/>
    <x v="32"/>
    <x v="376"/>
    <x v="0"/>
    <n v="21.194814999999998"/>
    <n v="81.314769999999996"/>
    <x v="0"/>
    <n v="15"/>
    <n v="35"/>
    <n v="25"/>
  </r>
  <r>
    <s v="India"/>
    <x v="4"/>
    <x v="33"/>
    <x v="40"/>
    <x v="0"/>
    <n v="22.088149999999999"/>
    <n v="82.137370000000004"/>
    <x v="4"/>
    <m/>
    <m/>
    <m/>
  </r>
  <r>
    <s v="India"/>
    <x v="4"/>
    <x v="34"/>
    <x v="41"/>
    <x v="0"/>
    <n v="22.118124999999999"/>
    <n v="83.140608"/>
    <x v="5"/>
    <n v="36"/>
    <n v="404"/>
    <n v="94"/>
  </r>
  <r>
    <s v="India"/>
    <x v="4"/>
    <x v="34"/>
    <x v="41"/>
    <x v="0"/>
    <n v="22.118124999999999"/>
    <n v="83.140608"/>
    <x v="2"/>
    <n v="13"/>
    <n v="31"/>
    <n v="19"/>
  </r>
  <r>
    <s v="India"/>
    <x v="4"/>
    <x v="34"/>
    <x v="41"/>
    <x v="0"/>
    <n v="22.118124999999999"/>
    <n v="83.140608"/>
    <x v="4"/>
    <n v="6"/>
    <n v="7"/>
    <n v="6"/>
  </r>
  <r>
    <s v="India"/>
    <x v="4"/>
    <x v="40"/>
    <x v="56"/>
    <x v="0"/>
    <n v="21.219664999999999"/>
    <n v="81.630094"/>
    <x v="0"/>
    <n v="6"/>
    <n v="34"/>
    <n v="22"/>
  </r>
  <r>
    <s v="India"/>
    <x v="4"/>
    <x v="40"/>
    <x v="57"/>
    <x v="0"/>
    <n v="21.237755"/>
    <n v="81.705301000000006"/>
    <x v="5"/>
    <n v="1"/>
    <n v="6"/>
    <n v="3"/>
  </r>
  <r>
    <s v="India"/>
    <x v="4"/>
    <x v="40"/>
    <x v="57"/>
    <x v="0"/>
    <n v="21.237755"/>
    <n v="81.705301000000006"/>
    <x v="3"/>
    <n v="7"/>
    <n v="7"/>
    <n v="7"/>
  </r>
  <r>
    <s v="India"/>
    <x v="4"/>
    <x v="40"/>
    <x v="55"/>
    <x v="0"/>
    <n v="21.258814999999998"/>
    <n v="81.578979000000004"/>
    <x v="1"/>
    <n v="39"/>
    <n v="89"/>
    <n v="55"/>
  </r>
  <r>
    <s v="India"/>
    <x v="4"/>
    <x v="40"/>
    <x v="56"/>
    <x v="0"/>
    <n v="21.219664999999999"/>
    <n v="81.630094"/>
    <x v="4"/>
    <n v="3"/>
    <n v="15"/>
    <n v="8"/>
  </r>
  <r>
    <s v="India"/>
    <x v="4"/>
    <x v="40"/>
    <x v="58"/>
    <x v="0"/>
    <n v="21.371751"/>
    <n v="81.664929000000001"/>
    <x v="1"/>
    <n v="75"/>
    <n v="156"/>
    <n v="124"/>
  </r>
  <r>
    <s v="India"/>
    <x v="1"/>
    <x v="36"/>
    <x v="44"/>
    <x v="0"/>
    <n v="24.952822000000001"/>
    <n v="84.002396000000005"/>
    <x v="5"/>
    <n v="88"/>
    <n v="324"/>
    <n v="183"/>
  </r>
  <r>
    <s v="India"/>
    <x v="1"/>
    <x v="36"/>
    <x v="44"/>
    <x v="0"/>
    <n v="24.952822000000001"/>
    <n v="84.002396000000005"/>
    <x v="6"/>
    <n v="30"/>
    <n v="55"/>
    <n v="49"/>
  </r>
  <r>
    <s v="India"/>
    <x v="6"/>
    <x v="39"/>
    <x v="381"/>
    <x v="0"/>
    <n v="28.591824500000001"/>
    <n v="77.227307400000001"/>
    <x v="1"/>
    <m/>
    <m/>
    <m/>
  </r>
  <r>
    <s v="India"/>
    <x v="6"/>
    <x v="39"/>
    <x v="382"/>
    <x v="0"/>
    <n v="28.611281000000002"/>
    <n v="77.237737999999993"/>
    <x v="1"/>
    <n v="70"/>
    <n v="230"/>
    <n v="142"/>
  </r>
  <r>
    <s v="India"/>
    <x v="6"/>
    <x v="39"/>
    <x v="382"/>
    <x v="0"/>
    <n v="28.611281000000002"/>
    <n v="77.237737999999993"/>
    <x v="3"/>
    <n v="14"/>
    <n v="20"/>
    <n v="17"/>
  </r>
  <r>
    <s v="India"/>
    <x v="6"/>
    <x v="39"/>
    <x v="382"/>
    <x v="0"/>
    <n v="28.611281000000002"/>
    <n v="77.237737999999993"/>
    <x v="6"/>
    <n v="2"/>
    <n v="125"/>
    <n v="50"/>
  </r>
  <r>
    <s v="India"/>
    <x v="6"/>
    <x v="39"/>
    <x v="383"/>
    <x v="0"/>
    <n v="28.636429"/>
    <n v="77.201066999999995"/>
    <x v="4"/>
    <n v="6"/>
    <n v="37"/>
    <n v="19"/>
  </r>
  <r>
    <s v="India"/>
    <x v="6"/>
    <x v="39"/>
    <x v="383"/>
    <x v="0"/>
    <n v="28.636429"/>
    <n v="77.201066999999995"/>
    <x v="0"/>
    <n v="6"/>
    <n v="22"/>
    <n v="13"/>
  </r>
  <r>
    <s v="India"/>
    <x v="6"/>
    <x v="39"/>
    <x v="62"/>
    <x v="0"/>
    <n v="28.563262000000002"/>
    <n v="77.186937"/>
    <x v="5"/>
    <n v="57"/>
    <n v="385"/>
    <n v="224"/>
  </r>
  <r>
    <s v="India"/>
    <x v="6"/>
    <x v="39"/>
    <x v="62"/>
    <x v="0"/>
    <n v="28.563262000000002"/>
    <n v="77.186937"/>
    <x v="3"/>
    <n v="4"/>
    <n v="7"/>
    <n v="5"/>
  </r>
  <r>
    <s v="India"/>
    <x v="6"/>
    <x v="39"/>
    <x v="62"/>
    <x v="0"/>
    <n v="28.563262000000002"/>
    <n v="77.186937"/>
    <x v="0"/>
    <n v="10"/>
    <n v="17"/>
    <n v="12"/>
  </r>
  <r>
    <s v="India"/>
    <x v="6"/>
    <x v="39"/>
    <x v="63"/>
    <x v="0"/>
    <n v="28.732527999999999"/>
    <n v="77.119919999999993"/>
    <x v="1"/>
    <n v="86"/>
    <n v="500"/>
    <n v="289"/>
  </r>
  <r>
    <s v="India"/>
    <x v="6"/>
    <x v="39"/>
    <x v="63"/>
    <x v="0"/>
    <n v="28.732527999999999"/>
    <n v="77.119919999999993"/>
    <x v="4"/>
    <n v="8"/>
    <n v="95"/>
    <n v="38"/>
  </r>
  <r>
    <s v="India"/>
    <x v="6"/>
    <x v="39"/>
    <x v="64"/>
    <x v="0"/>
    <n v="28.651478099999999"/>
    <n v="77.147310500000003"/>
    <x v="0"/>
    <n v="15"/>
    <n v="53"/>
    <n v="32"/>
  </r>
  <r>
    <s v="India"/>
    <x v="6"/>
    <x v="39"/>
    <x v="50"/>
    <x v="0"/>
    <n v="28.5512005"/>
    <n v="77.2735737"/>
    <x v="5"/>
    <n v="43"/>
    <n v="338"/>
    <n v="178"/>
  </r>
  <r>
    <s v="India"/>
    <x v="6"/>
    <x v="39"/>
    <x v="50"/>
    <x v="0"/>
    <n v="28.5512005"/>
    <n v="77.2735737"/>
    <x v="6"/>
    <n v="26"/>
    <n v="154"/>
    <n v="66"/>
  </r>
  <r>
    <s v="India"/>
    <x v="6"/>
    <x v="39"/>
    <x v="380"/>
    <x v="0"/>
    <n v="28.571027399999998"/>
    <n v="77.071900600000006"/>
    <x v="5"/>
    <n v="45"/>
    <n v="378"/>
    <n v="207"/>
  </r>
  <r>
    <s v="India"/>
    <x v="6"/>
    <x v="39"/>
    <x v="380"/>
    <x v="0"/>
    <n v="28.571027399999998"/>
    <n v="77.071900600000006"/>
    <x v="4"/>
    <n v="19"/>
    <n v="42"/>
    <n v="30"/>
  </r>
  <r>
    <s v="India"/>
    <x v="6"/>
    <x v="39"/>
    <x v="384"/>
    <x v="0"/>
    <n v="28.628623999999999"/>
    <n v="77.241060000000004"/>
    <x v="1"/>
    <n v="67"/>
    <n v="208"/>
    <n v="132"/>
  </r>
  <r>
    <s v="India"/>
    <x v="6"/>
    <x v="39"/>
    <x v="384"/>
    <x v="0"/>
    <n v="28.628623999999999"/>
    <n v="77.241060000000004"/>
    <x v="6"/>
    <n v="17"/>
    <n v="145"/>
    <n v="49"/>
  </r>
  <r>
    <s v="India"/>
    <x v="6"/>
    <x v="39"/>
    <x v="384"/>
    <x v="0"/>
    <n v="28.628623999999999"/>
    <n v="77.241060000000004"/>
    <x v="0"/>
    <n v="1"/>
    <n v="43"/>
    <n v="20"/>
  </r>
  <r>
    <s v="India"/>
    <x v="6"/>
    <x v="39"/>
    <x v="68"/>
    <x v="0"/>
    <n v="28.73282"/>
    <n v="77.170632999999995"/>
    <x v="6"/>
    <n v="40"/>
    <n v="123"/>
    <n v="66"/>
  </r>
  <r>
    <s v="India"/>
    <x v="6"/>
    <x v="39"/>
    <x v="70"/>
    <x v="0"/>
    <n v="28.609089999999998"/>
    <n v="77.032541300000005"/>
    <x v="4"/>
    <n v="6"/>
    <n v="15"/>
    <n v="11"/>
  </r>
  <r>
    <s v="India"/>
    <x v="6"/>
    <x v="39"/>
    <x v="71"/>
    <x v="0"/>
    <n v="28.570173"/>
    <n v="76.933762000000002"/>
    <x v="6"/>
    <n v="18"/>
    <n v="62"/>
    <n v="36"/>
  </r>
  <r>
    <s v="India"/>
    <x v="6"/>
    <x v="39"/>
    <x v="72"/>
    <x v="0"/>
    <n v="28.822835999999999"/>
    <n v="77.101980999999995"/>
    <x v="0"/>
    <n v="5"/>
    <n v="58"/>
    <n v="36"/>
  </r>
  <r>
    <s v="India"/>
    <x v="6"/>
    <x v="39"/>
    <x v="73"/>
    <x v="0"/>
    <n v="28.567889999999998"/>
    <n v="77.250514999999993"/>
    <x v="4"/>
    <n v="11"/>
    <n v="45"/>
    <n v="25"/>
  </r>
  <r>
    <s v="India"/>
    <x v="6"/>
    <x v="39"/>
    <x v="73"/>
    <x v="0"/>
    <n v="28.567889999999998"/>
    <n v="77.250514999999993"/>
    <x v="0"/>
    <n v="2"/>
    <n v="306"/>
    <n v="166"/>
  </r>
  <r>
    <s v="India"/>
    <x v="6"/>
    <x v="39"/>
    <x v="467"/>
    <x v="0"/>
    <n v="28.530785000000002"/>
    <n v="77.271254999999996"/>
    <x v="3"/>
    <n v="8"/>
    <n v="11"/>
    <n v="9"/>
  </r>
  <r>
    <s v="India"/>
    <x v="6"/>
    <x v="39"/>
    <x v="65"/>
    <x v="0"/>
    <n v="28.550424899999999"/>
    <n v="77.215937699999998"/>
    <x v="4"/>
    <n v="24"/>
    <n v="80"/>
    <n v="48"/>
  </r>
  <r>
    <s v="India"/>
    <x v="6"/>
    <x v="39"/>
    <x v="65"/>
    <x v="0"/>
    <n v="28.550424899999999"/>
    <n v="77.215937699999998"/>
    <x v="0"/>
    <n v="11"/>
    <n v="53"/>
    <n v="28"/>
  </r>
  <r>
    <s v="India"/>
    <x v="6"/>
    <x v="39"/>
    <x v="79"/>
    <x v="0"/>
    <n v="28.710508000000001"/>
    <n v="77.249485000000007"/>
    <x v="2"/>
    <n v="12"/>
    <n v="100"/>
    <n v="54"/>
  </r>
  <r>
    <s v="India"/>
    <x v="6"/>
    <x v="39"/>
    <x v="372"/>
    <x v="0"/>
    <n v="28.647621999999998"/>
    <n v="77.315809000000002"/>
    <x v="5"/>
    <n v="13"/>
    <n v="392"/>
    <n v="173"/>
  </r>
  <r>
    <s v="India"/>
    <x v="6"/>
    <x v="39"/>
    <x v="372"/>
    <x v="0"/>
    <n v="28.647621999999998"/>
    <n v="77.315809000000002"/>
    <x v="1"/>
    <n v="83"/>
    <n v="418"/>
    <n v="214"/>
  </r>
  <r>
    <s v="India"/>
    <x v="6"/>
    <x v="39"/>
    <x v="378"/>
    <x v="0"/>
    <n v="28.725650399999999"/>
    <n v="77.201157300000006"/>
    <x v="5"/>
    <n v="16"/>
    <n v="398"/>
    <n v="185"/>
  </r>
  <r>
    <s v="India"/>
    <x v="6"/>
    <x v="39"/>
    <x v="385"/>
    <x v="0"/>
    <n v="28.580279999999998"/>
    <n v="77.233829"/>
    <x v="5"/>
    <n v="28"/>
    <n v="303"/>
    <n v="106"/>
  </r>
  <r>
    <s v="India"/>
    <x v="6"/>
    <x v="39"/>
    <x v="385"/>
    <x v="0"/>
    <n v="28.580279999999998"/>
    <n v="77.233829"/>
    <x v="4"/>
    <n v="4"/>
    <n v="27"/>
    <n v="13"/>
  </r>
  <r>
    <s v="India"/>
    <x v="10"/>
    <x v="44"/>
    <x v="85"/>
    <x v="0"/>
    <n v="16.172806000000001"/>
    <n v="75.659694000000002"/>
    <x v="0"/>
    <n v="12"/>
    <n v="16"/>
    <n v="16"/>
  </r>
  <r>
    <s v="India"/>
    <x v="10"/>
    <x v="215"/>
    <x v="388"/>
    <x v="0"/>
    <n v="15.888653"/>
    <n v="74.541751000000005"/>
    <x v="1"/>
    <n v="30"/>
    <n v="44"/>
    <n v="35"/>
  </r>
  <r>
    <s v="India"/>
    <x v="10"/>
    <x v="45"/>
    <x v="88"/>
    <x v="0"/>
    <n v="12.9135218"/>
    <n v="77.595080400000001"/>
    <x v="5"/>
    <n v="23"/>
    <n v="51"/>
    <n v="36"/>
  </r>
  <r>
    <s v="India"/>
    <x v="10"/>
    <x v="45"/>
    <x v="88"/>
    <x v="0"/>
    <n v="12.9135218"/>
    <n v="77.595080400000001"/>
    <x v="3"/>
    <m/>
    <m/>
    <m/>
  </r>
  <r>
    <s v="India"/>
    <x v="10"/>
    <x v="45"/>
    <x v="88"/>
    <x v="0"/>
    <n v="12.9135218"/>
    <n v="77.595080400000001"/>
    <x v="6"/>
    <n v="26"/>
    <n v="36"/>
    <n v="35"/>
  </r>
  <r>
    <s v="India"/>
    <x v="10"/>
    <x v="45"/>
    <x v="89"/>
    <x v="0"/>
    <n v="12.951912999999999"/>
    <n v="77.539783999999997"/>
    <x v="1"/>
    <n v="44"/>
    <n v="117"/>
    <n v="76"/>
  </r>
  <r>
    <s v="India"/>
    <x v="10"/>
    <x v="45"/>
    <x v="89"/>
    <x v="0"/>
    <n v="12.951912999999999"/>
    <n v="77.539783999999997"/>
    <x v="4"/>
    <n v="19"/>
    <n v="38"/>
    <n v="29"/>
  </r>
  <r>
    <s v="India"/>
    <x v="10"/>
    <x v="45"/>
    <x v="389"/>
    <x v="0"/>
    <n v="13.029152"/>
    <n v="77.585901000000007"/>
    <x v="5"/>
    <n v="23"/>
    <n v="61"/>
    <n v="40"/>
  </r>
  <r>
    <s v="India"/>
    <x v="10"/>
    <x v="45"/>
    <x v="389"/>
    <x v="0"/>
    <n v="13.029152"/>
    <n v="77.585901000000007"/>
    <x v="4"/>
    <n v="1"/>
    <n v="5"/>
    <n v="3"/>
  </r>
  <r>
    <s v="India"/>
    <x v="7"/>
    <x v="49"/>
    <x v="475"/>
    <x v="0"/>
    <n v="23.163798"/>
    <n v="72.677768"/>
    <x v="3"/>
    <n v="5"/>
    <n v="20"/>
    <n v="10"/>
  </r>
  <r>
    <s v="India"/>
    <x v="7"/>
    <x v="49"/>
    <x v="475"/>
    <x v="0"/>
    <n v="23.163798"/>
    <n v="72.677768"/>
    <x v="4"/>
    <n v="5"/>
    <n v="34"/>
    <n v="10"/>
  </r>
  <r>
    <s v="India"/>
    <x v="7"/>
    <x v="49"/>
    <x v="475"/>
    <x v="0"/>
    <n v="23.163798"/>
    <n v="72.677768"/>
    <x v="6"/>
    <n v="1"/>
    <n v="60"/>
    <n v="10"/>
  </r>
  <r>
    <s v="India"/>
    <x v="7"/>
    <x v="49"/>
    <x v="391"/>
    <x v="0"/>
    <n v="23.243639000000002"/>
    <n v="72.689940000000007"/>
    <x v="2"/>
    <n v="24"/>
    <n v="133"/>
    <n v="64"/>
  </r>
  <r>
    <s v="India"/>
    <x v="7"/>
    <x v="49"/>
    <x v="391"/>
    <x v="0"/>
    <n v="23.243639000000002"/>
    <n v="72.689940000000007"/>
    <x v="6"/>
    <n v="2"/>
    <n v="105"/>
    <n v="55"/>
  </r>
  <r>
    <s v="India"/>
    <x v="7"/>
    <x v="217"/>
    <x v="392"/>
    <x v="0"/>
    <n v="22.410802"/>
    <n v="73.097922999999994"/>
    <x v="1"/>
    <n v="1"/>
    <n v="9"/>
    <n v="3"/>
  </r>
  <r>
    <s v="India"/>
    <x v="7"/>
    <x v="217"/>
    <x v="392"/>
    <x v="0"/>
    <n v="22.410802"/>
    <n v="73.097922999999994"/>
    <x v="4"/>
    <n v="2"/>
    <n v="22"/>
    <n v="12"/>
  </r>
  <r>
    <s v="India"/>
    <x v="8"/>
    <x v="42"/>
    <x v="83"/>
    <x v="0"/>
    <n v="30.943887"/>
    <n v="76.801991000000001"/>
    <x v="6"/>
    <n v="50"/>
    <n v="105"/>
    <n v="71"/>
  </r>
  <r>
    <s v="India"/>
    <x v="9"/>
    <x v="43"/>
    <x v="84"/>
    <x v="0"/>
    <n v="34.066206000000001"/>
    <n v="74.819820000000007"/>
    <x v="4"/>
    <n v="3"/>
    <n v="6"/>
    <n v="3"/>
  </r>
  <r>
    <s v="India"/>
    <x v="9"/>
    <x v="43"/>
    <x v="84"/>
    <x v="0"/>
    <n v="34.066206000000001"/>
    <n v="74.819820000000007"/>
    <x v="6"/>
    <n v="12"/>
    <n v="20"/>
    <n v="15"/>
  </r>
  <r>
    <s v="India"/>
    <x v="27"/>
    <x v="216"/>
    <x v="390"/>
    <x v="0"/>
    <n v="23.805689999999998"/>
    <n v="86.442679999999996"/>
    <x v="2"/>
    <n v="127"/>
    <n v="129"/>
    <n v="127"/>
  </r>
  <r>
    <s v="India"/>
    <x v="27"/>
    <x v="216"/>
    <x v="390"/>
    <x v="0"/>
    <n v="23.805689999999998"/>
    <n v="86.442679999999996"/>
    <x v="4"/>
    <m/>
    <m/>
    <m/>
  </r>
  <r>
    <s v="India"/>
    <x v="7"/>
    <x v="41"/>
    <x v="82"/>
    <x v="0"/>
    <n v="23.020509000000001"/>
    <n v="72.579261000000002"/>
    <x v="4"/>
    <n v="10"/>
    <n v="27"/>
    <n v="17"/>
  </r>
  <r>
    <s v="India"/>
    <x v="7"/>
    <x v="41"/>
    <x v="82"/>
    <x v="0"/>
    <n v="23.020509000000001"/>
    <n v="72.579261000000002"/>
    <x v="6"/>
    <n v="1"/>
    <n v="125"/>
    <n v="61"/>
  </r>
  <r>
    <s v="India"/>
    <x v="7"/>
    <x v="41"/>
    <x v="393"/>
    <x v="0"/>
    <n v="23.016833999999999"/>
    <n v="72.625775000000004"/>
    <x v="1"/>
    <n v="27"/>
    <n v="241"/>
    <n v="93"/>
  </r>
  <r>
    <s v="India"/>
    <x v="7"/>
    <x v="41"/>
    <x v="393"/>
    <x v="0"/>
    <n v="23.016833999999999"/>
    <n v="72.625775000000004"/>
    <x v="2"/>
    <n v="1"/>
    <n v="11"/>
    <n v="8"/>
  </r>
  <r>
    <s v="India"/>
    <x v="7"/>
    <x v="41"/>
    <x v="86"/>
    <x v="0"/>
    <n v="23.041136999999999"/>
    <n v="72.456691000000006"/>
    <x v="3"/>
    <m/>
    <m/>
    <m/>
  </r>
  <r>
    <s v="India"/>
    <x v="7"/>
    <x v="41"/>
    <x v="86"/>
    <x v="0"/>
    <n v="23.041136999999999"/>
    <n v="72.456691000000006"/>
    <x v="6"/>
    <n v="20"/>
    <n v="72"/>
    <n v="28"/>
  </r>
  <r>
    <s v="India"/>
    <x v="7"/>
    <x v="41"/>
    <x v="97"/>
    <x v="0"/>
    <n v="23.107969000000001"/>
    <n v="72.574647999999996"/>
    <x v="1"/>
    <n v="36"/>
    <n v="236"/>
    <n v="99"/>
  </r>
  <r>
    <s v="India"/>
    <x v="7"/>
    <x v="41"/>
    <x v="97"/>
    <x v="0"/>
    <n v="23.107969000000001"/>
    <n v="72.574647999999996"/>
    <x v="2"/>
    <n v="32"/>
    <n v="102"/>
    <n v="55"/>
  </r>
  <r>
    <s v="India"/>
    <x v="7"/>
    <x v="41"/>
    <x v="97"/>
    <x v="0"/>
    <n v="23.107969000000001"/>
    <n v="72.574647999999996"/>
    <x v="4"/>
    <n v="9"/>
    <n v="42"/>
    <n v="20"/>
  </r>
  <r>
    <s v="India"/>
    <x v="7"/>
    <x v="41"/>
    <x v="80"/>
    <x v="0"/>
    <n v="22.977134"/>
    <n v="72.553023999999994"/>
    <x v="3"/>
    <n v="1"/>
    <n v="23"/>
    <n v="8"/>
  </r>
  <r>
    <s v="India"/>
    <x v="7"/>
    <x v="41"/>
    <x v="93"/>
    <x v="0"/>
    <n v="23.04307"/>
    <n v="72.562967999999998"/>
    <x v="5"/>
    <n v="45"/>
    <n v="167"/>
    <n v="73"/>
  </r>
  <r>
    <s v="India"/>
    <x v="7"/>
    <x v="41"/>
    <x v="93"/>
    <x v="0"/>
    <n v="23.04307"/>
    <n v="72.562967999999998"/>
    <x v="2"/>
    <n v="10"/>
    <n v="81"/>
    <n v="32"/>
  </r>
  <r>
    <s v="India"/>
    <x v="7"/>
    <x v="49"/>
    <x v="475"/>
    <x v="0"/>
    <n v="23.163798"/>
    <n v="72.677768"/>
    <x v="2"/>
    <n v="5"/>
    <n v="47"/>
    <n v="24"/>
  </r>
  <r>
    <s v="India"/>
    <x v="7"/>
    <x v="214"/>
    <x v="387"/>
    <x v="0"/>
    <n v="22.969611"/>
    <n v="72.643500000000003"/>
    <x v="1"/>
    <n v="43"/>
    <n v="260"/>
    <n v="92"/>
  </r>
  <r>
    <s v="India"/>
    <x v="11"/>
    <x v="47"/>
    <x v="92"/>
    <x v="0"/>
    <n v="28.315300000000001"/>
    <n v="76.914299999999997"/>
    <x v="3"/>
    <n v="4"/>
    <n v="9"/>
    <n v="6"/>
  </r>
  <r>
    <s v="India"/>
    <x v="6"/>
    <x v="39"/>
    <x v="75"/>
    <x v="0"/>
    <n v="28.531345999999999"/>
    <n v="77.190156000000002"/>
    <x v="6"/>
    <n v="15"/>
    <n v="62"/>
    <n v="25"/>
  </r>
  <r>
    <s v="India"/>
    <x v="6"/>
    <x v="39"/>
    <x v="75"/>
    <x v="0"/>
    <n v="28.531345999999999"/>
    <n v="77.190156000000002"/>
    <x v="0"/>
    <n v="8"/>
    <n v="210"/>
    <n v="111"/>
  </r>
  <r>
    <s v="India"/>
    <x v="7"/>
    <x v="41"/>
    <x v="80"/>
    <x v="0"/>
    <n v="22.977134"/>
    <n v="72.553023999999994"/>
    <x v="4"/>
    <n v="22"/>
    <n v="108"/>
    <n v="64"/>
  </r>
  <r>
    <s v="India"/>
    <x v="7"/>
    <x v="41"/>
    <x v="80"/>
    <x v="0"/>
    <n v="22.977134"/>
    <n v="72.553023999999994"/>
    <x v="6"/>
    <n v="1"/>
    <n v="52"/>
    <n v="18"/>
  </r>
  <r>
    <s v="India"/>
    <x v="10"/>
    <x v="52"/>
    <x v="100"/>
    <x v="0"/>
    <n v="14.7918"/>
    <n v="75.389600000000002"/>
    <x v="4"/>
    <m/>
    <m/>
    <m/>
  </r>
  <r>
    <s v="India"/>
    <x v="10"/>
    <x v="53"/>
    <x v="101"/>
    <x v="0"/>
    <n v="15.3714823"/>
    <n v="75.116016799999997"/>
    <x v="2"/>
    <n v="11"/>
    <n v="11"/>
    <n v="11"/>
  </r>
  <r>
    <s v="India"/>
    <x v="10"/>
    <x v="54"/>
    <x v="102"/>
    <x v="0"/>
    <n v="17.321992999999999"/>
    <n v="76.822627999999995"/>
    <x v="5"/>
    <n v="35"/>
    <n v="92"/>
    <n v="61"/>
  </r>
  <r>
    <s v="India"/>
    <x v="10"/>
    <x v="54"/>
    <x v="394"/>
    <x v="0"/>
    <n v="17.336317999999999"/>
    <n v="76.847397000000001"/>
    <x v="0"/>
    <n v="2"/>
    <n v="20"/>
    <n v="14"/>
  </r>
  <r>
    <s v="India"/>
    <x v="10"/>
    <x v="218"/>
    <x v="395"/>
    <x v="0"/>
    <n v="15.347630000000001"/>
    <n v="76.181766999999994"/>
    <x v="1"/>
    <n v="16"/>
    <n v="59"/>
    <n v="31"/>
  </r>
  <r>
    <s v="India"/>
    <x v="10"/>
    <x v="45"/>
    <x v="396"/>
    <x v="0"/>
    <n v="13.003871999999999"/>
    <n v="77.664216999999994"/>
    <x v="1"/>
    <n v="82"/>
    <n v="147"/>
    <n v="107"/>
  </r>
  <r>
    <s v="India"/>
    <x v="10"/>
    <x v="45"/>
    <x v="396"/>
    <x v="0"/>
    <n v="13.003871999999999"/>
    <n v="77.664216999999994"/>
    <x v="0"/>
    <n v="28"/>
    <n v="29"/>
    <n v="28"/>
  </r>
  <r>
    <s v="India"/>
    <x v="10"/>
    <x v="45"/>
    <x v="112"/>
    <x v="0"/>
    <n v="13.027019900000001"/>
    <n v="77.494094000000004"/>
    <x v="2"/>
    <n v="16"/>
    <n v="23"/>
    <n v="20"/>
  </r>
  <r>
    <s v="India"/>
    <x v="10"/>
    <x v="45"/>
    <x v="112"/>
    <x v="0"/>
    <n v="13.027019900000001"/>
    <n v="77.494094000000004"/>
    <x v="3"/>
    <n v="4"/>
    <n v="5"/>
    <n v="5"/>
  </r>
  <r>
    <s v="India"/>
    <x v="10"/>
    <x v="45"/>
    <x v="113"/>
    <x v="0"/>
    <n v="12.921417999999999"/>
    <n v="77.502465999999998"/>
    <x v="6"/>
    <n v="24"/>
    <n v="49"/>
    <n v="33"/>
  </r>
  <r>
    <s v="India"/>
    <x v="10"/>
    <x v="45"/>
    <x v="109"/>
    <x v="0"/>
    <n v="13.024634199999999"/>
    <n v="77.508011499999995"/>
    <x v="6"/>
    <n v="34"/>
    <n v="42"/>
    <n v="37"/>
  </r>
  <r>
    <s v="India"/>
    <x v="10"/>
    <x v="45"/>
    <x v="110"/>
    <x v="0"/>
    <n v="12.917348"/>
    <n v="77.622812999999994"/>
    <x v="5"/>
    <n v="29"/>
    <n v="60"/>
    <n v="42"/>
  </r>
  <r>
    <s v="India"/>
    <x v="10"/>
    <x v="45"/>
    <x v="110"/>
    <x v="0"/>
    <n v="12.917348"/>
    <n v="77.622812999999994"/>
    <x v="2"/>
    <n v="26"/>
    <n v="69"/>
    <n v="49"/>
  </r>
  <r>
    <s v="India"/>
    <x v="10"/>
    <x v="61"/>
    <x v="111"/>
    <x v="0"/>
    <n v="11.55358"/>
    <n v="76.555210000000002"/>
    <x v="2"/>
    <n v="15"/>
    <n v="29"/>
    <n v="28"/>
  </r>
  <r>
    <s v="India"/>
    <x v="10"/>
    <x v="56"/>
    <x v="104"/>
    <x v="0"/>
    <n v="13.328028"/>
    <n v="75.797055999999998"/>
    <x v="1"/>
    <m/>
    <m/>
    <m/>
  </r>
  <r>
    <s v="India"/>
    <x v="10"/>
    <x v="56"/>
    <x v="104"/>
    <x v="0"/>
    <n v="13.328028"/>
    <n v="75.797055999999998"/>
    <x v="2"/>
    <m/>
    <m/>
    <m/>
  </r>
  <r>
    <s v="India"/>
    <x v="10"/>
    <x v="218"/>
    <x v="395"/>
    <x v="0"/>
    <n v="15.347630000000001"/>
    <n v="76.181766999999994"/>
    <x v="3"/>
    <n v="1"/>
    <n v="3"/>
    <n v="2"/>
  </r>
  <r>
    <s v="India"/>
    <x v="10"/>
    <x v="64"/>
    <x v="116"/>
    <x v="0"/>
    <n v="12.415910999999999"/>
    <n v="75.735050000000001"/>
    <x v="3"/>
    <n v="1"/>
    <n v="2"/>
    <n v="1"/>
  </r>
  <r>
    <s v="India"/>
    <x v="10"/>
    <x v="219"/>
    <x v="397"/>
    <x v="0"/>
    <n v="12.889250000000001"/>
    <n v="74.852999999999994"/>
    <x v="5"/>
    <n v="33"/>
    <n v="41"/>
    <n v="38"/>
  </r>
  <r>
    <s v="India"/>
    <x v="10"/>
    <x v="219"/>
    <x v="397"/>
    <x v="0"/>
    <n v="12.889250000000001"/>
    <n v="74.852999999999994"/>
    <x v="1"/>
    <n v="38"/>
    <n v="48"/>
    <n v="45"/>
  </r>
  <r>
    <s v="India"/>
    <x v="10"/>
    <x v="57"/>
    <x v="105"/>
    <x v="0"/>
    <n v="14.4758"/>
    <n v="75.905199999999994"/>
    <x v="5"/>
    <n v="27"/>
    <n v="94"/>
    <n v="50"/>
  </r>
  <r>
    <s v="India"/>
    <x v="10"/>
    <x v="51"/>
    <x v="99"/>
    <x v="0"/>
    <n v="15.411455999999999"/>
    <n v="75.638132999999996"/>
    <x v="4"/>
    <n v="16"/>
    <n v="23"/>
    <n v="19"/>
  </r>
  <r>
    <s v="India"/>
    <x v="10"/>
    <x v="220"/>
    <x v="399"/>
    <x v="0"/>
    <n v="13.94"/>
    <n v="75.555916999999994"/>
    <x v="2"/>
    <n v="12"/>
    <n v="25"/>
    <n v="18"/>
  </r>
  <r>
    <s v="India"/>
    <x v="10"/>
    <x v="220"/>
    <x v="399"/>
    <x v="0"/>
    <n v="13.94"/>
    <n v="75.555916999999994"/>
    <x v="4"/>
    <n v="2"/>
    <n v="8"/>
    <n v="4"/>
  </r>
  <r>
    <s v="India"/>
    <x v="10"/>
    <x v="220"/>
    <x v="399"/>
    <x v="0"/>
    <n v="13.94"/>
    <n v="75.555916999999994"/>
    <x v="6"/>
    <n v="2"/>
    <n v="30"/>
    <n v="14"/>
  </r>
  <r>
    <s v="India"/>
    <x v="10"/>
    <x v="45"/>
    <x v="98"/>
    <x v="0"/>
    <n v="12.938539"/>
    <n v="77.590100000000007"/>
    <x v="5"/>
    <n v="15"/>
    <n v="37"/>
    <n v="28"/>
  </r>
  <r>
    <s v="India"/>
    <x v="10"/>
    <x v="45"/>
    <x v="98"/>
    <x v="0"/>
    <n v="12.938539"/>
    <n v="77.590100000000007"/>
    <x v="3"/>
    <n v="2"/>
    <n v="2"/>
    <n v="2"/>
  </r>
  <r>
    <s v="India"/>
    <x v="10"/>
    <x v="63"/>
    <x v="115"/>
    <x v="0"/>
    <n v="13.377516"/>
    <n v="77.099072000000007"/>
    <x v="1"/>
    <n v="74"/>
    <n v="179"/>
    <n v="125"/>
  </r>
  <r>
    <s v="India"/>
    <x v="10"/>
    <x v="219"/>
    <x v="397"/>
    <x v="0"/>
    <n v="12.889250000000001"/>
    <n v="74.852999999999994"/>
    <x v="0"/>
    <n v="18"/>
    <n v="19"/>
    <n v="18"/>
  </r>
  <r>
    <s v="India"/>
    <x v="13"/>
    <x v="73"/>
    <x v="136"/>
    <x v="0"/>
    <n v="22.431000000000001"/>
    <n v="75.521299999999997"/>
    <x v="0"/>
    <n v="16"/>
    <n v="80"/>
    <n v="53"/>
  </r>
  <r>
    <s v="India"/>
    <x v="13"/>
    <x v="73"/>
    <x v="126"/>
    <x v="0"/>
    <n v="22.678000000000001"/>
    <n v="75.855900000000005"/>
    <x v="5"/>
    <n v="52"/>
    <n v="180"/>
    <n v="94"/>
  </r>
  <r>
    <s v="India"/>
    <x v="13"/>
    <x v="73"/>
    <x v="126"/>
    <x v="0"/>
    <n v="22.678000000000001"/>
    <n v="75.855900000000005"/>
    <x v="2"/>
    <n v="35"/>
    <n v="60"/>
    <n v="44"/>
  </r>
  <r>
    <s v="India"/>
    <x v="13"/>
    <x v="73"/>
    <x v="126"/>
    <x v="0"/>
    <n v="22.678000000000001"/>
    <n v="75.855900000000005"/>
    <x v="4"/>
    <n v="57"/>
    <n v="63"/>
    <n v="60"/>
  </r>
  <r>
    <s v="India"/>
    <x v="13"/>
    <x v="73"/>
    <x v="126"/>
    <x v="0"/>
    <n v="22.678000000000001"/>
    <n v="75.855900000000005"/>
    <x v="0"/>
    <n v="5"/>
    <n v="14"/>
    <n v="11"/>
  </r>
  <r>
    <s v="India"/>
    <x v="13"/>
    <x v="73"/>
    <x v="127"/>
    <x v="0"/>
    <n v="22.708400000000001"/>
    <n v="75.881500000000003"/>
    <x v="5"/>
    <n v="40"/>
    <n v="229"/>
    <n v="87"/>
  </r>
  <r>
    <s v="India"/>
    <x v="13"/>
    <x v="73"/>
    <x v="127"/>
    <x v="0"/>
    <n v="22.708400000000001"/>
    <n v="75.881500000000003"/>
    <x v="6"/>
    <n v="16"/>
    <n v="28"/>
    <n v="18"/>
  </r>
  <r>
    <s v="India"/>
    <x v="13"/>
    <x v="68"/>
    <x v="128"/>
    <x v="0"/>
    <n v="23.163174000000001"/>
    <n v="79.973061000000001"/>
    <x v="5"/>
    <n v="15"/>
    <n v="90"/>
    <n v="55"/>
  </r>
  <r>
    <s v="India"/>
    <x v="13"/>
    <x v="68"/>
    <x v="128"/>
    <x v="0"/>
    <n v="23.163174000000001"/>
    <n v="79.973061000000001"/>
    <x v="2"/>
    <n v="34"/>
    <n v="65"/>
    <n v="49"/>
  </r>
  <r>
    <s v="India"/>
    <x v="13"/>
    <x v="68"/>
    <x v="128"/>
    <x v="0"/>
    <n v="23.163174000000001"/>
    <n v="79.973061000000001"/>
    <x v="4"/>
    <n v="9"/>
    <n v="111"/>
    <n v="35"/>
  </r>
  <r>
    <s v="India"/>
    <x v="13"/>
    <x v="78"/>
    <x v="140"/>
    <x v="0"/>
    <n v="24.108969999999999"/>
    <n v="82.645579999999995"/>
    <x v="4"/>
    <n v="34"/>
    <n v="117"/>
    <n v="49"/>
  </r>
  <r>
    <s v="India"/>
    <x v="13"/>
    <x v="78"/>
    <x v="140"/>
    <x v="0"/>
    <n v="24.108969999999999"/>
    <n v="82.645579999999995"/>
    <x v="0"/>
    <n v="3"/>
    <n v="105"/>
    <n v="84"/>
  </r>
  <r>
    <s v="India"/>
    <x v="13"/>
    <x v="249"/>
    <x v="469"/>
    <x v="0"/>
    <n v="23.182718999999999"/>
    <n v="75.768218000000005"/>
    <x v="5"/>
    <n v="33"/>
    <n v="118"/>
    <n v="61"/>
  </r>
  <r>
    <s v="India"/>
    <x v="13"/>
    <x v="249"/>
    <x v="469"/>
    <x v="0"/>
    <n v="23.182718999999999"/>
    <n v="75.768218000000005"/>
    <x v="3"/>
    <n v="2"/>
    <n v="4"/>
    <n v="3"/>
  </r>
  <r>
    <s v="India"/>
    <x v="14"/>
    <x v="88"/>
    <x v="152"/>
    <x v="0"/>
    <n v="20.719515999999999"/>
    <n v="77.000253000000001"/>
    <x v="1"/>
    <n v="52"/>
    <n v="192"/>
    <n v="90"/>
  </r>
  <r>
    <s v="India"/>
    <x v="14"/>
    <x v="88"/>
    <x v="152"/>
    <x v="0"/>
    <n v="20.719515999999999"/>
    <n v="77.000253000000001"/>
    <x v="6"/>
    <n v="32"/>
    <n v="100"/>
    <n v="51"/>
  </r>
  <r>
    <s v="India"/>
    <x v="13"/>
    <x v="74"/>
    <x v="131"/>
    <x v="0"/>
    <n v="23.817486779999999"/>
    <n v="79.446246000000002"/>
    <x v="6"/>
    <n v="19"/>
    <n v="25"/>
    <n v="22"/>
  </r>
  <r>
    <s v="India"/>
    <x v="13"/>
    <x v="75"/>
    <x v="132"/>
    <x v="0"/>
    <n v="26.203441999999999"/>
    <n v="78.193251000000004"/>
    <x v="5"/>
    <n v="24"/>
    <n v="329"/>
    <n v="138"/>
  </r>
  <r>
    <s v="India"/>
    <x v="13"/>
    <x v="75"/>
    <x v="132"/>
    <x v="0"/>
    <n v="26.203441999999999"/>
    <n v="78.193251000000004"/>
    <x v="4"/>
    <n v="5"/>
    <n v="25"/>
    <n v="14"/>
  </r>
  <r>
    <s v="India"/>
    <x v="13"/>
    <x v="75"/>
    <x v="133"/>
    <x v="0"/>
    <n v="26.259242"/>
    <n v="78.216431999999998"/>
    <x v="6"/>
    <n v="26"/>
    <n v="110"/>
    <n v="57"/>
  </r>
  <r>
    <s v="India"/>
    <x v="13"/>
    <x v="75"/>
    <x v="134"/>
    <x v="0"/>
    <n v="26.200388"/>
    <n v="78.147713999999993"/>
    <x v="0"/>
    <n v="4"/>
    <n v="124"/>
    <n v="80"/>
  </r>
  <r>
    <s v="India"/>
    <x v="12"/>
    <x v="65"/>
    <x v="117"/>
    <x v="0"/>
    <n v="8.5149092999999993"/>
    <n v="76.943587899999997"/>
    <x v="3"/>
    <n v="2"/>
    <n v="4"/>
    <n v="3"/>
  </r>
  <r>
    <s v="India"/>
    <x v="12"/>
    <x v="65"/>
    <x v="117"/>
    <x v="0"/>
    <n v="8.5149092999999993"/>
    <n v="76.943587899999997"/>
    <x v="4"/>
    <n v="4"/>
    <n v="24"/>
    <n v="17"/>
  </r>
  <r>
    <s v="India"/>
    <x v="13"/>
    <x v="67"/>
    <x v="119"/>
    <x v="0"/>
    <n v="23.264759000000002"/>
    <n v="77.381568000000001"/>
    <x v="0"/>
    <n v="30"/>
    <n v="104"/>
    <n v="85"/>
  </r>
  <r>
    <s v="India"/>
    <x v="13"/>
    <x v="67"/>
    <x v="401"/>
    <x v="0"/>
    <n v="23.210494000000001"/>
    <n v="77.425409000000002"/>
    <x v="2"/>
    <n v="13"/>
    <n v="109"/>
    <n v="45"/>
  </r>
  <r>
    <s v="India"/>
    <x v="13"/>
    <x v="67"/>
    <x v="401"/>
    <x v="0"/>
    <n v="23.210494000000001"/>
    <n v="77.425409000000002"/>
    <x v="6"/>
    <n v="8"/>
    <n v="80"/>
    <n v="22"/>
  </r>
  <r>
    <s v="India"/>
    <x v="13"/>
    <x v="68"/>
    <x v="129"/>
    <x v="0"/>
    <n v="23.142887999999999"/>
    <n v="79.916146999999995"/>
    <x v="0"/>
    <n v="3"/>
    <n v="103"/>
    <n v="59"/>
  </r>
  <r>
    <s v="India"/>
    <x v="13"/>
    <x v="68"/>
    <x v="130"/>
    <x v="0"/>
    <n v="23.168606"/>
    <n v="79.932247000000004"/>
    <x v="1"/>
    <n v="71"/>
    <n v="346"/>
    <n v="145"/>
  </r>
  <r>
    <s v="India"/>
    <x v="13"/>
    <x v="68"/>
    <x v="130"/>
    <x v="0"/>
    <n v="23.168606"/>
    <n v="79.932247000000004"/>
    <x v="6"/>
    <n v="4"/>
    <n v="171"/>
    <n v="83"/>
  </r>
  <r>
    <s v="India"/>
    <x v="13"/>
    <x v="68"/>
    <x v="121"/>
    <x v="0"/>
    <n v="23.218135"/>
    <n v="79.957769999999996"/>
    <x v="5"/>
    <n v="17"/>
    <n v="78"/>
    <n v="51"/>
  </r>
  <r>
    <s v="India"/>
    <x v="13"/>
    <x v="69"/>
    <x v="122"/>
    <x v="0"/>
    <n v="23.500160000000001"/>
    <n v="80.232839999999996"/>
    <x v="1"/>
    <n v="64"/>
    <n v="268"/>
    <n v="147"/>
  </r>
  <r>
    <s v="India"/>
    <x v="13"/>
    <x v="71"/>
    <x v="124"/>
    <x v="0"/>
    <n v="23.108440000000002"/>
    <n v="77.511427999999995"/>
    <x v="3"/>
    <n v="4"/>
    <n v="13"/>
    <n v="6"/>
  </r>
  <r>
    <s v="India"/>
    <x v="13"/>
    <x v="71"/>
    <x v="124"/>
    <x v="0"/>
    <n v="23.108440000000002"/>
    <n v="77.511427999999995"/>
    <x v="4"/>
    <n v="4"/>
    <n v="76"/>
    <n v="21"/>
  </r>
  <r>
    <s v="India"/>
    <x v="13"/>
    <x v="221"/>
    <x v="400"/>
    <x v="0"/>
    <n v="23.331731000000001"/>
    <n v="75.045980999999998"/>
    <x v="1"/>
    <n v="83"/>
    <n v="173"/>
    <n v="128"/>
  </r>
  <r>
    <s v="India"/>
    <x v="13"/>
    <x v="76"/>
    <x v="137"/>
    <x v="0"/>
    <n v="23.838585999999999"/>
    <n v="78.759431000000006"/>
    <x v="4"/>
    <n v="7"/>
    <n v="24"/>
    <n v="11"/>
  </r>
  <r>
    <s v="India"/>
    <x v="10"/>
    <x v="59"/>
    <x v="107"/>
    <x v="0"/>
    <n v="16.760200000000001"/>
    <n v="77.142799999999994"/>
    <x v="5"/>
    <n v="19"/>
    <n v="50"/>
    <n v="30"/>
  </r>
  <r>
    <s v="India"/>
    <x v="12"/>
    <x v="60"/>
    <x v="108"/>
    <x v="0"/>
    <n v="10.073232000000001"/>
    <n v="76.302764999999994"/>
    <x v="1"/>
    <m/>
    <m/>
    <m/>
  </r>
  <r>
    <s v="India"/>
    <x v="12"/>
    <x v="60"/>
    <x v="108"/>
    <x v="0"/>
    <n v="10.073232000000001"/>
    <n v="76.302764999999994"/>
    <x v="2"/>
    <m/>
    <m/>
    <m/>
  </r>
  <r>
    <s v="India"/>
    <x v="13"/>
    <x v="78"/>
    <x v="140"/>
    <x v="0"/>
    <n v="24.108969999999999"/>
    <n v="82.645579999999995"/>
    <x v="5"/>
    <n v="40"/>
    <n v="318"/>
    <n v="167"/>
  </r>
  <r>
    <s v="India"/>
    <x v="12"/>
    <x v="222"/>
    <x v="402"/>
    <x v="0"/>
    <n v="11.875"/>
    <n v="75.373199999999997"/>
    <x v="3"/>
    <n v="1"/>
    <n v="2"/>
    <n v="1"/>
  </r>
  <r>
    <s v="India"/>
    <x v="14"/>
    <x v="225"/>
    <x v="406"/>
    <x v="0"/>
    <n v="18.399629999999998"/>
    <n v="76.574520000000007"/>
    <x v="1"/>
    <n v="72"/>
    <n v="410"/>
    <n v="116"/>
  </r>
  <r>
    <s v="India"/>
    <x v="14"/>
    <x v="81"/>
    <x v="144"/>
    <x v="0"/>
    <n v="18.1023399"/>
    <n v="73.478368700000004"/>
    <x v="4"/>
    <n v="27"/>
    <n v="129"/>
    <n v="56"/>
  </r>
  <r>
    <s v="India"/>
    <x v="14"/>
    <x v="82"/>
    <x v="145"/>
    <x v="0"/>
    <n v="20.555712"/>
    <n v="74.529235999999997"/>
    <x v="5"/>
    <n v="27"/>
    <n v="378"/>
    <n v="120"/>
  </r>
  <r>
    <s v="India"/>
    <x v="14"/>
    <x v="83"/>
    <x v="146"/>
    <x v="0"/>
    <n v="19.296481"/>
    <n v="72.840923000000004"/>
    <x v="1"/>
    <n v="43"/>
    <n v="93"/>
    <n v="65"/>
  </r>
  <r>
    <s v="India"/>
    <x v="14"/>
    <x v="83"/>
    <x v="146"/>
    <x v="0"/>
    <n v="19.296481"/>
    <n v="72.840923000000004"/>
    <x v="2"/>
    <n v="5"/>
    <n v="41"/>
    <n v="21"/>
  </r>
  <r>
    <s v="India"/>
    <x v="14"/>
    <x v="83"/>
    <x v="146"/>
    <x v="0"/>
    <n v="19.296481"/>
    <n v="72.840923000000004"/>
    <x v="4"/>
    <n v="2"/>
    <n v="6"/>
    <n v="2"/>
  </r>
  <r>
    <s v="India"/>
    <x v="14"/>
    <x v="94"/>
    <x v="169"/>
    <x v="0"/>
    <n v="19.065930999999999"/>
    <n v="72.862131000000005"/>
    <x v="2"/>
    <n v="17"/>
    <n v="98"/>
    <n v="48"/>
  </r>
  <r>
    <s v="India"/>
    <x v="14"/>
    <x v="94"/>
    <x v="169"/>
    <x v="0"/>
    <n v="19.065930999999999"/>
    <n v="72.862131000000005"/>
    <x v="6"/>
    <n v="3"/>
    <n v="56"/>
    <n v="20"/>
  </r>
  <r>
    <s v="India"/>
    <x v="14"/>
    <x v="94"/>
    <x v="170"/>
    <x v="0"/>
    <n v="19.232410000000002"/>
    <n v="72.868949999999998"/>
    <x v="1"/>
    <n v="69"/>
    <n v="136"/>
    <n v="92"/>
  </r>
  <r>
    <s v="India"/>
    <x v="14"/>
    <x v="94"/>
    <x v="470"/>
    <x v="0"/>
    <n v="19.224333300000001"/>
    <n v="72.865811300000004"/>
    <x v="2"/>
    <n v="10"/>
    <n v="74"/>
    <n v="26"/>
  </r>
  <r>
    <s v="India"/>
    <x v="14"/>
    <x v="94"/>
    <x v="407"/>
    <x v="0"/>
    <n v="18.976700000000001"/>
    <n v="72.837999999999994"/>
    <x v="1"/>
    <n v="34"/>
    <n v="72"/>
    <n v="51"/>
  </r>
  <r>
    <s v="India"/>
    <x v="14"/>
    <x v="94"/>
    <x v="407"/>
    <x v="0"/>
    <n v="18.976700000000001"/>
    <n v="72.837999999999994"/>
    <x v="2"/>
    <n v="13"/>
    <n v="96"/>
    <n v="35"/>
  </r>
  <r>
    <s v="India"/>
    <x v="14"/>
    <x v="94"/>
    <x v="407"/>
    <x v="0"/>
    <n v="18.976700000000001"/>
    <n v="72.837999999999994"/>
    <x v="0"/>
    <n v="1"/>
    <n v="63"/>
    <n v="50"/>
  </r>
  <r>
    <s v="India"/>
    <x v="14"/>
    <x v="84"/>
    <x v="147"/>
    <x v="0"/>
    <n v="19.786089"/>
    <n v="72.757970999999998"/>
    <x v="5"/>
    <n v="37"/>
    <n v="83"/>
    <n v="66"/>
  </r>
  <r>
    <s v="India"/>
    <x v="14"/>
    <x v="84"/>
    <x v="147"/>
    <x v="0"/>
    <n v="19.786089"/>
    <n v="72.757970999999998"/>
    <x v="0"/>
    <n v="4"/>
    <n v="43"/>
    <n v="29"/>
  </r>
  <r>
    <s v="India"/>
    <x v="14"/>
    <x v="85"/>
    <x v="148"/>
    <x v="0"/>
    <n v="19.962900000000001"/>
    <n v="79.298714000000004"/>
    <x v="3"/>
    <n v="4"/>
    <n v="10"/>
    <n v="6"/>
  </r>
  <r>
    <s v="India"/>
    <x v="14"/>
    <x v="85"/>
    <x v="149"/>
    <x v="0"/>
    <n v="19.9775302"/>
    <n v="79.2337086"/>
    <x v="3"/>
    <n v="1"/>
    <n v="1"/>
    <n v="1"/>
  </r>
  <r>
    <s v="India"/>
    <x v="14"/>
    <x v="86"/>
    <x v="150"/>
    <x v="0"/>
    <n v="20.918945999999998"/>
    <n v="74.776387999999997"/>
    <x v="1"/>
    <n v="63"/>
    <n v="108"/>
    <n v="86"/>
  </r>
  <r>
    <s v="India"/>
    <x v="14"/>
    <x v="89"/>
    <x v="154"/>
    <x v="0"/>
    <n v="20.939198000000001"/>
    <n v="77.765701000000007"/>
    <x v="2"/>
    <n v="4"/>
    <n v="68"/>
    <n v="25"/>
  </r>
  <r>
    <s v="India"/>
    <x v="14"/>
    <x v="89"/>
    <x v="154"/>
    <x v="0"/>
    <n v="20.939198000000001"/>
    <n v="77.765701000000007"/>
    <x v="3"/>
    <n v="2"/>
    <n v="12"/>
    <n v="4"/>
  </r>
  <r>
    <s v="India"/>
    <x v="14"/>
    <x v="6"/>
    <x v="161"/>
    <x v="0"/>
    <n v="19.875620000000001"/>
    <n v="75.387309999999999"/>
    <x v="1"/>
    <n v="62"/>
    <n v="128"/>
    <n v="91"/>
  </r>
  <r>
    <s v="India"/>
    <x v="14"/>
    <x v="6"/>
    <x v="161"/>
    <x v="0"/>
    <n v="19.875620000000001"/>
    <n v="75.387309999999999"/>
    <x v="6"/>
    <n v="16"/>
    <n v="112"/>
    <n v="31"/>
  </r>
  <r>
    <s v="India"/>
    <x v="14"/>
    <x v="6"/>
    <x v="405"/>
    <x v="0"/>
    <n v="19.8389439"/>
    <n v="75.244448000000006"/>
    <x v="3"/>
    <n v="9"/>
    <n v="10"/>
    <n v="9"/>
  </r>
  <r>
    <s v="India"/>
    <x v="14"/>
    <x v="86"/>
    <x v="150"/>
    <x v="0"/>
    <n v="20.918945999999998"/>
    <n v="74.776387999999997"/>
    <x v="6"/>
    <n v="13"/>
    <n v="42"/>
    <n v="22"/>
  </r>
  <r>
    <s v="India"/>
    <x v="14"/>
    <x v="224"/>
    <x v="404"/>
    <x v="0"/>
    <n v="21.001263999999999"/>
    <n v="75.565601999999998"/>
    <x v="5"/>
    <n v="44"/>
    <n v="107"/>
    <n v="68"/>
  </r>
  <r>
    <s v="India"/>
    <x v="14"/>
    <x v="91"/>
    <x v="157"/>
    <x v="0"/>
    <n v="19.192056000000001"/>
    <n v="72.958518799999993"/>
    <x v="1"/>
    <n v="52"/>
    <n v="90"/>
    <n v="74"/>
  </r>
  <r>
    <s v="India"/>
    <x v="14"/>
    <x v="91"/>
    <x v="157"/>
    <x v="0"/>
    <n v="19.192056000000001"/>
    <n v="72.958518799999993"/>
    <x v="6"/>
    <n v="14"/>
    <n v="59"/>
    <n v="19"/>
  </r>
  <r>
    <s v="India"/>
    <x v="14"/>
    <x v="6"/>
    <x v="405"/>
    <x v="0"/>
    <n v="19.8389439"/>
    <n v="75.244448000000006"/>
    <x v="0"/>
    <n v="3"/>
    <n v="114"/>
    <n v="79"/>
  </r>
  <r>
    <s v="India"/>
    <x v="14"/>
    <x v="226"/>
    <x v="408"/>
    <x v="0"/>
    <n v="19.164850000000001"/>
    <n v="73.234089999999995"/>
    <x v="2"/>
    <n v="34"/>
    <n v="109"/>
    <n v="73"/>
  </r>
  <r>
    <s v="India"/>
    <x v="14"/>
    <x v="80"/>
    <x v="158"/>
    <x v="0"/>
    <n v="16.6870449"/>
    <n v="74.250587199999998"/>
    <x v="3"/>
    <n v="1"/>
    <n v="6"/>
    <n v="2"/>
  </r>
  <r>
    <s v="India"/>
    <x v="14"/>
    <x v="80"/>
    <x v="143"/>
    <x v="0"/>
    <n v="16.714374500000002"/>
    <n v="74.242639800000006"/>
    <x v="1"/>
    <n v="57"/>
    <n v="97"/>
    <n v="76"/>
  </r>
  <r>
    <s v="India"/>
    <x v="14"/>
    <x v="94"/>
    <x v="169"/>
    <x v="0"/>
    <n v="19.065930999999999"/>
    <n v="72.862131000000005"/>
    <x v="5"/>
    <n v="5"/>
    <n v="76"/>
    <n v="27"/>
  </r>
  <r>
    <s v="India"/>
    <x v="14"/>
    <x v="94"/>
    <x v="169"/>
    <x v="0"/>
    <n v="19.065930999999999"/>
    <n v="72.862131000000005"/>
    <x v="1"/>
    <m/>
    <m/>
    <m/>
  </r>
  <r>
    <s v="India"/>
    <x v="14"/>
    <x v="92"/>
    <x v="160"/>
    <x v="0"/>
    <n v="19.024390199999999"/>
    <n v="73.040672099999995"/>
    <x v="6"/>
    <n v="9"/>
    <n v="52"/>
    <n v="19"/>
  </r>
  <r>
    <s v="India"/>
    <x v="14"/>
    <x v="94"/>
    <x v="173"/>
    <x v="0"/>
    <n v="19.1878657"/>
    <n v="72.8304069"/>
    <x v="2"/>
    <n v="4"/>
    <n v="97"/>
    <n v="22"/>
  </r>
  <r>
    <s v="India"/>
    <x v="14"/>
    <x v="94"/>
    <x v="174"/>
    <x v="0"/>
    <n v="18.897756000000001"/>
    <n v="72.813320000000004"/>
    <x v="5"/>
    <n v="16"/>
    <n v="59"/>
    <n v="34"/>
  </r>
  <r>
    <s v="India"/>
    <x v="14"/>
    <x v="94"/>
    <x v="174"/>
    <x v="0"/>
    <n v="18.897756000000001"/>
    <n v="72.813320000000004"/>
    <x v="4"/>
    <n v="12"/>
    <n v="19"/>
    <n v="16"/>
  </r>
  <r>
    <s v="India"/>
    <x v="14"/>
    <x v="94"/>
    <x v="174"/>
    <x v="0"/>
    <n v="18.897756000000001"/>
    <n v="72.813320000000004"/>
    <x v="6"/>
    <n v="12"/>
    <n v="74"/>
    <n v="26"/>
  </r>
  <r>
    <s v="India"/>
    <x v="14"/>
    <x v="94"/>
    <x v="171"/>
    <x v="0"/>
    <n v="19.137499999999999"/>
    <n v="72.915056000000007"/>
    <x v="2"/>
    <n v="7"/>
    <n v="8"/>
    <n v="7"/>
  </r>
  <r>
    <s v="India"/>
    <x v="14"/>
    <x v="94"/>
    <x v="171"/>
    <x v="0"/>
    <n v="19.137499999999999"/>
    <n v="72.915056000000007"/>
    <x v="6"/>
    <n v="16"/>
    <n v="16"/>
    <n v="16"/>
  </r>
  <r>
    <s v="India"/>
    <x v="14"/>
    <x v="94"/>
    <x v="171"/>
    <x v="0"/>
    <n v="19.137499999999999"/>
    <n v="72.915056000000007"/>
    <x v="0"/>
    <n v="9"/>
    <n v="9"/>
    <n v="9"/>
  </r>
  <r>
    <s v="India"/>
    <x v="14"/>
    <x v="94"/>
    <x v="167"/>
    <x v="0"/>
    <n v="19.383199999999999"/>
    <n v="72.820400000000006"/>
    <x v="0"/>
    <n v="7"/>
    <n v="7"/>
    <n v="7"/>
  </r>
  <r>
    <s v="India"/>
    <x v="14"/>
    <x v="97"/>
    <x v="189"/>
    <x v="0"/>
    <n v="21.121801000000001"/>
    <n v="79.049520000000001"/>
    <x v="1"/>
    <n v="71"/>
    <n v="165"/>
    <n v="113"/>
  </r>
  <r>
    <s v="India"/>
    <x v="14"/>
    <x v="97"/>
    <x v="189"/>
    <x v="0"/>
    <n v="21.121801000000001"/>
    <n v="79.049520000000001"/>
    <x v="4"/>
    <n v="12"/>
    <n v="65"/>
    <n v="27"/>
  </r>
  <r>
    <s v="India"/>
    <x v="14"/>
    <x v="97"/>
    <x v="411"/>
    <x v="0"/>
    <n v="21.152875000000002"/>
    <n v="79.051753099999999"/>
    <x v="0"/>
    <n v="3"/>
    <n v="106"/>
    <n v="51"/>
  </r>
  <r>
    <s v="India"/>
    <x v="14"/>
    <x v="97"/>
    <x v="190"/>
    <x v="0"/>
    <n v="21.143383"/>
    <n v="79.048912000000001"/>
    <x v="2"/>
    <n v="11"/>
    <n v="78"/>
    <n v="32"/>
  </r>
  <r>
    <s v="India"/>
    <x v="14"/>
    <x v="94"/>
    <x v="409"/>
    <x v="0"/>
    <n v="19.036458499999998"/>
    <n v="72.895437099999995"/>
    <x v="1"/>
    <n v="56"/>
    <n v="118"/>
    <n v="89"/>
  </r>
  <r>
    <s v="India"/>
    <x v="14"/>
    <x v="94"/>
    <x v="409"/>
    <x v="0"/>
    <n v="19.036458499999998"/>
    <n v="72.895437099999995"/>
    <x v="2"/>
    <n v="21"/>
    <n v="69"/>
    <n v="38"/>
  </r>
  <r>
    <s v="India"/>
    <x v="14"/>
    <x v="94"/>
    <x v="178"/>
    <x v="0"/>
    <n v="19.10078"/>
    <n v="72.874619999999993"/>
    <x v="1"/>
    <n v="72"/>
    <n v="99"/>
    <n v="83"/>
  </r>
  <r>
    <s v="India"/>
    <x v="14"/>
    <x v="94"/>
    <x v="178"/>
    <x v="0"/>
    <n v="19.10078"/>
    <n v="72.874619999999993"/>
    <x v="2"/>
    <n v="27"/>
    <n v="48"/>
    <n v="35"/>
  </r>
  <r>
    <s v="India"/>
    <x v="14"/>
    <x v="94"/>
    <x v="178"/>
    <x v="0"/>
    <n v="19.10078"/>
    <n v="72.874619999999993"/>
    <x v="0"/>
    <n v="7"/>
    <n v="7"/>
    <n v="7"/>
  </r>
  <r>
    <s v="India"/>
    <x v="14"/>
    <x v="94"/>
    <x v="177"/>
    <x v="0"/>
    <n v="19.11074"/>
    <n v="72.860839999999996"/>
    <x v="5"/>
    <n v="43"/>
    <n v="116"/>
    <n v="71"/>
  </r>
  <r>
    <s v="India"/>
    <x v="14"/>
    <x v="94"/>
    <x v="177"/>
    <x v="0"/>
    <n v="19.11074"/>
    <n v="72.860839999999996"/>
    <x v="2"/>
    <n v="43"/>
    <n v="112"/>
    <n v="70"/>
  </r>
  <r>
    <s v="India"/>
    <x v="14"/>
    <x v="94"/>
    <x v="177"/>
    <x v="0"/>
    <n v="19.11074"/>
    <n v="72.860839999999996"/>
    <x v="4"/>
    <n v="1"/>
    <n v="10"/>
    <n v="3"/>
  </r>
  <r>
    <s v="India"/>
    <x v="14"/>
    <x v="94"/>
    <x v="177"/>
    <x v="0"/>
    <n v="19.11074"/>
    <n v="72.860839999999996"/>
    <x v="0"/>
    <n v="2"/>
    <n v="138"/>
    <n v="80"/>
  </r>
  <r>
    <s v="India"/>
    <x v="14"/>
    <x v="94"/>
    <x v="172"/>
    <x v="0"/>
    <n v="19.060497999999999"/>
    <n v="72.923355999999998"/>
    <x v="6"/>
    <n v="8"/>
    <n v="92"/>
    <n v="17"/>
  </r>
  <r>
    <s v="India"/>
    <x v="14"/>
    <x v="94"/>
    <x v="471"/>
    <x v="0"/>
    <n v="19.000083"/>
    <n v="72.813992999999996"/>
    <x v="1"/>
    <n v="47"/>
    <n v="96"/>
    <n v="67"/>
  </r>
  <r>
    <s v="India"/>
    <x v="14"/>
    <x v="94"/>
    <x v="471"/>
    <x v="0"/>
    <n v="19.000083"/>
    <n v="72.813992999999996"/>
    <x v="3"/>
    <n v="2"/>
    <n v="3"/>
    <n v="2"/>
  </r>
  <r>
    <s v="India"/>
    <x v="14"/>
    <x v="94"/>
    <x v="412"/>
    <x v="0"/>
    <n v="19.086300000000001"/>
    <n v="72.888800000000003"/>
    <x v="1"/>
    <m/>
    <m/>
    <m/>
  </r>
  <r>
    <s v="India"/>
    <x v="14"/>
    <x v="94"/>
    <x v="412"/>
    <x v="0"/>
    <n v="19.086300000000001"/>
    <n v="72.888800000000003"/>
    <x v="6"/>
    <n v="3"/>
    <n v="14"/>
    <n v="7"/>
  </r>
  <r>
    <s v="India"/>
    <x v="14"/>
    <x v="94"/>
    <x v="175"/>
    <x v="0"/>
    <n v="19.197089999999999"/>
    <n v="72.822040000000001"/>
    <x v="2"/>
    <n v="57"/>
    <n v="97"/>
    <n v="77"/>
  </r>
  <r>
    <s v="India"/>
    <x v="14"/>
    <x v="94"/>
    <x v="476"/>
    <x v="0"/>
    <n v="19.047000000000001"/>
    <n v="72.874600000000001"/>
    <x v="5"/>
    <n v="66"/>
    <n v="120"/>
    <n v="78"/>
  </r>
  <r>
    <s v="India"/>
    <x v="14"/>
    <x v="94"/>
    <x v="476"/>
    <x v="0"/>
    <n v="19.047000000000001"/>
    <n v="72.874600000000001"/>
    <x v="0"/>
    <n v="5"/>
    <n v="5"/>
    <n v="5"/>
  </r>
  <r>
    <s v="India"/>
    <x v="14"/>
    <x v="94"/>
    <x v="167"/>
    <x v="0"/>
    <n v="19.383199999999999"/>
    <n v="72.820400000000006"/>
    <x v="1"/>
    <n v="62"/>
    <n v="120"/>
    <n v="89"/>
  </r>
  <r>
    <s v="India"/>
    <x v="14"/>
    <x v="94"/>
    <x v="477"/>
    <x v="0"/>
    <n v="19.04946"/>
    <n v="72.923000000000002"/>
    <x v="1"/>
    <n v="88"/>
    <n v="186"/>
    <n v="130"/>
  </r>
  <r>
    <s v="India"/>
    <x v="14"/>
    <x v="94"/>
    <x v="163"/>
    <x v="0"/>
    <n v="19.083694000000001"/>
    <n v="72.920967000000005"/>
    <x v="2"/>
    <n v="10"/>
    <n v="46"/>
    <n v="29"/>
  </r>
  <r>
    <s v="India"/>
    <x v="14"/>
    <x v="94"/>
    <x v="165"/>
    <x v="0"/>
    <n v="19.215858999999998"/>
    <n v="72.831717999999995"/>
    <x v="0"/>
    <n v="1"/>
    <n v="47"/>
    <n v="29"/>
  </r>
  <r>
    <s v="India"/>
    <x v="14"/>
    <x v="98"/>
    <x v="191"/>
    <x v="0"/>
    <n v="19.173852"/>
    <n v="77.296290999999997"/>
    <x v="5"/>
    <n v="33"/>
    <n v="76"/>
    <n v="59"/>
  </r>
  <r>
    <s v="India"/>
    <x v="14"/>
    <x v="98"/>
    <x v="191"/>
    <x v="0"/>
    <n v="19.173852"/>
    <n v="77.296290999999997"/>
    <x v="4"/>
    <m/>
    <m/>
    <m/>
  </r>
  <r>
    <s v="India"/>
    <x v="14"/>
    <x v="99"/>
    <x v="192"/>
    <x v="0"/>
    <n v="20.0073285"/>
    <n v="73.776242699999997"/>
    <x v="1"/>
    <n v="119"/>
    <n v="155"/>
    <n v="138"/>
  </r>
  <r>
    <s v="India"/>
    <x v="14"/>
    <x v="99"/>
    <x v="198"/>
    <x v="0"/>
    <n v="20.021502999999999"/>
    <n v="73.813844000000003"/>
    <x v="4"/>
    <n v="1"/>
    <n v="27"/>
    <n v="9"/>
  </r>
  <r>
    <s v="India"/>
    <x v="14"/>
    <x v="99"/>
    <x v="199"/>
    <x v="0"/>
    <n v="19.950220000000002"/>
    <n v="73.731480000000005"/>
    <x v="1"/>
    <n v="89"/>
    <n v="136"/>
    <n v="105"/>
  </r>
  <r>
    <s v="India"/>
    <x v="14"/>
    <x v="99"/>
    <x v="199"/>
    <x v="0"/>
    <n v="19.950220000000002"/>
    <n v="73.731480000000005"/>
    <x v="2"/>
    <n v="6"/>
    <n v="19"/>
    <n v="10"/>
  </r>
  <r>
    <s v="India"/>
    <x v="14"/>
    <x v="96"/>
    <x v="417"/>
    <x v="0"/>
    <n v="19.090337000000002"/>
    <n v="73.014232000000007"/>
    <x v="2"/>
    <n v="37"/>
    <n v="353"/>
    <n v="139"/>
  </r>
  <r>
    <s v="India"/>
    <x v="14"/>
    <x v="96"/>
    <x v="417"/>
    <x v="0"/>
    <n v="19.090337000000002"/>
    <n v="73.014232000000007"/>
    <x v="0"/>
    <n v="37"/>
    <n v="84"/>
    <n v="52"/>
  </r>
  <r>
    <s v="India"/>
    <x v="14"/>
    <x v="96"/>
    <x v="185"/>
    <x v="0"/>
    <n v="19.113505100000001"/>
    <n v="73.008977999999999"/>
    <x v="2"/>
    <m/>
    <m/>
    <m/>
  </r>
  <r>
    <s v="India"/>
    <x v="14"/>
    <x v="96"/>
    <x v="185"/>
    <x v="0"/>
    <n v="19.113505100000001"/>
    <n v="73.008977999999999"/>
    <x v="4"/>
    <m/>
    <m/>
    <m/>
  </r>
  <r>
    <s v="India"/>
    <x v="14"/>
    <x v="96"/>
    <x v="186"/>
    <x v="0"/>
    <n v="19.057575199999999"/>
    <n v="73.015136699999999"/>
    <x v="2"/>
    <m/>
    <m/>
    <m/>
  </r>
  <r>
    <s v="India"/>
    <x v="14"/>
    <x v="96"/>
    <x v="186"/>
    <x v="0"/>
    <n v="19.057575199999999"/>
    <n v="73.015136699999999"/>
    <x v="4"/>
    <n v="1"/>
    <n v="22"/>
    <n v="10"/>
  </r>
  <r>
    <s v="India"/>
    <x v="14"/>
    <x v="96"/>
    <x v="186"/>
    <x v="0"/>
    <n v="19.057575199999999"/>
    <n v="73.015136699999999"/>
    <x v="6"/>
    <n v="3"/>
    <n v="68"/>
    <n v="6"/>
  </r>
  <r>
    <s v="India"/>
    <x v="14"/>
    <x v="96"/>
    <x v="188"/>
    <x v="0"/>
    <n v="19.062999999999999"/>
    <n v="73.120900000000006"/>
    <x v="5"/>
    <n v="59"/>
    <n v="325"/>
    <n v="133"/>
  </r>
  <r>
    <s v="India"/>
    <x v="14"/>
    <x v="96"/>
    <x v="188"/>
    <x v="0"/>
    <n v="19.062999999999999"/>
    <n v="73.120900000000006"/>
    <x v="2"/>
    <n v="22"/>
    <n v="111"/>
    <n v="55"/>
  </r>
  <r>
    <s v="India"/>
    <x v="14"/>
    <x v="96"/>
    <x v="188"/>
    <x v="0"/>
    <n v="19.062999999999999"/>
    <n v="73.120900000000006"/>
    <x v="3"/>
    <n v="2"/>
    <n v="9"/>
    <n v="5"/>
  </r>
  <r>
    <s v="India"/>
    <x v="14"/>
    <x v="101"/>
    <x v="201"/>
    <x v="0"/>
    <n v="19.265594"/>
    <n v="76.761463000000006"/>
    <x v="5"/>
    <n v="33"/>
    <n v="76"/>
    <n v="56"/>
  </r>
  <r>
    <s v="India"/>
    <x v="14"/>
    <x v="101"/>
    <x v="201"/>
    <x v="0"/>
    <n v="19.265594"/>
    <n v="76.761463000000006"/>
    <x v="1"/>
    <n v="49"/>
    <n v="113"/>
    <n v="67"/>
  </r>
  <r>
    <s v="India"/>
    <x v="14"/>
    <x v="101"/>
    <x v="201"/>
    <x v="0"/>
    <n v="19.265594"/>
    <n v="76.761463000000006"/>
    <x v="3"/>
    <n v="2"/>
    <n v="4"/>
    <n v="3"/>
  </r>
  <r>
    <s v="India"/>
    <x v="14"/>
    <x v="95"/>
    <x v="194"/>
    <x v="0"/>
    <n v="18.536456999999999"/>
    <n v="73.805453999999997"/>
    <x v="0"/>
    <n v="1"/>
    <n v="136"/>
    <n v="97"/>
  </r>
  <r>
    <s v="India"/>
    <x v="14"/>
    <x v="95"/>
    <x v="195"/>
    <x v="0"/>
    <n v="18.530085"/>
    <n v="73.849598"/>
    <x v="2"/>
    <n v="106"/>
    <n v="223"/>
    <n v="146"/>
  </r>
  <r>
    <s v="India"/>
    <x v="14"/>
    <x v="95"/>
    <x v="195"/>
    <x v="0"/>
    <n v="18.530085"/>
    <n v="73.849598"/>
    <x v="6"/>
    <n v="34"/>
    <n v="78"/>
    <n v="47"/>
  </r>
  <r>
    <s v="India"/>
    <x v="14"/>
    <x v="95"/>
    <x v="219"/>
    <x v="0"/>
    <n v="18.547056000000001"/>
    <n v="73.826908000000003"/>
    <x v="1"/>
    <n v="55"/>
    <n v="118"/>
    <n v="87"/>
  </r>
  <r>
    <s v="India"/>
    <x v="14"/>
    <x v="95"/>
    <x v="182"/>
    <x v="0"/>
    <n v="18.60577"/>
    <n v="73.749976000000004"/>
    <x v="1"/>
    <n v="81"/>
    <n v="159"/>
    <n v="110"/>
  </r>
  <r>
    <s v="India"/>
    <x v="14"/>
    <x v="95"/>
    <x v="182"/>
    <x v="0"/>
    <n v="18.60577"/>
    <n v="73.749976000000004"/>
    <x v="6"/>
    <n v="55"/>
    <n v="126"/>
    <n v="62"/>
  </r>
  <r>
    <s v="India"/>
    <x v="14"/>
    <x v="95"/>
    <x v="183"/>
    <x v="0"/>
    <n v="18.501792999999999"/>
    <n v="73.927531999999999"/>
    <x v="6"/>
    <n v="38"/>
    <n v="90"/>
    <n v="52"/>
  </r>
  <r>
    <s v="India"/>
    <x v="14"/>
    <x v="95"/>
    <x v="416"/>
    <x v="0"/>
    <n v="18.501174299999999"/>
    <n v="73.816552700000003"/>
    <x v="5"/>
    <n v="28"/>
    <n v="28"/>
    <n v="28"/>
  </r>
  <r>
    <s v="India"/>
    <x v="14"/>
    <x v="100"/>
    <x v="197"/>
    <x v="0"/>
    <n v="18.590509999999998"/>
    <n v="73.77946"/>
    <x v="4"/>
    <m/>
    <m/>
    <m/>
  </r>
  <r>
    <s v="India"/>
    <x v="14"/>
    <x v="100"/>
    <x v="197"/>
    <x v="0"/>
    <n v="18.590509999999998"/>
    <n v="73.77946"/>
    <x v="0"/>
    <n v="1"/>
    <n v="89"/>
    <n v="57"/>
  </r>
  <r>
    <s v="India"/>
    <x v="14"/>
    <x v="100"/>
    <x v="193"/>
    <x v="0"/>
    <n v="18.616318"/>
    <n v="73.765797000000006"/>
    <x v="1"/>
    <n v="91"/>
    <n v="167"/>
    <n v="127"/>
  </r>
  <r>
    <s v="India"/>
    <x v="14"/>
    <x v="99"/>
    <x v="200"/>
    <x v="0"/>
    <n v="19.959134599999999"/>
    <n v="73.778800799999999"/>
    <x v="1"/>
    <n v="56"/>
    <n v="105"/>
    <n v="88"/>
  </r>
  <r>
    <s v="India"/>
    <x v="14"/>
    <x v="99"/>
    <x v="200"/>
    <x v="0"/>
    <n v="19.959134599999999"/>
    <n v="73.778800799999999"/>
    <x v="2"/>
    <n v="5"/>
    <n v="23"/>
    <n v="13"/>
  </r>
  <r>
    <s v="India"/>
    <x v="14"/>
    <x v="96"/>
    <x v="417"/>
    <x v="0"/>
    <n v="19.090337000000002"/>
    <n v="73.014232000000007"/>
    <x v="1"/>
    <n v="50"/>
    <n v="321"/>
    <n v="137"/>
  </r>
  <r>
    <s v="India"/>
    <x v="14"/>
    <x v="100"/>
    <x v="196"/>
    <x v="0"/>
    <n v="18.63673"/>
    <n v="73.824870000000004"/>
    <x v="4"/>
    <n v="4"/>
    <n v="24"/>
    <n v="11"/>
  </r>
  <r>
    <s v="India"/>
    <x v="14"/>
    <x v="100"/>
    <x v="197"/>
    <x v="0"/>
    <n v="18.590509999999998"/>
    <n v="73.77946"/>
    <x v="2"/>
    <m/>
    <m/>
    <m/>
  </r>
  <r>
    <s v="India"/>
    <x v="14"/>
    <x v="95"/>
    <x v="194"/>
    <x v="0"/>
    <n v="18.536456999999999"/>
    <n v="73.805453999999997"/>
    <x v="2"/>
    <n v="9"/>
    <n v="38"/>
    <n v="20"/>
  </r>
  <r>
    <s v="India"/>
    <x v="16"/>
    <x v="115"/>
    <x v="216"/>
    <x v="0"/>
    <n v="24.820738899999998"/>
    <n v="93.942308499999996"/>
    <x v="6"/>
    <m/>
    <m/>
    <m/>
  </r>
  <r>
    <s v="India"/>
    <x v="29"/>
    <x v="233"/>
    <x v="424"/>
    <x v="0"/>
    <n v="25.580341900000001"/>
    <n v="91.894257100000004"/>
    <x v="3"/>
    <n v="7"/>
    <n v="10"/>
    <n v="8"/>
  </r>
  <r>
    <s v="India"/>
    <x v="29"/>
    <x v="233"/>
    <x v="424"/>
    <x v="0"/>
    <n v="25.580341900000001"/>
    <n v="91.894257100000004"/>
    <x v="6"/>
    <n v="28"/>
    <n v="77"/>
    <n v="53"/>
  </r>
  <r>
    <s v="India"/>
    <x v="29"/>
    <x v="233"/>
    <x v="425"/>
    <x v="0"/>
    <n v="25.558599999999998"/>
    <n v="91.898499999999999"/>
    <x v="1"/>
    <n v="43"/>
    <n v="96"/>
    <n v="63"/>
  </r>
  <r>
    <s v="India"/>
    <x v="29"/>
    <x v="233"/>
    <x v="425"/>
    <x v="0"/>
    <n v="25.558599999999998"/>
    <n v="91.898499999999999"/>
    <x v="2"/>
    <m/>
    <m/>
    <m/>
  </r>
  <r>
    <s v="India"/>
    <x v="17"/>
    <x v="118"/>
    <x v="221"/>
    <x v="0"/>
    <n v="23.717634199999999"/>
    <n v="92.719284099999996"/>
    <x v="5"/>
    <n v="12"/>
    <n v="38"/>
    <n v="25"/>
  </r>
  <r>
    <s v="India"/>
    <x v="17"/>
    <x v="118"/>
    <x v="221"/>
    <x v="0"/>
    <n v="23.717634199999999"/>
    <n v="92.719284099999996"/>
    <x v="1"/>
    <n v="68"/>
    <n v="117"/>
    <n v="97"/>
  </r>
  <r>
    <s v="India"/>
    <x v="28"/>
    <x v="231"/>
    <x v="422"/>
    <x v="0"/>
    <n v="25.663541299999999"/>
    <n v="94.098987800000003"/>
    <x v="5"/>
    <n v="58"/>
    <n v="309"/>
    <n v="139"/>
  </r>
  <r>
    <s v="India"/>
    <x v="15"/>
    <x v="105"/>
    <x v="205"/>
    <x v="0"/>
    <n v="22.265816000000001"/>
    <n v="86.174829000000003"/>
    <x v="5"/>
    <m/>
    <m/>
    <m/>
  </r>
  <r>
    <s v="India"/>
    <x v="15"/>
    <x v="106"/>
    <x v="206"/>
    <x v="0"/>
    <n v="22.18972222"/>
    <n v="84.862777780000002"/>
    <x v="1"/>
    <m/>
    <m/>
    <m/>
  </r>
  <r>
    <s v="India"/>
    <x v="15"/>
    <x v="106"/>
    <x v="228"/>
    <x v="0"/>
    <n v="22.220832999999999"/>
    <n v="84.809443999999999"/>
    <x v="5"/>
    <n v="2"/>
    <n v="310"/>
    <n v="48"/>
  </r>
  <r>
    <s v="India"/>
    <x v="15"/>
    <x v="106"/>
    <x v="228"/>
    <x v="0"/>
    <n v="22.220832999999999"/>
    <n v="84.809443999999999"/>
    <x v="3"/>
    <n v="2"/>
    <n v="3"/>
    <n v="2"/>
  </r>
  <r>
    <s v="India"/>
    <x v="15"/>
    <x v="106"/>
    <x v="228"/>
    <x v="0"/>
    <n v="22.220832999999999"/>
    <n v="84.809443999999999"/>
    <x v="4"/>
    <n v="3"/>
    <n v="10"/>
    <n v="6"/>
  </r>
  <r>
    <s v="India"/>
    <x v="15"/>
    <x v="106"/>
    <x v="228"/>
    <x v="0"/>
    <n v="22.220832999999999"/>
    <n v="84.809443999999999"/>
    <x v="0"/>
    <n v="3"/>
    <n v="147"/>
    <n v="78"/>
  </r>
  <r>
    <s v="India"/>
    <x v="15"/>
    <x v="126"/>
    <x v="230"/>
    <x v="0"/>
    <n v="20.936071099999999"/>
    <n v="85.1707021"/>
    <x v="5"/>
    <n v="7"/>
    <n v="335"/>
    <n v="134"/>
  </r>
  <r>
    <s v="India"/>
    <x v="15"/>
    <x v="126"/>
    <x v="230"/>
    <x v="0"/>
    <n v="20.936071099999999"/>
    <n v="85.1707021"/>
    <x v="2"/>
    <n v="26"/>
    <n v="39"/>
    <n v="32"/>
  </r>
  <r>
    <s v="India"/>
    <x v="15"/>
    <x v="126"/>
    <x v="230"/>
    <x v="0"/>
    <n v="20.936071099999999"/>
    <n v="85.1707021"/>
    <x v="3"/>
    <n v="3"/>
    <n v="4"/>
    <n v="4"/>
  </r>
  <r>
    <s v="India"/>
    <x v="20"/>
    <x v="127"/>
    <x v="231"/>
    <x v="0"/>
    <n v="11.930899999999999"/>
    <n v="79.802700000000002"/>
    <x v="2"/>
    <n v="3"/>
    <n v="22"/>
    <n v="10"/>
  </r>
  <r>
    <s v="India"/>
    <x v="18"/>
    <x v="128"/>
    <x v="232"/>
    <x v="0"/>
    <n v="31.62"/>
    <n v="74.876512000000005"/>
    <x v="5"/>
    <n v="39"/>
    <n v="88"/>
    <n v="60"/>
  </r>
  <r>
    <s v="India"/>
    <x v="18"/>
    <x v="128"/>
    <x v="232"/>
    <x v="0"/>
    <n v="31.62"/>
    <n v="74.876512000000005"/>
    <x v="1"/>
    <n v="34"/>
    <n v="92"/>
    <n v="66"/>
  </r>
  <r>
    <s v="India"/>
    <x v="18"/>
    <x v="128"/>
    <x v="232"/>
    <x v="0"/>
    <n v="31.62"/>
    <n v="74.876512000000005"/>
    <x v="4"/>
    <n v="7"/>
    <n v="122"/>
    <n v="48"/>
  </r>
  <r>
    <s v="India"/>
    <x v="18"/>
    <x v="229"/>
    <x v="420"/>
    <x v="0"/>
    <n v="30.233011000000001"/>
    <n v="74.907758000000001"/>
    <x v="5"/>
    <n v="22"/>
    <n v="87"/>
    <n v="44"/>
  </r>
  <r>
    <s v="India"/>
    <x v="18"/>
    <x v="230"/>
    <x v="421"/>
    <x v="0"/>
    <n v="31.321906999999999"/>
    <n v="75.578913999999997"/>
    <x v="3"/>
    <n v="2"/>
    <n v="2"/>
    <n v="2"/>
  </r>
  <r>
    <s v="India"/>
    <x v="28"/>
    <x v="231"/>
    <x v="422"/>
    <x v="0"/>
    <n v="25.663541299999999"/>
    <n v="94.098987800000003"/>
    <x v="2"/>
    <n v="2"/>
    <n v="6"/>
    <n v="3"/>
  </r>
  <r>
    <s v="India"/>
    <x v="28"/>
    <x v="231"/>
    <x v="422"/>
    <x v="0"/>
    <n v="25.663541299999999"/>
    <n v="94.098987800000003"/>
    <x v="3"/>
    <n v="1"/>
    <n v="1"/>
    <n v="1"/>
  </r>
  <r>
    <s v="India"/>
    <x v="15"/>
    <x v="107"/>
    <x v="207"/>
    <x v="0"/>
    <n v="21.511610000000001"/>
    <n v="86.890879999999996"/>
    <x v="6"/>
    <n v="36"/>
    <n v="51"/>
    <n v="41"/>
  </r>
  <r>
    <s v="India"/>
    <x v="15"/>
    <x v="107"/>
    <x v="207"/>
    <x v="0"/>
    <n v="21.511610000000001"/>
    <n v="86.890879999999996"/>
    <x v="0"/>
    <n v="13"/>
    <n v="168"/>
    <n v="37"/>
  </r>
  <r>
    <s v="India"/>
    <x v="15"/>
    <x v="108"/>
    <x v="208"/>
    <x v="0"/>
    <n v="22.116605400000001"/>
    <n v="85.394554600000006"/>
    <x v="6"/>
    <n v="26"/>
    <n v="115"/>
    <n v="33"/>
  </r>
  <r>
    <s v="India"/>
    <x v="14"/>
    <x v="95"/>
    <x v="219"/>
    <x v="0"/>
    <n v="18.547056000000001"/>
    <n v="73.826908000000003"/>
    <x v="6"/>
    <n v="14"/>
    <n v="106"/>
    <n v="26"/>
  </r>
  <r>
    <s v="India"/>
    <x v="14"/>
    <x v="95"/>
    <x v="219"/>
    <x v="0"/>
    <n v="18.547056000000001"/>
    <n v="73.826908000000003"/>
    <x v="0"/>
    <n v="3"/>
    <n v="198"/>
    <n v="138"/>
  </r>
  <r>
    <s v="India"/>
    <x v="14"/>
    <x v="250"/>
    <x v="472"/>
    <x v="0"/>
    <n v="16.503799999999998"/>
    <n v="74.362300000000005"/>
    <x v="5"/>
    <n v="60"/>
    <n v="309"/>
    <n v="134"/>
  </r>
  <r>
    <s v="India"/>
    <x v="14"/>
    <x v="116"/>
    <x v="220"/>
    <x v="0"/>
    <n v="17.633626400000001"/>
    <n v="75.913249500000006"/>
    <x v="3"/>
    <n v="8"/>
    <n v="30"/>
    <n v="14"/>
  </r>
  <r>
    <s v="India"/>
    <x v="15"/>
    <x v="110"/>
    <x v="211"/>
    <x v="0"/>
    <n v="20.346520000000002"/>
    <n v="85.816299999999998"/>
    <x v="1"/>
    <n v="25"/>
    <n v="189"/>
    <n v="72"/>
  </r>
  <r>
    <s v="India"/>
    <x v="15"/>
    <x v="110"/>
    <x v="211"/>
    <x v="0"/>
    <n v="20.346520000000002"/>
    <n v="85.816299999999998"/>
    <x v="0"/>
    <n v="18"/>
    <n v="123"/>
    <n v="70"/>
  </r>
  <r>
    <s v="India"/>
    <x v="15"/>
    <x v="111"/>
    <x v="212"/>
    <x v="0"/>
    <n v="22.061567029999999"/>
    <n v="85.474096130000007"/>
    <x v="3"/>
    <n v="4"/>
    <n v="4"/>
    <n v="4"/>
  </r>
  <r>
    <s v="India"/>
    <x v="15"/>
    <x v="112"/>
    <x v="213"/>
    <x v="0"/>
    <n v="21.800499599999998"/>
    <n v="83.839697700000002"/>
    <x v="1"/>
    <n v="74"/>
    <n v="133"/>
    <n v="100"/>
  </r>
  <r>
    <s v="India"/>
    <x v="14"/>
    <x v="114"/>
    <x v="215"/>
    <x v="0"/>
    <n v="19.235581"/>
    <n v="73.159120999999999"/>
    <x v="5"/>
    <n v="59"/>
    <n v="217"/>
    <n v="107"/>
  </r>
  <r>
    <s v="India"/>
    <x v="14"/>
    <x v="114"/>
    <x v="215"/>
    <x v="0"/>
    <n v="19.235581"/>
    <n v="73.159120999999999"/>
    <x v="6"/>
    <n v="5"/>
    <n v="114"/>
    <n v="19"/>
  </r>
  <r>
    <s v="India"/>
    <x v="14"/>
    <x v="227"/>
    <x v="418"/>
    <x v="0"/>
    <n v="19.445820999999999"/>
    <n v="72.798823100000007"/>
    <x v="0"/>
    <n v="2"/>
    <n v="61"/>
    <n v="40"/>
  </r>
  <r>
    <s v="India"/>
    <x v="15"/>
    <x v="113"/>
    <x v="214"/>
    <x v="0"/>
    <n v="20.941849999999999"/>
    <n v="86.115099999999998"/>
    <x v="5"/>
    <n v="17"/>
    <n v="97"/>
    <n v="65"/>
  </r>
  <r>
    <s v="India"/>
    <x v="15"/>
    <x v="103"/>
    <x v="203"/>
    <x v="0"/>
    <n v="21.643899999999999"/>
    <n v="85.599355000000003"/>
    <x v="3"/>
    <n v="5"/>
    <n v="7"/>
    <n v="6"/>
  </r>
  <r>
    <s v="India"/>
    <x v="14"/>
    <x v="116"/>
    <x v="413"/>
    <x v="0"/>
    <n v="17.654389999999999"/>
    <n v="75.906490000000005"/>
    <x v="3"/>
    <n v="3"/>
    <n v="8"/>
    <n v="5"/>
  </r>
  <r>
    <s v="India"/>
    <x v="14"/>
    <x v="116"/>
    <x v="217"/>
    <x v="0"/>
    <n v="17.6599188"/>
    <n v="75.906390599999995"/>
    <x v="4"/>
    <n v="4"/>
    <n v="43"/>
    <n v="22"/>
  </r>
  <r>
    <s v="India"/>
    <x v="19"/>
    <x v="124"/>
    <x v="227"/>
    <x v="0"/>
    <n v="27.554793"/>
    <n v="76.611536000000001"/>
    <x v="6"/>
    <n v="52"/>
    <n v="118"/>
    <n v="78"/>
  </r>
  <r>
    <s v="India"/>
    <x v="19"/>
    <x v="134"/>
    <x v="238"/>
    <x v="0"/>
    <n v="23.55519"/>
    <n v="74.440010000000001"/>
    <x v="1"/>
    <n v="68"/>
    <n v="212"/>
    <n v="110"/>
  </r>
  <r>
    <s v="India"/>
    <x v="19"/>
    <x v="134"/>
    <x v="238"/>
    <x v="0"/>
    <n v="23.55519"/>
    <n v="74.440010000000001"/>
    <x v="2"/>
    <n v="13"/>
    <n v="43"/>
    <n v="24"/>
  </r>
  <r>
    <s v="India"/>
    <x v="19"/>
    <x v="134"/>
    <x v="238"/>
    <x v="0"/>
    <n v="23.55519"/>
    <n v="74.440010000000001"/>
    <x v="4"/>
    <n v="2"/>
    <n v="15"/>
    <n v="9"/>
  </r>
  <r>
    <s v="India"/>
    <x v="19"/>
    <x v="135"/>
    <x v="239"/>
    <x v="0"/>
    <n v="25.106006000000001"/>
    <n v="76.469948000000002"/>
    <x v="5"/>
    <n v="4"/>
    <n v="84"/>
    <n v="40"/>
  </r>
  <r>
    <s v="India"/>
    <x v="19"/>
    <x v="135"/>
    <x v="239"/>
    <x v="0"/>
    <n v="25.106006000000001"/>
    <n v="76.469948000000002"/>
    <x v="1"/>
    <n v="73"/>
    <n v="189"/>
    <n v="116"/>
  </r>
  <r>
    <s v="India"/>
    <x v="19"/>
    <x v="135"/>
    <x v="239"/>
    <x v="0"/>
    <n v="25.106006000000001"/>
    <n v="76.469948000000002"/>
    <x v="3"/>
    <n v="3"/>
    <n v="5"/>
    <n v="4"/>
  </r>
  <r>
    <s v="India"/>
    <x v="19"/>
    <x v="135"/>
    <x v="239"/>
    <x v="0"/>
    <n v="25.106006000000001"/>
    <n v="76.469948000000002"/>
    <x v="4"/>
    <n v="3"/>
    <n v="18"/>
    <n v="9"/>
  </r>
  <r>
    <s v="India"/>
    <x v="19"/>
    <x v="135"/>
    <x v="239"/>
    <x v="0"/>
    <n v="25.106006000000001"/>
    <n v="76.469948000000002"/>
    <x v="0"/>
    <n v="3"/>
    <n v="137"/>
    <n v="77"/>
  </r>
  <r>
    <s v="India"/>
    <x v="19"/>
    <x v="136"/>
    <x v="240"/>
    <x v="0"/>
    <n v="25.747299000000002"/>
    <n v="71.393989000000005"/>
    <x v="2"/>
    <n v="3"/>
    <n v="50"/>
    <n v="15"/>
  </r>
  <r>
    <s v="India"/>
    <x v="19"/>
    <x v="132"/>
    <x v="236"/>
    <x v="0"/>
    <n v="27.215415"/>
    <n v="77.50873"/>
    <x v="1"/>
    <m/>
    <m/>
    <m/>
  </r>
  <r>
    <s v="India"/>
    <x v="18"/>
    <x v="120"/>
    <x v="223"/>
    <x v="0"/>
    <n v="30.649961000000001"/>
    <n v="76.331441999999996"/>
    <x v="1"/>
    <n v="59"/>
    <n v="223"/>
    <n v="117"/>
  </r>
  <r>
    <s v="India"/>
    <x v="18"/>
    <x v="121"/>
    <x v="224"/>
    <x v="0"/>
    <n v="30.349388000000001"/>
    <n v="76.366641999999999"/>
    <x v="5"/>
    <n v="34"/>
    <n v="90"/>
    <n v="71"/>
  </r>
  <r>
    <s v="India"/>
    <x v="18"/>
    <x v="122"/>
    <x v="225"/>
    <x v="0"/>
    <n v="31.0325454"/>
    <n v="76.562304600000004"/>
    <x v="2"/>
    <n v="14"/>
    <n v="22"/>
    <n v="17"/>
  </r>
  <r>
    <s v="India"/>
    <x v="19"/>
    <x v="133"/>
    <x v="237"/>
    <x v="0"/>
    <n v="25.339604999999999"/>
    <n v="74.618882999999997"/>
    <x v="6"/>
    <n v="8"/>
    <n v="102"/>
    <n v="33"/>
  </r>
  <r>
    <s v="India"/>
    <x v="19"/>
    <x v="130"/>
    <x v="427"/>
    <x v="0"/>
    <n v="28.194908999999999"/>
    <n v="76.862296000000001"/>
    <x v="3"/>
    <m/>
    <m/>
    <m/>
  </r>
  <r>
    <s v="India"/>
    <x v="19"/>
    <x v="130"/>
    <x v="427"/>
    <x v="0"/>
    <n v="28.194908999999999"/>
    <n v="76.862296000000001"/>
    <x v="6"/>
    <n v="29"/>
    <n v="157"/>
    <n v="54"/>
  </r>
  <r>
    <s v="India"/>
    <x v="18"/>
    <x v="129"/>
    <x v="233"/>
    <x v="0"/>
    <n v="30.736056000000001"/>
    <n v="76.209693999999999"/>
    <x v="5"/>
    <n v="58"/>
    <n v="134"/>
    <n v="86"/>
  </r>
  <r>
    <s v="India"/>
    <x v="18"/>
    <x v="119"/>
    <x v="222"/>
    <x v="0"/>
    <n v="30.902799999999999"/>
    <n v="75.808599999999998"/>
    <x v="4"/>
    <n v="3"/>
    <n v="48"/>
    <n v="21"/>
  </r>
  <r>
    <s v="India"/>
    <x v="19"/>
    <x v="132"/>
    <x v="236"/>
    <x v="0"/>
    <n v="27.215415"/>
    <n v="77.50873"/>
    <x v="6"/>
    <n v="14"/>
    <n v="74"/>
    <n v="34"/>
  </r>
  <r>
    <s v="India"/>
    <x v="19"/>
    <x v="133"/>
    <x v="237"/>
    <x v="0"/>
    <n v="25.339604999999999"/>
    <n v="74.618882999999997"/>
    <x v="5"/>
    <n v="24"/>
    <n v="228"/>
    <n v="65"/>
  </r>
  <r>
    <s v="India"/>
    <x v="19"/>
    <x v="138"/>
    <x v="242"/>
    <x v="0"/>
    <n v="25.435773999999999"/>
    <n v="75.644272000000001"/>
    <x v="5"/>
    <n v="31"/>
    <n v="148"/>
    <n v="59"/>
  </r>
  <r>
    <s v="India"/>
    <x v="19"/>
    <x v="138"/>
    <x v="242"/>
    <x v="0"/>
    <n v="25.435773999999999"/>
    <n v="75.644272000000001"/>
    <x v="2"/>
    <n v="8"/>
    <n v="112"/>
    <n v="30"/>
  </r>
  <r>
    <s v="India"/>
    <x v="19"/>
    <x v="137"/>
    <x v="241"/>
    <x v="0"/>
    <n v="24.892047000000002"/>
    <n v="74.623526999999996"/>
    <x v="1"/>
    <n v="42"/>
    <n v="287"/>
    <n v="133"/>
  </r>
  <r>
    <s v="India"/>
    <x v="19"/>
    <x v="152"/>
    <x v="261"/>
    <x v="0"/>
    <n v="26.895551999999999"/>
    <n v="76.334753000000006"/>
    <x v="6"/>
    <n v="28"/>
    <n v="84"/>
    <n v="37"/>
  </r>
  <r>
    <s v="India"/>
    <x v="19"/>
    <x v="141"/>
    <x v="248"/>
    <x v="0"/>
    <n v="25.344694"/>
    <n v="72.626208000000005"/>
    <x v="0"/>
    <n v="46"/>
    <n v="109"/>
    <n v="81"/>
  </r>
  <r>
    <s v="India"/>
    <x v="19"/>
    <x v="142"/>
    <x v="249"/>
    <x v="0"/>
    <n v="24.588397000000001"/>
    <n v="76.172781999999998"/>
    <x v="4"/>
    <n v="5"/>
    <n v="17"/>
    <n v="9"/>
  </r>
  <r>
    <s v="India"/>
    <x v="19"/>
    <x v="142"/>
    <x v="249"/>
    <x v="0"/>
    <n v="24.588397000000001"/>
    <n v="76.172781999999998"/>
    <x v="0"/>
    <n v="7"/>
    <n v="71"/>
    <n v="38"/>
  </r>
  <r>
    <s v="India"/>
    <x v="19"/>
    <x v="143"/>
    <x v="250"/>
    <x v="0"/>
    <n v="28.108988"/>
    <n v="75.386577000000003"/>
    <x v="1"/>
    <n v="65"/>
    <n v="199"/>
    <n v="116"/>
  </r>
  <r>
    <s v="India"/>
    <x v="19"/>
    <x v="144"/>
    <x v="251"/>
    <x v="0"/>
    <n v="26.268249000000001"/>
    <n v="73.019385299999996"/>
    <x v="1"/>
    <n v="20"/>
    <n v="413"/>
    <n v="138"/>
  </r>
  <r>
    <s v="India"/>
    <x v="19"/>
    <x v="144"/>
    <x v="251"/>
    <x v="0"/>
    <n v="26.268249000000001"/>
    <n v="73.019385299999996"/>
    <x v="0"/>
    <n v="3"/>
    <n v="80"/>
    <n v="45"/>
  </r>
  <r>
    <s v="India"/>
    <x v="19"/>
    <x v="144"/>
    <x v="434"/>
    <x v="0"/>
    <n v="26.295809999999999"/>
    <n v="73.082283000000004"/>
    <x v="5"/>
    <n v="24"/>
    <n v="181"/>
    <n v="92"/>
  </r>
  <r>
    <s v="India"/>
    <x v="19"/>
    <x v="144"/>
    <x v="434"/>
    <x v="0"/>
    <n v="26.295809999999999"/>
    <n v="73.082283000000004"/>
    <x v="1"/>
    <n v="47"/>
    <n v="335"/>
    <n v="130"/>
  </r>
  <r>
    <s v="India"/>
    <x v="19"/>
    <x v="144"/>
    <x v="434"/>
    <x v="0"/>
    <n v="26.295809999999999"/>
    <n v="73.082283000000004"/>
    <x v="3"/>
    <n v="2"/>
    <n v="5"/>
    <n v="4"/>
  </r>
  <r>
    <s v="India"/>
    <x v="19"/>
    <x v="144"/>
    <x v="252"/>
    <x v="0"/>
    <n v="26.215415"/>
    <n v="73.070155999999997"/>
    <x v="5"/>
    <n v="21"/>
    <n v="438"/>
    <n v="98"/>
  </r>
  <r>
    <s v="India"/>
    <x v="19"/>
    <x v="150"/>
    <x v="259"/>
    <x v="0"/>
    <n v="23.837789000000001"/>
    <n v="73.714926000000006"/>
    <x v="0"/>
    <n v="14"/>
    <n v="99"/>
    <n v="83"/>
  </r>
  <r>
    <s v="India"/>
    <x v="19"/>
    <x v="139"/>
    <x v="473"/>
    <x v="0"/>
    <n v="26.902909000000001"/>
    <n v="75.836858000000007"/>
    <x v="6"/>
    <n v="24"/>
    <n v="80"/>
    <n v="45"/>
  </r>
  <r>
    <s v="India"/>
    <x v="19"/>
    <x v="139"/>
    <x v="426"/>
    <x v="0"/>
    <n v="26.843698"/>
    <n v="75.766893999999994"/>
    <x v="1"/>
    <n v="68"/>
    <n v="255"/>
    <n v="122"/>
  </r>
  <r>
    <s v="India"/>
    <x v="19"/>
    <x v="139"/>
    <x v="426"/>
    <x v="0"/>
    <n v="26.843698"/>
    <n v="75.766893999999994"/>
    <x v="3"/>
    <n v="1"/>
    <n v="6"/>
    <n v="4"/>
  </r>
  <r>
    <s v="India"/>
    <x v="19"/>
    <x v="139"/>
    <x v="243"/>
    <x v="0"/>
    <n v="26.9164092"/>
    <n v="75.7994901"/>
    <x v="2"/>
    <n v="8"/>
    <n v="62"/>
    <n v="25"/>
  </r>
  <r>
    <s v="India"/>
    <x v="19"/>
    <x v="139"/>
    <x v="243"/>
    <x v="0"/>
    <n v="26.9164092"/>
    <n v="75.7994901"/>
    <x v="0"/>
    <n v="10"/>
    <n v="77"/>
    <n v="39"/>
  </r>
  <r>
    <s v="India"/>
    <x v="19"/>
    <x v="144"/>
    <x v="252"/>
    <x v="0"/>
    <n v="26.215415"/>
    <n v="73.070155999999997"/>
    <x v="2"/>
    <n v="7"/>
    <n v="77"/>
    <n v="38"/>
  </r>
  <r>
    <s v="India"/>
    <x v="19"/>
    <x v="144"/>
    <x v="253"/>
    <x v="0"/>
    <n v="26.358805"/>
    <n v="73.047443999999999"/>
    <x v="5"/>
    <n v="15"/>
    <n v="197"/>
    <n v="62"/>
  </r>
  <r>
    <s v="India"/>
    <x v="19"/>
    <x v="144"/>
    <x v="253"/>
    <x v="0"/>
    <n v="26.358805"/>
    <n v="73.047443999999999"/>
    <x v="1"/>
    <n v="71"/>
    <n v="260"/>
    <n v="117"/>
  </r>
  <r>
    <s v="India"/>
    <x v="19"/>
    <x v="144"/>
    <x v="253"/>
    <x v="0"/>
    <n v="26.358805"/>
    <n v="73.047443999999999"/>
    <x v="4"/>
    <n v="5"/>
    <n v="37"/>
    <n v="15"/>
  </r>
  <r>
    <s v="India"/>
    <x v="19"/>
    <x v="155"/>
    <x v="431"/>
    <x v="0"/>
    <n v="25.164090000000002"/>
    <n v="75.858136999999999"/>
    <x v="2"/>
    <n v="34"/>
    <n v="129"/>
    <n v="72"/>
  </r>
  <r>
    <s v="India"/>
    <x v="19"/>
    <x v="155"/>
    <x v="428"/>
    <x v="0"/>
    <n v="25.143889999999999"/>
    <n v="75.821256000000005"/>
    <x v="1"/>
    <n v="71"/>
    <n v="142"/>
    <n v="105"/>
  </r>
  <r>
    <s v="India"/>
    <x v="19"/>
    <x v="234"/>
    <x v="429"/>
    <x v="0"/>
    <n v="27.213494000000001"/>
    <n v="73.734443999999996"/>
    <x v="5"/>
    <n v="17"/>
    <n v="305"/>
    <n v="89"/>
  </r>
  <r>
    <s v="India"/>
    <x v="19"/>
    <x v="234"/>
    <x v="429"/>
    <x v="0"/>
    <n v="27.213494000000001"/>
    <n v="73.734443999999996"/>
    <x v="2"/>
    <n v="7"/>
    <n v="103"/>
    <n v="30"/>
  </r>
  <r>
    <s v="India"/>
    <x v="19"/>
    <x v="146"/>
    <x v="255"/>
    <x v="0"/>
    <n v="24.041198000000001"/>
    <n v="74.780702000000005"/>
    <x v="5"/>
    <n v="33"/>
    <n v="83"/>
    <n v="55"/>
  </r>
  <r>
    <s v="India"/>
    <x v="19"/>
    <x v="148"/>
    <x v="257"/>
    <x v="0"/>
    <n v="26.031442999999999"/>
    <n v="76.359326999999993"/>
    <x v="0"/>
    <n v="7"/>
    <n v="167"/>
    <n v="93"/>
  </r>
  <r>
    <s v="India"/>
    <x v="19"/>
    <x v="149"/>
    <x v="258"/>
    <x v="0"/>
    <n v="27.608912"/>
    <n v="75.153301999999996"/>
    <x v="5"/>
    <n v="29"/>
    <n v="264"/>
    <n v="91"/>
  </r>
  <r>
    <s v="India"/>
    <x v="19"/>
    <x v="149"/>
    <x v="258"/>
    <x v="0"/>
    <n v="27.608912"/>
    <n v="75.153301999999996"/>
    <x v="0"/>
    <n v="4"/>
    <n v="82"/>
    <n v="56"/>
  </r>
  <r>
    <s v="India"/>
    <x v="19"/>
    <x v="235"/>
    <x v="432"/>
    <x v="0"/>
    <n v="24.885261"/>
    <n v="72.857549000000006"/>
    <x v="6"/>
    <n v="1"/>
    <n v="54"/>
    <n v="15"/>
  </r>
  <r>
    <s v="India"/>
    <x v="19"/>
    <x v="139"/>
    <x v="245"/>
    <x v="0"/>
    <n v="26.960668999999999"/>
    <n v="75.771816999999999"/>
    <x v="1"/>
    <n v="46"/>
    <n v="200"/>
    <n v="113"/>
  </r>
  <r>
    <s v="India"/>
    <x v="19"/>
    <x v="139"/>
    <x v="246"/>
    <x v="0"/>
    <n v="26.950292900000001"/>
    <n v="75.730942999999996"/>
    <x v="5"/>
    <n v="54"/>
    <n v="159"/>
    <n v="98"/>
  </r>
  <r>
    <s v="India"/>
    <x v="19"/>
    <x v="141"/>
    <x v="248"/>
    <x v="0"/>
    <n v="25.344694"/>
    <n v="72.626208000000005"/>
    <x v="2"/>
    <n v="40"/>
    <n v="86"/>
    <n v="55"/>
  </r>
  <r>
    <s v="India"/>
    <x v="19"/>
    <x v="167"/>
    <x v="279"/>
    <x v="0"/>
    <n v="26.159932999999999"/>
    <n v="75.780517000000003"/>
    <x v="6"/>
    <n v="3"/>
    <n v="125"/>
    <n v="45"/>
  </r>
  <r>
    <s v="India"/>
    <x v="19"/>
    <x v="236"/>
    <x v="433"/>
    <x v="0"/>
    <n v="24.588616600000002"/>
    <n v="73.632139699999996"/>
    <x v="1"/>
    <n v="67"/>
    <n v="118"/>
    <n v="95"/>
  </r>
  <r>
    <s v="India"/>
    <x v="19"/>
    <x v="236"/>
    <x v="433"/>
    <x v="0"/>
    <n v="24.588616600000002"/>
    <n v="73.632139699999996"/>
    <x v="4"/>
    <n v="1"/>
    <n v="20"/>
    <n v="8"/>
  </r>
  <r>
    <s v="India"/>
    <x v="19"/>
    <x v="147"/>
    <x v="256"/>
    <x v="0"/>
    <n v="25.036359999999998"/>
    <n v="73.883501999999993"/>
    <x v="5"/>
    <n v="7"/>
    <n v="140"/>
    <n v="35"/>
  </r>
  <r>
    <s v="India"/>
    <x v="19"/>
    <x v="147"/>
    <x v="256"/>
    <x v="0"/>
    <n v="25.036359999999998"/>
    <n v="73.883501999999993"/>
    <x v="3"/>
    <n v="8"/>
    <n v="21"/>
    <n v="13"/>
  </r>
  <r>
    <s v="India"/>
    <x v="19"/>
    <x v="147"/>
    <x v="256"/>
    <x v="0"/>
    <n v="25.036359999999998"/>
    <n v="73.883501999999993"/>
    <x v="4"/>
    <n v="2"/>
    <n v="15"/>
    <n v="6"/>
  </r>
  <r>
    <s v="India"/>
    <x v="22"/>
    <x v="162"/>
    <x v="274"/>
    <x v="0"/>
    <n v="27.338529999999999"/>
    <n v="88.614098999999996"/>
    <x v="2"/>
    <n v="1"/>
    <n v="10"/>
    <n v="4"/>
  </r>
  <r>
    <s v="India"/>
    <x v="22"/>
    <x v="162"/>
    <x v="274"/>
    <x v="0"/>
    <n v="27.338529999999999"/>
    <n v="88.614098999999996"/>
    <x v="0"/>
    <n v="20"/>
    <n v="98"/>
    <n v="33"/>
  </r>
  <r>
    <s v="India"/>
    <x v="21"/>
    <x v="175"/>
    <x v="296"/>
    <x v="0"/>
    <n v="8.8164280000000002"/>
    <n v="78.099039000000005"/>
    <x v="6"/>
    <n v="6"/>
    <n v="40"/>
    <n v="19"/>
  </r>
  <r>
    <s v="India"/>
    <x v="21"/>
    <x v="169"/>
    <x v="285"/>
    <x v="0"/>
    <n v="10.830158000000001"/>
    <n v="78.691849000000005"/>
    <x v="5"/>
    <n v="9"/>
    <n v="28"/>
    <n v="20"/>
  </r>
  <r>
    <s v="India"/>
    <x v="21"/>
    <x v="170"/>
    <x v="286"/>
    <x v="0"/>
    <n v="8.7284419999999994"/>
    <n v="77.696200000000005"/>
    <x v="1"/>
    <n v="20"/>
    <n v="37"/>
    <n v="28"/>
  </r>
  <r>
    <s v="India"/>
    <x v="21"/>
    <x v="170"/>
    <x v="286"/>
    <x v="0"/>
    <n v="8.7284419999999994"/>
    <n v="77.696200000000005"/>
    <x v="4"/>
    <n v="18"/>
    <n v="30"/>
    <n v="20"/>
  </r>
  <r>
    <s v="India"/>
    <x v="21"/>
    <x v="170"/>
    <x v="286"/>
    <x v="0"/>
    <n v="8.7284419999999994"/>
    <n v="77.696200000000005"/>
    <x v="0"/>
    <n v="6"/>
    <n v="7"/>
    <n v="6"/>
  </r>
  <r>
    <s v="India"/>
    <x v="21"/>
    <x v="171"/>
    <x v="287"/>
    <x v="0"/>
    <n v="11.0973603"/>
    <n v="77.322867299999999"/>
    <x v="1"/>
    <n v="14"/>
    <n v="69"/>
    <n v="34"/>
  </r>
  <r>
    <s v="India"/>
    <x v="21"/>
    <x v="171"/>
    <x v="287"/>
    <x v="0"/>
    <n v="11.0973603"/>
    <n v="77.322867299999999"/>
    <x v="4"/>
    <m/>
    <m/>
    <m/>
  </r>
  <r>
    <s v="India"/>
    <x v="21"/>
    <x v="171"/>
    <x v="287"/>
    <x v="0"/>
    <n v="11.0973603"/>
    <n v="77.322867299999999"/>
    <x v="0"/>
    <m/>
    <m/>
    <m/>
  </r>
  <r>
    <s v="India"/>
    <x v="21"/>
    <x v="172"/>
    <x v="288"/>
    <x v="0"/>
    <n v="9.5593819999999994"/>
    <n v="77.948828000000006"/>
    <x v="2"/>
    <n v="19"/>
    <n v="19"/>
    <n v="19"/>
  </r>
  <r>
    <s v="India"/>
    <x v="21"/>
    <x v="177"/>
    <x v="300"/>
    <x v="0"/>
    <n v="9.3639899999999994"/>
    <n v="78.831976999999995"/>
    <x v="6"/>
    <n v="21"/>
    <n v="24"/>
    <n v="23"/>
  </r>
  <r>
    <s v="India"/>
    <x v="21"/>
    <x v="174"/>
    <x v="295"/>
    <x v="0"/>
    <n v="12.952707"/>
    <n v="79.303939999999997"/>
    <x v="0"/>
    <n v="1"/>
    <n v="1"/>
    <n v="1"/>
  </r>
  <r>
    <s v="India"/>
    <x v="21"/>
    <x v="240"/>
    <x v="438"/>
    <x v="0"/>
    <n v="11.679111000000001"/>
    <n v="78.125051999999997"/>
    <x v="1"/>
    <n v="25"/>
    <n v="52"/>
    <n v="39"/>
  </r>
  <r>
    <s v="India"/>
    <x v="21"/>
    <x v="240"/>
    <x v="438"/>
    <x v="0"/>
    <n v="11.679111000000001"/>
    <n v="78.125051999999997"/>
    <x v="3"/>
    <n v="3"/>
    <n v="3"/>
    <n v="3"/>
  </r>
  <r>
    <s v="India"/>
    <x v="21"/>
    <x v="241"/>
    <x v="439"/>
    <x v="0"/>
    <n v="10.7654824"/>
    <n v="79.138996800000001"/>
    <x v="5"/>
    <n v="18"/>
    <n v="70"/>
    <n v="36"/>
  </r>
  <r>
    <s v="India"/>
    <x v="21"/>
    <x v="241"/>
    <x v="439"/>
    <x v="0"/>
    <n v="10.7654824"/>
    <n v="79.138996800000001"/>
    <x v="2"/>
    <n v="4"/>
    <n v="5"/>
    <n v="4"/>
  </r>
  <r>
    <s v="India"/>
    <x v="21"/>
    <x v="241"/>
    <x v="439"/>
    <x v="0"/>
    <n v="10.7654824"/>
    <n v="79.138996800000001"/>
    <x v="4"/>
    <n v="16"/>
    <n v="17"/>
    <n v="16"/>
  </r>
  <r>
    <s v="India"/>
    <x v="21"/>
    <x v="175"/>
    <x v="296"/>
    <x v="0"/>
    <n v="8.8164280000000002"/>
    <n v="78.099039000000005"/>
    <x v="2"/>
    <n v="4"/>
    <n v="6"/>
    <n v="5"/>
  </r>
  <r>
    <s v="India"/>
    <x v="21"/>
    <x v="168"/>
    <x v="443"/>
    <x v="0"/>
    <n v="11.763768300000001"/>
    <n v="79.749983499999999"/>
    <x v="0"/>
    <n v="1"/>
    <n v="2"/>
    <n v="1"/>
  </r>
  <r>
    <s v="India"/>
    <x v="21"/>
    <x v="164"/>
    <x v="276"/>
    <x v="0"/>
    <n v="10.358535"/>
    <n v="77.984320999999994"/>
    <x v="1"/>
    <n v="46"/>
    <n v="95"/>
    <n v="63"/>
  </r>
  <r>
    <s v="India"/>
    <x v="21"/>
    <x v="238"/>
    <x v="436"/>
    <x v="0"/>
    <n v="13.412699999999999"/>
    <n v="80.108099999999993"/>
    <x v="2"/>
    <n v="7"/>
    <n v="32"/>
    <n v="16"/>
  </r>
  <r>
    <s v="India"/>
    <x v="21"/>
    <x v="238"/>
    <x v="436"/>
    <x v="0"/>
    <n v="13.412699999999999"/>
    <n v="80.108099999999993"/>
    <x v="4"/>
    <n v="3"/>
    <n v="62"/>
    <n v="26"/>
  </r>
  <r>
    <s v="India"/>
    <x v="21"/>
    <x v="165"/>
    <x v="277"/>
    <x v="0"/>
    <n v="12.746998"/>
    <n v="77.813811000000001"/>
    <x v="4"/>
    <n v="48"/>
    <n v="51"/>
    <n v="50"/>
  </r>
  <r>
    <s v="India"/>
    <x v="21"/>
    <x v="165"/>
    <x v="277"/>
    <x v="0"/>
    <n v="12.746998"/>
    <n v="77.813811000000001"/>
    <x v="0"/>
    <n v="40"/>
    <n v="78"/>
    <n v="44"/>
  </r>
  <r>
    <s v="India"/>
    <x v="21"/>
    <x v="239"/>
    <x v="437"/>
    <x v="0"/>
    <n v="12.864618"/>
    <n v="79.659968000000006"/>
    <x v="5"/>
    <n v="27"/>
    <n v="80"/>
    <n v="50"/>
  </r>
  <r>
    <s v="India"/>
    <x v="21"/>
    <x v="239"/>
    <x v="437"/>
    <x v="0"/>
    <n v="12.864618"/>
    <n v="79.659968000000006"/>
    <x v="1"/>
    <n v="44"/>
    <n v="120"/>
    <n v="81"/>
  </r>
  <r>
    <s v="India"/>
    <x v="21"/>
    <x v="251"/>
    <x v="474"/>
    <x v="0"/>
    <n v="11.4068288"/>
    <n v="76.713897299999999"/>
    <x v="5"/>
    <n v="37"/>
    <n v="140"/>
    <n v="63"/>
  </r>
  <r>
    <s v="India"/>
    <x v="21"/>
    <x v="251"/>
    <x v="474"/>
    <x v="0"/>
    <n v="11.4068288"/>
    <n v="76.713897299999999"/>
    <x v="6"/>
    <n v="24"/>
    <n v="27"/>
    <n v="26"/>
  </r>
  <r>
    <s v="India"/>
    <x v="21"/>
    <x v="243"/>
    <x v="441"/>
    <x v="0"/>
    <n v="10.681158"/>
    <n v="78.741746000000006"/>
    <x v="5"/>
    <n v="11"/>
    <n v="30"/>
    <n v="20"/>
  </r>
  <r>
    <s v="India"/>
    <x v="21"/>
    <x v="177"/>
    <x v="300"/>
    <x v="0"/>
    <n v="9.3639899999999994"/>
    <n v="78.831976999999995"/>
    <x v="5"/>
    <n v="17"/>
    <n v="41"/>
    <n v="28"/>
  </r>
  <r>
    <s v="India"/>
    <x v="21"/>
    <x v="177"/>
    <x v="300"/>
    <x v="0"/>
    <n v="9.3639899999999994"/>
    <n v="78.831976999999995"/>
    <x v="1"/>
    <n v="11"/>
    <n v="47"/>
    <n v="27"/>
  </r>
  <r>
    <s v="India"/>
    <x v="21"/>
    <x v="237"/>
    <x v="435"/>
    <x v="0"/>
    <n v="12.877731600000001"/>
    <n v="80.083480699999996"/>
    <x v="2"/>
    <m/>
    <m/>
    <m/>
  </r>
  <r>
    <s v="India"/>
    <x v="21"/>
    <x v="237"/>
    <x v="435"/>
    <x v="0"/>
    <n v="12.877731600000001"/>
    <n v="80.083480699999996"/>
    <x v="6"/>
    <n v="20"/>
    <n v="20"/>
    <n v="20"/>
  </r>
  <r>
    <s v="India"/>
    <x v="21"/>
    <x v="157"/>
    <x v="280"/>
    <x v="0"/>
    <n v="12.9099161"/>
    <n v="80.107653799999994"/>
    <x v="6"/>
    <n v="12"/>
    <n v="30"/>
    <n v="26"/>
  </r>
  <r>
    <s v="India"/>
    <x v="21"/>
    <x v="157"/>
    <x v="281"/>
    <x v="0"/>
    <n v="13.127800000000001"/>
    <n v="80.264200000000002"/>
    <x v="1"/>
    <n v="10"/>
    <n v="60"/>
    <n v="32"/>
  </r>
  <r>
    <s v="India"/>
    <x v="21"/>
    <x v="157"/>
    <x v="281"/>
    <x v="0"/>
    <n v="13.127800000000001"/>
    <n v="80.264200000000002"/>
    <x v="2"/>
    <n v="8"/>
    <n v="17"/>
    <n v="13"/>
  </r>
  <r>
    <s v="India"/>
    <x v="21"/>
    <x v="239"/>
    <x v="437"/>
    <x v="0"/>
    <n v="12.864618"/>
    <n v="79.659968000000006"/>
    <x v="4"/>
    <n v="6"/>
    <n v="9"/>
    <n v="7"/>
  </r>
  <r>
    <s v="India"/>
    <x v="21"/>
    <x v="239"/>
    <x v="437"/>
    <x v="0"/>
    <n v="12.864618"/>
    <n v="79.659968000000006"/>
    <x v="0"/>
    <n v="1"/>
    <n v="1"/>
    <n v="1"/>
  </r>
  <r>
    <s v="India"/>
    <x v="21"/>
    <x v="242"/>
    <x v="440"/>
    <x v="0"/>
    <n v="9.8659350000000003"/>
    <n v="78.022668999999993"/>
    <x v="2"/>
    <n v="19"/>
    <n v="20"/>
    <n v="20"/>
  </r>
  <r>
    <s v="India"/>
    <x v="21"/>
    <x v="160"/>
    <x v="272"/>
    <x v="0"/>
    <n v="10.798548"/>
    <n v="79.838211999999999"/>
    <x v="5"/>
    <n v="8"/>
    <n v="43"/>
    <n v="23"/>
  </r>
  <r>
    <s v="India"/>
    <x v="21"/>
    <x v="157"/>
    <x v="267"/>
    <x v="0"/>
    <n v="13.1036"/>
    <n v="80.290899999999993"/>
    <x v="2"/>
    <n v="9"/>
    <n v="31"/>
    <n v="19"/>
  </r>
  <r>
    <s v="India"/>
    <x v="21"/>
    <x v="157"/>
    <x v="267"/>
    <x v="0"/>
    <n v="13.1036"/>
    <n v="80.290899999999993"/>
    <x v="4"/>
    <n v="4"/>
    <n v="15"/>
    <n v="8"/>
  </r>
  <r>
    <s v="India"/>
    <x v="21"/>
    <x v="157"/>
    <x v="268"/>
    <x v="0"/>
    <n v="13.005218899999999"/>
    <n v="80.239812499999999"/>
    <x v="1"/>
    <n v="31"/>
    <n v="56"/>
    <n v="43"/>
  </r>
  <r>
    <s v="India"/>
    <x v="21"/>
    <x v="157"/>
    <x v="268"/>
    <x v="0"/>
    <n v="13.005218899999999"/>
    <n v="80.239812499999999"/>
    <x v="2"/>
    <n v="12"/>
    <n v="14"/>
    <n v="13"/>
  </r>
  <r>
    <s v="India"/>
    <x v="21"/>
    <x v="157"/>
    <x v="283"/>
    <x v="0"/>
    <n v="13.164543999999999"/>
    <n v="80.26285"/>
    <x v="5"/>
    <n v="7"/>
    <n v="42"/>
    <n v="21"/>
  </r>
  <r>
    <s v="India"/>
    <x v="21"/>
    <x v="157"/>
    <x v="283"/>
    <x v="0"/>
    <n v="13.164543999999999"/>
    <n v="80.26285"/>
    <x v="6"/>
    <n v="11"/>
    <n v="112"/>
    <n v="95"/>
  </r>
  <r>
    <s v="India"/>
    <x v="21"/>
    <x v="168"/>
    <x v="284"/>
    <x v="0"/>
    <n v="11.6829898"/>
    <n v="79.753209900000002"/>
    <x v="2"/>
    <m/>
    <m/>
    <m/>
  </r>
  <r>
    <s v="India"/>
    <x v="23"/>
    <x v="173"/>
    <x v="292"/>
    <x v="0"/>
    <n v="17.540890999999998"/>
    <n v="78.358528000000007"/>
    <x v="5"/>
    <n v="28"/>
    <n v="72"/>
    <n v="48"/>
  </r>
  <r>
    <s v="India"/>
    <x v="23"/>
    <x v="173"/>
    <x v="292"/>
    <x v="0"/>
    <n v="17.540890999999998"/>
    <n v="78.358528000000007"/>
    <x v="2"/>
    <n v="21"/>
    <n v="63"/>
    <n v="34"/>
  </r>
  <r>
    <s v="India"/>
    <x v="23"/>
    <x v="173"/>
    <x v="445"/>
    <x v="0"/>
    <n v="17.460103"/>
    <n v="78.334361000000001"/>
    <x v="5"/>
    <m/>
    <m/>
    <m/>
  </r>
  <r>
    <s v="India"/>
    <x v="23"/>
    <x v="173"/>
    <x v="445"/>
    <x v="0"/>
    <n v="17.460103"/>
    <n v="78.334361000000001"/>
    <x v="4"/>
    <m/>
    <m/>
    <m/>
  </r>
  <r>
    <s v="India"/>
    <x v="23"/>
    <x v="173"/>
    <x v="446"/>
    <x v="0"/>
    <n v="17.5184"/>
    <n v="78.278777000000005"/>
    <x v="5"/>
    <n v="52"/>
    <n v="113"/>
    <n v="77"/>
  </r>
  <r>
    <s v="India"/>
    <x v="23"/>
    <x v="173"/>
    <x v="446"/>
    <x v="0"/>
    <n v="17.5184"/>
    <n v="78.278777000000005"/>
    <x v="1"/>
    <n v="54"/>
    <n v="140"/>
    <n v="84"/>
  </r>
  <r>
    <s v="India"/>
    <x v="23"/>
    <x v="173"/>
    <x v="446"/>
    <x v="0"/>
    <n v="17.5184"/>
    <n v="78.278777000000005"/>
    <x v="2"/>
    <n v="4"/>
    <n v="89"/>
    <n v="13"/>
  </r>
  <r>
    <s v="India"/>
    <x v="23"/>
    <x v="173"/>
    <x v="446"/>
    <x v="0"/>
    <n v="17.5184"/>
    <n v="78.278777000000005"/>
    <x v="4"/>
    <n v="10"/>
    <n v="19"/>
    <n v="14"/>
  </r>
  <r>
    <s v="India"/>
    <x v="23"/>
    <x v="173"/>
    <x v="294"/>
    <x v="0"/>
    <n v="17.531689499999999"/>
    <n v="78.218939000000006"/>
    <x v="1"/>
    <n v="63"/>
    <n v="151"/>
    <n v="102"/>
  </r>
  <r>
    <s v="India"/>
    <x v="23"/>
    <x v="173"/>
    <x v="294"/>
    <x v="0"/>
    <n v="17.531689499999999"/>
    <n v="78.218939000000006"/>
    <x v="2"/>
    <n v="33"/>
    <n v="69"/>
    <n v="44"/>
  </r>
  <r>
    <s v="India"/>
    <x v="24"/>
    <x v="178"/>
    <x v="303"/>
    <x v="0"/>
    <n v="28.359580999999999"/>
    <n v="79.414455000000004"/>
    <x v="5"/>
    <m/>
    <m/>
    <m/>
  </r>
  <r>
    <s v="India"/>
    <x v="24"/>
    <x v="178"/>
    <x v="303"/>
    <x v="0"/>
    <n v="28.359580999999999"/>
    <n v="79.414455000000004"/>
    <x v="1"/>
    <m/>
    <m/>
    <m/>
  </r>
  <r>
    <s v="India"/>
    <x v="24"/>
    <x v="178"/>
    <x v="304"/>
    <x v="0"/>
    <n v="28.389109359999999"/>
    <n v="79.429637080000006"/>
    <x v="4"/>
    <n v="26"/>
    <n v="31"/>
    <n v="27"/>
  </r>
  <r>
    <s v="India"/>
    <x v="24"/>
    <x v="179"/>
    <x v="305"/>
    <x v="0"/>
    <n v="28.406963000000001"/>
    <n v="77.849830999999995"/>
    <x v="3"/>
    <n v="10"/>
    <n v="20"/>
    <n v="13"/>
  </r>
  <r>
    <s v="India"/>
    <x v="24"/>
    <x v="179"/>
    <x v="305"/>
    <x v="0"/>
    <n v="28.406963000000001"/>
    <n v="77.849830999999995"/>
    <x v="6"/>
    <n v="20"/>
    <n v="115"/>
    <n v="51"/>
  </r>
  <r>
    <s v="India"/>
    <x v="24"/>
    <x v="179"/>
    <x v="305"/>
    <x v="0"/>
    <n v="28.406963000000001"/>
    <n v="77.849830999999995"/>
    <x v="0"/>
    <n v="1"/>
    <n v="88"/>
    <n v="54"/>
  </r>
  <r>
    <s v="India"/>
    <x v="24"/>
    <x v="180"/>
    <x v="306"/>
    <x v="0"/>
    <n v="27.168897000000001"/>
    <n v="78.376959999999997"/>
    <x v="2"/>
    <n v="17"/>
    <n v="17"/>
    <n v="17"/>
  </r>
  <r>
    <s v="India"/>
    <x v="24"/>
    <x v="180"/>
    <x v="307"/>
    <x v="0"/>
    <n v="27.159400000000002"/>
    <n v="78.395300000000006"/>
    <x v="3"/>
    <n v="2"/>
    <n v="2"/>
    <n v="2"/>
  </r>
  <r>
    <s v="India"/>
    <x v="24"/>
    <x v="176"/>
    <x v="299"/>
    <x v="0"/>
    <n v="27.198658330000001"/>
    <n v="78.005980559999998"/>
    <x v="2"/>
    <n v="14"/>
    <n v="108"/>
    <n v="47"/>
  </r>
  <r>
    <s v="India"/>
    <x v="24"/>
    <x v="176"/>
    <x v="313"/>
    <x v="0"/>
    <n v="27.194120000000002"/>
    <n v="77.962370000000007"/>
    <x v="5"/>
    <n v="40"/>
    <n v="372"/>
    <n v="202"/>
  </r>
  <r>
    <s v="India"/>
    <x v="24"/>
    <x v="176"/>
    <x v="313"/>
    <x v="0"/>
    <n v="27.194120000000002"/>
    <n v="77.962370000000007"/>
    <x v="3"/>
    <n v="4"/>
    <n v="18"/>
    <n v="8"/>
  </r>
  <r>
    <s v="India"/>
    <x v="24"/>
    <x v="176"/>
    <x v="447"/>
    <x v="0"/>
    <n v="27.198619999999998"/>
    <n v="77.920659999999998"/>
    <x v="5"/>
    <n v="21"/>
    <n v="198"/>
    <n v="67"/>
  </r>
  <r>
    <s v="India"/>
    <x v="24"/>
    <x v="176"/>
    <x v="447"/>
    <x v="0"/>
    <n v="27.198619999999998"/>
    <n v="77.920659999999998"/>
    <x v="0"/>
    <n v="1"/>
    <n v="7"/>
    <n v="4"/>
  </r>
  <r>
    <s v="India"/>
    <x v="23"/>
    <x v="173"/>
    <x v="294"/>
    <x v="0"/>
    <n v="17.531689499999999"/>
    <n v="78.218939000000006"/>
    <x v="6"/>
    <n v="28"/>
    <n v="44"/>
    <n v="37"/>
  </r>
  <r>
    <s v="India"/>
    <x v="23"/>
    <x v="173"/>
    <x v="289"/>
    <x v="0"/>
    <n v="17.544899000000001"/>
    <n v="78.486948999999996"/>
    <x v="3"/>
    <n v="4"/>
    <n v="4"/>
    <n v="4"/>
  </r>
  <r>
    <s v="India"/>
    <x v="23"/>
    <x v="173"/>
    <x v="290"/>
    <x v="0"/>
    <n v="17.372060000000001"/>
    <n v="78.50864"/>
    <x v="4"/>
    <n v="13"/>
    <n v="17"/>
    <n v="14"/>
  </r>
  <r>
    <s v="India"/>
    <x v="23"/>
    <x v="173"/>
    <x v="290"/>
    <x v="0"/>
    <n v="17.372060000000001"/>
    <n v="78.50864"/>
    <x v="0"/>
    <n v="7"/>
    <n v="37"/>
    <n v="23"/>
  </r>
  <r>
    <s v="India"/>
    <x v="23"/>
    <x v="173"/>
    <x v="291"/>
    <x v="0"/>
    <n v="17.528544"/>
    <n v="78.286195000000006"/>
    <x v="2"/>
    <n v="14"/>
    <n v="16"/>
    <n v="15"/>
  </r>
  <r>
    <s v="India"/>
    <x v="23"/>
    <x v="173"/>
    <x v="291"/>
    <x v="0"/>
    <n v="17.528544"/>
    <n v="78.286195000000006"/>
    <x v="3"/>
    <n v="4"/>
    <n v="6"/>
    <n v="5"/>
  </r>
  <r>
    <s v="India"/>
    <x v="23"/>
    <x v="173"/>
    <x v="291"/>
    <x v="0"/>
    <n v="17.528544"/>
    <n v="78.286195000000006"/>
    <x v="6"/>
    <n v="8"/>
    <n v="28"/>
    <n v="12"/>
  </r>
  <r>
    <s v="India"/>
    <x v="23"/>
    <x v="173"/>
    <x v="301"/>
    <x v="0"/>
    <n v="17.455945799999999"/>
    <n v="78.433215200000006"/>
    <x v="5"/>
    <n v="32"/>
    <n v="68"/>
    <n v="47"/>
  </r>
  <r>
    <s v="India"/>
    <x v="23"/>
    <x v="173"/>
    <x v="449"/>
    <x v="0"/>
    <n v="17.349694"/>
    <n v="78.451436999999999"/>
    <x v="3"/>
    <n v="3"/>
    <n v="5"/>
    <n v="4"/>
  </r>
  <r>
    <s v="India"/>
    <x v="30"/>
    <x v="246"/>
    <x v="450"/>
    <x v="0"/>
    <n v="23.817549700000001"/>
    <n v="91.272697399999998"/>
    <x v="5"/>
    <n v="11"/>
    <n v="26"/>
    <n v="18"/>
  </r>
  <r>
    <s v="India"/>
    <x v="24"/>
    <x v="176"/>
    <x v="297"/>
    <x v="0"/>
    <n v="27.237110000000001"/>
    <n v="78.019360000000006"/>
    <x v="1"/>
    <n v="38"/>
    <n v="193"/>
    <n v="105"/>
  </r>
  <r>
    <s v="India"/>
    <x v="24"/>
    <x v="176"/>
    <x v="297"/>
    <x v="0"/>
    <n v="27.237110000000001"/>
    <n v="78.019360000000006"/>
    <x v="2"/>
    <n v="11"/>
    <n v="11"/>
    <n v="11"/>
  </r>
  <r>
    <s v="India"/>
    <x v="24"/>
    <x v="176"/>
    <x v="297"/>
    <x v="0"/>
    <n v="27.237110000000001"/>
    <n v="78.019360000000006"/>
    <x v="0"/>
    <n v="2"/>
    <n v="58"/>
    <n v="51"/>
  </r>
  <r>
    <s v="India"/>
    <x v="24"/>
    <x v="187"/>
    <x v="320"/>
    <x v="0"/>
    <n v="28.964949000000001"/>
    <n v="77.278761000000003"/>
    <x v="0"/>
    <n v="12"/>
    <n v="73"/>
    <n v="47"/>
  </r>
  <r>
    <s v="India"/>
    <x v="24"/>
    <x v="176"/>
    <x v="298"/>
    <x v="0"/>
    <n v="27.106971999999999"/>
    <n v="78.000111000000004"/>
    <x v="1"/>
    <n v="25"/>
    <n v="189"/>
    <n v="88"/>
  </r>
  <r>
    <s v="India"/>
    <x v="24"/>
    <x v="189"/>
    <x v="451"/>
    <x v="0"/>
    <n v="26.8458805"/>
    <n v="80.936554099999995"/>
    <x v="1"/>
    <m/>
    <m/>
    <m/>
  </r>
  <r>
    <s v="India"/>
    <x v="24"/>
    <x v="189"/>
    <x v="451"/>
    <x v="0"/>
    <n v="26.8458805"/>
    <n v="80.936554099999995"/>
    <x v="2"/>
    <m/>
    <m/>
    <m/>
  </r>
  <r>
    <s v="India"/>
    <x v="24"/>
    <x v="189"/>
    <x v="451"/>
    <x v="0"/>
    <n v="26.8458805"/>
    <n v="80.936554099999995"/>
    <x v="4"/>
    <m/>
    <m/>
    <m/>
  </r>
  <r>
    <s v="India"/>
    <x v="24"/>
    <x v="189"/>
    <x v="324"/>
    <x v="0"/>
    <n v="26.833997220000001"/>
    <n v="80.891736100000003"/>
    <x v="0"/>
    <n v="2"/>
    <n v="81"/>
    <n v="56"/>
  </r>
  <r>
    <s v="India"/>
    <x v="24"/>
    <x v="190"/>
    <x v="332"/>
    <x v="0"/>
    <n v="28.953588199999999"/>
    <n v="77.762294100000005"/>
    <x v="3"/>
    <n v="8"/>
    <n v="83"/>
    <n v="14"/>
  </r>
  <r>
    <s v="India"/>
    <x v="24"/>
    <x v="190"/>
    <x v="332"/>
    <x v="0"/>
    <n v="28.953588199999999"/>
    <n v="77.762294100000005"/>
    <x v="0"/>
    <n v="6"/>
    <n v="130"/>
    <n v="90"/>
  </r>
  <r>
    <s v="India"/>
    <x v="24"/>
    <x v="181"/>
    <x v="308"/>
    <x v="0"/>
    <n v="28.646232999999999"/>
    <n v="77.358074999999999"/>
    <x v="3"/>
    <n v="4"/>
    <n v="11"/>
    <n v="6"/>
  </r>
  <r>
    <s v="India"/>
    <x v="24"/>
    <x v="181"/>
    <x v="309"/>
    <x v="0"/>
    <n v="28.757294000000002"/>
    <n v="77.278791999999996"/>
    <x v="3"/>
    <n v="9"/>
    <n v="19"/>
    <n v="14"/>
  </r>
  <r>
    <s v="India"/>
    <x v="24"/>
    <x v="181"/>
    <x v="309"/>
    <x v="0"/>
    <n v="28.757294000000002"/>
    <n v="77.278791999999996"/>
    <x v="6"/>
    <n v="64"/>
    <n v="117"/>
    <n v="84"/>
  </r>
  <r>
    <s v="India"/>
    <x v="24"/>
    <x v="181"/>
    <x v="310"/>
    <x v="0"/>
    <n v="28.685382000000001"/>
    <n v="77.453839000000002"/>
    <x v="6"/>
    <n v="40"/>
    <n v="118"/>
    <n v="75"/>
  </r>
  <r>
    <s v="India"/>
    <x v="24"/>
    <x v="181"/>
    <x v="311"/>
    <x v="0"/>
    <n v="28.660334599999999"/>
    <n v="77.357256300000003"/>
    <x v="2"/>
    <n v="9"/>
    <n v="131"/>
    <n v="65"/>
  </r>
  <r>
    <s v="India"/>
    <x v="24"/>
    <x v="184"/>
    <x v="316"/>
    <x v="0"/>
    <n v="28.725645"/>
    <n v="77.749674999999996"/>
    <x v="1"/>
    <n v="51"/>
    <n v="149"/>
    <n v="111"/>
  </r>
  <r>
    <s v="India"/>
    <x v="24"/>
    <x v="184"/>
    <x v="316"/>
    <x v="0"/>
    <n v="28.725645"/>
    <n v="77.749674999999996"/>
    <x v="6"/>
    <n v="40"/>
    <n v="100"/>
    <n v="54"/>
  </r>
  <r>
    <s v="India"/>
    <x v="24"/>
    <x v="185"/>
    <x v="317"/>
    <x v="0"/>
    <n v="25.454699999999999"/>
    <n v="78.603899999999996"/>
    <x v="0"/>
    <n v="1"/>
    <n v="20"/>
    <n v="12"/>
  </r>
  <r>
    <s v="India"/>
    <x v="24"/>
    <x v="186"/>
    <x v="452"/>
    <x v="0"/>
    <n v="26.428281999999999"/>
    <n v="80.327067"/>
    <x v="5"/>
    <m/>
    <m/>
    <m/>
  </r>
  <r>
    <s v="India"/>
    <x v="24"/>
    <x v="186"/>
    <x v="452"/>
    <x v="0"/>
    <n v="26.428281999999999"/>
    <n v="80.327067"/>
    <x v="6"/>
    <m/>
    <m/>
    <m/>
  </r>
  <r>
    <s v="India"/>
    <x v="24"/>
    <x v="182"/>
    <x v="312"/>
    <x v="0"/>
    <n v="26.730136000000002"/>
    <n v="83.433858999999998"/>
    <x v="1"/>
    <n v="72"/>
    <n v="166"/>
    <n v="120"/>
  </r>
  <r>
    <s v="India"/>
    <x v="24"/>
    <x v="182"/>
    <x v="312"/>
    <x v="0"/>
    <n v="26.730136000000002"/>
    <n v="83.433858999999998"/>
    <x v="3"/>
    <n v="1"/>
    <n v="1"/>
    <n v="1"/>
  </r>
  <r>
    <s v="India"/>
    <x v="24"/>
    <x v="183"/>
    <x v="453"/>
    <x v="0"/>
    <n v="28.472719999999999"/>
    <n v="77.481999999999999"/>
    <x v="1"/>
    <n v="56"/>
    <n v="198"/>
    <n v="119"/>
  </r>
  <r>
    <s v="India"/>
    <x v="24"/>
    <x v="183"/>
    <x v="453"/>
    <x v="0"/>
    <n v="28.472719999999999"/>
    <n v="77.481999999999999"/>
    <x v="0"/>
    <n v="3"/>
    <n v="98"/>
    <n v="53"/>
  </r>
  <r>
    <s v="India"/>
    <x v="24"/>
    <x v="186"/>
    <x v="452"/>
    <x v="0"/>
    <n v="26.428281999999999"/>
    <n v="80.327067"/>
    <x v="0"/>
    <m/>
    <m/>
    <m/>
  </r>
  <r>
    <s v="India"/>
    <x v="24"/>
    <x v="186"/>
    <x v="318"/>
    <x v="0"/>
    <n v="26.509954"/>
    <n v="80.249611999999999"/>
    <x v="0"/>
    <n v="16"/>
    <n v="17"/>
    <n v="17"/>
  </r>
  <r>
    <s v="India"/>
    <x v="24"/>
    <x v="186"/>
    <x v="319"/>
    <x v="0"/>
    <n v="26.470313600000001"/>
    <n v="80.322986299999997"/>
    <x v="2"/>
    <n v="41"/>
    <n v="76"/>
    <n v="59"/>
  </r>
  <r>
    <s v="India"/>
    <x v="24"/>
    <x v="188"/>
    <x v="321"/>
    <x v="0"/>
    <n v="28.2348927"/>
    <n v="77.868300199999993"/>
    <x v="5"/>
    <m/>
    <m/>
    <m/>
  </r>
  <r>
    <s v="India"/>
    <x v="24"/>
    <x v="188"/>
    <x v="321"/>
    <x v="0"/>
    <n v="28.2348927"/>
    <n v="77.868300199999993"/>
    <x v="3"/>
    <n v="1"/>
    <n v="1"/>
    <n v="1"/>
  </r>
  <r>
    <s v="India"/>
    <x v="24"/>
    <x v="189"/>
    <x v="322"/>
    <x v="0"/>
    <n v="26.766432999999999"/>
    <n v="80.927299000000005"/>
    <x v="3"/>
    <n v="2"/>
    <n v="5"/>
    <n v="4"/>
  </r>
  <r>
    <s v="India"/>
    <x v="24"/>
    <x v="189"/>
    <x v="330"/>
    <x v="0"/>
    <n v="26.906110999999999"/>
    <n v="80.948222000000001"/>
    <x v="0"/>
    <n v="6"/>
    <n v="46"/>
    <n v="32"/>
  </r>
  <r>
    <s v="India"/>
    <x v="24"/>
    <x v="189"/>
    <x v="329"/>
    <x v="0"/>
    <n v="26.868120000000001"/>
    <n v="81.005118999999993"/>
    <x v="4"/>
    <n v="8"/>
    <n v="11"/>
    <n v="10"/>
  </r>
  <r>
    <s v="India"/>
    <x v="24"/>
    <x v="194"/>
    <x v="350"/>
    <x v="0"/>
    <n v="25.262326000000002"/>
    <n v="82.995407999999998"/>
    <x v="6"/>
    <n v="4"/>
    <n v="52"/>
    <n v="13"/>
  </r>
  <r>
    <s v="India"/>
    <x v="24"/>
    <x v="194"/>
    <x v="350"/>
    <x v="0"/>
    <n v="25.262326000000002"/>
    <n v="82.995407999999998"/>
    <x v="0"/>
    <n v="1"/>
    <n v="7"/>
    <n v="3"/>
  </r>
  <r>
    <s v="India"/>
    <x v="24"/>
    <x v="194"/>
    <x v="337"/>
    <x v="0"/>
    <n v="25.323930000000001"/>
    <n v="82.996870000000001"/>
    <x v="5"/>
    <n v="12"/>
    <n v="118"/>
    <n v="61"/>
  </r>
  <r>
    <s v="India"/>
    <x v="24"/>
    <x v="195"/>
    <x v="338"/>
    <x v="0"/>
    <n v="27.571408999999999"/>
    <n v="77.655756999999994"/>
    <x v="2"/>
    <n v="12"/>
    <n v="12"/>
    <n v="12"/>
  </r>
  <r>
    <s v="India"/>
    <x v="24"/>
    <x v="195"/>
    <x v="338"/>
    <x v="0"/>
    <n v="27.571408999999999"/>
    <n v="77.655756999999994"/>
    <x v="3"/>
    <n v="1"/>
    <n v="2"/>
    <n v="2"/>
  </r>
  <r>
    <s v="India"/>
    <x v="24"/>
    <x v="195"/>
    <x v="338"/>
    <x v="0"/>
    <n v="27.571408999999999"/>
    <n v="77.655756999999994"/>
    <x v="6"/>
    <n v="18"/>
    <n v="48"/>
    <n v="23"/>
  </r>
  <r>
    <s v="India"/>
    <x v="25"/>
    <x v="196"/>
    <x v="339"/>
    <x v="0"/>
    <n v="30.269444"/>
    <n v="78.044167000000002"/>
    <x v="2"/>
    <n v="1"/>
    <n v="8"/>
    <n v="3"/>
  </r>
  <r>
    <s v="India"/>
    <x v="24"/>
    <x v="191"/>
    <x v="327"/>
    <x v="0"/>
    <n v="28.840738999999999"/>
    <n v="78.697530999999998"/>
    <x v="2"/>
    <n v="10"/>
    <n v="131"/>
    <n v="45"/>
  </r>
  <r>
    <s v="India"/>
    <x v="24"/>
    <x v="191"/>
    <x v="327"/>
    <x v="0"/>
    <n v="28.840738999999999"/>
    <n v="78.697530999999998"/>
    <x v="3"/>
    <n v="7"/>
    <n v="13"/>
    <n v="10"/>
  </r>
  <r>
    <s v="India"/>
    <x v="24"/>
    <x v="191"/>
    <x v="456"/>
    <x v="0"/>
    <n v="28.885280000000002"/>
    <n v="78.738799999999998"/>
    <x v="1"/>
    <n v="40"/>
    <n v="232"/>
    <n v="92"/>
  </r>
  <r>
    <s v="India"/>
    <x v="24"/>
    <x v="191"/>
    <x v="456"/>
    <x v="0"/>
    <n v="28.885280000000002"/>
    <n v="78.738799999999998"/>
    <x v="4"/>
    <n v="27"/>
    <n v="45"/>
    <n v="32"/>
  </r>
  <r>
    <s v="India"/>
    <x v="24"/>
    <x v="191"/>
    <x v="328"/>
    <x v="0"/>
    <n v="28.856663999999999"/>
    <n v="78.772638000000001"/>
    <x v="0"/>
    <n v="11"/>
    <n v="26"/>
    <n v="19"/>
  </r>
  <r>
    <s v="India"/>
    <x v="24"/>
    <x v="191"/>
    <x v="457"/>
    <x v="0"/>
    <n v="28.849398999999998"/>
    <n v="78.742362"/>
    <x v="5"/>
    <n v="16"/>
    <n v="278"/>
    <n v="59"/>
  </r>
  <r>
    <s v="India"/>
    <x v="24"/>
    <x v="191"/>
    <x v="457"/>
    <x v="0"/>
    <n v="28.849398999999998"/>
    <n v="78.742362"/>
    <x v="1"/>
    <n v="28"/>
    <n v="197"/>
    <n v="79"/>
  </r>
  <r>
    <s v="India"/>
    <x v="24"/>
    <x v="192"/>
    <x v="459"/>
    <x v="0"/>
    <n v="28.5898"/>
    <n v="77.310100000000006"/>
    <x v="3"/>
    <n v="6"/>
    <n v="14"/>
    <n v="10"/>
  </r>
  <r>
    <s v="India"/>
    <x v="24"/>
    <x v="192"/>
    <x v="459"/>
    <x v="0"/>
    <n v="28.5898"/>
    <n v="77.310100000000006"/>
    <x v="6"/>
    <n v="10"/>
    <n v="166"/>
    <n v="166"/>
  </r>
  <r>
    <s v="India"/>
    <x v="24"/>
    <x v="192"/>
    <x v="335"/>
    <x v="0"/>
    <n v="28.569230000000001"/>
    <n v="77.393848000000006"/>
    <x v="1"/>
    <n v="84"/>
    <n v="400"/>
    <n v="154"/>
  </r>
  <r>
    <s v="India"/>
    <x v="24"/>
    <x v="192"/>
    <x v="335"/>
    <x v="0"/>
    <n v="28.569230000000001"/>
    <n v="77.393848000000006"/>
    <x v="3"/>
    <n v="7"/>
    <n v="19"/>
    <n v="11"/>
  </r>
  <r>
    <s v="India"/>
    <x v="24"/>
    <x v="193"/>
    <x v="336"/>
    <x v="0"/>
    <n v="25.425602000000001"/>
    <n v="81.917152000000002"/>
    <x v="2"/>
    <n v="6"/>
    <n v="6"/>
    <n v="6"/>
  </r>
  <r>
    <s v="India"/>
    <x v="24"/>
    <x v="193"/>
    <x v="336"/>
    <x v="0"/>
    <n v="25.425602000000001"/>
    <n v="81.917152000000002"/>
    <x v="6"/>
    <n v="2"/>
    <n v="104"/>
    <n v="35"/>
  </r>
  <r>
    <s v="India"/>
    <x v="24"/>
    <x v="191"/>
    <x v="334"/>
    <x v="0"/>
    <n v="28.802624999999999"/>
    <n v="78.753727999999995"/>
    <x v="5"/>
    <n v="20"/>
    <n v="252"/>
    <n v="68"/>
  </r>
  <r>
    <s v="India"/>
    <x v="24"/>
    <x v="247"/>
    <x v="458"/>
    <x v="0"/>
    <n v="29.472350800000001"/>
    <n v="77.719403099999994"/>
    <x v="1"/>
    <n v="60"/>
    <n v="194"/>
    <n v="106"/>
  </r>
  <r>
    <s v="India"/>
    <x v="24"/>
    <x v="247"/>
    <x v="458"/>
    <x v="0"/>
    <n v="29.472350800000001"/>
    <n v="77.719403099999994"/>
    <x v="2"/>
    <n v="18"/>
    <n v="167"/>
    <n v="41"/>
  </r>
  <r>
    <s v="India"/>
    <x v="24"/>
    <x v="194"/>
    <x v="349"/>
    <x v="0"/>
    <n v="25.301777999999999"/>
    <n v="82.996789000000007"/>
    <x v="1"/>
    <n v="42"/>
    <n v="195"/>
    <n v="115"/>
  </r>
  <r>
    <s v="India"/>
    <x v="24"/>
    <x v="194"/>
    <x v="349"/>
    <x v="0"/>
    <n v="25.301777999999999"/>
    <n v="82.996789000000007"/>
    <x v="4"/>
    <n v="31"/>
    <n v="35"/>
    <n v="34"/>
  </r>
  <r>
    <s v="India"/>
    <x v="24"/>
    <x v="194"/>
    <x v="350"/>
    <x v="0"/>
    <n v="25.262326000000002"/>
    <n v="82.995407999999998"/>
    <x v="3"/>
    <n v="3"/>
    <n v="11"/>
    <n v="7"/>
  </r>
  <r>
    <s v="India"/>
    <x v="24"/>
    <x v="193"/>
    <x v="455"/>
    <x v="0"/>
    <n v="25.449199159999999"/>
    <n v="81.827359860000001"/>
    <x v="6"/>
    <n v="4"/>
    <n v="111"/>
    <n v="33"/>
  </r>
  <r>
    <s v="India"/>
    <x v="24"/>
    <x v="194"/>
    <x v="352"/>
    <x v="0"/>
    <n v="25.350598600000001"/>
    <n v="82.908307399999998"/>
    <x v="5"/>
    <n v="15"/>
    <n v="213"/>
    <n v="111"/>
  </r>
  <r>
    <s v="India"/>
    <x v="24"/>
    <x v="190"/>
    <x v="331"/>
    <x v="0"/>
    <n v="29.063510000000001"/>
    <n v="77.709722999999997"/>
    <x v="5"/>
    <n v="42"/>
    <n v="295"/>
    <n v="136"/>
  </r>
  <r>
    <s v="India"/>
    <x v="24"/>
    <x v="190"/>
    <x v="331"/>
    <x v="0"/>
    <n v="29.063510000000001"/>
    <n v="77.709722999999997"/>
    <x v="6"/>
    <n v="21"/>
    <n v="124"/>
    <n v="87"/>
  </r>
  <r>
    <s v="India"/>
    <x v="24"/>
    <x v="194"/>
    <x v="352"/>
    <x v="0"/>
    <n v="25.350598600000001"/>
    <n v="82.908307399999998"/>
    <x v="1"/>
    <n v="17"/>
    <n v="149"/>
    <n v="89"/>
  </r>
  <r>
    <s v="India"/>
    <x v="24"/>
    <x v="194"/>
    <x v="352"/>
    <x v="0"/>
    <n v="25.350598600000001"/>
    <n v="82.908307399999998"/>
    <x v="0"/>
    <n v="26"/>
    <n v="32"/>
    <n v="27"/>
  </r>
  <r>
    <s v="India"/>
    <x v="24"/>
    <x v="192"/>
    <x v="459"/>
    <x v="0"/>
    <n v="28.5898"/>
    <n v="77.310100000000006"/>
    <x v="5"/>
    <n v="22"/>
    <n v="164"/>
    <n v="69"/>
  </r>
  <r>
    <s v="India"/>
    <x v="24"/>
    <x v="192"/>
    <x v="459"/>
    <x v="0"/>
    <n v="28.5898"/>
    <n v="77.310100000000006"/>
    <x v="2"/>
    <n v="8"/>
    <n v="96"/>
    <n v="48"/>
  </r>
  <r>
    <s v="India"/>
    <x v="26"/>
    <x v="201"/>
    <x v="344"/>
    <x v="0"/>
    <n v="23.697935999999999"/>
    <n v="86.944395"/>
    <x v="2"/>
    <n v="16"/>
    <n v="61"/>
    <n v="36"/>
  </r>
  <r>
    <s v="India"/>
    <x v="26"/>
    <x v="201"/>
    <x v="344"/>
    <x v="0"/>
    <n v="23.697935999999999"/>
    <n v="86.944395"/>
    <x v="3"/>
    <n v="4"/>
    <n v="6"/>
    <n v="5"/>
  </r>
  <r>
    <s v="India"/>
    <x v="26"/>
    <x v="201"/>
    <x v="461"/>
    <x v="0"/>
    <n v="23.616515"/>
    <n v="87.119133000000005"/>
    <x v="5"/>
    <n v="39"/>
    <n v="151"/>
    <n v="103"/>
  </r>
  <r>
    <s v="India"/>
    <x v="26"/>
    <x v="201"/>
    <x v="461"/>
    <x v="0"/>
    <n v="23.616515"/>
    <n v="87.119133000000005"/>
    <x v="1"/>
    <n v="87"/>
    <n v="175"/>
    <n v="129"/>
  </r>
  <r>
    <s v="India"/>
    <x v="26"/>
    <x v="201"/>
    <x v="461"/>
    <x v="0"/>
    <n v="23.616515"/>
    <n v="87.119133000000005"/>
    <x v="2"/>
    <n v="10"/>
    <n v="41"/>
    <n v="19"/>
  </r>
  <r>
    <s v="India"/>
    <x v="26"/>
    <x v="202"/>
    <x v="345"/>
    <x v="0"/>
    <n v="22.760558100000001"/>
    <n v="88.361758899999998"/>
    <x v="4"/>
    <n v="14"/>
    <n v="24"/>
    <n v="18"/>
  </r>
  <r>
    <s v="India"/>
    <x v="25"/>
    <x v="197"/>
    <x v="340"/>
    <x v="0"/>
    <n v="29.212411400000001"/>
    <n v="78.961175299999994"/>
    <x v="4"/>
    <n v="3"/>
    <n v="10"/>
    <n v="8"/>
  </r>
  <r>
    <s v="India"/>
    <x v="25"/>
    <x v="197"/>
    <x v="340"/>
    <x v="0"/>
    <n v="29.212411400000001"/>
    <n v="78.961175299999994"/>
    <x v="0"/>
    <n v="16"/>
    <n v="89"/>
    <n v="56"/>
  </r>
  <r>
    <s v="India"/>
    <x v="25"/>
    <x v="248"/>
    <x v="464"/>
    <x v="0"/>
    <n v="30.075911000000001"/>
    <n v="78.285954700000005"/>
    <x v="5"/>
    <n v="42"/>
    <n v="107"/>
    <n v="71"/>
  </r>
  <r>
    <s v="India"/>
    <x v="25"/>
    <x v="248"/>
    <x v="464"/>
    <x v="0"/>
    <n v="30.075911000000001"/>
    <n v="78.285954700000005"/>
    <x v="2"/>
    <n v="10"/>
    <n v="17"/>
    <n v="13"/>
  </r>
  <r>
    <s v="India"/>
    <x v="26"/>
    <x v="199"/>
    <x v="342"/>
    <x v="0"/>
    <n v="22.060469999999999"/>
    <n v="88.109736999999996"/>
    <x v="1"/>
    <n v="18"/>
    <n v="69"/>
    <n v="49"/>
  </r>
  <r>
    <s v="India"/>
    <x v="26"/>
    <x v="199"/>
    <x v="342"/>
    <x v="0"/>
    <n v="22.060469999999999"/>
    <n v="88.109736999999996"/>
    <x v="3"/>
    <n v="4"/>
    <n v="5"/>
    <n v="4"/>
  </r>
  <r>
    <s v="India"/>
    <x v="26"/>
    <x v="200"/>
    <x v="343"/>
    <x v="0"/>
    <n v="22.629801"/>
    <n v="88.352017000000004"/>
    <x v="5"/>
    <n v="23"/>
    <n v="62"/>
    <n v="41"/>
  </r>
  <r>
    <s v="India"/>
    <x v="26"/>
    <x v="203"/>
    <x v="356"/>
    <x v="0"/>
    <n v="22.627846999999999"/>
    <n v="88.380668999999997"/>
    <x v="2"/>
    <n v="17"/>
    <n v="25"/>
    <n v="21"/>
  </r>
  <r>
    <s v="India"/>
    <x v="26"/>
    <x v="203"/>
    <x v="356"/>
    <x v="0"/>
    <n v="22.627846999999999"/>
    <n v="88.380668999999997"/>
    <x v="0"/>
    <n v="32"/>
    <n v="62"/>
    <n v="47"/>
  </r>
  <r>
    <s v="India"/>
    <x v="26"/>
    <x v="203"/>
    <x v="357"/>
    <x v="0"/>
    <n v="22.511060000000001"/>
    <n v="88.351420000000005"/>
    <x v="1"/>
    <n v="42"/>
    <n v="68"/>
    <n v="52"/>
  </r>
  <r>
    <s v="India"/>
    <x v="26"/>
    <x v="203"/>
    <x v="353"/>
    <x v="0"/>
    <n v="22.536750699999999"/>
    <n v="88.363802199999995"/>
    <x v="6"/>
    <n v="20"/>
    <n v="32"/>
    <n v="22"/>
  </r>
  <r>
    <s v="India"/>
    <x v="26"/>
    <x v="203"/>
    <x v="354"/>
    <x v="0"/>
    <n v="22.58157048"/>
    <n v="88.410024570000004"/>
    <x v="2"/>
    <n v="14"/>
    <n v="19"/>
    <n v="15"/>
  </r>
  <r>
    <s v="India"/>
    <x v="26"/>
    <x v="203"/>
    <x v="354"/>
    <x v="0"/>
    <n v="22.58157048"/>
    <n v="88.410024570000004"/>
    <x v="3"/>
    <n v="7"/>
    <n v="13"/>
    <n v="8"/>
  </r>
  <r>
    <s v="India"/>
    <x v="26"/>
    <x v="200"/>
    <x v="347"/>
    <x v="0"/>
    <n v="22.554953999999999"/>
    <n v="88.292568000000003"/>
    <x v="3"/>
    <n v="1"/>
    <n v="3"/>
    <n v="2"/>
  </r>
  <r>
    <s v="India"/>
    <x v="26"/>
    <x v="200"/>
    <x v="348"/>
    <x v="0"/>
    <n v="22.602557099999999"/>
    <n v="88.310566399999999"/>
    <x v="3"/>
    <n v="2"/>
    <n v="3"/>
    <n v="2"/>
  </r>
  <r>
    <s v="India"/>
    <x v="26"/>
    <x v="200"/>
    <x v="348"/>
    <x v="0"/>
    <n v="22.602557099999999"/>
    <n v="88.310566399999999"/>
    <x v="0"/>
    <n v="48"/>
    <n v="157"/>
    <n v="95"/>
  </r>
  <r>
    <s v="India"/>
    <x v="26"/>
    <x v="200"/>
    <x v="462"/>
    <x v="0"/>
    <n v="22.611968000000001"/>
    <n v="88.347421999999995"/>
    <x v="6"/>
    <n v="2"/>
    <n v="8"/>
    <n v="2"/>
  </r>
  <r>
    <s v="India"/>
    <x v="26"/>
    <x v="200"/>
    <x v="463"/>
    <x v="0"/>
    <n v="22.5687319"/>
    <n v="88.279727600000001"/>
    <x v="6"/>
    <n v="13"/>
    <n v="74"/>
    <n v="29"/>
  </r>
  <r>
    <s v="India"/>
    <x v="26"/>
    <x v="201"/>
    <x v="351"/>
    <x v="0"/>
    <n v="23.685296999999998"/>
    <n v="86.945967999999993"/>
    <x v="4"/>
    <n v="6"/>
    <n v="89"/>
    <n v="37"/>
  </r>
  <r>
    <s v="India"/>
    <x v="26"/>
    <x v="203"/>
    <x v="358"/>
    <x v="0"/>
    <n v="22.544808199999999"/>
    <n v="88.340369100000004"/>
    <x v="0"/>
    <n v="22"/>
    <n v="103"/>
    <n v="54"/>
  </r>
  <r>
    <s v="India"/>
    <x v="2"/>
    <x v="12"/>
    <x v="13"/>
    <x v="0"/>
    <n v="14.675886"/>
    <n v="77.593027000000006"/>
    <x v="2"/>
    <n v="28"/>
    <n v="56"/>
    <n v="38"/>
  </r>
  <r>
    <s v="India"/>
    <x v="2"/>
    <x v="12"/>
    <x v="13"/>
    <x v="0"/>
    <n v="14.675886"/>
    <n v="77.593027000000006"/>
    <x v="6"/>
    <n v="10"/>
    <n v="16"/>
    <n v="15"/>
  </r>
  <r>
    <s v="India"/>
    <x v="2"/>
    <x v="13"/>
    <x v="14"/>
    <x v="0"/>
    <n v="13.204879999999999"/>
    <n v="79.097888999999995"/>
    <x v="5"/>
    <n v="37"/>
    <n v="102"/>
    <n v="62"/>
  </r>
  <r>
    <s v="India"/>
    <x v="2"/>
    <x v="13"/>
    <x v="14"/>
    <x v="0"/>
    <n v="13.204879999999999"/>
    <n v="79.097888999999995"/>
    <x v="3"/>
    <n v="3"/>
    <n v="9"/>
    <n v="6"/>
  </r>
  <r>
    <s v="India"/>
    <x v="2"/>
    <x v="13"/>
    <x v="14"/>
    <x v="0"/>
    <n v="13.204879999999999"/>
    <n v="79.097888999999995"/>
    <x v="0"/>
    <n v="30"/>
    <n v="49"/>
    <n v="37"/>
  </r>
  <r>
    <s v="India"/>
    <x v="2"/>
    <x v="207"/>
    <x v="363"/>
    <x v="0"/>
    <n v="14.465052"/>
    <n v="78.824186999999995"/>
    <x v="5"/>
    <n v="48"/>
    <n v="64"/>
    <n v="54"/>
  </r>
  <r>
    <s v="India"/>
    <x v="2"/>
    <x v="207"/>
    <x v="363"/>
    <x v="0"/>
    <n v="14.465052"/>
    <n v="78.824186999999995"/>
    <x v="4"/>
    <n v="14"/>
    <n v="16"/>
    <n v="15"/>
  </r>
  <r>
    <s v="India"/>
    <x v="2"/>
    <x v="205"/>
    <x v="360"/>
    <x v="0"/>
    <n v="16.987286699999999"/>
    <n v="81.736317600000007"/>
    <x v="5"/>
    <n v="18"/>
    <n v="73"/>
    <n v="40"/>
  </r>
  <r>
    <s v="India"/>
    <x v="1"/>
    <x v="5"/>
    <x v="5"/>
    <x v="0"/>
    <n v="25.562609500000001"/>
    <n v="84.663263999999998"/>
    <x v="6"/>
    <m/>
    <m/>
    <m/>
  </r>
  <r>
    <s v="India"/>
    <x v="1"/>
    <x v="5"/>
    <x v="5"/>
    <x v="0"/>
    <n v="25.562609500000001"/>
    <n v="84.663263999999998"/>
    <x v="0"/>
    <m/>
    <m/>
    <m/>
  </r>
  <r>
    <s v="India"/>
    <x v="1"/>
    <x v="6"/>
    <x v="6"/>
    <x v="0"/>
    <n v="24.757459999999998"/>
    <n v="84.366208"/>
    <x v="6"/>
    <n v="24"/>
    <n v="37"/>
    <n v="26"/>
  </r>
  <r>
    <s v="India"/>
    <x v="1"/>
    <x v="206"/>
    <x v="362"/>
    <x v="0"/>
    <n v="25.427420229999999"/>
    <n v="86.138860789999995"/>
    <x v="4"/>
    <n v="2"/>
    <n v="24"/>
    <n v="8"/>
  </r>
  <r>
    <s v="India"/>
    <x v="1"/>
    <x v="206"/>
    <x v="362"/>
    <x v="0"/>
    <n v="25.427420229999999"/>
    <n v="86.138860789999995"/>
    <x v="6"/>
    <m/>
    <m/>
    <m/>
  </r>
  <r>
    <s v="India"/>
    <x v="1"/>
    <x v="206"/>
    <x v="362"/>
    <x v="0"/>
    <n v="25.427420229999999"/>
    <n v="86.138860789999995"/>
    <x v="0"/>
    <n v="2"/>
    <n v="18"/>
    <n v="6"/>
  </r>
  <r>
    <s v="India"/>
    <x v="1"/>
    <x v="14"/>
    <x v="15"/>
    <x v="0"/>
    <n v="26.803650000000001"/>
    <n v="84.519540000000006"/>
    <x v="6"/>
    <n v="32"/>
    <n v="108"/>
    <n v="72"/>
  </r>
  <r>
    <s v="India"/>
    <x v="2"/>
    <x v="205"/>
    <x v="360"/>
    <x v="0"/>
    <n v="16.987286699999999"/>
    <n v="81.736317600000007"/>
    <x v="6"/>
    <n v="4"/>
    <n v="105"/>
    <n v="40"/>
  </r>
  <r>
    <s v="India"/>
    <x v="2"/>
    <x v="10"/>
    <x v="10"/>
    <x v="0"/>
    <n v="13.67"/>
    <n v="79.349999999999994"/>
    <x v="3"/>
    <n v="1"/>
    <n v="1"/>
    <n v="1"/>
  </r>
  <r>
    <s v="India"/>
    <x v="2"/>
    <x v="10"/>
    <x v="10"/>
    <x v="0"/>
    <n v="13.67"/>
    <n v="79.349999999999994"/>
    <x v="0"/>
    <n v="16"/>
    <n v="39"/>
    <n v="32"/>
  </r>
  <r>
    <s v="India"/>
    <x v="2"/>
    <x v="7"/>
    <x v="361"/>
    <x v="0"/>
    <n v="16.536107000000001"/>
    <n v="80.594233000000003"/>
    <x v="3"/>
    <n v="4"/>
    <n v="5"/>
    <n v="4"/>
  </r>
  <r>
    <s v="India"/>
    <x v="2"/>
    <x v="7"/>
    <x v="361"/>
    <x v="0"/>
    <n v="16.536107000000001"/>
    <n v="80.594233000000003"/>
    <x v="6"/>
    <n v="11"/>
    <n v="25"/>
    <n v="14"/>
  </r>
  <r>
    <s v="India"/>
    <x v="0"/>
    <x v="16"/>
    <x v="17"/>
    <x v="0"/>
    <n v="26.202863600000001"/>
    <n v="91.700464359999998"/>
    <x v="0"/>
    <n v="3"/>
    <n v="58"/>
    <n v="43"/>
  </r>
  <r>
    <s v="India"/>
    <x v="0"/>
    <x v="16"/>
    <x v="18"/>
    <x v="0"/>
    <n v="26.10887"/>
    <n v="91.589544000000004"/>
    <x v="6"/>
    <n v="10"/>
    <n v="57"/>
    <n v="26"/>
  </r>
  <r>
    <s v="India"/>
    <x v="0"/>
    <x v="16"/>
    <x v="19"/>
    <x v="0"/>
    <n v="26.1875"/>
    <n v="91.744193999999993"/>
    <x v="5"/>
    <n v="65"/>
    <n v="195"/>
    <n v="125"/>
  </r>
  <r>
    <s v="India"/>
    <x v="0"/>
    <x v="16"/>
    <x v="465"/>
    <x v="0"/>
    <n v="26.181742"/>
    <n v="91.780630000000002"/>
    <x v="5"/>
    <n v="88"/>
    <n v="260"/>
    <n v="144"/>
  </r>
  <r>
    <s v="India"/>
    <x v="0"/>
    <x v="16"/>
    <x v="465"/>
    <x v="0"/>
    <n v="26.181742"/>
    <n v="91.780630000000002"/>
    <x v="2"/>
    <n v="3"/>
    <n v="4"/>
    <n v="3"/>
  </r>
  <r>
    <s v="India"/>
    <x v="0"/>
    <x v="16"/>
    <x v="465"/>
    <x v="0"/>
    <n v="26.181742"/>
    <n v="91.780630000000002"/>
    <x v="4"/>
    <n v="19"/>
    <n v="20"/>
    <n v="19"/>
  </r>
  <r>
    <s v="India"/>
    <x v="2"/>
    <x v="7"/>
    <x v="7"/>
    <x v="0"/>
    <n v="16.554731"/>
    <n v="80.649109999999993"/>
    <x v="4"/>
    <n v="1"/>
    <n v="19"/>
    <n v="11"/>
  </r>
  <r>
    <s v="India"/>
    <x v="0"/>
    <x v="9"/>
    <x v="9"/>
    <x v="0"/>
    <n v="26.071318000000002"/>
    <n v="91.874880000000005"/>
    <x v="1"/>
    <m/>
    <m/>
    <m/>
  </r>
  <r>
    <s v="India"/>
    <x v="0"/>
    <x v="9"/>
    <x v="9"/>
    <x v="0"/>
    <n v="26.071318000000002"/>
    <n v="91.874880000000005"/>
    <x v="2"/>
    <m/>
    <m/>
    <m/>
  </r>
  <r>
    <s v="India"/>
    <x v="0"/>
    <x v="9"/>
    <x v="9"/>
    <x v="0"/>
    <n v="26.071318000000002"/>
    <n v="91.874880000000005"/>
    <x v="3"/>
    <m/>
    <m/>
    <m/>
  </r>
  <r>
    <s v="India"/>
    <x v="0"/>
    <x v="9"/>
    <x v="9"/>
    <x v="0"/>
    <n v="26.071318000000002"/>
    <n v="91.874880000000005"/>
    <x v="0"/>
    <n v="23"/>
    <n v="41"/>
    <n v="30"/>
  </r>
  <r>
    <s v="India"/>
    <x v="0"/>
    <x v="3"/>
    <x v="3"/>
    <x v="0"/>
    <n v="26.987634"/>
    <n v="94.636573999999996"/>
    <x v="4"/>
    <n v="4"/>
    <n v="11"/>
    <n v="8"/>
  </r>
  <r>
    <s v="India"/>
    <x v="0"/>
    <x v="3"/>
    <x v="3"/>
    <x v="0"/>
    <n v="26.987634"/>
    <n v="94.636573999999996"/>
    <x v="0"/>
    <n v="2"/>
    <n v="12"/>
    <n v="5"/>
  </r>
  <r>
    <s v="India"/>
    <x v="1"/>
    <x v="4"/>
    <x v="4"/>
    <x v="0"/>
    <n v="26.146529000000001"/>
    <n v="87.454183999999998"/>
    <x v="4"/>
    <n v="22"/>
    <n v="38"/>
    <n v="30"/>
  </r>
  <r>
    <s v="India"/>
    <x v="1"/>
    <x v="5"/>
    <x v="5"/>
    <x v="0"/>
    <n v="25.562609500000001"/>
    <n v="84.663263999999998"/>
    <x v="3"/>
    <m/>
    <m/>
    <m/>
  </r>
  <r>
    <s v="India"/>
    <x v="0"/>
    <x v="0"/>
    <x v="0"/>
    <x v="0"/>
    <n v="26.349081999999999"/>
    <n v="92.684489999999997"/>
    <x v="5"/>
    <m/>
    <m/>
    <m/>
  </r>
  <r>
    <s v="India"/>
    <x v="0"/>
    <x v="0"/>
    <x v="0"/>
    <x v="0"/>
    <n v="26.349081999999999"/>
    <n v="92.684489999999997"/>
    <x v="1"/>
    <m/>
    <m/>
    <m/>
  </r>
  <r>
    <s v="India"/>
    <x v="0"/>
    <x v="0"/>
    <x v="0"/>
    <x v="0"/>
    <n v="26.349081999999999"/>
    <n v="92.684489999999997"/>
    <x v="3"/>
    <n v="4"/>
    <n v="4"/>
    <n v="4"/>
  </r>
  <r>
    <s v="India"/>
    <x v="0"/>
    <x v="1"/>
    <x v="1"/>
    <x v="0"/>
    <n v="26.446912000000001"/>
    <n v="91.439057000000005"/>
    <x v="5"/>
    <n v="77"/>
    <n v="280"/>
    <n v="132"/>
  </r>
  <r>
    <s v="India"/>
    <x v="1"/>
    <x v="15"/>
    <x v="365"/>
    <x v="0"/>
    <n v="25.251013"/>
    <n v="86.989001000000002"/>
    <x v="2"/>
    <n v="16"/>
    <n v="27"/>
    <n v="20"/>
  </r>
  <r>
    <s v="India"/>
    <x v="1"/>
    <x v="15"/>
    <x v="365"/>
    <x v="0"/>
    <n v="25.251013"/>
    <n v="86.989001000000002"/>
    <x v="3"/>
    <n v="2"/>
    <n v="4"/>
    <n v="2"/>
  </r>
  <r>
    <s v="India"/>
    <x v="1"/>
    <x v="15"/>
    <x v="365"/>
    <x v="0"/>
    <n v="25.251013"/>
    <n v="86.989001000000002"/>
    <x v="6"/>
    <n v="11"/>
    <n v="17"/>
    <n v="14"/>
  </r>
  <r>
    <s v="India"/>
    <x v="1"/>
    <x v="15"/>
    <x v="365"/>
    <x v="0"/>
    <n v="25.251013"/>
    <n v="86.989001000000002"/>
    <x v="0"/>
    <n v="10"/>
    <n v="25"/>
    <n v="15"/>
  </r>
  <r>
    <s v="India"/>
    <x v="2"/>
    <x v="7"/>
    <x v="7"/>
    <x v="0"/>
    <n v="16.554731"/>
    <n v="80.649109999999993"/>
    <x v="1"/>
    <n v="39"/>
    <n v="76"/>
    <n v="56"/>
  </r>
  <r>
    <s v="India"/>
    <x v="0"/>
    <x v="1"/>
    <x v="1"/>
    <x v="0"/>
    <n v="26.446912000000001"/>
    <n v="91.439057000000005"/>
    <x v="0"/>
    <n v="12"/>
    <n v="17"/>
    <n v="14"/>
  </r>
  <r>
    <s v="India"/>
    <x v="1"/>
    <x v="18"/>
    <x v="369"/>
    <x v="0"/>
    <n v="25.610368999999999"/>
    <n v="85.132568000000006"/>
    <x v="2"/>
    <n v="13"/>
    <n v="13"/>
    <n v="13"/>
  </r>
  <r>
    <s v="India"/>
    <x v="1"/>
    <x v="18"/>
    <x v="369"/>
    <x v="0"/>
    <n v="25.610368999999999"/>
    <n v="85.132568000000006"/>
    <x v="4"/>
    <n v="25"/>
    <n v="31"/>
    <n v="28"/>
  </r>
  <r>
    <s v="India"/>
    <x v="1"/>
    <x v="18"/>
    <x v="30"/>
    <x v="0"/>
    <n v="25.619651000000001"/>
    <n v="85.147381999999993"/>
    <x v="5"/>
    <n v="96"/>
    <n v="328"/>
    <n v="231"/>
  </r>
  <r>
    <s v="India"/>
    <x v="1"/>
    <x v="18"/>
    <x v="31"/>
    <x v="0"/>
    <n v="25.599485999999999"/>
    <n v="85.113665999999995"/>
    <x v="5"/>
    <n v="68"/>
    <n v="198"/>
    <n v="117"/>
  </r>
  <r>
    <s v="India"/>
    <x v="1"/>
    <x v="18"/>
    <x v="31"/>
    <x v="0"/>
    <n v="25.599485999999999"/>
    <n v="85.113665999999995"/>
    <x v="6"/>
    <n v="4"/>
    <n v="101"/>
    <n v="26"/>
  </r>
  <r>
    <s v="India"/>
    <x v="1"/>
    <x v="20"/>
    <x v="23"/>
    <x v="0"/>
    <n v="25.032800000000002"/>
    <n v="85.419479999999993"/>
    <x v="3"/>
    <n v="2"/>
    <n v="3"/>
    <n v="2"/>
  </r>
  <r>
    <s v="India"/>
    <x v="1"/>
    <x v="20"/>
    <x v="23"/>
    <x v="0"/>
    <n v="25.032800000000002"/>
    <n v="85.419479999999993"/>
    <x v="6"/>
    <m/>
    <m/>
    <m/>
  </r>
  <r>
    <s v="India"/>
    <x v="1"/>
    <x v="20"/>
    <x v="23"/>
    <x v="0"/>
    <n v="25.032800000000002"/>
    <n v="85.419479999999993"/>
    <x v="0"/>
    <n v="29"/>
    <n v="39"/>
    <n v="34"/>
  </r>
  <r>
    <s v="India"/>
    <x v="1"/>
    <x v="31"/>
    <x v="38"/>
    <x v="0"/>
    <n v="25.859655"/>
    <n v="85.779439999999994"/>
    <x v="5"/>
    <n v="33"/>
    <n v="147"/>
    <n v="80"/>
  </r>
  <r>
    <s v="India"/>
    <x v="1"/>
    <x v="31"/>
    <x v="38"/>
    <x v="0"/>
    <n v="25.859655"/>
    <n v="85.779439999999994"/>
    <x v="6"/>
    <n v="7"/>
    <n v="112"/>
    <n v="19"/>
  </r>
  <r>
    <s v="India"/>
    <x v="1"/>
    <x v="24"/>
    <x v="27"/>
    <x v="0"/>
    <n v="25.376776"/>
    <n v="86.471523000000005"/>
    <x v="1"/>
    <n v="113"/>
    <n v="191"/>
    <n v="137"/>
  </r>
  <r>
    <s v="India"/>
    <x v="1"/>
    <x v="24"/>
    <x v="27"/>
    <x v="0"/>
    <n v="25.376776"/>
    <n v="86.471523000000005"/>
    <x v="2"/>
    <n v="22"/>
    <n v="24"/>
    <n v="23"/>
  </r>
  <r>
    <s v="India"/>
    <x v="1"/>
    <x v="28"/>
    <x v="33"/>
    <x v="0"/>
    <n v="26.114419999999999"/>
    <n v="85.398129999999995"/>
    <x v="2"/>
    <n v="4"/>
    <n v="35"/>
    <n v="20"/>
  </r>
  <r>
    <s v="India"/>
    <x v="1"/>
    <x v="28"/>
    <x v="368"/>
    <x v="0"/>
    <n v="26.120899999999999"/>
    <n v="85.364699999999999"/>
    <x v="4"/>
    <n v="2"/>
    <n v="4"/>
    <n v="3"/>
  </r>
  <r>
    <s v="India"/>
    <x v="1"/>
    <x v="18"/>
    <x v="34"/>
    <x v="0"/>
    <n v="25.586562000000001"/>
    <n v="85.043586000000005"/>
    <x v="0"/>
    <n v="1"/>
    <n v="28"/>
    <n v="20"/>
  </r>
  <r>
    <s v="India"/>
    <x v="1"/>
    <x v="26"/>
    <x v="370"/>
    <x v="0"/>
    <n v="24.762518"/>
    <n v="84.982348000000002"/>
    <x v="0"/>
    <n v="11"/>
    <n v="66"/>
    <n v="55"/>
  </r>
  <r>
    <s v="India"/>
    <x v="1"/>
    <x v="30"/>
    <x v="36"/>
    <x v="0"/>
    <n v="25.560082999999999"/>
    <n v="87.553264999999996"/>
    <x v="6"/>
    <m/>
    <m/>
    <m/>
  </r>
  <r>
    <s v="India"/>
    <x v="1"/>
    <x v="18"/>
    <x v="37"/>
    <x v="0"/>
    <n v="25.592538999999999"/>
    <n v="85.227158000000003"/>
    <x v="2"/>
    <n v="4"/>
    <n v="23"/>
    <n v="10"/>
  </r>
  <r>
    <s v="India"/>
    <x v="1"/>
    <x v="18"/>
    <x v="37"/>
    <x v="0"/>
    <n v="25.592538999999999"/>
    <n v="85.227158000000003"/>
    <x v="0"/>
    <n v="12"/>
    <n v="36"/>
    <n v="21"/>
  </r>
  <r>
    <s v="India"/>
    <x v="1"/>
    <x v="23"/>
    <x v="26"/>
    <x v="0"/>
    <n v="27.308327999999999"/>
    <n v="84.531741999999994"/>
    <x v="5"/>
    <n v="50"/>
    <n v="345"/>
    <n v="159"/>
  </r>
  <r>
    <s v="India"/>
    <x v="1"/>
    <x v="25"/>
    <x v="28"/>
    <x v="0"/>
    <n v="25.780825700000001"/>
    <n v="84.744676799999993"/>
    <x v="3"/>
    <n v="4"/>
    <n v="11"/>
    <n v="6"/>
  </r>
  <r>
    <s v="India"/>
    <x v="1"/>
    <x v="15"/>
    <x v="16"/>
    <x v="0"/>
    <n v="25.265194000000001"/>
    <n v="87.012946999999997"/>
    <x v="2"/>
    <n v="9"/>
    <n v="15"/>
    <n v="10"/>
  </r>
  <r>
    <s v="India"/>
    <x v="6"/>
    <x v="39"/>
    <x v="378"/>
    <x v="0"/>
    <n v="28.725650399999999"/>
    <n v="77.201157300000006"/>
    <x v="6"/>
    <n v="28"/>
    <n v="44"/>
    <n v="30"/>
  </r>
  <r>
    <s v="India"/>
    <x v="6"/>
    <x v="39"/>
    <x v="378"/>
    <x v="0"/>
    <n v="28.725650399999999"/>
    <n v="77.201157300000006"/>
    <x v="0"/>
    <n v="9"/>
    <n v="86"/>
    <n v="42"/>
  </r>
  <r>
    <s v="India"/>
    <x v="6"/>
    <x v="39"/>
    <x v="50"/>
    <x v="0"/>
    <n v="28.5512005"/>
    <n v="77.2735737"/>
    <x v="2"/>
    <n v="10"/>
    <n v="178"/>
    <n v="104"/>
  </r>
  <r>
    <s v="India"/>
    <x v="6"/>
    <x v="39"/>
    <x v="51"/>
    <x v="0"/>
    <n v="28.656756000000001"/>
    <n v="77.227233999999996"/>
    <x v="4"/>
    <n v="17"/>
    <n v="58"/>
    <n v="31"/>
  </r>
  <r>
    <s v="India"/>
    <x v="6"/>
    <x v="39"/>
    <x v="51"/>
    <x v="0"/>
    <n v="28.656756000000001"/>
    <n v="77.227233999999996"/>
    <x v="6"/>
    <n v="108"/>
    <n v="170"/>
    <n v="170"/>
  </r>
  <r>
    <s v="India"/>
    <x v="6"/>
    <x v="39"/>
    <x v="379"/>
    <x v="0"/>
    <n v="28.7500499"/>
    <n v="77.111261499999998"/>
    <x v="5"/>
    <n v="29"/>
    <n v="304"/>
    <n v="116"/>
  </r>
  <r>
    <s v="India"/>
    <x v="6"/>
    <x v="39"/>
    <x v="379"/>
    <x v="0"/>
    <n v="28.7500499"/>
    <n v="77.111261499999998"/>
    <x v="4"/>
    <n v="65"/>
    <n v="77"/>
    <n v="70"/>
  </r>
  <r>
    <s v="India"/>
    <x v="6"/>
    <x v="39"/>
    <x v="379"/>
    <x v="0"/>
    <n v="28.7500499"/>
    <n v="77.111261499999998"/>
    <x v="0"/>
    <n v="25"/>
    <n v="28"/>
    <n v="27"/>
  </r>
  <r>
    <s v="India"/>
    <x v="6"/>
    <x v="39"/>
    <x v="52"/>
    <x v="0"/>
    <n v="28.498570999999998"/>
    <n v="77.264840000000007"/>
    <x v="1"/>
    <n v="86"/>
    <n v="309"/>
    <n v="161"/>
  </r>
  <r>
    <s v="India"/>
    <x v="6"/>
    <x v="39"/>
    <x v="380"/>
    <x v="0"/>
    <n v="28.571027399999998"/>
    <n v="77.071900600000006"/>
    <x v="1"/>
    <n v="86"/>
    <n v="500"/>
    <n v="211"/>
  </r>
  <r>
    <s v="India"/>
    <x v="5"/>
    <x v="38"/>
    <x v="46"/>
    <x v="0"/>
    <n v="30.735567"/>
    <n v="76.775713999999994"/>
    <x v="6"/>
    <n v="36"/>
    <n v="101"/>
    <n v="56"/>
  </r>
  <r>
    <s v="India"/>
    <x v="5"/>
    <x v="38"/>
    <x v="375"/>
    <x v="0"/>
    <n v="30.751462"/>
    <n v="76.762878999999998"/>
    <x v="1"/>
    <n v="48"/>
    <n v="118"/>
    <n v="90"/>
  </r>
  <r>
    <s v="India"/>
    <x v="5"/>
    <x v="38"/>
    <x v="375"/>
    <x v="0"/>
    <n v="30.751462"/>
    <n v="76.762878999999998"/>
    <x v="2"/>
    <n v="14"/>
    <n v="63"/>
    <n v="31"/>
  </r>
  <r>
    <s v="India"/>
    <x v="5"/>
    <x v="38"/>
    <x v="53"/>
    <x v="0"/>
    <n v="30.719859"/>
    <n v="76.738636999999997"/>
    <x v="1"/>
    <m/>
    <m/>
    <m/>
  </r>
  <r>
    <s v="India"/>
    <x v="5"/>
    <x v="38"/>
    <x v="53"/>
    <x v="0"/>
    <n v="30.719859"/>
    <n v="76.738636999999997"/>
    <x v="3"/>
    <m/>
    <m/>
    <m/>
  </r>
  <r>
    <s v="India"/>
    <x v="5"/>
    <x v="38"/>
    <x v="53"/>
    <x v="0"/>
    <n v="30.719859"/>
    <n v="76.738636999999997"/>
    <x v="6"/>
    <n v="32"/>
    <n v="109"/>
    <n v="59"/>
  </r>
  <r>
    <s v="India"/>
    <x v="5"/>
    <x v="38"/>
    <x v="53"/>
    <x v="0"/>
    <n v="30.719859"/>
    <n v="76.738636999999997"/>
    <x v="0"/>
    <n v="4"/>
    <n v="110"/>
    <n v="64"/>
  </r>
  <r>
    <s v="India"/>
    <x v="4"/>
    <x v="32"/>
    <x v="376"/>
    <x v="0"/>
    <n v="21.194814999999998"/>
    <n v="81.314769999999996"/>
    <x v="2"/>
    <n v="7"/>
    <n v="60"/>
    <n v="19"/>
  </r>
  <r>
    <s v="India"/>
    <x v="4"/>
    <x v="32"/>
    <x v="376"/>
    <x v="0"/>
    <n v="21.194814999999998"/>
    <n v="81.314769999999996"/>
    <x v="4"/>
    <n v="14"/>
    <n v="41"/>
    <n v="19"/>
  </r>
  <r>
    <s v="India"/>
    <x v="4"/>
    <x v="32"/>
    <x v="376"/>
    <x v="0"/>
    <n v="21.194814999999998"/>
    <n v="81.314769999999996"/>
    <x v="6"/>
    <n v="10"/>
    <n v="63"/>
    <n v="23"/>
  </r>
  <r>
    <s v="India"/>
    <x v="4"/>
    <x v="32"/>
    <x v="54"/>
    <x v="0"/>
    <n v="21.185570999999999"/>
    <n v="81.343175000000002"/>
    <x v="1"/>
    <n v="32"/>
    <n v="79"/>
    <n v="49"/>
  </r>
  <r>
    <s v="India"/>
    <x v="6"/>
    <x v="39"/>
    <x v="47"/>
    <x v="0"/>
    <n v="28.815328999999998"/>
    <n v="77.153009999999995"/>
    <x v="3"/>
    <n v="10"/>
    <n v="13"/>
    <n v="12"/>
  </r>
  <r>
    <s v="India"/>
    <x v="6"/>
    <x v="39"/>
    <x v="47"/>
    <x v="0"/>
    <n v="28.815328999999998"/>
    <n v="77.153009999999995"/>
    <x v="6"/>
    <n v="2"/>
    <n v="58"/>
    <n v="15"/>
  </r>
  <r>
    <s v="India"/>
    <x v="6"/>
    <x v="39"/>
    <x v="372"/>
    <x v="0"/>
    <n v="28.647621999999998"/>
    <n v="77.315809000000002"/>
    <x v="4"/>
    <n v="1"/>
    <n v="35"/>
    <n v="15"/>
  </r>
  <r>
    <s v="India"/>
    <x v="6"/>
    <x v="39"/>
    <x v="372"/>
    <x v="0"/>
    <n v="28.647621999999998"/>
    <n v="77.315809000000002"/>
    <x v="6"/>
    <n v="82"/>
    <n v="174"/>
    <n v="170"/>
  </r>
  <r>
    <s v="India"/>
    <x v="6"/>
    <x v="39"/>
    <x v="49"/>
    <x v="0"/>
    <n v="28.776199999999999"/>
    <n v="77.051074"/>
    <x v="5"/>
    <n v="53"/>
    <n v="435"/>
    <n v="260"/>
  </r>
  <r>
    <s v="India"/>
    <x v="6"/>
    <x v="39"/>
    <x v="49"/>
    <x v="0"/>
    <n v="28.776199999999999"/>
    <n v="77.051074"/>
    <x v="6"/>
    <n v="15"/>
    <n v="109"/>
    <n v="40"/>
  </r>
  <r>
    <s v="India"/>
    <x v="6"/>
    <x v="39"/>
    <x v="378"/>
    <x v="0"/>
    <n v="28.725650399999999"/>
    <n v="77.201157300000006"/>
    <x v="1"/>
    <n v="62"/>
    <n v="333"/>
    <n v="170"/>
  </r>
  <r>
    <s v="India"/>
    <x v="4"/>
    <x v="32"/>
    <x v="54"/>
    <x v="0"/>
    <n v="21.185570999999999"/>
    <n v="81.343175000000002"/>
    <x v="3"/>
    <n v="2"/>
    <n v="2"/>
    <n v="2"/>
  </r>
  <r>
    <s v="India"/>
    <x v="4"/>
    <x v="32"/>
    <x v="39"/>
    <x v="0"/>
    <n v="21.224231"/>
    <n v="81.408349999999999"/>
    <x v="5"/>
    <n v="32"/>
    <n v="139"/>
    <n v="56"/>
  </r>
  <r>
    <s v="India"/>
    <x v="4"/>
    <x v="32"/>
    <x v="39"/>
    <x v="0"/>
    <n v="21.224231"/>
    <n v="81.408349999999999"/>
    <x v="1"/>
    <n v="37"/>
    <n v="136"/>
    <n v="70"/>
  </r>
  <r>
    <s v="India"/>
    <x v="4"/>
    <x v="33"/>
    <x v="40"/>
    <x v="0"/>
    <n v="22.088149999999999"/>
    <n v="82.137370000000004"/>
    <x v="5"/>
    <m/>
    <m/>
    <m/>
  </r>
  <r>
    <s v="India"/>
    <x v="4"/>
    <x v="34"/>
    <x v="41"/>
    <x v="0"/>
    <n v="22.118124999999999"/>
    <n v="83.140608"/>
    <x v="1"/>
    <n v="56"/>
    <n v="167"/>
    <n v="93"/>
  </r>
  <r>
    <s v="India"/>
    <x v="1"/>
    <x v="36"/>
    <x v="44"/>
    <x v="0"/>
    <n v="24.952822000000001"/>
    <n v="84.002396000000005"/>
    <x v="2"/>
    <n v="2"/>
    <n v="3"/>
    <n v="2"/>
  </r>
  <r>
    <s v="India"/>
    <x v="1"/>
    <x v="37"/>
    <x v="45"/>
    <x v="0"/>
    <n v="26.227166499999999"/>
    <n v="84.357042699999994"/>
    <x v="2"/>
    <m/>
    <m/>
    <m/>
  </r>
  <r>
    <s v="India"/>
    <x v="5"/>
    <x v="38"/>
    <x v="46"/>
    <x v="0"/>
    <n v="30.735567"/>
    <n v="76.775713999999994"/>
    <x v="1"/>
    <n v="33"/>
    <n v="153"/>
    <n v="94"/>
  </r>
  <r>
    <s v="India"/>
    <x v="5"/>
    <x v="38"/>
    <x v="46"/>
    <x v="0"/>
    <n v="30.735567"/>
    <n v="76.775713999999994"/>
    <x v="3"/>
    <n v="13"/>
    <n v="20"/>
    <n v="17"/>
  </r>
  <r>
    <s v="India"/>
    <x v="5"/>
    <x v="38"/>
    <x v="46"/>
    <x v="0"/>
    <n v="30.735567"/>
    <n v="76.775713999999994"/>
    <x v="4"/>
    <n v="11"/>
    <n v="42"/>
    <n v="25"/>
  </r>
  <r>
    <s v="India"/>
    <x v="4"/>
    <x v="35"/>
    <x v="42"/>
    <x v="0"/>
    <n v="22.368195"/>
    <n v="82.746431000000001"/>
    <x v="1"/>
    <m/>
    <m/>
    <m/>
  </r>
  <r>
    <s v="India"/>
    <x v="4"/>
    <x v="35"/>
    <x v="42"/>
    <x v="0"/>
    <n v="22.368195"/>
    <n v="82.746431000000001"/>
    <x v="2"/>
    <m/>
    <m/>
    <m/>
  </r>
  <r>
    <s v="India"/>
    <x v="4"/>
    <x v="35"/>
    <x v="43"/>
    <x v="0"/>
    <n v="22.348441000000001"/>
    <n v="82.549610999999999"/>
    <x v="2"/>
    <n v="66"/>
    <n v="97"/>
    <n v="83"/>
  </r>
  <r>
    <s v="India"/>
    <x v="4"/>
    <x v="35"/>
    <x v="43"/>
    <x v="0"/>
    <n v="22.348441000000001"/>
    <n v="82.549610999999999"/>
    <x v="0"/>
    <n v="35"/>
    <n v="36"/>
    <n v="35"/>
  </r>
  <r>
    <s v="India"/>
    <x v="4"/>
    <x v="210"/>
    <x v="373"/>
    <x v="0"/>
    <n v="22.126650000000001"/>
    <n v="83.483211999999995"/>
    <x v="2"/>
    <n v="34"/>
    <n v="48"/>
    <n v="39"/>
  </r>
  <r>
    <s v="India"/>
    <x v="4"/>
    <x v="210"/>
    <x v="373"/>
    <x v="0"/>
    <n v="22.126650000000001"/>
    <n v="83.483211999999995"/>
    <x v="3"/>
    <n v="2"/>
    <n v="2"/>
    <n v="2"/>
  </r>
  <r>
    <s v="India"/>
    <x v="4"/>
    <x v="40"/>
    <x v="58"/>
    <x v="0"/>
    <n v="21.371751"/>
    <n v="81.664929000000001"/>
    <x v="4"/>
    <n v="13"/>
    <n v="85"/>
    <n v="32"/>
  </r>
  <r>
    <s v="India"/>
    <x v="4"/>
    <x v="212"/>
    <x v="377"/>
    <x v="0"/>
    <n v="22.06631475"/>
    <n v="83.33820077"/>
    <x v="6"/>
    <n v="18"/>
    <n v="52"/>
    <n v="23"/>
  </r>
  <r>
    <s v="India"/>
    <x v="4"/>
    <x v="40"/>
    <x v="56"/>
    <x v="0"/>
    <n v="21.219664999999999"/>
    <n v="81.630094"/>
    <x v="1"/>
    <n v="50"/>
    <n v="102"/>
    <n v="68"/>
  </r>
  <r>
    <s v="India"/>
    <x v="4"/>
    <x v="40"/>
    <x v="58"/>
    <x v="0"/>
    <n v="21.371751"/>
    <n v="81.664929000000001"/>
    <x v="2"/>
    <n v="23"/>
    <n v="60"/>
    <n v="40"/>
  </r>
  <r>
    <s v="India"/>
    <x v="6"/>
    <x v="39"/>
    <x v="74"/>
    <x v="0"/>
    <n v="28.657381399999998"/>
    <n v="77.158544699999993"/>
    <x v="5"/>
    <n v="31"/>
    <n v="358"/>
    <n v="150"/>
  </r>
  <r>
    <s v="India"/>
    <x v="6"/>
    <x v="39"/>
    <x v="74"/>
    <x v="0"/>
    <n v="28.657381399999998"/>
    <n v="77.158544699999993"/>
    <x v="0"/>
    <n v="7"/>
    <n v="205"/>
    <n v="98"/>
  </r>
  <r>
    <s v="India"/>
    <x v="6"/>
    <x v="39"/>
    <x v="467"/>
    <x v="0"/>
    <n v="28.530785000000002"/>
    <n v="77.271254999999996"/>
    <x v="5"/>
    <n v="58"/>
    <n v="340"/>
    <n v="177"/>
  </r>
  <r>
    <s v="India"/>
    <x v="6"/>
    <x v="39"/>
    <x v="467"/>
    <x v="0"/>
    <n v="28.530785000000002"/>
    <n v="77.271254999999996"/>
    <x v="1"/>
    <n v="95"/>
    <n v="483"/>
    <n v="209"/>
  </r>
  <r>
    <s v="India"/>
    <x v="6"/>
    <x v="39"/>
    <x v="467"/>
    <x v="0"/>
    <n v="28.530785000000002"/>
    <n v="77.271254999999996"/>
    <x v="2"/>
    <n v="29"/>
    <n v="140"/>
    <n v="80"/>
  </r>
  <r>
    <s v="India"/>
    <x v="6"/>
    <x v="39"/>
    <x v="467"/>
    <x v="0"/>
    <n v="28.530785000000002"/>
    <n v="77.271254999999996"/>
    <x v="6"/>
    <n v="57"/>
    <n v="132"/>
    <n v="76"/>
  </r>
  <r>
    <s v="India"/>
    <x v="6"/>
    <x v="39"/>
    <x v="59"/>
    <x v="0"/>
    <n v="28.623763"/>
    <n v="77.287209000000004"/>
    <x v="0"/>
    <n v="1"/>
    <n v="257"/>
    <n v="128"/>
  </r>
  <r>
    <s v="India"/>
    <x v="6"/>
    <x v="39"/>
    <x v="60"/>
    <x v="0"/>
    <n v="28.674045"/>
    <n v="77.131022999999999"/>
    <x v="1"/>
    <n v="89"/>
    <n v="312"/>
    <n v="188"/>
  </r>
  <r>
    <s v="India"/>
    <x v="6"/>
    <x v="39"/>
    <x v="60"/>
    <x v="0"/>
    <n v="28.674045"/>
    <n v="77.131022999999999"/>
    <x v="2"/>
    <n v="35"/>
    <n v="98"/>
    <n v="65"/>
  </r>
  <r>
    <s v="India"/>
    <x v="6"/>
    <x v="39"/>
    <x v="61"/>
    <x v="0"/>
    <n v="28.639652000000002"/>
    <n v="77.146275000000003"/>
    <x v="5"/>
    <n v="37"/>
    <n v="305"/>
    <n v="126"/>
  </r>
  <r>
    <s v="India"/>
    <x v="6"/>
    <x v="39"/>
    <x v="66"/>
    <x v="0"/>
    <n v="28.562776299999999"/>
    <n v="77.118005299999993"/>
    <x v="1"/>
    <n v="73"/>
    <n v="276"/>
    <n v="154"/>
  </r>
  <r>
    <s v="India"/>
    <x v="6"/>
    <x v="39"/>
    <x v="67"/>
    <x v="0"/>
    <n v="28.681173600000001"/>
    <n v="77.302523399999998"/>
    <x v="5"/>
    <n v="65"/>
    <n v="294"/>
    <n v="149"/>
  </r>
  <r>
    <s v="India"/>
    <x v="6"/>
    <x v="39"/>
    <x v="67"/>
    <x v="0"/>
    <n v="28.681173600000001"/>
    <n v="77.302523399999998"/>
    <x v="1"/>
    <n v="92"/>
    <n v="189"/>
    <n v="135"/>
  </r>
  <r>
    <s v="India"/>
    <x v="6"/>
    <x v="39"/>
    <x v="67"/>
    <x v="0"/>
    <n v="28.681173600000001"/>
    <n v="77.302523399999998"/>
    <x v="2"/>
    <n v="12"/>
    <n v="73"/>
    <n v="27"/>
  </r>
  <r>
    <s v="India"/>
    <x v="6"/>
    <x v="39"/>
    <x v="67"/>
    <x v="0"/>
    <n v="28.681173600000001"/>
    <n v="77.302523399999998"/>
    <x v="6"/>
    <n v="30"/>
    <n v="118"/>
    <n v="49"/>
  </r>
  <r>
    <s v="India"/>
    <x v="6"/>
    <x v="39"/>
    <x v="384"/>
    <x v="0"/>
    <n v="28.628623999999999"/>
    <n v="77.241060000000004"/>
    <x v="2"/>
    <n v="9"/>
    <n v="306"/>
    <n v="47"/>
  </r>
  <r>
    <s v="India"/>
    <x v="6"/>
    <x v="39"/>
    <x v="384"/>
    <x v="0"/>
    <n v="28.628623999999999"/>
    <n v="77.241060000000004"/>
    <x v="3"/>
    <n v="6"/>
    <n v="17"/>
    <n v="9"/>
  </r>
  <r>
    <s v="India"/>
    <x v="6"/>
    <x v="39"/>
    <x v="68"/>
    <x v="0"/>
    <n v="28.73282"/>
    <n v="77.170632999999995"/>
    <x v="2"/>
    <n v="50"/>
    <n v="271"/>
    <n v="112"/>
  </r>
  <r>
    <s v="India"/>
    <x v="6"/>
    <x v="39"/>
    <x v="68"/>
    <x v="0"/>
    <n v="28.73282"/>
    <n v="77.170632999999995"/>
    <x v="3"/>
    <n v="6"/>
    <n v="12"/>
    <n v="9"/>
  </r>
  <r>
    <s v="India"/>
    <x v="6"/>
    <x v="39"/>
    <x v="68"/>
    <x v="0"/>
    <n v="28.73282"/>
    <n v="77.170632999999995"/>
    <x v="0"/>
    <n v="1"/>
    <n v="241"/>
    <n v="98"/>
  </r>
  <r>
    <s v="India"/>
    <x v="6"/>
    <x v="39"/>
    <x v="69"/>
    <x v="0"/>
    <n v="28.684678000000002"/>
    <n v="77.076573999999994"/>
    <x v="4"/>
    <n v="13"/>
    <n v="111"/>
    <n v="50"/>
  </r>
  <r>
    <s v="India"/>
    <x v="6"/>
    <x v="39"/>
    <x v="70"/>
    <x v="0"/>
    <n v="28.609089999999998"/>
    <n v="77.032541300000005"/>
    <x v="6"/>
    <n v="30"/>
    <n v="102"/>
    <n v="70"/>
  </r>
  <r>
    <s v="India"/>
    <x v="6"/>
    <x v="39"/>
    <x v="70"/>
    <x v="0"/>
    <n v="28.609089999999998"/>
    <n v="77.032541300000005"/>
    <x v="0"/>
    <n v="14"/>
    <n v="56"/>
    <n v="36"/>
  </r>
  <r>
    <s v="India"/>
    <x v="6"/>
    <x v="39"/>
    <x v="71"/>
    <x v="0"/>
    <n v="28.570173"/>
    <n v="76.933762000000002"/>
    <x v="5"/>
    <n v="27"/>
    <n v="348"/>
    <n v="134"/>
  </r>
  <r>
    <s v="India"/>
    <x v="6"/>
    <x v="39"/>
    <x v="71"/>
    <x v="0"/>
    <n v="28.570173"/>
    <n v="76.933762000000002"/>
    <x v="1"/>
    <n v="63"/>
    <n v="274"/>
    <n v="154"/>
  </r>
  <r>
    <s v="India"/>
    <x v="6"/>
    <x v="39"/>
    <x v="71"/>
    <x v="0"/>
    <n v="28.570173"/>
    <n v="76.933762000000002"/>
    <x v="4"/>
    <n v="7"/>
    <n v="34"/>
    <n v="16"/>
  </r>
  <r>
    <s v="India"/>
    <x v="6"/>
    <x v="39"/>
    <x v="72"/>
    <x v="0"/>
    <n v="28.822835999999999"/>
    <n v="77.101980999999995"/>
    <x v="1"/>
    <n v="94"/>
    <n v="412"/>
    <n v="228"/>
  </r>
  <r>
    <s v="India"/>
    <x v="6"/>
    <x v="39"/>
    <x v="73"/>
    <x v="0"/>
    <n v="28.567889999999998"/>
    <n v="77.250514999999993"/>
    <x v="3"/>
    <n v="5"/>
    <n v="7"/>
    <n v="6"/>
  </r>
  <r>
    <s v="India"/>
    <x v="6"/>
    <x v="39"/>
    <x v="381"/>
    <x v="0"/>
    <n v="28.591824500000001"/>
    <n v="77.227307400000001"/>
    <x v="2"/>
    <m/>
    <m/>
    <m/>
  </r>
  <r>
    <s v="India"/>
    <x v="6"/>
    <x v="39"/>
    <x v="382"/>
    <x v="0"/>
    <n v="28.611281000000002"/>
    <n v="77.237737999999993"/>
    <x v="0"/>
    <n v="3"/>
    <n v="276"/>
    <n v="119"/>
  </r>
  <r>
    <s v="India"/>
    <x v="6"/>
    <x v="39"/>
    <x v="383"/>
    <x v="0"/>
    <n v="28.636429"/>
    <n v="77.201066999999995"/>
    <x v="3"/>
    <n v="8"/>
    <n v="13"/>
    <n v="10"/>
  </r>
  <r>
    <s v="India"/>
    <x v="6"/>
    <x v="39"/>
    <x v="69"/>
    <x v="0"/>
    <n v="28.684678000000002"/>
    <n v="77.076573999999994"/>
    <x v="5"/>
    <n v="28"/>
    <n v="390"/>
    <n v="234"/>
  </r>
  <r>
    <s v="India"/>
    <x v="6"/>
    <x v="39"/>
    <x v="69"/>
    <x v="0"/>
    <n v="28.684678000000002"/>
    <n v="77.076573999999994"/>
    <x v="1"/>
    <n v="90"/>
    <n v="443"/>
    <n v="274"/>
  </r>
  <r>
    <s v="India"/>
    <x v="6"/>
    <x v="39"/>
    <x v="62"/>
    <x v="0"/>
    <n v="28.563262000000002"/>
    <n v="77.186937"/>
    <x v="1"/>
    <n v="88"/>
    <n v="444"/>
    <n v="208"/>
  </r>
  <r>
    <s v="India"/>
    <x v="6"/>
    <x v="39"/>
    <x v="63"/>
    <x v="0"/>
    <n v="28.732527999999999"/>
    <n v="77.119919999999993"/>
    <x v="5"/>
    <n v="33"/>
    <n v="430"/>
    <n v="260"/>
  </r>
  <r>
    <s v="India"/>
    <x v="6"/>
    <x v="39"/>
    <x v="65"/>
    <x v="0"/>
    <n v="28.550424899999999"/>
    <n v="77.215937699999998"/>
    <x v="5"/>
    <n v="70"/>
    <n v="344"/>
    <n v="217"/>
  </r>
  <r>
    <s v="India"/>
    <x v="6"/>
    <x v="39"/>
    <x v="77"/>
    <x v="0"/>
    <n v="28.672342"/>
    <n v="77.315259999999995"/>
    <x v="4"/>
    <n v="9"/>
    <n v="44"/>
    <n v="18"/>
  </r>
  <r>
    <s v="India"/>
    <x v="6"/>
    <x v="39"/>
    <x v="78"/>
    <x v="0"/>
    <n v="28.699793"/>
    <n v="77.165452999999999"/>
    <x v="2"/>
    <n v="50"/>
    <n v="266"/>
    <n v="133"/>
  </r>
  <r>
    <s v="India"/>
    <x v="6"/>
    <x v="39"/>
    <x v="385"/>
    <x v="0"/>
    <n v="28.580279999999998"/>
    <n v="77.233829"/>
    <x v="1"/>
    <n v="78"/>
    <n v="395"/>
    <n v="164"/>
  </r>
  <r>
    <s v="India"/>
    <x v="6"/>
    <x v="39"/>
    <x v="385"/>
    <x v="0"/>
    <n v="28.580279999999998"/>
    <n v="77.233829"/>
    <x v="3"/>
    <n v="15"/>
    <n v="29"/>
    <n v="19"/>
  </r>
  <r>
    <s v="India"/>
    <x v="7"/>
    <x v="41"/>
    <x v="81"/>
    <x v="0"/>
    <n v="23.002656999999999"/>
    <n v="72.591911999999994"/>
    <x v="4"/>
    <n v="26"/>
    <n v="53"/>
    <n v="37"/>
  </r>
  <r>
    <s v="India"/>
    <x v="6"/>
    <x v="39"/>
    <x v="79"/>
    <x v="0"/>
    <n v="28.710508000000001"/>
    <n v="77.249485000000007"/>
    <x v="0"/>
    <n v="2"/>
    <n v="202"/>
    <n v="105"/>
  </r>
  <r>
    <s v="India"/>
    <x v="10"/>
    <x v="45"/>
    <x v="110"/>
    <x v="0"/>
    <n v="12.917348"/>
    <n v="77.622812999999994"/>
    <x v="3"/>
    <n v="3"/>
    <n v="4"/>
    <n v="4"/>
  </r>
  <r>
    <s v="India"/>
    <x v="10"/>
    <x v="45"/>
    <x v="110"/>
    <x v="0"/>
    <n v="12.917348"/>
    <n v="77.622812999999994"/>
    <x v="0"/>
    <n v="4"/>
    <n v="85"/>
    <n v="37"/>
  </r>
  <r>
    <s v="India"/>
    <x v="10"/>
    <x v="61"/>
    <x v="111"/>
    <x v="0"/>
    <n v="11.55358"/>
    <n v="76.555210000000002"/>
    <x v="4"/>
    <n v="2"/>
    <n v="7"/>
    <n v="4"/>
  </r>
  <r>
    <s v="India"/>
    <x v="10"/>
    <x v="55"/>
    <x v="103"/>
    <x v="0"/>
    <n v="13.428827999999999"/>
    <n v="77.731418000000005"/>
    <x v="5"/>
    <n v="21"/>
    <n v="62"/>
    <n v="39"/>
  </r>
  <r>
    <s v="India"/>
    <x v="10"/>
    <x v="55"/>
    <x v="103"/>
    <x v="0"/>
    <n v="13.428827999999999"/>
    <n v="77.731418000000005"/>
    <x v="2"/>
    <n v="15"/>
    <n v="41"/>
    <n v="26"/>
  </r>
  <r>
    <s v="India"/>
    <x v="10"/>
    <x v="56"/>
    <x v="104"/>
    <x v="0"/>
    <n v="13.328028"/>
    <n v="75.797055999999998"/>
    <x v="3"/>
    <m/>
    <m/>
    <m/>
  </r>
  <r>
    <s v="India"/>
    <x v="10"/>
    <x v="56"/>
    <x v="104"/>
    <x v="0"/>
    <n v="13.328028"/>
    <n v="75.797055999999998"/>
    <x v="4"/>
    <m/>
    <m/>
    <m/>
  </r>
  <r>
    <s v="India"/>
    <x v="10"/>
    <x v="56"/>
    <x v="104"/>
    <x v="0"/>
    <n v="13.328028"/>
    <n v="75.797055999999998"/>
    <x v="6"/>
    <n v="11"/>
    <n v="20"/>
    <n v="14"/>
  </r>
  <r>
    <s v="India"/>
    <x v="10"/>
    <x v="215"/>
    <x v="388"/>
    <x v="0"/>
    <n v="15.888653"/>
    <n v="74.541751000000005"/>
    <x v="3"/>
    <n v="2"/>
    <n v="3"/>
    <n v="2"/>
  </r>
  <r>
    <s v="India"/>
    <x v="10"/>
    <x v="215"/>
    <x v="388"/>
    <x v="0"/>
    <n v="15.888653"/>
    <n v="74.541751000000005"/>
    <x v="4"/>
    <n v="14"/>
    <n v="15"/>
    <n v="15"/>
  </r>
  <r>
    <s v="India"/>
    <x v="10"/>
    <x v="45"/>
    <x v="88"/>
    <x v="0"/>
    <n v="12.9135218"/>
    <n v="77.595080400000001"/>
    <x v="1"/>
    <n v="32"/>
    <n v="210"/>
    <n v="81"/>
  </r>
  <r>
    <s v="India"/>
    <x v="10"/>
    <x v="45"/>
    <x v="89"/>
    <x v="0"/>
    <n v="12.951912999999999"/>
    <n v="77.539783999999997"/>
    <x v="3"/>
    <n v="1"/>
    <n v="2"/>
    <n v="1"/>
  </r>
  <r>
    <s v="India"/>
    <x v="10"/>
    <x v="45"/>
    <x v="90"/>
    <x v="0"/>
    <n v="12.975684299999999"/>
    <n v="77.566074900000004"/>
    <x v="4"/>
    <n v="8"/>
    <n v="16"/>
    <n v="12"/>
  </r>
  <r>
    <s v="India"/>
    <x v="10"/>
    <x v="45"/>
    <x v="389"/>
    <x v="0"/>
    <n v="13.029152"/>
    <n v="77.585901000000007"/>
    <x v="1"/>
    <n v="28"/>
    <n v="104"/>
    <n v="53"/>
  </r>
  <r>
    <s v="India"/>
    <x v="7"/>
    <x v="213"/>
    <x v="386"/>
    <x v="0"/>
    <n v="20.362421000000001"/>
    <n v="72.918013000000002"/>
    <x v="3"/>
    <n v="10"/>
    <n v="10"/>
    <n v="10"/>
  </r>
  <r>
    <s v="India"/>
    <x v="7"/>
    <x v="213"/>
    <x v="386"/>
    <x v="0"/>
    <n v="20.362421000000001"/>
    <n v="72.918013000000002"/>
    <x v="0"/>
    <n v="2"/>
    <n v="2"/>
    <n v="2"/>
  </r>
  <r>
    <s v="India"/>
    <x v="7"/>
    <x v="214"/>
    <x v="387"/>
    <x v="0"/>
    <n v="22.969611"/>
    <n v="72.643500000000003"/>
    <x v="2"/>
    <n v="33"/>
    <n v="59"/>
    <n v="43"/>
  </r>
  <r>
    <s v="India"/>
    <x v="7"/>
    <x v="214"/>
    <x v="387"/>
    <x v="0"/>
    <n v="22.969611"/>
    <n v="72.643500000000003"/>
    <x v="3"/>
    <n v="1"/>
    <n v="9"/>
    <n v="4"/>
  </r>
  <r>
    <s v="India"/>
    <x v="11"/>
    <x v="47"/>
    <x v="92"/>
    <x v="0"/>
    <n v="28.315300000000001"/>
    <n v="76.914299999999997"/>
    <x v="4"/>
    <n v="8"/>
    <n v="44"/>
    <n v="23"/>
  </r>
  <r>
    <s v="India"/>
    <x v="11"/>
    <x v="47"/>
    <x v="92"/>
    <x v="0"/>
    <n v="28.315300000000001"/>
    <n v="76.914299999999997"/>
    <x v="6"/>
    <n v="1"/>
    <n v="73"/>
    <n v="5"/>
  </r>
  <r>
    <s v="India"/>
    <x v="7"/>
    <x v="49"/>
    <x v="475"/>
    <x v="0"/>
    <n v="23.163798"/>
    <n v="72.677768"/>
    <x v="0"/>
    <n v="2"/>
    <n v="54"/>
    <n v="30"/>
  </r>
  <r>
    <s v="India"/>
    <x v="7"/>
    <x v="49"/>
    <x v="391"/>
    <x v="0"/>
    <n v="23.243639000000002"/>
    <n v="72.689940000000007"/>
    <x v="3"/>
    <n v="2"/>
    <n v="19"/>
    <n v="6"/>
  </r>
  <r>
    <s v="India"/>
    <x v="7"/>
    <x v="49"/>
    <x v="391"/>
    <x v="0"/>
    <n v="23.243639000000002"/>
    <n v="72.689940000000007"/>
    <x v="4"/>
    <n v="5"/>
    <n v="29"/>
    <n v="11"/>
  </r>
  <r>
    <s v="India"/>
    <x v="7"/>
    <x v="49"/>
    <x v="95"/>
    <x v="0"/>
    <n v="23.221713999999999"/>
    <n v="72.654328000000007"/>
    <x v="1"/>
    <n v="28"/>
    <n v="134"/>
    <n v="66"/>
  </r>
  <r>
    <s v="India"/>
    <x v="7"/>
    <x v="50"/>
    <x v="96"/>
    <x v="0"/>
    <n v="21.170045999999999"/>
    <n v="72.795405000000002"/>
    <x v="1"/>
    <m/>
    <m/>
    <m/>
  </r>
  <r>
    <s v="India"/>
    <x v="7"/>
    <x v="41"/>
    <x v="93"/>
    <x v="0"/>
    <n v="23.04307"/>
    <n v="72.562967999999998"/>
    <x v="3"/>
    <n v="3"/>
    <n v="31"/>
    <n v="9"/>
  </r>
  <r>
    <s v="India"/>
    <x v="7"/>
    <x v="41"/>
    <x v="93"/>
    <x v="0"/>
    <n v="23.04307"/>
    <n v="72.562967999999998"/>
    <x v="6"/>
    <n v="9"/>
    <n v="146"/>
    <n v="53"/>
  </r>
  <r>
    <s v="India"/>
    <x v="7"/>
    <x v="48"/>
    <x v="94"/>
    <x v="0"/>
    <n v="21.613267"/>
    <n v="73.010554999999997"/>
    <x v="0"/>
    <n v="31"/>
    <n v="40"/>
    <n v="33"/>
  </r>
  <r>
    <s v="India"/>
    <x v="7"/>
    <x v="49"/>
    <x v="475"/>
    <x v="0"/>
    <n v="23.163798"/>
    <n v="72.677768"/>
    <x v="5"/>
    <n v="50"/>
    <n v="379"/>
    <n v="116"/>
  </r>
  <r>
    <s v="India"/>
    <x v="7"/>
    <x v="49"/>
    <x v="475"/>
    <x v="0"/>
    <n v="23.163798"/>
    <n v="72.677768"/>
    <x v="1"/>
    <n v="54"/>
    <n v="304"/>
    <n v="94"/>
  </r>
  <r>
    <s v="India"/>
    <x v="10"/>
    <x v="45"/>
    <x v="396"/>
    <x v="0"/>
    <n v="13.003871999999999"/>
    <n v="77.664216999999994"/>
    <x v="4"/>
    <n v="8"/>
    <n v="9"/>
    <n v="9"/>
  </r>
  <r>
    <s v="India"/>
    <x v="10"/>
    <x v="45"/>
    <x v="112"/>
    <x v="0"/>
    <n v="13.027019900000001"/>
    <n v="77.494094000000004"/>
    <x v="4"/>
    <n v="4"/>
    <n v="16"/>
    <n v="8"/>
  </r>
  <r>
    <s v="India"/>
    <x v="10"/>
    <x v="45"/>
    <x v="112"/>
    <x v="0"/>
    <n v="13.027019900000001"/>
    <n v="77.494094000000004"/>
    <x v="0"/>
    <n v="40"/>
    <n v="40"/>
    <n v="40"/>
  </r>
  <r>
    <s v="India"/>
    <x v="10"/>
    <x v="45"/>
    <x v="113"/>
    <x v="0"/>
    <n v="12.921417999999999"/>
    <n v="77.502465999999998"/>
    <x v="5"/>
    <n v="56"/>
    <n v="57"/>
    <n v="56"/>
  </r>
  <r>
    <s v="India"/>
    <x v="10"/>
    <x v="45"/>
    <x v="468"/>
    <x v="0"/>
    <n v="12.990328"/>
    <n v="77.543138499999998"/>
    <x v="4"/>
    <n v="6"/>
    <n v="9"/>
    <n v="7"/>
  </r>
  <r>
    <s v="India"/>
    <x v="7"/>
    <x v="41"/>
    <x v="81"/>
    <x v="0"/>
    <n v="23.002656999999999"/>
    <n v="72.591911999999994"/>
    <x v="0"/>
    <n v="3"/>
    <n v="45"/>
    <n v="19"/>
  </r>
  <r>
    <s v="India"/>
    <x v="7"/>
    <x v="41"/>
    <x v="393"/>
    <x v="0"/>
    <n v="23.016833999999999"/>
    <n v="72.625775000000004"/>
    <x v="4"/>
    <n v="3"/>
    <n v="112"/>
    <n v="54"/>
  </r>
  <r>
    <s v="India"/>
    <x v="7"/>
    <x v="41"/>
    <x v="393"/>
    <x v="0"/>
    <n v="23.016833999999999"/>
    <n v="72.625775000000004"/>
    <x v="0"/>
    <n v="2"/>
    <n v="92"/>
    <n v="40"/>
  </r>
  <r>
    <s v="India"/>
    <x v="7"/>
    <x v="41"/>
    <x v="86"/>
    <x v="0"/>
    <n v="23.041136999999999"/>
    <n v="72.456691000000006"/>
    <x v="5"/>
    <n v="39"/>
    <n v="250"/>
    <n v="95"/>
  </r>
  <r>
    <s v="India"/>
    <x v="10"/>
    <x v="45"/>
    <x v="398"/>
    <x v="0"/>
    <n v="12.920984000000001"/>
    <n v="77.584907999999999"/>
    <x v="5"/>
    <n v="16"/>
    <n v="55"/>
    <n v="36"/>
  </r>
  <r>
    <s v="India"/>
    <x v="10"/>
    <x v="45"/>
    <x v="398"/>
    <x v="0"/>
    <n v="12.920984000000001"/>
    <n v="77.584907999999999"/>
    <x v="1"/>
    <n v="23"/>
    <n v="90"/>
    <n v="53"/>
  </r>
  <r>
    <s v="India"/>
    <x v="10"/>
    <x v="44"/>
    <x v="85"/>
    <x v="0"/>
    <n v="16.172806000000001"/>
    <n v="75.659694000000002"/>
    <x v="6"/>
    <n v="11"/>
    <n v="37"/>
    <n v="25"/>
  </r>
  <r>
    <s v="India"/>
    <x v="13"/>
    <x v="74"/>
    <x v="131"/>
    <x v="0"/>
    <n v="23.817486779999999"/>
    <n v="79.446246000000002"/>
    <x v="4"/>
    <n v="18"/>
    <n v="23"/>
    <n v="20"/>
  </r>
  <r>
    <s v="India"/>
    <x v="13"/>
    <x v="223"/>
    <x v="403"/>
    <x v="0"/>
    <n v="22.968259100000001"/>
    <n v="76.064117999999993"/>
    <x v="5"/>
    <n v="43"/>
    <n v="358"/>
    <n v="171"/>
  </r>
  <r>
    <s v="India"/>
    <x v="13"/>
    <x v="223"/>
    <x v="403"/>
    <x v="0"/>
    <n v="22.968259100000001"/>
    <n v="76.064117999999993"/>
    <x v="1"/>
    <n v="101"/>
    <n v="279"/>
    <n v="161"/>
  </r>
  <r>
    <s v="India"/>
    <x v="13"/>
    <x v="223"/>
    <x v="403"/>
    <x v="0"/>
    <n v="22.968259100000001"/>
    <n v="76.064117999999993"/>
    <x v="4"/>
    <n v="61"/>
    <n v="82"/>
    <n v="68"/>
  </r>
  <r>
    <s v="India"/>
    <x v="13"/>
    <x v="75"/>
    <x v="132"/>
    <x v="0"/>
    <n v="26.203441999999999"/>
    <n v="78.193251000000004"/>
    <x v="6"/>
    <n v="38"/>
    <n v="131"/>
    <n v="77"/>
  </r>
  <r>
    <s v="India"/>
    <x v="13"/>
    <x v="75"/>
    <x v="133"/>
    <x v="0"/>
    <n v="26.259242"/>
    <n v="78.216431999999998"/>
    <x v="5"/>
    <n v="72"/>
    <n v="392"/>
    <n v="231"/>
  </r>
  <r>
    <s v="India"/>
    <x v="13"/>
    <x v="75"/>
    <x v="133"/>
    <x v="0"/>
    <n v="26.259242"/>
    <n v="78.216431999999998"/>
    <x v="1"/>
    <n v="75"/>
    <n v="382"/>
    <n v="180"/>
  </r>
  <r>
    <s v="India"/>
    <x v="13"/>
    <x v="73"/>
    <x v="135"/>
    <x v="0"/>
    <n v="22.728899999999999"/>
    <n v="75.807599999999994"/>
    <x v="5"/>
    <n v="36"/>
    <n v="167"/>
    <n v="67"/>
  </r>
  <r>
    <s v="India"/>
    <x v="12"/>
    <x v="65"/>
    <x v="117"/>
    <x v="0"/>
    <n v="8.5149092999999993"/>
    <n v="76.943587899999997"/>
    <x v="1"/>
    <n v="3"/>
    <n v="70"/>
    <n v="28"/>
  </r>
  <r>
    <s v="India"/>
    <x v="12"/>
    <x v="66"/>
    <x v="118"/>
    <x v="0"/>
    <n v="10.532400000000001"/>
    <n v="76.215900000000005"/>
    <x v="0"/>
    <n v="27"/>
    <n v="28"/>
    <n v="28"/>
  </r>
  <r>
    <s v="India"/>
    <x v="13"/>
    <x v="67"/>
    <x v="119"/>
    <x v="0"/>
    <n v="23.264759000000002"/>
    <n v="77.381568000000001"/>
    <x v="4"/>
    <n v="6"/>
    <n v="8"/>
    <n v="7"/>
  </r>
  <r>
    <s v="India"/>
    <x v="13"/>
    <x v="67"/>
    <x v="119"/>
    <x v="0"/>
    <n v="23.264759000000002"/>
    <n v="77.381568000000001"/>
    <x v="6"/>
    <n v="14"/>
    <n v="78"/>
    <n v="27"/>
  </r>
  <r>
    <s v="India"/>
    <x v="13"/>
    <x v="67"/>
    <x v="401"/>
    <x v="0"/>
    <n v="23.210494000000001"/>
    <n v="77.425409000000002"/>
    <x v="1"/>
    <n v="60"/>
    <n v="203"/>
    <n v="103"/>
  </r>
  <r>
    <s v="India"/>
    <x v="13"/>
    <x v="67"/>
    <x v="401"/>
    <x v="0"/>
    <n v="23.210494000000001"/>
    <n v="77.425409000000002"/>
    <x v="3"/>
    <n v="2"/>
    <n v="36"/>
    <n v="7"/>
  </r>
  <r>
    <s v="India"/>
    <x v="13"/>
    <x v="67"/>
    <x v="120"/>
    <x v="0"/>
    <n v="23.233584"/>
    <n v="77.400574000000006"/>
    <x v="0"/>
    <n v="6"/>
    <n v="191"/>
    <n v="88"/>
  </r>
  <r>
    <s v="India"/>
    <x v="10"/>
    <x v="57"/>
    <x v="105"/>
    <x v="0"/>
    <n v="14.4758"/>
    <n v="75.905199999999994"/>
    <x v="2"/>
    <n v="10"/>
    <n v="16"/>
    <n v="12"/>
  </r>
  <r>
    <s v="India"/>
    <x v="10"/>
    <x v="57"/>
    <x v="105"/>
    <x v="0"/>
    <n v="14.4758"/>
    <n v="75.905199999999994"/>
    <x v="4"/>
    <n v="5"/>
    <n v="20"/>
    <n v="8"/>
  </r>
  <r>
    <s v="India"/>
    <x v="10"/>
    <x v="57"/>
    <x v="105"/>
    <x v="0"/>
    <n v="14.4758"/>
    <n v="75.905199999999994"/>
    <x v="6"/>
    <n v="8"/>
    <n v="40"/>
    <n v="37"/>
  </r>
  <r>
    <s v="India"/>
    <x v="10"/>
    <x v="58"/>
    <x v="106"/>
    <x v="0"/>
    <n v="15.459706000000001"/>
    <n v="75.008381"/>
    <x v="2"/>
    <n v="20"/>
    <n v="20"/>
    <n v="20"/>
  </r>
  <r>
    <s v="India"/>
    <x v="10"/>
    <x v="58"/>
    <x v="106"/>
    <x v="0"/>
    <n v="15.459706000000001"/>
    <n v="75.008381"/>
    <x v="6"/>
    <n v="49"/>
    <n v="103"/>
    <n v="80"/>
  </r>
  <r>
    <s v="India"/>
    <x v="10"/>
    <x v="58"/>
    <x v="106"/>
    <x v="0"/>
    <n v="15.459706000000001"/>
    <n v="75.008381"/>
    <x v="0"/>
    <n v="6"/>
    <n v="44"/>
    <n v="29"/>
  </r>
  <r>
    <s v="India"/>
    <x v="10"/>
    <x v="51"/>
    <x v="99"/>
    <x v="0"/>
    <n v="15.411455999999999"/>
    <n v="75.638132999999996"/>
    <x v="3"/>
    <n v="1"/>
    <n v="3"/>
    <n v="2"/>
  </r>
  <r>
    <s v="India"/>
    <x v="10"/>
    <x v="52"/>
    <x v="100"/>
    <x v="0"/>
    <n v="14.7918"/>
    <n v="75.389600000000002"/>
    <x v="5"/>
    <m/>
    <m/>
    <m/>
  </r>
  <r>
    <s v="India"/>
    <x v="10"/>
    <x v="52"/>
    <x v="100"/>
    <x v="0"/>
    <n v="14.7918"/>
    <n v="75.389600000000002"/>
    <x v="3"/>
    <m/>
    <m/>
    <m/>
  </r>
  <r>
    <s v="India"/>
    <x v="10"/>
    <x v="52"/>
    <x v="100"/>
    <x v="0"/>
    <n v="14.7918"/>
    <n v="75.389600000000002"/>
    <x v="6"/>
    <m/>
    <m/>
    <m/>
  </r>
  <r>
    <s v="India"/>
    <x v="10"/>
    <x v="53"/>
    <x v="101"/>
    <x v="0"/>
    <n v="15.3714823"/>
    <n v="75.116016799999997"/>
    <x v="5"/>
    <n v="36"/>
    <n v="36"/>
    <n v="36"/>
  </r>
  <r>
    <s v="India"/>
    <x v="10"/>
    <x v="53"/>
    <x v="101"/>
    <x v="0"/>
    <n v="15.3714823"/>
    <n v="75.116016799999997"/>
    <x v="3"/>
    <n v="2"/>
    <n v="2"/>
    <n v="2"/>
  </r>
  <r>
    <s v="India"/>
    <x v="10"/>
    <x v="53"/>
    <x v="101"/>
    <x v="0"/>
    <n v="15.3714823"/>
    <n v="75.116016799999997"/>
    <x v="4"/>
    <n v="2"/>
    <n v="3"/>
    <n v="3"/>
  </r>
  <r>
    <s v="India"/>
    <x v="10"/>
    <x v="54"/>
    <x v="102"/>
    <x v="0"/>
    <n v="17.321992999999999"/>
    <n v="76.822627999999995"/>
    <x v="4"/>
    <n v="33"/>
    <n v="35"/>
    <n v="34"/>
  </r>
  <r>
    <s v="India"/>
    <x v="10"/>
    <x v="54"/>
    <x v="394"/>
    <x v="0"/>
    <n v="17.336317999999999"/>
    <n v="76.847397000000001"/>
    <x v="1"/>
    <n v="19"/>
    <n v="60"/>
    <n v="32"/>
  </r>
  <r>
    <s v="India"/>
    <x v="10"/>
    <x v="54"/>
    <x v="394"/>
    <x v="0"/>
    <n v="17.336317999999999"/>
    <n v="76.847397000000001"/>
    <x v="4"/>
    <n v="3"/>
    <n v="7"/>
    <n v="4"/>
  </r>
  <r>
    <s v="India"/>
    <x v="12"/>
    <x v="60"/>
    <x v="108"/>
    <x v="0"/>
    <n v="10.073232000000001"/>
    <n v="76.302764999999994"/>
    <x v="4"/>
    <m/>
    <m/>
    <m/>
  </r>
  <r>
    <s v="India"/>
    <x v="12"/>
    <x v="60"/>
    <x v="108"/>
    <x v="0"/>
    <n v="10.073232000000001"/>
    <n v="76.302764999999994"/>
    <x v="0"/>
    <m/>
    <m/>
    <m/>
  </r>
  <r>
    <s v="India"/>
    <x v="12"/>
    <x v="222"/>
    <x v="402"/>
    <x v="0"/>
    <n v="11.875"/>
    <n v="75.373199999999997"/>
    <x v="4"/>
    <n v="5"/>
    <n v="6"/>
    <n v="5"/>
  </r>
  <r>
    <s v="India"/>
    <x v="12"/>
    <x v="79"/>
    <x v="142"/>
    <x v="0"/>
    <n v="8.8787000000000003"/>
    <n v="76.607299999999995"/>
    <x v="5"/>
    <n v="29"/>
    <n v="35"/>
    <n v="32"/>
  </r>
  <r>
    <s v="India"/>
    <x v="12"/>
    <x v="79"/>
    <x v="142"/>
    <x v="0"/>
    <n v="8.8787000000000003"/>
    <n v="76.607299999999995"/>
    <x v="2"/>
    <n v="9"/>
    <n v="10"/>
    <n v="9"/>
  </r>
  <r>
    <s v="India"/>
    <x v="12"/>
    <x v="79"/>
    <x v="142"/>
    <x v="0"/>
    <n v="8.8787000000000003"/>
    <n v="76.607299999999995"/>
    <x v="3"/>
    <n v="1"/>
    <n v="1"/>
    <n v="1"/>
  </r>
  <r>
    <s v="India"/>
    <x v="12"/>
    <x v="79"/>
    <x v="142"/>
    <x v="0"/>
    <n v="8.8787000000000003"/>
    <n v="76.607299999999995"/>
    <x v="6"/>
    <n v="14"/>
    <n v="17"/>
    <n v="16"/>
  </r>
  <r>
    <s v="India"/>
    <x v="10"/>
    <x v="219"/>
    <x v="397"/>
    <x v="0"/>
    <n v="12.889250000000001"/>
    <n v="74.852999999999994"/>
    <x v="3"/>
    <n v="1"/>
    <n v="2"/>
    <n v="2"/>
  </r>
  <r>
    <s v="India"/>
    <x v="10"/>
    <x v="219"/>
    <x v="397"/>
    <x v="0"/>
    <n v="12.889250000000001"/>
    <n v="74.852999999999994"/>
    <x v="6"/>
    <n v="22"/>
    <n v="33"/>
    <n v="29"/>
  </r>
  <r>
    <s v="India"/>
    <x v="10"/>
    <x v="62"/>
    <x v="114"/>
    <x v="0"/>
    <n v="12.21041"/>
    <n v="76.373760000000004"/>
    <x v="2"/>
    <n v="11"/>
    <n v="32"/>
    <n v="21"/>
  </r>
  <r>
    <s v="India"/>
    <x v="10"/>
    <x v="62"/>
    <x v="114"/>
    <x v="0"/>
    <n v="12.21041"/>
    <n v="76.373760000000004"/>
    <x v="4"/>
    <m/>
    <m/>
    <m/>
  </r>
  <r>
    <s v="India"/>
    <x v="10"/>
    <x v="218"/>
    <x v="395"/>
    <x v="0"/>
    <n v="15.347630000000001"/>
    <n v="76.181766999999994"/>
    <x v="6"/>
    <n v="24"/>
    <n v="44"/>
    <n v="32"/>
  </r>
  <r>
    <s v="India"/>
    <x v="10"/>
    <x v="218"/>
    <x v="395"/>
    <x v="0"/>
    <n v="15.347630000000001"/>
    <n v="76.181766999999994"/>
    <x v="0"/>
    <n v="28"/>
    <n v="61"/>
    <n v="49"/>
  </r>
  <r>
    <s v="India"/>
    <x v="10"/>
    <x v="64"/>
    <x v="116"/>
    <x v="0"/>
    <n v="12.415910999999999"/>
    <n v="75.735050000000001"/>
    <x v="5"/>
    <n v="7"/>
    <n v="55"/>
    <n v="16"/>
  </r>
  <r>
    <s v="India"/>
    <x v="10"/>
    <x v="64"/>
    <x v="116"/>
    <x v="0"/>
    <n v="12.415910999999999"/>
    <n v="75.735050000000001"/>
    <x v="4"/>
    <n v="4"/>
    <n v="4"/>
    <n v="4"/>
  </r>
  <r>
    <s v="India"/>
    <x v="12"/>
    <x v="65"/>
    <x v="141"/>
    <x v="0"/>
    <n v="8.5637000000000008"/>
    <n v="76.886499999999998"/>
    <x v="2"/>
    <n v="6"/>
    <n v="7"/>
    <n v="7"/>
  </r>
  <r>
    <s v="India"/>
    <x v="12"/>
    <x v="65"/>
    <x v="141"/>
    <x v="0"/>
    <n v="8.5637000000000008"/>
    <n v="76.886499999999998"/>
    <x v="4"/>
    <n v="1"/>
    <n v="9"/>
    <n v="5"/>
  </r>
  <r>
    <s v="India"/>
    <x v="10"/>
    <x v="63"/>
    <x v="115"/>
    <x v="0"/>
    <n v="13.377516"/>
    <n v="77.099072000000007"/>
    <x v="3"/>
    <n v="2"/>
    <n v="2"/>
    <n v="2"/>
  </r>
  <r>
    <s v="India"/>
    <x v="13"/>
    <x v="68"/>
    <x v="129"/>
    <x v="0"/>
    <n v="23.142887999999999"/>
    <n v="79.916146999999995"/>
    <x v="4"/>
    <m/>
    <m/>
    <m/>
  </r>
  <r>
    <s v="India"/>
    <x v="13"/>
    <x v="68"/>
    <x v="130"/>
    <x v="0"/>
    <n v="23.168606"/>
    <n v="79.932247000000004"/>
    <x v="5"/>
    <n v="21"/>
    <n v="307"/>
    <n v="106"/>
  </r>
  <r>
    <s v="India"/>
    <x v="13"/>
    <x v="68"/>
    <x v="130"/>
    <x v="0"/>
    <n v="23.168606"/>
    <n v="79.932247000000004"/>
    <x v="2"/>
    <n v="22"/>
    <n v="100"/>
    <n v="49"/>
  </r>
  <r>
    <s v="India"/>
    <x v="13"/>
    <x v="68"/>
    <x v="121"/>
    <x v="0"/>
    <n v="23.218135"/>
    <n v="79.957769999999996"/>
    <x v="2"/>
    <n v="22"/>
    <n v="112"/>
    <n v="54"/>
  </r>
  <r>
    <s v="India"/>
    <x v="13"/>
    <x v="68"/>
    <x v="121"/>
    <x v="0"/>
    <n v="23.218135"/>
    <n v="79.957769999999996"/>
    <x v="3"/>
    <n v="2"/>
    <n v="13"/>
    <n v="3"/>
  </r>
  <r>
    <s v="India"/>
    <x v="13"/>
    <x v="68"/>
    <x v="121"/>
    <x v="0"/>
    <n v="23.218135"/>
    <n v="79.957769999999996"/>
    <x v="4"/>
    <n v="10"/>
    <n v="47"/>
    <n v="25"/>
  </r>
  <r>
    <s v="India"/>
    <x v="13"/>
    <x v="69"/>
    <x v="122"/>
    <x v="0"/>
    <n v="23.500160000000001"/>
    <n v="80.232839999999996"/>
    <x v="2"/>
    <n v="23"/>
    <n v="115"/>
    <n v="65"/>
  </r>
  <r>
    <s v="India"/>
    <x v="13"/>
    <x v="69"/>
    <x v="122"/>
    <x v="0"/>
    <n v="23.500160000000001"/>
    <n v="80.232839999999996"/>
    <x v="3"/>
    <n v="3"/>
    <n v="4"/>
    <n v="4"/>
  </r>
  <r>
    <s v="India"/>
    <x v="13"/>
    <x v="70"/>
    <x v="123"/>
    <x v="0"/>
    <n v="24.261300899999998"/>
    <n v="80.723178300000001"/>
    <x v="5"/>
    <n v="2"/>
    <n v="53"/>
    <n v="27"/>
  </r>
  <r>
    <s v="India"/>
    <x v="13"/>
    <x v="70"/>
    <x v="123"/>
    <x v="0"/>
    <n v="24.261300899999998"/>
    <n v="80.723178300000001"/>
    <x v="1"/>
    <n v="16"/>
    <n v="99"/>
    <n v="51"/>
  </r>
  <r>
    <s v="India"/>
    <x v="13"/>
    <x v="70"/>
    <x v="123"/>
    <x v="0"/>
    <n v="24.261300899999998"/>
    <n v="80.723178300000001"/>
    <x v="6"/>
    <n v="18"/>
    <n v="26"/>
    <n v="20"/>
  </r>
  <r>
    <s v="India"/>
    <x v="13"/>
    <x v="71"/>
    <x v="124"/>
    <x v="0"/>
    <n v="23.108440000000002"/>
    <n v="77.511427999999995"/>
    <x v="2"/>
    <n v="17"/>
    <n v="124"/>
    <n v="67"/>
  </r>
  <r>
    <s v="India"/>
    <x v="13"/>
    <x v="78"/>
    <x v="140"/>
    <x v="0"/>
    <n v="24.108969999999999"/>
    <n v="82.645579999999995"/>
    <x v="1"/>
    <n v="62"/>
    <n v="328"/>
    <n v="166"/>
  </r>
  <r>
    <s v="India"/>
    <x v="13"/>
    <x v="249"/>
    <x v="469"/>
    <x v="0"/>
    <n v="23.182718999999999"/>
    <n v="75.768218000000005"/>
    <x v="1"/>
    <n v="36"/>
    <n v="111"/>
    <n v="69"/>
  </r>
  <r>
    <s v="India"/>
    <x v="13"/>
    <x v="249"/>
    <x v="469"/>
    <x v="0"/>
    <n v="23.182718999999999"/>
    <n v="75.768218000000005"/>
    <x v="2"/>
    <n v="15"/>
    <n v="38"/>
    <n v="25"/>
  </r>
  <r>
    <s v="India"/>
    <x v="13"/>
    <x v="249"/>
    <x v="469"/>
    <x v="0"/>
    <n v="23.182718999999999"/>
    <n v="75.768218000000005"/>
    <x v="4"/>
    <n v="3"/>
    <n v="25"/>
    <n v="9"/>
  </r>
  <r>
    <s v="India"/>
    <x v="13"/>
    <x v="249"/>
    <x v="469"/>
    <x v="0"/>
    <n v="23.182718999999999"/>
    <n v="75.768218000000005"/>
    <x v="6"/>
    <n v="23"/>
    <n v="98"/>
    <n v="61"/>
  </r>
  <r>
    <s v="India"/>
    <x v="14"/>
    <x v="87"/>
    <x v="151"/>
    <x v="0"/>
    <n v="19.101220000000001"/>
    <n v="74.73339"/>
    <x v="4"/>
    <n v="3"/>
    <n v="10"/>
    <n v="5"/>
  </r>
  <r>
    <s v="India"/>
    <x v="14"/>
    <x v="87"/>
    <x v="151"/>
    <x v="0"/>
    <n v="19.101220000000001"/>
    <n v="74.73339"/>
    <x v="6"/>
    <n v="18"/>
    <n v="142"/>
    <n v="58"/>
  </r>
  <r>
    <s v="India"/>
    <x v="14"/>
    <x v="88"/>
    <x v="152"/>
    <x v="0"/>
    <n v="20.719515999999999"/>
    <n v="77.000253000000001"/>
    <x v="5"/>
    <n v="27"/>
    <n v="153"/>
    <n v="61"/>
  </r>
  <r>
    <s v="India"/>
    <x v="14"/>
    <x v="88"/>
    <x v="152"/>
    <x v="0"/>
    <n v="20.719515999999999"/>
    <n v="77.000253000000001"/>
    <x v="2"/>
    <n v="16"/>
    <n v="63"/>
    <n v="27"/>
  </r>
  <r>
    <s v="India"/>
    <x v="14"/>
    <x v="89"/>
    <x v="153"/>
    <x v="0"/>
    <n v="20.940235900000001"/>
    <n v="77.789524799999995"/>
    <x v="5"/>
    <n v="29"/>
    <n v="70"/>
    <n v="49"/>
  </r>
  <r>
    <s v="India"/>
    <x v="13"/>
    <x v="73"/>
    <x v="127"/>
    <x v="0"/>
    <n v="22.708400000000001"/>
    <n v="75.881500000000003"/>
    <x v="1"/>
    <n v="50"/>
    <n v="175"/>
    <n v="95"/>
  </r>
  <r>
    <s v="India"/>
    <x v="13"/>
    <x v="73"/>
    <x v="127"/>
    <x v="0"/>
    <n v="22.708400000000001"/>
    <n v="75.881500000000003"/>
    <x v="4"/>
    <n v="30"/>
    <n v="35"/>
    <n v="32"/>
  </r>
  <r>
    <s v="India"/>
    <x v="13"/>
    <x v="68"/>
    <x v="128"/>
    <x v="0"/>
    <n v="23.163174000000001"/>
    <n v="79.973061000000001"/>
    <x v="6"/>
    <n v="11"/>
    <n v="50"/>
    <n v="16"/>
  </r>
  <r>
    <s v="India"/>
    <x v="13"/>
    <x v="68"/>
    <x v="129"/>
    <x v="0"/>
    <n v="23.142887999999999"/>
    <n v="79.916146999999995"/>
    <x v="5"/>
    <m/>
    <m/>
    <m/>
  </r>
  <r>
    <s v="India"/>
    <x v="13"/>
    <x v="68"/>
    <x v="129"/>
    <x v="0"/>
    <n v="23.142887999999999"/>
    <n v="79.916146999999995"/>
    <x v="2"/>
    <m/>
    <m/>
    <m/>
  </r>
  <r>
    <s v="India"/>
    <x v="14"/>
    <x v="93"/>
    <x v="162"/>
    <x v="0"/>
    <n v="19.309073000000001"/>
    <n v="73.057222999999993"/>
    <x v="4"/>
    <n v="8"/>
    <n v="25"/>
    <n v="13"/>
  </r>
  <r>
    <s v="India"/>
    <x v="14"/>
    <x v="84"/>
    <x v="147"/>
    <x v="0"/>
    <n v="19.786089"/>
    <n v="72.757970999999998"/>
    <x v="2"/>
    <n v="14"/>
    <n v="40"/>
    <n v="26"/>
  </r>
  <r>
    <s v="India"/>
    <x v="14"/>
    <x v="84"/>
    <x v="147"/>
    <x v="0"/>
    <n v="19.786089"/>
    <n v="72.757970999999998"/>
    <x v="3"/>
    <m/>
    <m/>
    <m/>
  </r>
  <r>
    <s v="India"/>
    <x v="14"/>
    <x v="85"/>
    <x v="148"/>
    <x v="0"/>
    <n v="19.962900000000001"/>
    <n v="79.298714000000004"/>
    <x v="0"/>
    <n v="21"/>
    <n v="55"/>
    <n v="24"/>
  </r>
  <r>
    <s v="India"/>
    <x v="13"/>
    <x v="72"/>
    <x v="125"/>
    <x v="0"/>
    <n v="22.624758"/>
    <n v="75.675237999999993"/>
    <x v="3"/>
    <n v="3"/>
    <n v="5"/>
    <n v="4"/>
  </r>
  <r>
    <s v="India"/>
    <x v="13"/>
    <x v="76"/>
    <x v="137"/>
    <x v="0"/>
    <n v="23.838585999999999"/>
    <n v="78.759431000000006"/>
    <x v="3"/>
    <n v="1"/>
    <n v="1"/>
    <n v="1"/>
  </r>
  <r>
    <s v="India"/>
    <x v="13"/>
    <x v="76"/>
    <x v="138"/>
    <x v="0"/>
    <n v="23.864015800000001"/>
    <n v="78.802893209999993"/>
    <x v="4"/>
    <n v="20"/>
    <n v="21"/>
    <n v="21"/>
  </r>
  <r>
    <s v="India"/>
    <x v="14"/>
    <x v="6"/>
    <x v="159"/>
    <x v="0"/>
    <n v="19.863755999999999"/>
    <n v="75.321188000000006"/>
    <x v="3"/>
    <n v="2"/>
    <n v="4"/>
    <n v="3"/>
  </r>
  <r>
    <s v="India"/>
    <x v="14"/>
    <x v="6"/>
    <x v="159"/>
    <x v="0"/>
    <n v="19.863755999999999"/>
    <n v="75.321188000000006"/>
    <x v="6"/>
    <n v="2"/>
    <n v="79"/>
    <n v="16"/>
  </r>
  <r>
    <s v="India"/>
    <x v="14"/>
    <x v="226"/>
    <x v="408"/>
    <x v="0"/>
    <n v="19.164850000000001"/>
    <n v="73.234089999999995"/>
    <x v="1"/>
    <n v="82"/>
    <n v="165"/>
    <n v="117"/>
  </r>
  <r>
    <s v="India"/>
    <x v="13"/>
    <x v="76"/>
    <x v="138"/>
    <x v="0"/>
    <n v="23.864015800000001"/>
    <n v="78.802893209999993"/>
    <x v="6"/>
    <n v="38"/>
    <n v="50"/>
    <n v="41"/>
  </r>
  <r>
    <s v="India"/>
    <x v="13"/>
    <x v="77"/>
    <x v="139"/>
    <x v="0"/>
    <n v="24.584343629999999"/>
    <n v="80.854941400000001"/>
    <x v="5"/>
    <n v="41"/>
    <n v="44"/>
    <n v="42"/>
  </r>
  <r>
    <s v="India"/>
    <x v="13"/>
    <x v="77"/>
    <x v="139"/>
    <x v="0"/>
    <n v="24.584343629999999"/>
    <n v="80.854941400000001"/>
    <x v="6"/>
    <m/>
    <m/>
    <m/>
  </r>
  <r>
    <s v="India"/>
    <x v="14"/>
    <x v="89"/>
    <x v="154"/>
    <x v="0"/>
    <n v="20.939198000000001"/>
    <n v="77.765701000000007"/>
    <x v="6"/>
    <n v="31"/>
    <n v="108"/>
    <n v="54"/>
  </r>
  <r>
    <s v="India"/>
    <x v="14"/>
    <x v="6"/>
    <x v="405"/>
    <x v="0"/>
    <n v="19.8389439"/>
    <n v="75.244448000000006"/>
    <x v="2"/>
    <n v="20"/>
    <n v="29"/>
    <n v="26"/>
  </r>
  <r>
    <s v="India"/>
    <x v="14"/>
    <x v="226"/>
    <x v="408"/>
    <x v="0"/>
    <n v="19.164850000000001"/>
    <n v="73.234089999999995"/>
    <x v="4"/>
    <n v="8"/>
    <n v="24"/>
    <n v="14"/>
  </r>
  <r>
    <s v="India"/>
    <x v="14"/>
    <x v="226"/>
    <x v="408"/>
    <x v="0"/>
    <n v="19.164850000000001"/>
    <n v="73.234089999999995"/>
    <x v="0"/>
    <n v="1"/>
    <n v="171"/>
    <n v="92"/>
  </r>
  <r>
    <s v="India"/>
    <x v="14"/>
    <x v="94"/>
    <x v="165"/>
    <x v="0"/>
    <n v="19.215858999999998"/>
    <n v="72.831717999999995"/>
    <x v="5"/>
    <n v="24"/>
    <n v="75"/>
    <n v="43"/>
  </r>
  <r>
    <s v="India"/>
    <x v="14"/>
    <x v="94"/>
    <x v="165"/>
    <x v="0"/>
    <n v="19.215858999999998"/>
    <n v="72.831717999999995"/>
    <x v="4"/>
    <n v="1"/>
    <n v="4"/>
    <n v="1"/>
  </r>
  <r>
    <s v="India"/>
    <x v="14"/>
    <x v="94"/>
    <x v="166"/>
    <x v="0"/>
    <n v="19.063214299999999"/>
    <n v="72.8456324"/>
    <x v="5"/>
    <n v="8"/>
    <n v="67"/>
    <n v="38"/>
  </r>
  <r>
    <s v="India"/>
    <x v="14"/>
    <x v="94"/>
    <x v="179"/>
    <x v="0"/>
    <n v="19.165332299999999"/>
    <n v="72.922099000000003"/>
    <x v="5"/>
    <n v="20"/>
    <n v="116"/>
    <n v="50"/>
  </r>
  <r>
    <s v="India"/>
    <x v="14"/>
    <x v="94"/>
    <x v="179"/>
    <x v="0"/>
    <n v="19.165332299999999"/>
    <n v="72.922099000000003"/>
    <x v="1"/>
    <n v="30"/>
    <n v="160"/>
    <n v="80"/>
  </r>
  <r>
    <s v="India"/>
    <x v="14"/>
    <x v="94"/>
    <x v="179"/>
    <x v="0"/>
    <n v="19.165332299999999"/>
    <n v="72.922099000000003"/>
    <x v="6"/>
    <n v="2"/>
    <n v="16"/>
    <n v="3"/>
  </r>
  <r>
    <s v="India"/>
    <x v="14"/>
    <x v="94"/>
    <x v="169"/>
    <x v="0"/>
    <n v="19.065930999999999"/>
    <n v="72.862131000000005"/>
    <x v="4"/>
    <n v="2"/>
    <n v="5"/>
    <n v="3"/>
  </r>
  <r>
    <s v="India"/>
    <x v="14"/>
    <x v="94"/>
    <x v="170"/>
    <x v="0"/>
    <n v="19.232410000000002"/>
    <n v="72.868949999999998"/>
    <x v="5"/>
    <n v="49"/>
    <n v="137"/>
    <n v="76"/>
  </r>
  <r>
    <s v="India"/>
    <x v="14"/>
    <x v="94"/>
    <x v="470"/>
    <x v="0"/>
    <n v="19.224333300000001"/>
    <n v="72.865811300000004"/>
    <x v="3"/>
    <n v="1"/>
    <n v="5"/>
    <n v="3"/>
  </r>
  <r>
    <s v="India"/>
    <x v="14"/>
    <x v="94"/>
    <x v="470"/>
    <x v="0"/>
    <n v="19.224333300000001"/>
    <n v="72.865811300000004"/>
    <x v="6"/>
    <n v="4"/>
    <n v="18"/>
    <n v="17"/>
  </r>
  <r>
    <s v="India"/>
    <x v="14"/>
    <x v="94"/>
    <x v="407"/>
    <x v="0"/>
    <n v="18.976700000000001"/>
    <n v="72.837999999999994"/>
    <x v="4"/>
    <n v="6"/>
    <n v="7"/>
    <n v="7"/>
  </r>
  <r>
    <s v="India"/>
    <x v="14"/>
    <x v="94"/>
    <x v="180"/>
    <x v="0"/>
    <n v="18.91"/>
    <n v="72.819999999999993"/>
    <x v="3"/>
    <n v="3"/>
    <n v="3"/>
    <n v="3"/>
  </r>
  <r>
    <s v="India"/>
    <x v="14"/>
    <x v="94"/>
    <x v="180"/>
    <x v="0"/>
    <n v="18.91"/>
    <n v="72.819999999999993"/>
    <x v="6"/>
    <n v="26"/>
    <n v="29"/>
    <n v="26"/>
  </r>
  <r>
    <s v="India"/>
    <x v="14"/>
    <x v="94"/>
    <x v="477"/>
    <x v="0"/>
    <n v="19.04946"/>
    <n v="72.923000000000002"/>
    <x v="5"/>
    <n v="36"/>
    <n v="311"/>
    <n v="98"/>
  </r>
  <r>
    <s v="India"/>
    <x v="14"/>
    <x v="94"/>
    <x v="477"/>
    <x v="0"/>
    <n v="19.04946"/>
    <n v="72.923000000000002"/>
    <x v="2"/>
    <n v="14"/>
    <n v="62"/>
    <n v="34"/>
  </r>
  <r>
    <s v="India"/>
    <x v="14"/>
    <x v="94"/>
    <x v="163"/>
    <x v="0"/>
    <n v="19.083694000000001"/>
    <n v="72.920967000000005"/>
    <x v="1"/>
    <n v="54"/>
    <n v="116"/>
    <n v="80"/>
  </r>
  <r>
    <s v="India"/>
    <x v="14"/>
    <x v="225"/>
    <x v="406"/>
    <x v="0"/>
    <n v="18.399629999999998"/>
    <n v="76.574520000000007"/>
    <x v="3"/>
    <n v="5"/>
    <n v="74"/>
    <n v="25"/>
  </r>
  <r>
    <s v="India"/>
    <x v="14"/>
    <x v="81"/>
    <x v="144"/>
    <x v="0"/>
    <n v="18.1023399"/>
    <n v="73.478368700000004"/>
    <x v="2"/>
    <n v="8"/>
    <n v="92"/>
    <n v="27"/>
  </r>
  <r>
    <s v="India"/>
    <x v="14"/>
    <x v="82"/>
    <x v="145"/>
    <x v="0"/>
    <n v="20.555712"/>
    <n v="74.529235999999997"/>
    <x v="4"/>
    <n v="31"/>
    <n v="48"/>
    <n v="39"/>
  </r>
  <r>
    <s v="India"/>
    <x v="14"/>
    <x v="82"/>
    <x v="145"/>
    <x v="0"/>
    <n v="20.555712"/>
    <n v="74.529235999999997"/>
    <x v="0"/>
    <n v="24"/>
    <n v="69"/>
    <n v="56"/>
  </r>
  <r>
    <s v="India"/>
    <x v="14"/>
    <x v="224"/>
    <x v="404"/>
    <x v="0"/>
    <n v="21.001263999999999"/>
    <n v="75.565601999999998"/>
    <x v="2"/>
    <n v="15"/>
    <n v="109"/>
    <n v="38"/>
  </r>
  <r>
    <s v="India"/>
    <x v="14"/>
    <x v="91"/>
    <x v="156"/>
    <x v="0"/>
    <n v="19.25292"/>
    <n v="73.142019000000005"/>
    <x v="1"/>
    <n v="106"/>
    <n v="167"/>
    <n v="128"/>
  </r>
  <r>
    <s v="India"/>
    <x v="14"/>
    <x v="80"/>
    <x v="158"/>
    <x v="0"/>
    <n v="16.6870449"/>
    <n v="74.250587199999998"/>
    <x v="5"/>
    <n v="22"/>
    <n v="51"/>
    <n v="34"/>
  </r>
  <r>
    <s v="India"/>
    <x v="14"/>
    <x v="94"/>
    <x v="409"/>
    <x v="0"/>
    <n v="19.036458499999998"/>
    <n v="72.895437099999995"/>
    <x v="3"/>
    <n v="9"/>
    <n v="14"/>
    <n v="10"/>
  </r>
  <r>
    <s v="India"/>
    <x v="14"/>
    <x v="94"/>
    <x v="409"/>
    <x v="0"/>
    <n v="19.036458499999998"/>
    <n v="72.895437099999995"/>
    <x v="0"/>
    <n v="2"/>
    <n v="89"/>
    <n v="53"/>
  </r>
  <r>
    <s v="India"/>
    <x v="14"/>
    <x v="94"/>
    <x v="178"/>
    <x v="0"/>
    <n v="19.10078"/>
    <n v="72.874619999999993"/>
    <x v="6"/>
    <n v="22"/>
    <n v="38"/>
    <n v="23"/>
  </r>
  <r>
    <s v="India"/>
    <x v="14"/>
    <x v="80"/>
    <x v="158"/>
    <x v="0"/>
    <n v="16.6870449"/>
    <n v="74.250587199999998"/>
    <x v="6"/>
    <n v="6"/>
    <n v="29"/>
    <n v="15"/>
  </r>
  <r>
    <s v="India"/>
    <x v="14"/>
    <x v="80"/>
    <x v="158"/>
    <x v="0"/>
    <n v="16.6870449"/>
    <n v="74.250587199999998"/>
    <x v="0"/>
    <n v="15"/>
    <n v="101"/>
    <n v="69"/>
  </r>
  <r>
    <s v="India"/>
    <x v="14"/>
    <x v="80"/>
    <x v="143"/>
    <x v="0"/>
    <n v="16.714374500000002"/>
    <n v="74.242639800000006"/>
    <x v="2"/>
    <n v="7"/>
    <n v="33"/>
    <n v="14"/>
  </r>
  <r>
    <s v="India"/>
    <x v="14"/>
    <x v="94"/>
    <x v="412"/>
    <x v="0"/>
    <n v="19.086300000000001"/>
    <n v="72.888800000000003"/>
    <x v="2"/>
    <m/>
    <m/>
    <m/>
  </r>
  <r>
    <s v="India"/>
    <x v="14"/>
    <x v="94"/>
    <x v="412"/>
    <x v="0"/>
    <n v="19.086300000000001"/>
    <n v="72.888800000000003"/>
    <x v="4"/>
    <m/>
    <m/>
    <m/>
  </r>
  <r>
    <s v="India"/>
    <x v="14"/>
    <x v="94"/>
    <x v="176"/>
    <x v="0"/>
    <n v="18.967020000000002"/>
    <n v="72.842140000000001"/>
    <x v="1"/>
    <n v="56"/>
    <n v="96"/>
    <n v="75"/>
  </r>
  <r>
    <s v="India"/>
    <x v="14"/>
    <x v="94"/>
    <x v="176"/>
    <x v="0"/>
    <n v="18.967020000000002"/>
    <n v="72.842140000000001"/>
    <x v="0"/>
    <n v="8"/>
    <n v="72"/>
    <n v="53"/>
  </r>
  <r>
    <s v="India"/>
    <x v="14"/>
    <x v="94"/>
    <x v="173"/>
    <x v="0"/>
    <n v="19.1878657"/>
    <n v="72.8304069"/>
    <x v="5"/>
    <n v="29"/>
    <n v="64"/>
    <n v="46"/>
  </r>
  <r>
    <s v="India"/>
    <x v="14"/>
    <x v="94"/>
    <x v="167"/>
    <x v="0"/>
    <n v="19.383199999999999"/>
    <n v="72.820400000000006"/>
    <x v="3"/>
    <n v="5"/>
    <n v="8"/>
    <n v="6"/>
  </r>
  <r>
    <s v="India"/>
    <x v="14"/>
    <x v="94"/>
    <x v="410"/>
    <x v="0"/>
    <n v="18.993616200000002"/>
    <n v="72.812811300000007"/>
    <x v="5"/>
    <n v="61"/>
    <n v="69"/>
    <n v="64"/>
  </r>
  <r>
    <s v="India"/>
    <x v="14"/>
    <x v="94"/>
    <x v="410"/>
    <x v="0"/>
    <n v="18.993616200000002"/>
    <n v="72.812811300000007"/>
    <x v="2"/>
    <m/>
    <m/>
    <m/>
  </r>
  <r>
    <s v="India"/>
    <x v="14"/>
    <x v="94"/>
    <x v="410"/>
    <x v="0"/>
    <n v="18.993616200000002"/>
    <n v="72.812811300000007"/>
    <x v="4"/>
    <n v="4"/>
    <n v="14"/>
    <n v="8"/>
  </r>
  <r>
    <s v="India"/>
    <x v="14"/>
    <x v="94"/>
    <x v="410"/>
    <x v="0"/>
    <n v="18.993616200000002"/>
    <n v="72.812811300000007"/>
    <x v="6"/>
    <n v="4"/>
    <n v="24"/>
    <n v="11"/>
  </r>
  <r>
    <s v="India"/>
    <x v="14"/>
    <x v="97"/>
    <x v="411"/>
    <x v="0"/>
    <n v="21.152875000000002"/>
    <n v="79.051753099999999"/>
    <x v="5"/>
    <n v="33"/>
    <n v="208"/>
    <n v="106"/>
  </r>
  <r>
    <s v="India"/>
    <x v="14"/>
    <x v="97"/>
    <x v="411"/>
    <x v="0"/>
    <n v="21.152875000000002"/>
    <n v="79.051753099999999"/>
    <x v="1"/>
    <n v="69"/>
    <n v="156"/>
    <n v="114"/>
  </r>
  <r>
    <s v="India"/>
    <x v="14"/>
    <x v="96"/>
    <x v="417"/>
    <x v="0"/>
    <n v="19.090337000000002"/>
    <n v="73.014232000000007"/>
    <x v="3"/>
    <n v="4"/>
    <n v="49"/>
    <n v="16"/>
  </r>
  <r>
    <s v="India"/>
    <x v="14"/>
    <x v="96"/>
    <x v="185"/>
    <x v="0"/>
    <n v="19.113505100000001"/>
    <n v="73.008977999999999"/>
    <x v="3"/>
    <m/>
    <m/>
    <m/>
  </r>
  <r>
    <s v="India"/>
    <x v="14"/>
    <x v="96"/>
    <x v="186"/>
    <x v="0"/>
    <n v="19.057575199999999"/>
    <n v="73.015136699999999"/>
    <x v="5"/>
    <n v="14"/>
    <n v="304"/>
    <n v="104"/>
  </r>
  <r>
    <s v="India"/>
    <x v="14"/>
    <x v="96"/>
    <x v="186"/>
    <x v="0"/>
    <n v="19.057575199999999"/>
    <n v="73.015136699999999"/>
    <x v="1"/>
    <n v="51"/>
    <n v="260"/>
    <n v="110"/>
  </r>
  <r>
    <s v="India"/>
    <x v="14"/>
    <x v="96"/>
    <x v="187"/>
    <x v="0"/>
    <n v="19.025790000000001"/>
    <n v="73.102969999999999"/>
    <x v="5"/>
    <n v="47"/>
    <n v="173"/>
    <n v="89"/>
  </r>
  <r>
    <s v="India"/>
    <x v="14"/>
    <x v="96"/>
    <x v="187"/>
    <x v="0"/>
    <n v="19.025790000000001"/>
    <n v="73.102969999999999"/>
    <x v="3"/>
    <n v="4"/>
    <n v="11"/>
    <n v="6"/>
  </r>
  <r>
    <s v="India"/>
    <x v="14"/>
    <x v="97"/>
    <x v="190"/>
    <x v="0"/>
    <n v="21.143383"/>
    <n v="79.048912000000001"/>
    <x v="0"/>
    <n v="6"/>
    <n v="69"/>
    <n v="33"/>
  </r>
  <r>
    <s v="India"/>
    <x v="14"/>
    <x v="98"/>
    <x v="191"/>
    <x v="0"/>
    <n v="19.173852"/>
    <n v="77.296290999999997"/>
    <x v="3"/>
    <n v="3"/>
    <n v="5"/>
    <n v="4"/>
  </r>
  <r>
    <s v="India"/>
    <x v="14"/>
    <x v="99"/>
    <x v="192"/>
    <x v="0"/>
    <n v="20.0073285"/>
    <n v="73.776242699999997"/>
    <x v="2"/>
    <n v="1"/>
    <n v="14"/>
    <n v="8"/>
  </r>
  <r>
    <s v="India"/>
    <x v="14"/>
    <x v="99"/>
    <x v="198"/>
    <x v="0"/>
    <n v="20.021502999999999"/>
    <n v="73.813844000000003"/>
    <x v="5"/>
    <n v="49"/>
    <n v="102"/>
    <n v="77"/>
  </r>
  <r>
    <s v="India"/>
    <x v="14"/>
    <x v="99"/>
    <x v="199"/>
    <x v="0"/>
    <n v="19.950220000000002"/>
    <n v="73.731480000000005"/>
    <x v="5"/>
    <n v="44"/>
    <n v="140"/>
    <n v="71"/>
  </r>
  <r>
    <s v="India"/>
    <x v="14"/>
    <x v="94"/>
    <x v="172"/>
    <x v="0"/>
    <n v="19.060497999999999"/>
    <n v="72.923355999999998"/>
    <x v="3"/>
    <n v="1"/>
    <n v="3"/>
    <n v="1"/>
  </r>
  <r>
    <s v="India"/>
    <x v="14"/>
    <x v="94"/>
    <x v="471"/>
    <x v="0"/>
    <n v="19.000083"/>
    <n v="72.813992999999996"/>
    <x v="5"/>
    <n v="9"/>
    <n v="67"/>
    <n v="28"/>
  </r>
  <r>
    <s v="India"/>
    <x v="14"/>
    <x v="94"/>
    <x v="471"/>
    <x v="0"/>
    <n v="19.000083"/>
    <n v="72.813992999999996"/>
    <x v="0"/>
    <n v="8"/>
    <n v="79"/>
    <n v="70"/>
  </r>
  <r>
    <s v="India"/>
    <x v="14"/>
    <x v="94"/>
    <x v="173"/>
    <x v="0"/>
    <n v="19.1878657"/>
    <n v="72.8304069"/>
    <x v="6"/>
    <n v="12"/>
    <n v="36"/>
    <n v="16"/>
  </r>
  <r>
    <s v="India"/>
    <x v="14"/>
    <x v="94"/>
    <x v="173"/>
    <x v="0"/>
    <n v="19.1878657"/>
    <n v="72.8304069"/>
    <x v="0"/>
    <n v="6"/>
    <n v="43"/>
    <n v="26"/>
  </r>
  <r>
    <s v="India"/>
    <x v="14"/>
    <x v="94"/>
    <x v="171"/>
    <x v="0"/>
    <n v="19.137499999999999"/>
    <n v="72.915056000000007"/>
    <x v="5"/>
    <n v="23"/>
    <n v="43"/>
    <n v="31"/>
  </r>
  <r>
    <s v="India"/>
    <x v="14"/>
    <x v="96"/>
    <x v="188"/>
    <x v="0"/>
    <n v="19.062999999999999"/>
    <n v="73.120900000000006"/>
    <x v="0"/>
    <n v="1"/>
    <n v="85"/>
    <n v="34"/>
  </r>
  <r>
    <s v="India"/>
    <x v="14"/>
    <x v="100"/>
    <x v="196"/>
    <x v="0"/>
    <n v="18.63673"/>
    <n v="73.824870000000004"/>
    <x v="5"/>
    <n v="63"/>
    <n v="156"/>
    <n v="99"/>
  </r>
  <r>
    <s v="India"/>
    <x v="14"/>
    <x v="100"/>
    <x v="196"/>
    <x v="0"/>
    <n v="18.63673"/>
    <n v="73.824870000000004"/>
    <x v="1"/>
    <n v="71"/>
    <n v="125"/>
    <n v="102"/>
  </r>
  <r>
    <s v="India"/>
    <x v="14"/>
    <x v="100"/>
    <x v="197"/>
    <x v="0"/>
    <n v="18.590509999999998"/>
    <n v="73.77946"/>
    <x v="1"/>
    <m/>
    <m/>
    <m/>
  </r>
  <r>
    <s v="India"/>
    <x v="14"/>
    <x v="94"/>
    <x v="476"/>
    <x v="0"/>
    <n v="19.047000000000001"/>
    <n v="72.874600000000001"/>
    <x v="4"/>
    <n v="7"/>
    <n v="16"/>
    <n v="11"/>
  </r>
  <r>
    <s v="India"/>
    <x v="14"/>
    <x v="94"/>
    <x v="476"/>
    <x v="0"/>
    <n v="19.047000000000001"/>
    <n v="72.874600000000001"/>
    <x v="6"/>
    <n v="8"/>
    <n v="8"/>
    <n v="8"/>
  </r>
  <r>
    <s v="India"/>
    <x v="14"/>
    <x v="99"/>
    <x v="200"/>
    <x v="0"/>
    <n v="19.959134599999999"/>
    <n v="73.778800799999999"/>
    <x v="0"/>
    <n v="16"/>
    <n v="82"/>
    <n v="70"/>
  </r>
  <r>
    <s v="India"/>
    <x v="28"/>
    <x v="231"/>
    <x v="422"/>
    <x v="0"/>
    <n v="25.663541299999999"/>
    <n v="94.098987800000003"/>
    <x v="4"/>
    <n v="59"/>
    <n v="60"/>
    <n v="59"/>
  </r>
  <r>
    <s v="India"/>
    <x v="28"/>
    <x v="231"/>
    <x v="422"/>
    <x v="0"/>
    <n v="25.663541299999999"/>
    <n v="94.098987800000003"/>
    <x v="0"/>
    <n v="8"/>
    <n v="25"/>
    <n v="16"/>
  </r>
  <r>
    <s v="India"/>
    <x v="15"/>
    <x v="232"/>
    <x v="423"/>
    <x v="0"/>
    <n v="20.832874"/>
    <n v="85.104082000000005"/>
    <x v="1"/>
    <n v="77"/>
    <n v="218"/>
    <n v="132"/>
  </r>
  <r>
    <s v="India"/>
    <x v="15"/>
    <x v="232"/>
    <x v="423"/>
    <x v="0"/>
    <n v="20.832874"/>
    <n v="85.104082000000005"/>
    <x v="2"/>
    <n v="8"/>
    <n v="30"/>
    <n v="18"/>
  </r>
  <r>
    <s v="India"/>
    <x v="15"/>
    <x v="232"/>
    <x v="423"/>
    <x v="0"/>
    <n v="20.832874"/>
    <n v="85.104082000000005"/>
    <x v="6"/>
    <n v="57"/>
    <n v="124"/>
    <n v="97"/>
  </r>
  <r>
    <s v="India"/>
    <x v="15"/>
    <x v="232"/>
    <x v="423"/>
    <x v="0"/>
    <n v="20.832874"/>
    <n v="85.104082000000005"/>
    <x v="0"/>
    <n v="12"/>
    <n v="78"/>
    <n v="55"/>
  </r>
  <r>
    <s v="India"/>
    <x v="15"/>
    <x v="108"/>
    <x v="208"/>
    <x v="0"/>
    <n v="22.116605400000001"/>
    <n v="85.394554600000006"/>
    <x v="1"/>
    <n v="105"/>
    <n v="426"/>
    <n v="252"/>
  </r>
  <r>
    <s v="India"/>
    <x v="15"/>
    <x v="108"/>
    <x v="208"/>
    <x v="0"/>
    <n v="22.116605400000001"/>
    <n v="85.394554600000006"/>
    <x v="0"/>
    <n v="17"/>
    <n v="72"/>
    <n v="71"/>
  </r>
  <r>
    <s v="India"/>
    <x v="15"/>
    <x v="109"/>
    <x v="209"/>
    <x v="0"/>
    <n v="21.941841"/>
    <n v="86.728318000000002"/>
    <x v="1"/>
    <n v="69"/>
    <n v="114"/>
    <n v="94"/>
  </r>
  <r>
    <s v="India"/>
    <x v="15"/>
    <x v="109"/>
    <x v="209"/>
    <x v="0"/>
    <n v="21.941841"/>
    <n v="86.728318000000002"/>
    <x v="3"/>
    <n v="4"/>
    <n v="5"/>
    <n v="5"/>
  </r>
  <r>
    <s v="India"/>
    <x v="15"/>
    <x v="109"/>
    <x v="209"/>
    <x v="0"/>
    <n v="21.941841"/>
    <n v="86.728318000000002"/>
    <x v="4"/>
    <n v="19"/>
    <n v="37"/>
    <n v="28"/>
  </r>
  <r>
    <s v="India"/>
    <x v="14"/>
    <x v="95"/>
    <x v="219"/>
    <x v="0"/>
    <n v="18.547056000000001"/>
    <n v="73.826908000000003"/>
    <x v="4"/>
    <n v="1"/>
    <n v="12"/>
    <n v="6"/>
  </r>
  <r>
    <s v="India"/>
    <x v="14"/>
    <x v="250"/>
    <x v="472"/>
    <x v="0"/>
    <n v="16.503799999999998"/>
    <n v="74.362300000000005"/>
    <x v="4"/>
    <n v="14"/>
    <n v="41"/>
    <n v="23"/>
  </r>
  <r>
    <s v="India"/>
    <x v="14"/>
    <x v="250"/>
    <x v="472"/>
    <x v="0"/>
    <n v="16.503799999999998"/>
    <n v="74.362300000000005"/>
    <x v="6"/>
    <n v="16"/>
    <n v="110"/>
    <n v="38"/>
  </r>
  <r>
    <s v="India"/>
    <x v="14"/>
    <x v="250"/>
    <x v="472"/>
    <x v="0"/>
    <n v="16.503799999999998"/>
    <n v="74.362300000000005"/>
    <x v="0"/>
    <n v="2"/>
    <n v="53"/>
    <n v="31"/>
  </r>
  <r>
    <s v="India"/>
    <x v="14"/>
    <x v="116"/>
    <x v="220"/>
    <x v="0"/>
    <n v="17.633626400000001"/>
    <n v="75.913249500000006"/>
    <x v="6"/>
    <n v="10"/>
    <n v="72"/>
    <n v="26"/>
  </r>
  <r>
    <s v="India"/>
    <x v="14"/>
    <x v="100"/>
    <x v="197"/>
    <x v="0"/>
    <n v="18.590509999999998"/>
    <n v="73.77946"/>
    <x v="6"/>
    <n v="10"/>
    <n v="94"/>
    <n v="26"/>
  </r>
  <r>
    <s v="India"/>
    <x v="14"/>
    <x v="100"/>
    <x v="415"/>
    <x v="0"/>
    <n v="18.614767000000001"/>
    <n v="73.799515999999997"/>
    <x v="5"/>
    <n v="32"/>
    <n v="181"/>
    <n v="112"/>
  </r>
  <r>
    <s v="India"/>
    <x v="14"/>
    <x v="100"/>
    <x v="415"/>
    <x v="0"/>
    <n v="18.614767000000001"/>
    <n v="73.799515999999997"/>
    <x v="2"/>
    <n v="31"/>
    <n v="139"/>
    <n v="80"/>
  </r>
  <r>
    <s v="India"/>
    <x v="14"/>
    <x v="100"/>
    <x v="193"/>
    <x v="0"/>
    <n v="18.616318"/>
    <n v="73.765797000000006"/>
    <x v="3"/>
    <n v="6"/>
    <n v="19"/>
    <n v="14"/>
  </r>
  <r>
    <s v="India"/>
    <x v="14"/>
    <x v="117"/>
    <x v="414"/>
    <x v="0"/>
    <n v="19.267769999999999"/>
    <n v="72.971819999999994"/>
    <x v="1"/>
    <n v="60"/>
    <n v="153"/>
    <n v="109"/>
  </r>
  <r>
    <s v="India"/>
    <x v="14"/>
    <x v="117"/>
    <x v="414"/>
    <x v="0"/>
    <n v="19.267769999999999"/>
    <n v="72.971819999999994"/>
    <x v="6"/>
    <n v="8"/>
    <n v="72"/>
    <n v="20"/>
  </r>
  <r>
    <s v="India"/>
    <x v="14"/>
    <x v="117"/>
    <x v="218"/>
    <x v="0"/>
    <n v="19.222279"/>
    <n v="72.957978999999995"/>
    <x v="1"/>
    <n v="51"/>
    <n v="114"/>
    <n v="81"/>
  </r>
  <r>
    <s v="India"/>
    <x v="14"/>
    <x v="117"/>
    <x v="218"/>
    <x v="0"/>
    <n v="19.222279"/>
    <n v="72.957978999999995"/>
    <x v="4"/>
    <n v="1"/>
    <n v="30"/>
    <n v="9"/>
  </r>
  <r>
    <s v="India"/>
    <x v="14"/>
    <x v="95"/>
    <x v="195"/>
    <x v="0"/>
    <n v="18.530085"/>
    <n v="73.849598"/>
    <x v="5"/>
    <n v="92"/>
    <n v="239"/>
    <n v="165"/>
  </r>
  <r>
    <s v="India"/>
    <x v="14"/>
    <x v="95"/>
    <x v="219"/>
    <x v="0"/>
    <n v="18.547056000000001"/>
    <n v="73.826908000000003"/>
    <x v="5"/>
    <n v="28"/>
    <n v="66"/>
    <n v="46"/>
  </r>
  <r>
    <s v="India"/>
    <x v="14"/>
    <x v="95"/>
    <x v="219"/>
    <x v="0"/>
    <n v="18.547056000000001"/>
    <n v="73.826908000000003"/>
    <x v="2"/>
    <n v="7"/>
    <n v="36"/>
    <n v="19"/>
  </r>
  <r>
    <s v="India"/>
    <x v="14"/>
    <x v="114"/>
    <x v="215"/>
    <x v="0"/>
    <n v="19.235581"/>
    <n v="73.159120999999999"/>
    <x v="0"/>
    <n v="3"/>
    <n v="179"/>
    <n v="76"/>
  </r>
  <r>
    <s v="India"/>
    <x v="14"/>
    <x v="227"/>
    <x v="418"/>
    <x v="0"/>
    <n v="19.445820999999999"/>
    <n v="72.798823100000007"/>
    <x v="5"/>
    <n v="27"/>
    <n v="73"/>
    <n v="42"/>
  </r>
  <r>
    <s v="India"/>
    <x v="14"/>
    <x v="227"/>
    <x v="418"/>
    <x v="0"/>
    <n v="19.445820999999999"/>
    <n v="72.798823100000007"/>
    <x v="1"/>
    <n v="44"/>
    <n v="104"/>
    <n v="65"/>
  </r>
  <r>
    <s v="India"/>
    <x v="14"/>
    <x v="95"/>
    <x v="181"/>
    <x v="0"/>
    <n v="18.640051"/>
    <n v="73.848956000000001"/>
    <x v="6"/>
    <n v="1"/>
    <n v="56"/>
    <n v="25"/>
  </r>
  <r>
    <s v="India"/>
    <x v="14"/>
    <x v="95"/>
    <x v="182"/>
    <x v="0"/>
    <n v="18.60577"/>
    <n v="73.749976000000004"/>
    <x v="5"/>
    <n v="62"/>
    <n v="127"/>
    <n v="91"/>
  </r>
  <r>
    <s v="India"/>
    <x v="14"/>
    <x v="95"/>
    <x v="183"/>
    <x v="0"/>
    <n v="18.501792999999999"/>
    <n v="73.927531999999999"/>
    <x v="0"/>
    <n v="1"/>
    <n v="136"/>
    <n v="100"/>
  </r>
  <r>
    <s v="India"/>
    <x v="29"/>
    <x v="233"/>
    <x v="425"/>
    <x v="0"/>
    <n v="25.558599999999998"/>
    <n v="91.898499999999999"/>
    <x v="5"/>
    <m/>
    <m/>
    <m/>
  </r>
  <r>
    <s v="India"/>
    <x v="28"/>
    <x v="231"/>
    <x v="422"/>
    <x v="0"/>
    <n v="25.663541299999999"/>
    <n v="94.098987800000003"/>
    <x v="1"/>
    <n v="67"/>
    <n v="170"/>
    <n v="110"/>
  </r>
  <r>
    <s v="India"/>
    <x v="14"/>
    <x v="95"/>
    <x v="416"/>
    <x v="0"/>
    <n v="18.501174299999999"/>
    <n v="73.816552700000003"/>
    <x v="0"/>
    <n v="13"/>
    <n v="13"/>
    <n v="13"/>
  </r>
  <r>
    <s v="India"/>
    <x v="14"/>
    <x v="95"/>
    <x v="184"/>
    <x v="0"/>
    <n v="18.454450000000001"/>
    <n v="73.854155000000006"/>
    <x v="3"/>
    <n v="3"/>
    <n v="11"/>
    <n v="10"/>
  </r>
  <r>
    <s v="India"/>
    <x v="15"/>
    <x v="228"/>
    <x v="419"/>
    <x v="0"/>
    <n v="21.869985"/>
    <n v="85.167016000000004"/>
    <x v="3"/>
    <n v="3"/>
    <n v="12"/>
    <n v="7"/>
  </r>
  <r>
    <s v="India"/>
    <x v="15"/>
    <x v="228"/>
    <x v="419"/>
    <x v="0"/>
    <n v="21.869985"/>
    <n v="85.167016000000004"/>
    <x v="4"/>
    <n v="28"/>
    <n v="34"/>
    <n v="30"/>
  </r>
  <r>
    <s v="India"/>
    <x v="20"/>
    <x v="127"/>
    <x v="231"/>
    <x v="0"/>
    <n v="11.930899999999999"/>
    <n v="79.802700000000002"/>
    <x v="1"/>
    <n v="13"/>
    <n v="67"/>
    <n v="29"/>
  </r>
  <r>
    <s v="India"/>
    <x v="20"/>
    <x v="127"/>
    <x v="231"/>
    <x v="0"/>
    <n v="11.930899999999999"/>
    <n v="79.802700000000002"/>
    <x v="4"/>
    <n v="6"/>
    <n v="12"/>
    <n v="8"/>
  </r>
  <r>
    <s v="India"/>
    <x v="18"/>
    <x v="229"/>
    <x v="420"/>
    <x v="0"/>
    <n v="30.233011000000001"/>
    <n v="74.907758000000001"/>
    <x v="1"/>
    <n v="18"/>
    <n v="125"/>
    <n v="54"/>
  </r>
  <r>
    <s v="India"/>
    <x v="18"/>
    <x v="229"/>
    <x v="420"/>
    <x v="0"/>
    <n v="30.233011000000001"/>
    <n v="74.907758000000001"/>
    <x v="2"/>
    <n v="21"/>
    <n v="24"/>
    <n v="23"/>
  </r>
  <r>
    <s v="India"/>
    <x v="18"/>
    <x v="229"/>
    <x v="420"/>
    <x v="0"/>
    <n v="30.233011000000001"/>
    <n v="74.907758000000001"/>
    <x v="6"/>
    <n v="5"/>
    <n v="101"/>
    <n v="44"/>
  </r>
  <r>
    <s v="India"/>
    <x v="18"/>
    <x v="230"/>
    <x v="421"/>
    <x v="0"/>
    <n v="31.321906999999999"/>
    <n v="75.578913999999997"/>
    <x v="5"/>
    <n v="47"/>
    <n v="238"/>
    <n v="131"/>
  </r>
  <r>
    <s v="India"/>
    <x v="18"/>
    <x v="230"/>
    <x v="421"/>
    <x v="0"/>
    <n v="31.321906999999999"/>
    <n v="75.578913999999997"/>
    <x v="2"/>
    <n v="28"/>
    <n v="32"/>
    <n v="30"/>
  </r>
  <r>
    <s v="India"/>
    <x v="18"/>
    <x v="230"/>
    <x v="421"/>
    <x v="0"/>
    <n v="31.321906999999999"/>
    <n v="75.578913999999997"/>
    <x v="4"/>
    <n v="18"/>
    <n v="20"/>
    <n v="19"/>
  </r>
  <r>
    <s v="India"/>
    <x v="18"/>
    <x v="230"/>
    <x v="421"/>
    <x v="0"/>
    <n v="31.321906999999999"/>
    <n v="75.578913999999997"/>
    <x v="6"/>
    <n v="36"/>
    <n v="52"/>
    <n v="44"/>
  </r>
  <r>
    <s v="India"/>
    <x v="18"/>
    <x v="230"/>
    <x v="421"/>
    <x v="0"/>
    <n v="31.321906999999999"/>
    <n v="75.578913999999997"/>
    <x v="0"/>
    <n v="10"/>
    <n v="43"/>
    <n v="26"/>
  </r>
  <r>
    <s v="India"/>
    <x v="15"/>
    <x v="105"/>
    <x v="205"/>
    <x v="0"/>
    <n v="22.265816000000001"/>
    <n v="86.174829000000003"/>
    <x v="1"/>
    <m/>
    <m/>
    <m/>
  </r>
  <r>
    <s v="India"/>
    <x v="15"/>
    <x v="105"/>
    <x v="205"/>
    <x v="0"/>
    <n v="22.265816000000001"/>
    <n v="86.174829000000003"/>
    <x v="6"/>
    <n v="16"/>
    <n v="44"/>
    <n v="44"/>
  </r>
  <r>
    <s v="India"/>
    <x v="15"/>
    <x v="105"/>
    <x v="205"/>
    <x v="0"/>
    <n v="22.265816000000001"/>
    <n v="86.174829000000003"/>
    <x v="0"/>
    <n v="12"/>
    <n v="21"/>
    <n v="15"/>
  </r>
  <r>
    <s v="India"/>
    <x v="15"/>
    <x v="106"/>
    <x v="206"/>
    <x v="0"/>
    <n v="22.18972222"/>
    <n v="84.862777780000002"/>
    <x v="2"/>
    <m/>
    <m/>
    <m/>
  </r>
  <r>
    <s v="India"/>
    <x v="15"/>
    <x v="106"/>
    <x v="228"/>
    <x v="0"/>
    <n v="22.220832999999999"/>
    <n v="84.809443999999999"/>
    <x v="6"/>
    <n v="46"/>
    <n v="104"/>
    <n v="74"/>
  </r>
  <r>
    <s v="India"/>
    <x v="15"/>
    <x v="125"/>
    <x v="229"/>
    <x v="0"/>
    <n v="21.606864999999999"/>
    <n v="85.510537999999997"/>
    <x v="5"/>
    <n v="89"/>
    <n v="147"/>
    <n v="115"/>
  </r>
  <r>
    <s v="India"/>
    <x v="15"/>
    <x v="125"/>
    <x v="229"/>
    <x v="0"/>
    <n v="21.606864999999999"/>
    <n v="85.510537999999997"/>
    <x v="3"/>
    <n v="4"/>
    <n v="4"/>
    <n v="4"/>
  </r>
  <r>
    <s v="India"/>
    <x v="15"/>
    <x v="126"/>
    <x v="230"/>
    <x v="0"/>
    <n v="20.936071099999999"/>
    <n v="85.1707021"/>
    <x v="4"/>
    <n v="8"/>
    <n v="13"/>
    <n v="10"/>
  </r>
  <r>
    <s v="India"/>
    <x v="15"/>
    <x v="126"/>
    <x v="230"/>
    <x v="0"/>
    <n v="20.936071099999999"/>
    <n v="85.1707021"/>
    <x v="0"/>
    <n v="1"/>
    <n v="7"/>
    <n v="2"/>
  </r>
  <r>
    <s v="India"/>
    <x v="15"/>
    <x v="111"/>
    <x v="212"/>
    <x v="0"/>
    <n v="22.061567029999999"/>
    <n v="85.474096130000007"/>
    <x v="5"/>
    <n v="38"/>
    <n v="77"/>
    <n v="51"/>
  </r>
  <r>
    <s v="India"/>
    <x v="15"/>
    <x v="111"/>
    <x v="212"/>
    <x v="0"/>
    <n v="22.061567029999999"/>
    <n v="85.474096130000007"/>
    <x v="1"/>
    <n v="43"/>
    <n v="158"/>
    <n v="92"/>
  </r>
  <r>
    <s v="India"/>
    <x v="15"/>
    <x v="111"/>
    <x v="212"/>
    <x v="0"/>
    <n v="22.061567029999999"/>
    <n v="85.474096130000007"/>
    <x v="2"/>
    <n v="7"/>
    <n v="7"/>
    <n v="7"/>
  </r>
  <r>
    <s v="India"/>
    <x v="15"/>
    <x v="111"/>
    <x v="212"/>
    <x v="0"/>
    <n v="22.061567029999999"/>
    <n v="85.474096130000007"/>
    <x v="0"/>
    <n v="19"/>
    <n v="48"/>
    <n v="35"/>
  </r>
  <r>
    <s v="India"/>
    <x v="15"/>
    <x v="112"/>
    <x v="213"/>
    <x v="0"/>
    <n v="21.800499599999998"/>
    <n v="83.839697700000002"/>
    <x v="5"/>
    <n v="53"/>
    <n v="115"/>
    <n v="74"/>
  </r>
  <r>
    <s v="India"/>
    <x v="18"/>
    <x v="121"/>
    <x v="224"/>
    <x v="0"/>
    <n v="30.349388000000001"/>
    <n v="76.366641999999999"/>
    <x v="6"/>
    <n v="25"/>
    <n v="104"/>
    <n v="74"/>
  </r>
  <r>
    <s v="India"/>
    <x v="19"/>
    <x v="123"/>
    <x v="226"/>
    <x v="0"/>
    <n v="26.470859000000001"/>
    <n v="74.646593999999993"/>
    <x v="2"/>
    <n v="20"/>
    <n v="28"/>
    <n v="25"/>
  </r>
  <r>
    <s v="India"/>
    <x v="19"/>
    <x v="123"/>
    <x v="226"/>
    <x v="0"/>
    <n v="26.470859000000001"/>
    <n v="74.646593999999993"/>
    <x v="4"/>
    <n v="10"/>
    <n v="17"/>
    <n v="13"/>
  </r>
  <r>
    <s v="India"/>
    <x v="19"/>
    <x v="124"/>
    <x v="227"/>
    <x v="0"/>
    <n v="27.554793"/>
    <n v="76.611536000000001"/>
    <x v="2"/>
    <n v="68"/>
    <n v="114"/>
    <n v="96"/>
  </r>
  <r>
    <s v="India"/>
    <x v="19"/>
    <x v="135"/>
    <x v="239"/>
    <x v="0"/>
    <n v="25.106006000000001"/>
    <n v="76.469948000000002"/>
    <x v="2"/>
    <n v="5"/>
    <n v="116"/>
    <n v="44"/>
  </r>
  <r>
    <s v="India"/>
    <x v="15"/>
    <x v="102"/>
    <x v="202"/>
    <x v="0"/>
    <n v="20.488910000000001"/>
    <n v="85.847679999999997"/>
    <x v="1"/>
    <n v="57"/>
    <n v="156"/>
    <n v="98"/>
  </r>
  <r>
    <s v="India"/>
    <x v="15"/>
    <x v="102"/>
    <x v="202"/>
    <x v="0"/>
    <n v="20.488910000000001"/>
    <n v="85.847679999999997"/>
    <x v="4"/>
    <n v="3"/>
    <n v="9"/>
    <n v="6"/>
  </r>
  <r>
    <s v="India"/>
    <x v="19"/>
    <x v="132"/>
    <x v="236"/>
    <x v="0"/>
    <n v="27.215415"/>
    <n v="77.50873"/>
    <x v="5"/>
    <n v="20"/>
    <n v="309"/>
    <n v="87"/>
  </r>
  <r>
    <s v="India"/>
    <x v="19"/>
    <x v="132"/>
    <x v="236"/>
    <x v="0"/>
    <n v="27.215415"/>
    <n v="77.50873"/>
    <x v="2"/>
    <n v="15"/>
    <n v="100"/>
    <n v="44"/>
  </r>
  <r>
    <s v="India"/>
    <x v="19"/>
    <x v="133"/>
    <x v="237"/>
    <x v="0"/>
    <n v="25.339604999999999"/>
    <n v="74.618882999999997"/>
    <x v="2"/>
    <n v="4"/>
    <n v="91"/>
    <n v="25"/>
  </r>
  <r>
    <s v="India"/>
    <x v="19"/>
    <x v="133"/>
    <x v="237"/>
    <x v="0"/>
    <n v="25.339604999999999"/>
    <n v="74.618882999999997"/>
    <x v="3"/>
    <n v="4"/>
    <n v="7"/>
    <n v="5"/>
  </r>
  <r>
    <s v="India"/>
    <x v="18"/>
    <x v="129"/>
    <x v="233"/>
    <x v="0"/>
    <n v="30.736056000000001"/>
    <n v="76.209693999999999"/>
    <x v="2"/>
    <n v="25"/>
    <n v="29"/>
    <n v="28"/>
  </r>
  <r>
    <s v="India"/>
    <x v="18"/>
    <x v="129"/>
    <x v="233"/>
    <x v="0"/>
    <n v="30.736056000000001"/>
    <n v="76.209693999999999"/>
    <x v="4"/>
    <n v="12"/>
    <n v="47"/>
    <n v="24"/>
  </r>
  <r>
    <s v="India"/>
    <x v="19"/>
    <x v="139"/>
    <x v="244"/>
    <x v="0"/>
    <n v="26.786681999999999"/>
    <n v="75.827928"/>
    <x v="3"/>
    <n v="1"/>
    <n v="4"/>
    <n v="3"/>
  </r>
  <r>
    <s v="India"/>
    <x v="19"/>
    <x v="139"/>
    <x v="244"/>
    <x v="0"/>
    <n v="26.786681999999999"/>
    <n v="75.827928"/>
    <x v="6"/>
    <n v="47"/>
    <n v="110"/>
    <n v="67"/>
  </r>
  <r>
    <s v="India"/>
    <x v="19"/>
    <x v="139"/>
    <x v="245"/>
    <x v="0"/>
    <n v="26.960668999999999"/>
    <n v="75.771816999999999"/>
    <x v="5"/>
    <n v="49"/>
    <n v="362"/>
    <n v="136"/>
  </r>
  <r>
    <s v="India"/>
    <x v="19"/>
    <x v="139"/>
    <x v="246"/>
    <x v="0"/>
    <n v="26.950292900000001"/>
    <n v="75.730942999999996"/>
    <x v="1"/>
    <n v="90"/>
    <n v="153"/>
    <n v="120"/>
  </r>
  <r>
    <s v="India"/>
    <x v="19"/>
    <x v="139"/>
    <x v="246"/>
    <x v="0"/>
    <n v="26.950292900000001"/>
    <n v="75.730942999999996"/>
    <x v="2"/>
    <n v="13"/>
    <n v="64"/>
    <n v="32"/>
  </r>
  <r>
    <s v="India"/>
    <x v="19"/>
    <x v="139"/>
    <x v="246"/>
    <x v="0"/>
    <n v="26.950292900000001"/>
    <n v="75.730942999999996"/>
    <x v="0"/>
    <n v="26"/>
    <n v="62"/>
    <n v="46"/>
  </r>
  <r>
    <s v="India"/>
    <x v="19"/>
    <x v="140"/>
    <x v="247"/>
    <x v="0"/>
    <n v="26.912329"/>
    <n v="70.909167999999994"/>
    <x v="5"/>
    <n v="21"/>
    <n v="86"/>
    <n v="38"/>
  </r>
  <r>
    <s v="India"/>
    <x v="19"/>
    <x v="140"/>
    <x v="247"/>
    <x v="0"/>
    <n v="26.912329"/>
    <n v="70.909167999999994"/>
    <x v="4"/>
    <n v="3"/>
    <n v="6"/>
    <n v="4"/>
  </r>
  <r>
    <s v="India"/>
    <x v="19"/>
    <x v="140"/>
    <x v="247"/>
    <x v="0"/>
    <n v="26.912329"/>
    <n v="70.909167999999994"/>
    <x v="6"/>
    <n v="8"/>
    <n v="82"/>
    <n v="36"/>
  </r>
  <r>
    <s v="India"/>
    <x v="19"/>
    <x v="141"/>
    <x v="248"/>
    <x v="0"/>
    <n v="25.344694"/>
    <n v="72.626208000000005"/>
    <x v="1"/>
    <n v="78"/>
    <n v="252"/>
    <n v="118"/>
  </r>
  <r>
    <s v="India"/>
    <x v="19"/>
    <x v="144"/>
    <x v="253"/>
    <x v="0"/>
    <n v="26.358805"/>
    <n v="73.047443999999999"/>
    <x v="6"/>
    <n v="20"/>
    <n v="67"/>
    <n v="34"/>
  </r>
  <r>
    <s v="India"/>
    <x v="19"/>
    <x v="144"/>
    <x v="253"/>
    <x v="0"/>
    <n v="26.358805"/>
    <n v="73.047443999999999"/>
    <x v="0"/>
    <n v="2"/>
    <n v="98"/>
    <n v="62"/>
  </r>
  <r>
    <s v="India"/>
    <x v="19"/>
    <x v="144"/>
    <x v="430"/>
    <x v="0"/>
    <n v="26.253384"/>
    <n v="72.976571000000007"/>
    <x v="5"/>
    <n v="14"/>
    <n v="307"/>
    <n v="94"/>
  </r>
  <r>
    <s v="India"/>
    <x v="19"/>
    <x v="144"/>
    <x v="430"/>
    <x v="0"/>
    <n v="26.253384"/>
    <n v="72.976571000000007"/>
    <x v="1"/>
    <n v="55"/>
    <n v="230"/>
    <n v="113"/>
  </r>
  <r>
    <s v="India"/>
    <x v="19"/>
    <x v="144"/>
    <x v="430"/>
    <x v="0"/>
    <n v="26.253384"/>
    <n v="72.976571000000007"/>
    <x v="6"/>
    <n v="12"/>
    <n v="107"/>
    <n v="33"/>
  </r>
  <r>
    <s v="India"/>
    <x v="19"/>
    <x v="144"/>
    <x v="430"/>
    <x v="0"/>
    <n v="26.253384"/>
    <n v="72.976571000000007"/>
    <x v="0"/>
    <n v="5"/>
    <n v="98"/>
    <n v="67"/>
  </r>
  <r>
    <s v="India"/>
    <x v="19"/>
    <x v="154"/>
    <x v="263"/>
    <x v="0"/>
    <n v="26.506177000000001"/>
    <n v="77.025988999999996"/>
    <x v="2"/>
    <n v="8"/>
    <n v="64"/>
    <n v="33"/>
  </r>
  <r>
    <s v="India"/>
    <x v="19"/>
    <x v="155"/>
    <x v="431"/>
    <x v="0"/>
    <n v="25.164090000000002"/>
    <n v="75.858136999999999"/>
    <x v="3"/>
    <n v="3"/>
    <n v="6"/>
    <n v="5"/>
  </r>
  <r>
    <s v="India"/>
    <x v="19"/>
    <x v="155"/>
    <x v="431"/>
    <x v="0"/>
    <n v="25.164090000000002"/>
    <n v="75.858136999999999"/>
    <x v="0"/>
    <n v="1"/>
    <n v="83"/>
    <n v="51"/>
  </r>
  <r>
    <s v="India"/>
    <x v="19"/>
    <x v="151"/>
    <x v="260"/>
    <x v="0"/>
    <n v="29.610749999999999"/>
    <n v="74.283608000000001"/>
    <x v="3"/>
    <n v="14"/>
    <n v="20"/>
    <n v="17"/>
  </r>
  <r>
    <s v="India"/>
    <x v="19"/>
    <x v="151"/>
    <x v="260"/>
    <x v="0"/>
    <n v="29.610749999999999"/>
    <n v="74.283608000000001"/>
    <x v="6"/>
    <n v="44"/>
    <n v="84"/>
    <n v="57"/>
  </r>
  <r>
    <s v="India"/>
    <x v="19"/>
    <x v="151"/>
    <x v="260"/>
    <x v="0"/>
    <n v="29.610749999999999"/>
    <n v="74.283608000000001"/>
    <x v="0"/>
    <n v="13"/>
    <n v="82"/>
    <n v="64"/>
  </r>
  <r>
    <s v="India"/>
    <x v="19"/>
    <x v="139"/>
    <x v="473"/>
    <x v="0"/>
    <n v="26.902909000000001"/>
    <n v="75.836858000000007"/>
    <x v="5"/>
    <n v="31"/>
    <n v="104"/>
    <n v="70"/>
  </r>
  <r>
    <s v="India"/>
    <x v="19"/>
    <x v="139"/>
    <x v="473"/>
    <x v="0"/>
    <n v="26.902909000000001"/>
    <n v="75.836858000000007"/>
    <x v="2"/>
    <m/>
    <m/>
    <m/>
  </r>
  <r>
    <s v="India"/>
    <x v="19"/>
    <x v="139"/>
    <x v="473"/>
    <x v="0"/>
    <n v="26.902909000000001"/>
    <n v="75.836858000000007"/>
    <x v="3"/>
    <m/>
    <m/>
    <m/>
  </r>
  <r>
    <s v="India"/>
    <x v="19"/>
    <x v="139"/>
    <x v="426"/>
    <x v="0"/>
    <n v="26.843698"/>
    <n v="75.766893999999994"/>
    <x v="4"/>
    <n v="5"/>
    <n v="27"/>
    <n v="12"/>
  </r>
  <r>
    <s v="India"/>
    <x v="19"/>
    <x v="139"/>
    <x v="243"/>
    <x v="0"/>
    <n v="26.9164092"/>
    <n v="75.7994901"/>
    <x v="6"/>
    <n v="8"/>
    <n v="84"/>
    <n v="43"/>
  </r>
  <r>
    <s v="India"/>
    <x v="19"/>
    <x v="141"/>
    <x v="248"/>
    <x v="0"/>
    <n v="25.344694"/>
    <n v="72.626208000000005"/>
    <x v="4"/>
    <n v="1"/>
    <n v="7"/>
    <n v="2"/>
  </r>
  <r>
    <s v="India"/>
    <x v="19"/>
    <x v="143"/>
    <x v="250"/>
    <x v="0"/>
    <n v="28.108988"/>
    <n v="75.386577000000003"/>
    <x v="2"/>
    <n v="11"/>
    <n v="114"/>
    <n v="40"/>
  </r>
  <r>
    <s v="India"/>
    <x v="19"/>
    <x v="143"/>
    <x v="250"/>
    <x v="0"/>
    <n v="28.108988"/>
    <n v="75.386577000000003"/>
    <x v="6"/>
    <n v="32"/>
    <n v="100"/>
    <n v="66"/>
  </r>
  <r>
    <s v="India"/>
    <x v="19"/>
    <x v="144"/>
    <x v="434"/>
    <x v="0"/>
    <n v="26.295809999999999"/>
    <n v="73.082283000000004"/>
    <x v="4"/>
    <n v="5"/>
    <n v="24"/>
    <n v="10"/>
  </r>
  <r>
    <s v="India"/>
    <x v="19"/>
    <x v="144"/>
    <x v="252"/>
    <x v="0"/>
    <n v="26.215415"/>
    <n v="73.070155999999997"/>
    <x v="1"/>
    <n v="34"/>
    <n v="332"/>
    <n v="125"/>
  </r>
  <r>
    <s v="India"/>
    <x v="19"/>
    <x v="130"/>
    <x v="427"/>
    <x v="0"/>
    <n v="28.194908999999999"/>
    <n v="76.862296000000001"/>
    <x v="4"/>
    <m/>
    <m/>
    <m/>
  </r>
  <r>
    <s v="India"/>
    <x v="19"/>
    <x v="130"/>
    <x v="234"/>
    <x v="0"/>
    <n v="28.207266000000001"/>
    <n v="76.829265000000007"/>
    <x v="5"/>
    <n v="7"/>
    <n v="263"/>
    <n v="89"/>
  </r>
  <r>
    <s v="India"/>
    <x v="19"/>
    <x v="130"/>
    <x v="234"/>
    <x v="0"/>
    <n v="28.207266000000001"/>
    <n v="76.829265000000007"/>
    <x v="6"/>
    <n v="10"/>
    <n v="86"/>
    <n v="26"/>
  </r>
  <r>
    <s v="India"/>
    <x v="19"/>
    <x v="131"/>
    <x v="235"/>
    <x v="0"/>
    <n v="28.018792000000001"/>
    <n v="73.292658000000003"/>
    <x v="1"/>
    <n v="72"/>
    <n v="424"/>
    <n v="159"/>
  </r>
  <r>
    <s v="India"/>
    <x v="19"/>
    <x v="138"/>
    <x v="242"/>
    <x v="0"/>
    <n v="25.435773999999999"/>
    <n v="75.644272000000001"/>
    <x v="6"/>
    <n v="11"/>
    <n v="103"/>
    <n v="34"/>
  </r>
  <r>
    <s v="India"/>
    <x v="19"/>
    <x v="137"/>
    <x v="241"/>
    <x v="0"/>
    <n v="24.892047000000002"/>
    <n v="74.623526999999996"/>
    <x v="5"/>
    <n v="28"/>
    <n v="303"/>
    <n v="110"/>
  </r>
  <r>
    <s v="India"/>
    <x v="19"/>
    <x v="137"/>
    <x v="241"/>
    <x v="0"/>
    <n v="24.892047000000002"/>
    <n v="74.623526999999996"/>
    <x v="3"/>
    <n v="3"/>
    <n v="8"/>
    <n v="5"/>
  </r>
  <r>
    <s v="India"/>
    <x v="19"/>
    <x v="137"/>
    <x v="241"/>
    <x v="0"/>
    <n v="24.892047000000002"/>
    <n v="74.623526999999996"/>
    <x v="0"/>
    <n v="1"/>
    <n v="115"/>
    <n v="71"/>
  </r>
  <r>
    <s v="India"/>
    <x v="19"/>
    <x v="152"/>
    <x v="261"/>
    <x v="0"/>
    <n v="26.895551999999999"/>
    <n v="76.334753000000006"/>
    <x v="0"/>
    <n v="4"/>
    <n v="166"/>
    <n v="122"/>
  </r>
  <r>
    <s v="India"/>
    <x v="19"/>
    <x v="153"/>
    <x v="262"/>
    <x v="0"/>
    <n v="26.699556999999999"/>
    <n v="77.898881000000003"/>
    <x v="6"/>
    <n v="24"/>
    <n v="78"/>
    <n v="42"/>
  </r>
  <r>
    <s v="India"/>
    <x v="19"/>
    <x v="131"/>
    <x v="235"/>
    <x v="0"/>
    <n v="28.018792000000001"/>
    <n v="73.292658000000003"/>
    <x v="4"/>
    <n v="1"/>
    <n v="40"/>
    <n v="9"/>
  </r>
  <r>
    <s v="India"/>
    <x v="19"/>
    <x v="131"/>
    <x v="235"/>
    <x v="0"/>
    <n v="28.018792000000001"/>
    <n v="73.292658000000003"/>
    <x v="6"/>
    <n v="13"/>
    <n v="168"/>
    <n v="168"/>
  </r>
  <r>
    <s v="India"/>
    <x v="19"/>
    <x v="150"/>
    <x v="259"/>
    <x v="0"/>
    <n v="23.837789000000001"/>
    <n v="73.714926000000006"/>
    <x v="5"/>
    <n v="17"/>
    <n v="74"/>
    <n v="38"/>
  </r>
  <r>
    <s v="India"/>
    <x v="19"/>
    <x v="155"/>
    <x v="264"/>
    <x v="0"/>
    <n v="25.196024000000001"/>
    <n v="75.855667999999994"/>
    <x v="3"/>
    <n v="11"/>
    <n v="26"/>
    <n v="16"/>
  </r>
  <r>
    <s v="India"/>
    <x v="19"/>
    <x v="155"/>
    <x v="428"/>
    <x v="0"/>
    <n v="25.143889999999999"/>
    <n v="75.821256000000005"/>
    <x v="2"/>
    <n v="13"/>
    <n v="20"/>
    <n v="14"/>
  </r>
  <r>
    <s v="India"/>
    <x v="19"/>
    <x v="234"/>
    <x v="429"/>
    <x v="0"/>
    <n v="27.213494000000001"/>
    <n v="73.734443999999996"/>
    <x v="3"/>
    <n v="5"/>
    <n v="15"/>
    <n v="8"/>
  </r>
  <r>
    <s v="India"/>
    <x v="19"/>
    <x v="234"/>
    <x v="429"/>
    <x v="0"/>
    <n v="27.213494000000001"/>
    <n v="73.734443999999996"/>
    <x v="4"/>
    <n v="4"/>
    <n v="72"/>
    <n v="14"/>
  </r>
  <r>
    <s v="India"/>
    <x v="19"/>
    <x v="234"/>
    <x v="429"/>
    <x v="0"/>
    <n v="27.213494000000001"/>
    <n v="73.734443999999996"/>
    <x v="6"/>
    <n v="14"/>
    <n v="100"/>
    <n v="36"/>
  </r>
  <r>
    <s v="India"/>
    <x v="19"/>
    <x v="145"/>
    <x v="254"/>
    <x v="0"/>
    <n v="25.771061"/>
    <n v="73.340226999999999"/>
    <x v="3"/>
    <n v="7"/>
    <n v="13"/>
    <n v="10"/>
  </r>
  <r>
    <s v="India"/>
    <x v="19"/>
    <x v="145"/>
    <x v="254"/>
    <x v="0"/>
    <n v="25.771061"/>
    <n v="73.340226999999999"/>
    <x v="4"/>
    <n v="10"/>
    <n v="13"/>
    <n v="11"/>
  </r>
  <r>
    <s v="India"/>
    <x v="19"/>
    <x v="146"/>
    <x v="255"/>
    <x v="0"/>
    <n v="24.041198000000001"/>
    <n v="74.780702000000005"/>
    <x v="1"/>
    <n v="89"/>
    <n v="152"/>
    <n v="117"/>
  </r>
  <r>
    <s v="India"/>
    <x v="19"/>
    <x v="146"/>
    <x v="255"/>
    <x v="0"/>
    <n v="24.041198000000001"/>
    <n v="74.780702000000005"/>
    <x v="2"/>
    <n v="12"/>
    <n v="56"/>
    <n v="29"/>
  </r>
  <r>
    <s v="India"/>
    <x v="21"/>
    <x v="157"/>
    <x v="267"/>
    <x v="0"/>
    <n v="13.1036"/>
    <n v="80.290899999999993"/>
    <x v="3"/>
    <n v="2"/>
    <n v="5"/>
    <n v="3"/>
  </r>
  <r>
    <s v="India"/>
    <x v="21"/>
    <x v="157"/>
    <x v="268"/>
    <x v="0"/>
    <n v="13.005218899999999"/>
    <n v="80.239812499999999"/>
    <x v="6"/>
    <n v="50"/>
    <n v="63"/>
    <n v="58"/>
  </r>
  <r>
    <s v="India"/>
    <x v="21"/>
    <x v="158"/>
    <x v="269"/>
    <x v="0"/>
    <n v="11.0328"/>
    <n v="77.034899999999993"/>
    <x v="1"/>
    <n v="14"/>
    <n v="42"/>
    <n v="30"/>
  </r>
  <r>
    <s v="India"/>
    <x v="21"/>
    <x v="158"/>
    <x v="269"/>
    <x v="0"/>
    <n v="11.0328"/>
    <n v="77.034899999999993"/>
    <x v="2"/>
    <n v="9"/>
    <n v="11"/>
    <n v="10"/>
  </r>
  <r>
    <s v="India"/>
    <x v="21"/>
    <x v="158"/>
    <x v="269"/>
    <x v="0"/>
    <n v="11.0328"/>
    <n v="77.034899999999993"/>
    <x v="3"/>
    <n v="2"/>
    <n v="2"/>
    <n v="2"/>
  </r>
  <r>
    <s v="India"/>
    <x v="21"/>
    <x v="158"/>
    <x v="270"/>
    <x v="0"/>
    <n v="10.942451"/>
    <n v="76.978995999999995"/>
    <x v="5"/>
    <n v="1"/>
    <n v="64"/>
    <n v="31"/>
  </r>
  <r>
    <s v="India"/>
    <x v="21"/>
    <x v="158"/>
    <x v="270"/>
    <x v="0"/>
    <n v="10.942451"/>
    <n v="76.978995999999995"/>
    <x v="2"/>
    <n v="6"/>
    <n v="16"/>
    <n v="10"/>
  </r>
  <r>
    <s v="India"/>
    <x v="21"/>
    <x v="158"/>
    <x v="270"/>
    <x v="0"/>
    <n v="10.942451"/>
    <n v="76.978995999999995"/>
    <x v="6"/>
    <n v="22"/>
    <n v="30"/>
    <n v="25"/>
  </r>
  <r>
    <s v="India"/>
    <x v="21"/>
    <x v="237"/>
    <x v="435"/>
    <x v="0"/>
    <n v="12.877731600000001"/>
    <n v="80.083480699999996"/>
    <x v="3"/>
    <m/>
    <m/>
    <m/>
  </r>
  <r>
    <s v="India"/>
    <x v="21"/>
    <x v="157"/>
    <x v="280"/>
    <x v="0"/>
    <n v="12.9099161"/>
    <n v="80.107653799999994"/>
    <x v="0"/>
    <n v="5"/>
    <n v="127"/>
    <n v="57"/>
  </r>
  <r>
    <s v="India"/>
    <x v="21"/>
    <x v="157"/>
    <x v="281"/>
    <x v="0"/>
    <n v="13.127800000000001"/>
    <n v="80.264200000000002"/>
    <x v="5"/>
    <n v="7"/>
    <n v="40"/>
    <n v="21"/>
  </r>
  <r>
    <s v="India"/>
    <x v="21"/>
    <x v="157"/>
    <x v="281"/>
    <x v="0"/>
    <n v="13.127800000000001"/>
    <n v="80.264200000000002"/>
    <x v="4"/>
    <n v="1"/>
    <n v="8"/>
    <n v="4"/>
  </r>
  <r>
    <s v="India"/>
    <x v="21"/>
    <x v="157"/>
    <x v="281"/>
    <x v="0"/>
    <n v="13.127800000000001"/>
    <n v="80.264200000000002"/>
    <x v="6"/>
    <n v="14"/>
    <n v="65"/>
    <n v="40"/>
  </r>
  <r>
    <s v="India"/>
    <x v="19"/>
    <x v="236"/>
    <x v="433"/>
    <x v="0"/>
    <n v="24.588616600000002"/>
    <n v="73.632139699999996"/>
    <x v="0"/>
    <n v="3"/>
    <n v="92"/>
    <n v="44"/>
  </r>
  <r>
    <s v="India"/>
    <x v="22"/>
    <x v="162"/>
    <x v="274"/>
    <x v="0"/>
    <n v="27.338529999999999"/>
    <n v="88.614098999999996"/>
    <x v="1"/>
    <n v="116"/>
    <n v="146"/>
    <n v="135"/>
  </r>
  <r>
    <s v="India"/>
    <x v="22"/>
    <x v="162"/>
    <x v="274"/>
    <x v="0"/>
    <n v="27.338529999999999"/>
    <n v="88.614098999999996"/>
    <x v="6"/>
    <n v="26"/>
    <n v="62"/>
    <n v="48"/>
  </r>
  <r>
    <s v="India"/>
    <x v="21"/>
    <x v="163"/>
    <x v="275"/>
    <x v="0"/>
    <n v="11.068250000000001"/>
    <n v="79.070329999999998"/>
    <x v="3"/>
    <n v="1"/>
    <n v="1"/>
    <n v="1"/>
  </r>
  <r>
    <s v="India"/>
    <x v="19"/>
    <x v="166"/>
    <x v="278"/>
    <x v="0"/>
    <n v="29.931623999999999"/>
    <n v="73.864510999999993"/>
    <x v="3"/>
    <n v="4"/>
    <n v="6"/>
    <n v="5"/>
  </r>
  <r>
    <s v="India"/>
    <x v="19"/>
    <x v="166"/>
    <x v="278"/>
    <x v="0"/>
    <n v="29.931623999999999"/>
    <n v="73.864510999999993"/>
    <x v="0"/>
    <n v="3"/>
    <n v="118"/>
    <n v="81"/>
  </r>
  <r>
    <s v="India"/>
    <x v="19"/>
    <x v="236"/>
    <x v="433"/>
    <x v="0"/>
    <n v="24.588616600000002"/>
    <n v="73.632139699999996"/>
    <x v="5"/>
    <n v="44"/>
    <n v="97"/>
    <n v="69"/>
  </r>
  <r>
    <s v="India"/>
    <x v="19"/>
    <x v="236"/>
    <x v="433"/>
    <x v="0"/>
    <n v="24.588616600000002"/>
    <n v="73.632139699999996"/>
    <x v="3"/>
    <n v="7"/>
    <n v="7"/>
    <n v="7"/>
  </r>
  <r>
    <s v="India"/>
    <x v="19"/>
    <x v="236"/>
    <x v="433"/>
    <x v="0"/>
    <n v="24.588616600000002"/>
    <n v="73.632139699999996"/>
    <x v="6"/>
    <n v="5"/>
    <n v="88"/>
    <n v="31"/>
  </r>
  <r>
    <s v="India"/>
    <x v="19"/>
    <x v="146"/>
    <x v="255"/>
    <x v="0"/>
    <n v="24.041198000000001"/>
    <n v="74.780702000000005"/>
    <x v="3"/>
    <n v="4"/>
    <n v="7"/>
    <n v="5"/>
  </r>
  <r>
    <s v="India"/>
    <x v="19"/>
    <x v="146"/>
    <x v="255"/>
    <x v="0"/>
    <n v="24.041198000000001"/>
    <n v="74.780702000000005"/>
    <x v="6"/>
    <n v="12"/>
    <n v="44"/>
    <n v="20"/>
  </r>
  <r>
    <s v="India"/>
    <x v="19"/>
    <x v="147"/>
    <x v="256"/>
    <x v="0"/>
    <n v="25.036359999999998"/>
    <n v="73.883501999999993"/>
    <x v="6"/>
    <n v="8"/>
    <n v="42"/>
    <n v="19"/>
  </r>
  <r>
    <s v="India"/>
    <x v="19"/>
    <x v="148"/>
    <x v="257"/>
    <x v="0"/>
    <n v="26.031442999999999"/>
    <n v="76.359326999999993"/>
    <x v="5"/>
    <n v="45"/>
    <n v="343"/>
    <n v="107"/>
  </r>
  <r>
    <s v="India"/>
    <x v="21"/>
    <x v="157"/>
    <x v="282"/>
    <x v="0"/>
    <n v="13.1662"/>
    <n v="80.258399999999995"/>
    <x v="4"/>
    <n v="18"/>
    <n v="23"/>
    <n v="21"/>
  </r>
  <r>
    <s v="India"/>
    <x v="21"/>
    <x v="157"/>
    <x v="283"/>
    <x v="0"/>
    <n v="13.164543999999999"/>
    <n v="80.26285"/>
    <x v="1"/>
    <n v="46"/>
    <n v="56"/>
    <n v="52"/>
  </r>
  <r>
    <s v="India"/>
    <x v="21"/>
    <x v="157"/>
    <x v="283"/>
    <x v="0"/>
    <n v="13.164543999999999"/>
    <n v="80.26285"/>
    <x v="2"/>
    <n v="10"/>
    <n v="22"/>
    <n v="15"/>
  </r>
  <r>
    <s v="India"/>
    <x v="21"/>
    <x v="157"/>
    <x v="283"/>
    <x v="0"/>
    <n v="13.164543999999999"/>
    <n v="80.26285"/>
    <x v="0"/>
    <n v="17"/>
    <n v="37"/>
    <n v="21"/>
  </r>
  <r>
    <s v="India"/>
    <x v="21"/>
    <x v="157"/>
    <x v="266"/>
    <x v="0"/>
    <n v="12.9533"/>
    <n v="80.235699999999994"/>
    <x v="5"/>
    <n v="14"/>
    <n v="55"/>
    <n v="28"/>
  </r>
  <r>
    <s v="India"/>
    <x v="21"/>
    <x v="157"/>
    <x v="282"/>
    <x v="0"/>
    <n v="13.1662"/>
    <n v="80.258399999999995"/>
    <x v="1"/>
    <n v="11"/>
    <n v="67"/>
    <n v="32"/>
  </r>
  <r>
    <s v="India"/>
    <x v="21"/>
    <x v="157"/>
    <x v="282"/>
    <x v="0"/>
    <n v="13.1662"/>
    <n v="80.258399999999995"/>
    <x v="2"/>
    <n v="1"/>
    <n v="1"/>
    <n v="1"/>
  </r>
  <r>
    <s v="India"/>
    <x v="19"/>
    <x v="149"/>
    <x v="258"/>
    <x v="0"/>
    <n v="27.608912"/>
    <n v="75.153301999999996"/>
    <x v="2"/>
    <n v="7"/>
    <n v="82"/>
    <n v="38"/>
  </r>
  <r>
    <s v="India"/>
    <x v="19"/>
    <x v="149"/>
    <x v="258"/>
    <x v="0"/>
    <n v="27.608912"/>
    <n v="75.153301999999996"/>
    <x v="4"/>
    <n v="1"/>
    <n v="11"/>
    <n v="4"/>
  </r>
  <r>
    <s v="India"/>
    <x v="21"/>
    <x v="159"/>
    <x v="271"/>
    <x v="0"/>
    <n v="10.96782"/>
    <n v="78.080882000000003"/>
    <x v="1"/>
    <n v="11"/>
    <n v="39"/>
    <n v="28"/>
  </r>
  <r>
    <s v="India"/>
    <x v="21"/>
    <x v="159"/>
    <x v="271"/>
    <x v="0"/>
    <n v="10.96782"/>
    <n v="78.080882000000003"/>
    <x v="2"/>
    <n v="2"/>
    <n v="17"/>
    <n v="4"/>
  </r>
  <r>
    <s v="India"/>
    <x v="21"/>
    <x v="159"/>
    <x v="271"/>
    <x v="0"/>
    <n v="10.96782"/>
    <n v="78.080882000000003"/>
    <x v="0"/>
    <n v="1"/>
    <n v="44"/>
    <n v="1"/>
  </r>
  <r>
    <s v="India"/>
    <x v="21"/>
    <x v="242"/>
    <x v="440"/>
    <x v="0"/>
    <n v="9.8659350000000003"/>
    <n v="78.022668999999993"/>
    <x v="5"/>
    <n v="7"/>
    <n v="25"/>
    <n v="17"/>
  </r>
  <r>
    <s v="India"/>
    <x v="21"/>
    <x v="242"/>
    <x v="440"/>
    <x v="0"/>
    <n v="9.8659350000000003"/>
    <n v="78.022668999999993"/>
    <x v="3"/>
    <n v="3"/>
    <n v="3"/>
    <n v="3"/>
  </r>
  <r>
    <s v="India"/>
    <x v="21"/>
    <x v="242"/>
    <x v="440"/>
    <x v="0"/>
    <n v="9.8659350000000003"/>
    <n v="78.022668999999993"/>
    <x v="4"/>
    <n v="24"/>
    <n v="29"/>
    <n v="28"/>
  </r>
  <r>
    <s v="India"/>
    <x v="21"/>
    <x v="160"/>
    <x v="272"/>
    <x v="0"/>
    <n v="10.798548"/>
    <n v="79.838211999999999"/>
    <x v="1"/>
    <n v="9"/>
    <n v="153"/>
    <n v="31"/>
  </r>
  <r>
    <s v="India"/>
    <x v="21"/>
    <x v="160"/>
    <x v="272"/>
    <x v="0"/>
    <n v="10.798548"/>
    <n v="79.838211999999999"/>
    <x v="0"/>
    <m/>
    <m/>
    <m/>
  </r>
  <r>
    <s v="India"/>
    <x v="21"/>
    <x v="161"/>
    <x v="273"/>
    <x v="0"/>
    <n v="11.273992"/>
    <n v="78.163544999999999"/>
    <x v="1"/>
    <m/>
    <m/>
    <m/>
  </r>
  <r>
    <s v="India"/>
    <x v="21"/>
    <x v="172"/>
    <x v="288"/>
    <x v="0"/>
    <n v="9.5593819999999994"/>
    <n v="77.948828000000006"/>
    <x v="6"/>
    <n v="16"/>
    <n v="20"/>
    <n v="17"/>
  </r>
  <r>
    <s v="India"/>
    <x v="23"/>
    <x v="173"/>
    <x v="445"/>
    <x v="0"/>
    <n v="17.460103"/>
    <n v="78.334361000000001"/>
    <x v="1"/>
    <m/>
    <m/>
    <m/>
  </r>
  <r>
    <s v="India"/>
    <x v="23"/>
    <x v="173"/>
    <x v="293"/>
    <x v="0"/>
    <n v="17.470431000000001"/>
    <n v="78.566958999999997"/>
    <x v="5"/>
    <n v="42"/>
    <n v="66"/>
    <n v="53"/>
  </r>
  <r>
    <s v="India"/>
    <x v="23"/>
    <x v="173"/>
    <x v="293"/>
    <x v="0"/>
    <n v="17.470431000000001"/>
    <n v="78.566958999999997"/>
    <x v="2"/>
    <n v="15"/>
    <n v="37"/>
    <n v="24"/>
  </r>
  <r>
    <s v="India"/>
    <x v="23"/>
    <x v="173"/>
    <x v="293"/>
    <x v="0"/>
    <n v="17.470431000000001"/>
    <n v="78.566958999999997"/>
    <x v="3"/>
    <n v="6"/>
    <n v="8"/>
    <n v="8"/>
  </r>
  <r>
    <s v="India"/>
    <x v="23"/>
    <x v="173"/>
    <x v="293"/>
    <x v="0"/>
    <n v="17.470431000000001"/>
    <n v="78.566958999999997"/>
    <x v="4"/>
    <m/>
    <m/>
    <m/>
  </r>
  <r>
    <s v="India"/>
    <x v="23"/>
    <x v="173"/>
    <x v="293"/>
    <x v="0"/>
    <n v="17.470431000000001"/>
    <n v="78.566958999999997"/>
    <x v="0"/>
    <n v="13"/>
    <n v="42"/>
    <n v="35"/>
  </r>
  <r>
    <s v="India"/>
    <x v="23"/>
    <x v="173"/>
    <x v="446"/>
    <x v="0"/>
    <n v="17.5184"/>
    <n v="78.278777000000005"/>
    <x v="0"/>
    <n v="16"/>
    <n v="81"/>
    <n v="63"/>
  </r>
  <r>
    <s v="India"/>
    <x v="23"/>
    <x v="173"/>
    <x v="448"/>
    <x v="0"/>
    <n v="17.585705000000001"/>
    <n v="78.126199"/>
    <x v="5"/>
    <m/>
    <m/>
    <m/>
  </r>
  <r>
    <s v="India"/>
    <x v="23"/>
    <x v="173"/>
    <x v="448"/>
    <x v="0"/>
    <n v="17.585705000000001"/>
    <n v="78.126199"/>
    <x v="1"/>
    <m/>
    <m/>
    <m/>
  </r>
  <r>
    <s v="India"/>
    <x v="23"/>
    <x v="173"/>
    <x v="448"/>
    <x v="0"/>
    <n v="17.585705000000001"/>
    <n v="78.126199"/>
    <x v="2"/>
    <n v="16"/>
    <n v="17"/>
    <n v="17"/>
  </r>
  <r>
    <s v="India"/>
    <x v="23"/>
    <x v="173"/>
    <x v="448"/>
    <x v="0"/>
    <n v="17.585705000000001"/>
    <n v="78.126199"/>
    <x v="3"/>
    <n v="2"/>
    <n v="2"/>
    <n v="2"/>
  </r>
  <r>
    <s v="India"/>
    <x v="23"/>
    <x v="173"/>
    <x v="289"/>
    <x v="0"/>
    <n v="17.544899000000001"/>
    <n v="78.486948999999996"/>
    <x v="5"/>
    <n v="57"/>
    <n v="60"/>
    <n v="59"/>
  </r>
  <r>
    <s v="India"/>
    <x v="23"/>
    <x v="173"/>
    <x v="289"/>
    <x v="0"/>
    <n v="17.544899000000001"/>
    <n v="78.486948999999996"/>
    <x v="6"/>
    <n v="22"/>
    <n v="26"/>
    <n v="23"/>
  </r>
  <r>
    <s v="India"/>
    <x v="23"/>
    <x v="173"/>
    <x v="290"/>
    <x v="0"/>
    <n v="17.372060000000001"/>
    <n v="78.50864"/>
    <x v="1"/>
    <n v="53"/>
    <n v="71"/>
    <n v="60"/>
  </r>
  <r>
    <s v="India"/>
    <x v="23"/>
    <x v="173"/>
    <x v="290"/>
    <x v="0"/>
    <n v="17.372060000000001"/>
    <n v="78.50864"/>
    <x v="2"/>
    <n v="18"/>
    <n v="18"/>
    <n v="18"/>
  </r>
  <r>
    <s v="India"/>
    <x v="21"/>
    <x v="174"/>
    <x v="295"/>
    <x v="0"/>
    <n v="12.952707"/>
    <n v="79.303939999999997"/>
    <x v="2"/>
    <n v="1"/>
    <n v="4"/>
    <n v="2"/>
  </r>
  <r>
    <s v="India"/>
    <x v="21"/>
    <x v="240"/>
    <x v="438"/>
    <x v="0"/>
    <n v="11.679111000000001"/>
    <n v="78.125051999999997"/>
    <x v="4"/>
    <n v="36"/>
    <n v="39"/>
    <n v="38"/>
  </r>
  <r>
    <s v="India"/>
    <x v="21"/>
    <x v="240"/>
    <x v="438"/>
    <x v="0"/>
    <n v="11.679111000000001"/>
    <n v="78.125051999999997"/>
    <x v="6"/>
    <n v="36"/>
    <n v="36"/>
    <n v="36"/>
  </r>
  <r>
    <s v="India"/>
    <x v="21"/>
    <x v="241"/>
    <x v="439"/>
    <x v="0"/>
    <n v="10.7654824"/>
    <n v="79.138996800000001"/>
    <x v="1"/>
    <n v="17"/>
    <n v="59"/>
    <n v="33"/>
  </r>
  <r>
    <s v="India"/>
    <x v="21"/>
    <x v="241"/>
    <x v="439"/>
    <x v="0"/>
    <n v="10.7654824"/>
    <n v="79.138996800000001"/>
    <x v="6"/>
    <n v="8"/>
    <n v="10"/>
    <n v="8"/>
  </r>
  <r>
    <s v="India"/>
    <x v="21"/>
    <x v="241"/>
    <x v="439"/>
    <x v="0"/>
    <n v="10.7654824"/>
    <n v="79.138996800000001"/>
    <x v="0"/>
    <n v="7"/>
    <n v="22"/>
    <n v="15"/>
  </r>
  <r>
    <s v="India"/>
    <x v="21"/>
    <x v="161"/>
    <x v="273"/>
    <x v="0"/>
    <n v="11.273992"/>
    <n v="78.163544999999999"/>
    <x v="4"/>
    <n v="14"/>
    <n v="18"/>
    <n v="15"/>
  </r>
  <r>
    <s v="India"/>
    <x v="21"/>
    <x v="251"/>
    <x v="474"/>
    <x v="0"/>
    <n v="11.4068288"/>
    <n v="76.713897299999999"/>
    <x v="3"/>
    <n v="8"/>
    <n v="17"/>
    <n v="15"/>
  </r>
  <r>
    <s v="India"/>
    <x v="21"/>
    <x v="244"/>
    <x v="442"/>
    <x v="0"/>
    <n v="10.423417000000001"/>
    <n v="78.784889000000007"/>
    <x v="3"/>
    <n v="2"/>
    <n v="3"/>
    <n v="2"/>
  </r>
  <r>
    <s v="India"/>
    <x v="21"/>
    <x v="177"/>
    <x v="300"/>
    <x v="0"/>
    <n v="9.3639899999999994"/>
    <n v="78.831976999999995"/>
    <x v="3"/>
    <n v="1"/>
    <n v="1"/>
    <n v="1"/>
  </r>
  <r>
    <s v="India"/>
    <x v="21"/>
    <x v="168"/>
    <x v="284"/>
    <x v="0"/>
    <n v="11.6829898"/>
    <n v="79.753209900000002"/>
    <x v="3"/>
    <m/>
    <m/>
    <m/>
  </r>
  <r>
    <s v="India"/>
    <x v="21"/>
    <x v="168"/>
    <x v="284"/>
    <x v="0"/>
    <n v="11.6829898"/>
    <n v="79.753209900000002"/>
    <x v="4"/>
    <m/>
    <m/>
    <m/>
  </r>
  <r>
    <s v="India"/>
    <x v="21"/>
    <x v="168"/>
    <x v="443"/>
    <x v="0"/>
    <n v="11.763768300000001"/>
    <n v="79.749983499999999"/>
    <x v="1"/>
    <n v="8"/>
    <n v="49"/>
    <n v="23"/>
  </r>
  <r>
    <s v="India"/>
    <x v="21"/>
    <x v="168"/>
    <x v="443"/>
    <x v="0"/>
    <n v="11.763768300000001"/>
    <n v="79.749983499999999"/>
    <x v="3"/>
    <n v="1"/>
    <n v="1"/>
    <n v="1"/>
  </r>
  <r>
    <s v="India"/>
    <x v="21"/>
    <x v="169"/>
    <x v="285"/>
    <x v="0"/>
    <n v="10.830158000000001"/>
    <n v="78.691849000000005"/>
    <x v="1"/>
    <n v="9"/>
    <n v="35"/>
    <n v="24"/>
  </r>
  <r>
    <s v="India"/>
    <x v="21"/>
    <x v="170"/>
    <x v="286"/>
    <x v="0"/>
    <n v="8.7284419999999994"/>
    <n v="77.696200000000005"/>
    <x v="2"/>
    <n v="4"/>
    <n v="11"/>
    <n v="7"/>
  </r>
  <r>
    <s v="India"/>
    <x v="21"/>
    <x v="238"/>
    <x v="436"/>
    <x v="0"/>
    <n v="13.412699999999999"/>
    <n v="80.108099999999993"/>
    <x v="5"/>
    <n v="14"/>
    <n v="193"/>
    <n v="54"/>
  </r>
  <r>
    <s v="India"/>
    <x v="23"/>
    <x v="173"/>
    <x v="301"/>
    <x v="0"/>
    <n v="17.455945799999999"/>
    <n v="78.433215200000006"/>
    <x v="2"/>
    <n v="17"/>
    <n v="32"/>
    <n v="26"/>
  </r>
  <r>
    <s v="India"/>
    <x v="24"/>
    <x v="180"/>
    <x v="307"/>
    <x v="0"/>
    <n v="27.159400000000002"/>
    <n v="78.395300000000006"/>
    <x v="4"/>
    <n v="2"/>
    <n v="132"/>
    <n v="84"/>
  </r>
  <r>
    <s v="India"/>
    <x v="24"/>
    <x v="180"/>
    <x v="307"/>
    <x v="0"/>
    <n v="27.159400000000002"/>
    <n v="78.395300000000006"/>
    <x v="6"/>
    <n v="5"/>
    <n v="30"/>
    <n v="13"/>
  </r>
  <r>
    <s v="India"/>
    <x v="24"/>
    <x v="180"/>
    <x v="307"/>
    <x v="0"/>
    <n v="27.159400000000002"/>
    <n v="78.395300000000006"/>
    <x v="0"/>
    <n v="1"/>
    <n v="119"/>
    <n v="77"/>
  </r>
  <r>
    <s v="India"/>
    <x v="24"/>
    <x v="181"/>
    <x v="308"/>
    <x v="0"/>
    <n v="28.646232999999999"/>
    <n v="77.358074999999999"/>
    <x v="2"/>
    <n v="16"/>
    <n v="378"/>
    <n v="90"/>
  </r>
  <r>
    <s v="India"/>
    <x v="24"/>
    <x v="181"/>
    <x v="308"/>
    <x v="0"/>
    <n v="28.646232999999999"/>
    <n v="77.358074999999999"/>
    <x v="6"/>
    <n v="32"/>
    <n v="53"/>
    <n v="39"/>
  </r>
  <r>
    <s v="India"/>
    <x v="24"/>
    <x v="181"/>
    <x v="310"/>
    <x v="0"/>
    <n v="28.685382000000001"/>
    <n v="77.453839000000002"/>
    <x v="4"/>
    <n v="17"/>
    <n v="84"/>
    <n v="39"/>
  </r>
  <r>
    <s v="India"/>
    <x v="24"/>
    <x v="181"/>
    <x v="311"/>
    <x v="0"/>
    <n v="28.660334599999999"/>
    <n v="77.357256300000003"/>
    <x v="1"/>
    <n v="66"/>
    <n v="210"/>
    <n v="124"/>
  </r>
  <r>
    <s v="India"/>
    <x v="24"/>
    <x v="181"/>
    <x v="311"/>
    <x v="0"/>
    <n v="28.660334599999999"/>
    <n v="77.357256300000003"/>
    <x v="3"/>
    <n v="5"/>
    <n v="14"/>
    <n v="10"/>
  </r>
  <r>
    <s v="India"/>
    <x v="24"/>
    <x v="176"/>
    <x v="299"/>
    <x v="0"/>
    <n v="27.198658330000001"/>
    <n v="78.005980559999998"/>
    <x v="0"/>
    <n v="14"/>
    <n v="131"/>
    <n v="74"/>
  </r>
  <r>
    <s v="India"/>
    <x v="24"/>
    <x v="176"/>
    <x v="313"/>
    <x v="0"/>
    <n v="27.194120000000002"/>
    <n v="77.962370000000007"/>
    <x v="4"/>
    <n v="20"/>
    <n v="27"/>
    <n v="21"/>
  </r>
  <r>
    <s v="India"/>
    <x v="24"/>
    <x v="176"/>
    <x v="313"/>
    <x v="0"/>
    <n v="27.194120000000002"/>
    <n v="77.962370000000007"/>
    <x v="6"/>
    <n v="22"/>
    <n v="48"/>
    <n v="29"/>
  </r>
  <r>
    <s v="India"/>
    <x v="24"/>
    <x v="176"/>
    <x v="314"/>
    <x v="0"/>
    <n v="27.169338"/>
    <n v="78.035820000000001"/>
    <x v="1"/>
    <m/>
    <m/>
    <m/>
  </r>
  <r>
    <s v="India"/>
    <x v="24"/>
    <x v="176"/>
    <x v="314"/>
    <x v="0"/>
    <n v="27.169338"/>
    <n v="78.035820000000001"/>
    <x v="3"/>
    <m/>
    <m/>
    <m/>
  </r>
  <r>
    <s v="India"/>
    <x v="24"/>
    <x v="176"/>
    <x v="447"/>
    <x v="0"/>
    <n v="27.198619999999998"/>
    <n v="77.920659999999998"/>
    <x v="2"/>
    <n v="49"/>
    <n v="84"/>
    <n v="54"/>
  </r>
  <r>
    <s v="India"/>
    <x v="24"/>
    <x v="176"/>
    <x v="447"/>
    <x v="0"/>
    <n v="27.198619999999998"/>
    <n v="77.920659999999998"/>
    <x v="4"/>
    <n v="15"/>
    <n v="24"/>
    <n v="18"/>
  </r>
  <r>
    <s v="India"/>
    <x v="24"/>
    <x v="176"/>
    <x v="447"/>
    <x v="0"/>
    <n v="27.198619999999998"/>
    <n v="77.920659999999998"/>
    <x v="6"/>
    <n v="6"/>
    <n v="20"/>
    <n v="11"/>
  </r>
  <r>
    <s v="India"/>
    <x v="24"/>
    <x v="182"/>
    <x v="312"/>
    <x v="0"/>
    <n v="26.730136000000002"/>
    <n v="83.433858999999998"/>
    <x v="2"/>
    <n v="11"/>
    <n v="11"/>
    <n v="11"/>
  </r>
  <r>
    <s v="India"/>
    <x v="24"/>
    <x v="182"/>
    <x v="312"/>
    <x v="0"/>
    <n v="26.730136000000002"/>
    <n v="83.433858999999998"/>
    <x v="4"/>
    <n v="45"/>
    <n v="48"/>
    <n v="46"/>
  </r>
  <r>
    <s v="India"/>
    <x v="24"/>
    <x v="182"/>
    <x v="312"/>
    <x v="0"/>
    <n v="26.730136000000002"/>
    <n v="83.433858999999998"/>
    <x v="0"/>
    <n v="8"/>
    <n v="28"/>
    <n v="17"/>
  </r>
  <r>
    <s v="India"/>
    <x v="24"/>
    <x v="183"/>
    <x v="453"/>
    <x v="0"/>
    <n v="28.472719999999999"/>
    <n v="77.481999999999999"/>
    <x v="2"/>
    <n v="11"/>
    <n v="199"/>
    <n v="89"/>
  </r>
  <r>
    <s v="India"/>
    <x v="24"/>
    <x v="183"/>
    <x v="453"/>
    <x v="0"/>
    <n v="28.472719999999999"/>
    <n v="77.481999999999999"/>
    <x v="4"/>
    <n v="15"/>
    <n v="37"/>
    <n v="22"/>
  </r>
  <r>
    <s v="India"/>
    <x v="24"/>
    <x v="183"/>
    <x v="315"/>
    <x v="0"/>
    <n v="28.557054000000001"/>
    <n v="77.453663000000006"/>
    <x v="5"/>
    <m/>
    <m/>
    <m/>
  </r>
  <r>
    <s v="India"/>
    <x v="24"/>
    <x v="183"/>
    <x v="315"/>
    <x v="0"/>
    <n v="28.557054000000001"/>
    <n v="77.453663000000006"/>
    <x v="0"/>
    <n v="1"/>
    <n v="217"/>
    <n v="97"/>
  </r>
  <r>
    <s v="India"/>
    <x v="24"/>
    <x v="178"/>
    <x v="303"/>
    <x v="0"/>
    <n v="28.359580999999999"/>
    <n v="79.414455000000004"/>
    <x v="2"/>
    <n v="2"/>
    <n v="3"/>
    <n v="2"/>
  </r>
  <r>
    <s v="India"/>
    <x v="24"/>
    <x v="178"/>
    <x v="303"/>
    <x v="0"/>
    <n v="28.359580999999999"/>
    <n v="79.414455000000004"/>
    <x v="4"/>
    <n v="56"/>
    <n v="96"/>
    <n v="66"/>
  </r>
  <r>
    <s v="India"/>
    <x v="24"/>
    <x v="180"/>
    <x v="306"/>
    <x v="0"/>
    <n v="27.168897000000001"/>
    <n v="78.376959999999997"/>
    <x v="5"/>
    <n v="20"/>
    <n v="135"/>
    <n v="52"/>
  </r>
  <r>
    <s v="India"/>
    <x v="24"/>
    <x v="180"/>
    <x v="306"/>
    <x v="0"/>
    <n v="27.168897000000001"/>
    <n v="78.376959999999997"/>
    <x v="4"/>
    <n v="26"/>
    <n v="39"/>
    <n v="30"/>
  </r>
  <r>
    <s v="India"/>
    <x v="30"/>
    <x v="246"/>
    <x v="450"/>
    <x v="0"/>
    <n v="23.817549700000001"/>
    <n v="91.272697399999998"/>
    <x v="6"/>
    <n v="2"/>
    <n v="48"/>
    <n v="23"/>
  </r>
  <r>
    <s v="India"/>
    <x v="24"/>
    <x v="176"/>
    <x v="297"/>
    <x v="0"/>
    <n v="27.237110000000001"/>
    <n v="78.019360000000006"/>
    <x v="5"/>
    <n v="21"/>
    <n v="168"/>
    <n v="66"/>
  </r>
  <r>
    <s v="India"/>
    <x v="24"/>
    <x v="176"/>
    <x v="297"/>
    <x v="0"/>
    <n v="27.237110000000001"/>
    <n v="78.019360000000006"/>
    <x v="6"/>
    <n v="5"/>
    <n v="21"/>
    <n v="8"/>
  </r>
  <r>
    <s v="India"/>
    <x v="23"/>
    <x v="173"/>
    <x v="302"/>
    <x v="0"/>
    <n v="17.417093999999999"/>
    <n v="78.457436999999999"/>
    <x v="6"/>
    <n v="34"/>
    <n v="74"/>
    <n v="46"/>
  </r>
  <r>
    <s v="India"/>
    <x v="30"/>
    <x v="246"/>
    <x v="450"/>
    <x v="0"/>
    <n v="23.817549700000001"/>
    <n v="91.272697399999998"/>
    <x v="1"/>
    <n v="18"/>
    <n v="59"/>
    <n v="33"/>
  </r>
  <r>
    <s v="India"/>
    <x v="30"/>
    <x v="246"/>
    <x v="450"/>
    <x v="0"/>
    <n v="23.817549700000001"/>
    <n v="91.272697399999998"/>
    <x v="2"/>
    <n v="5"/>
    <n v="46"/>
    <n v="16"/>
  </r>
  <r>
    <s v="India"/>
    <x v="30"/>
    <x v="246"/>
    <x v="450"/>
    <x v="0"/>
    <n v="23.817549700000001"/>
    <n v="91.272697399999998"/>
    <x v="4"/>
    <n v="20"/>
    <n v="22"/>
    <n v="20"/>
  </r>
  <r>
    <s v="India"/>
    <x v="24"/>
    <x v="187"/>
    <x v="320"/>
    <x v="0"/>
    <n v="28.964949000000001"/>
    <n v="77.278761000000003"/>
    <x v="6"/>
    <n v="8"/>
    <n v="130"/>
    <n v="36"/>
  </r>
  <r>
    <s v="India"/>
    <x v="24"/>
    <x v="176"/>
    <x v="298"/>
    <x v="0"/>
    <n v="27.106971999999999"/>
    <n v="78.000111000000004"/>
    <x v="6"/>
    <n v="22"/>
    <n v="50"/>
    <n v="27"/>
  </r>
  <r>
    <s v="India"/>
    <x v="24"/>
    <x v="191"/>
    <x v="326"/>
    <x v="0"/>
    <n v="28.835260000000002"/>
    <n v="78.744600000000005"/>
    <x v="3"/>
    <m/>
    <m/>
    <m/>
  </r>
  <r>
    <s v="India"/>
    <x v="24"/>
    <x v="191"/>
    <x v="327"/>
    <x v="0"/>
    <n v="28.840738999999999"/>
    <n v="78.697530999999998"/>
    <x v="4"/>
    <n v="6"/>
    <n v="90"/>
    <n v="41"/>
  </r>
  <r>
    <s v="India"/>
    <x v="24"/>
    <x v="191"/>
    <x v="327"/>
    <x v="0"/>
    <n v="28.840738999999999"/>
    <n v="78.697530999999998"/>
    <x v="0"/>
    <n v="7"/>
    <n v="139"/>
    <n v="80"/>
  </r>
  <r>
    <s v="India"/>
    <x v="24"/>
    <x v="191"/>
    <x v="456"/>
    <x v="0"/>
    <n v="28.885280000000002"/>
    <n v="78.738799999999998"/>
    <x v="0"/>
    <n v="8"/>
    <n v="97"/>
    <n v="56"/>
  </r>
  <r>
    <s v="India"/>
    <x v="24"/>
    <x v="191"/>
    <x v="328"/>
    <x v="0"/>
    <n v="28.856663999999999"/>
    <n v="78.772638000000001"/>
    <x v="5"/>
    <n v="22"/>
    <n v="91"/>
    <n v="57"/>
  </r>
  <r>
    <s v="India"/>
    <x v="24"/>
    <x v="191"/>
    <x v="328"/>
    <x v="0"/>
    <n v="28.856663999999999"/>
    <n v="78.772638000000001"/>
    <x v="1"/>
    <n v="48"/>
    <n v="124"/>
    <n v="89"/>
  </r>
  <r>
    <s v="India"/>
    <x v="24"/>
    <x v="191"/>
    <x v="328"/>
    <x v="0"/>
    <n v="28.856663999999999"/>
    <n v="78.772638000000001"/>
    <x v="3"/>
    <n v="6"/>
    <n v="7"/>
    <n v="6"/>
  </r>
  <r>
    <s v="India"/>
    <x v="24"/>
    <x v="191"/>
    <x v="457"/>
    <x v="0"/>
    <n v="28.849398999999998"/>
    <n v="78.742362"/>
    <x v="3"/>
    <n v="4"/>
    <n v="4"/>
    <n v="4"/>
  </r>
  <r>
    <s v="India"/>
    <x v="24"/>
    <x v="189"/>
    <x v="323"/>
    <x v="0"/>
    <n v="26.907229999999998"/>
    <n v="80.985789999999994"/>
    <x v="3"/>
    <n v="4"/>
    <n v="4"/>
    <n v="4"/>
  </r>
  <r>
    <s v="India"/>
    <x v="24"/>
    <x v="189"/>
    <x v="323"/>
    <x v="0"/>
    <n v="26.907229999999998"/>
    <n v="80.985789999999994"/>
    <x v="0"/>
    <n v="12"/>
    <n v="68"/>
    <n v="45"/>
  </r>
  <r>
    <s v="India"/>
    <x v="24"/>
    <x v="189"/>
    <x v="451"/>
    <x v="0"/>
    <n v="26.8458805"/>
    <n v="80.936554099999995"/>
    <x v="5"/>
    <m/>
    <m/>
    <m/>
  </r>
  <r>
    <s v="India"/>
    <x v="24"/>
    <x v="189"/>
    <x v="451"/>
    <x v="0"/>
    <n v="26.8458805"/>
    <n v="80.936554099999995"/>
    <x v="3"/>
    <m/>
    <m/>
    <m/>
  </r>
  <r>
    <s v="India"/>
    <x v="24"/>
    <x v="189"/>
    <x v="324"/>
    <x v="0"/>
    <n v="26.833997220000001"/>
    <n v="80.891736100000003"/>
    <x v="2"/>
    <n v="31"/>
    <n v="50"/>
    <n v="38"/>
  </r>
  <r>
    <s v="India"/>
    <x v="24"/>
    <x v="190"/>
    <x v="325"/>
    <x v="0"/>
    <n v="28.999264"/>
    <n v="77.759035400000002"/>
    <x v="1"/>
    <n v="109"/>
    <n v="351"/>
    <n v="183"/>
  </r>
  <r>
    <s v="India"/>
    <x v="24"/>
    <x v="190"/>
    <x v="332"/>
    <x v="0"/>
    <n v="28.953588199999999"/>
    <n v="77.762294100000005"/>
    <x v="4"/>
    <n v="1"/>
    <n v="7"/>
    <n v="4"/>
  </r>
  <r>
    <s v="India"/>
    <x v="24"/>
    <x v="186"/>
    <x v="318"/>
    <x v="0"/>
    <n v="26.509954"/>
    <n v="80.249611999999999"/>
    <x v="5"/>
    <n v="22"/>
    <n v="76"/>
    <n v="46"/>
  </r>
  <r>
    <s v="India"/>
    <x v="24"/>
    <x v="186"/>
    <x v="318"/>
    <x v="0"/>
    <n v="26.509954"/>
    <n v="80.249611999999999"/>
    <x v="1"/>
    <n v="42"/>
    <n v="106"/>
    <n v="78"/>
  </r>
  <r>
    <s v="India"/>
    <x v="24"/>
    <x v="186"/>
    <x v="318"/>
    <x v="0"/>
    <n v="26.509954"/>
    <n v="80.249611999999999"/>
    <x v="2"/>
    <n v="24"/>
    <n v="24"/>
    <n v="24"/>
  </r>
  <r>
    <s v="India"/>
    <x v="24"/>
    <x v="186"/>
    <x v="318"/>
    <x v="0"/>
    <n v="26.509954"/>
    <n v="80.249611999999999"/>
    <x v="4"/>
    <n v="3"/>
    <n v="32"/>
    <n v="17"/>
  </r>
  <r>
    <s v="India"/>
    <x v="24"/>
    <x v="186"/>
    <x v="319"/>
    <x v="0"/>
    <n v="26.470313600000001"/>
    <n v="80.322986299999997"/>
    <x v="5"/>
    <n v="28"/>
    <n v="338"/>
    <n v="113"/>
  </r>
  <r>
    <s v="India"/>
    <x v="24"/>
    <x v="186"/>
    <x v="319"/>
    <x v="0"/>
    <n v="26.470313600000001"/>
    <n v="80.322986299999997"/>
    <x v="1"/>
    <n v="25"/>
    <n v="205"/>
    <n v="80"/>
  </r>
  <r>
    <s v="India"/>
    <x v="24"/>
    <x v="186"/>
    <x v="319"/>
    <x v="0"/>
    <n v="26.470313600000001"/>
    <n v="80.322986299999997"/>
    <x v="4"/>
    <n v="6"/>
    <n v="130"/>
    <n v="30"/>
  </r>
  <r>
    <s v="India"/>
    <x v="24"/>
    <x v="186"/>
    <x v="319"/>
    <x v="0"/>
    <n v="26.470313600000001"/>
    <n v="80.322986299999997"/>
    <x v="0"/>
    <n v="6"/>
    <n v="46"/>
    <n v="21"/>
  </r>
  <r>
    <s v="India"/>
    <x v="24"/>
    <x v="191"/>
    <x v="334"/>
    <x v="0"/>
    <n v="28.802624999999999"/>
    <n v="78.753727999999995"/>
    <x v="1"/>
    <n v="37"/>
    <n v="124"/>
    <n v="81"/>
  </r>
  <r>
    <s v="India"/>
    <x v="24"/>
    <x v="191"/>
    <x v="334"/>
    <x v="0"/>
    <n v="28.802624999999999"/>
    <n v="78.753727999999995"/>
    <x v="3"/>
    <n v="5"/>
    <n v="5"/>
    <n v="5"/>
  </r>
  <r>
    <s v="India"/>
    <x v="24"/>
    <x v="191"/>
    <x v="334"/>
    <x v="0"/>
    <n v="28.802624999999999"/>
    <n v="78.753727999999995"/>
    <x v="4"/>
    <n v="24"/>
    <n v="68"/>
    <n v="41"/>
  </r>
  <r>
    <s v="India"/>
    <x v="24"/>
    <x v="247"/>
    <x v="458"/>
    <x v="0"/>
    <n v="29.472350800000001"/>
    <n v="77.719403099999994"/>
    <x v="3"/>
    <n v="8"/>
    <n v="15"/>
    <n v="10"/>
  </r>
  <r>
    <s v="India"/>
    <x v="24"/>
    <x v="247"/>
    <x v="458"/>
    <x v="0"/>
    <n v="29.472350800000001"/>
    <n v="77.719403099999994"/>
    <x v="0"/>
    <n v="17"/>
    <n v="170"/>
    <n v="124"/>
  </r>
  <r>
    <s v="India"/>
    <x v="24"/>
    <x v="192"/>
    <x v="333"/>
    <x v="0"/>
    <n v="28.544760799999999"/>
    <n v="77.323125700000006"/>
    <x v="5"/>
    <n v="32"/>
    <n v="326"/>
    <n v="113"/>
  </r>
  <r>
    <s v="India"/>
    <x v="24"/>
    <x v="188"/>
    <x v="321"/>
    <x v="0"/>
    <n v="28.2348927"/>
    <n v="77.868300199999993"/>
    <x v="4"/>
    <n v="30"/>
    <n v="95"/>
    <n v="57"/>
  </r>
  <r>
    <s v="India"/>
    <x v="24"/>
    <x v="188"/>
    <x v="321"/>
    <x v="0"/>
    <n v="28.2348927"/>
    <n v="77.868300199999993"/>
    <x v="0"/>
    <n v="4"/>
    <n v="14"/>
    <n v="8"/>
  </r>
  <r>
    <s v="India"/>
    <x v="24"/>
    <x v="189"/>
    <x v="322"/>
    <x v="0"/>
    <n v="26.766432999999999"/>
    <n v="80.927299000000005"/>
    <x v="5"/>
    <n v="28"/>
    <n v="275"/>
    <n v="74"/>
  </r>
  <r>
    <s v="India"/>
    <x v="24"/>
    <x v="189"/>
    <x v="329"/>
    <x v="0"/>
    <n v="26.868120000000001"/>
    <n v="81.005118999999993"/>
    <x v="6"/>
    <n v="36"/>
    <n v="44"/>
    <n v="43"/>
  </r>
  <r>
    <s v="India"/>
    <x v="24"/>
    <x v="189"/>
    <x v="330"/>
    <x v="0"/>
    <n v="26.906110999999999"/>
    <n v="80.948222000000001"/>
    <x v="2"/>
    <n v="36"/>
    <n v="52"/>
    <n v="43"/>
  </r>
  <r>
    <s v="India"/>
    <x v="24"/>
    <x v="184"/>
    <x v="316"/>
    <x v="0"/>
    <n v="28.725645"/>
    <n v="77.749674999999996"/>
    <x v="3"/>
    <n v="9"/>
    <n v="12"/>
    <n v="10"/>
  </r>
  <r>
    <s v="India"/>
    <x v="24"/>
    <x v="184"/>
    <x v="316"/>
    <x v="0"/>
    <n v="28.725645"/>
    <n v="77.749674999999996"/>
    <x v="4"/>
    <n v="8"/>
    <n v="117"/>
    <n v="67"/>
  </r>
  <r>
    <s v="India"/>
    <x v="24"/>
    <x v="190"/>
    <x v="331"/>
    <x v="0"/>
    <n v="29.063510000000001"/>
    <n v="77.709722999999997"/>
    <x v="0"/>
    <n v="1"/>
    <n v="93"/>
    <n v="53"/>
  </r>
  <r>
    <s v="India"/>
    <x v="24"/>
    <x v="189"/>
    <x v="330"/>
    <x v="0"/>
    <n v="26.906110999999999"/>
    <n v="80.948222000000001"/>
    <x v="4"/>
    <n v="9"/>
    <n v="48"/>
    <n v="20"/>
  </r>
  <r>
    <s v="India"/>
    <x v="26"/>
    <x v="201"/>
    <x v="344"/>
    <x v="0"/>
    <n v="23.697935999999999"/>
    <n v="86.944395"/>
    <x v="6"/>
    <n v="16"/>
    <n v="96"/>
    <n v="25"/>
  </r>
  <r>
    <s v="India"/>
    <x v="26"/>
    <x v="201"/>
    <x v="460"/>
    <x v="0"/>
    <n v="23.618182999999998"/>
    <n v="87.105717999999996"/>
    <x v="5"/>
    <n v="38"/>
    <n v="124"/>
    <n v="76"/>
  </r>
  <r>
    <s v="India"/>
    <x v="26"/>
    <x v="201"/>
    <x v="460"/>
    <x v="0"/>
    <n v="23.618182999999998"/>
    <n v="87.105717999999996"/>
    <x v="2"/>
    <n v="10"/>
    <n v="35"/>
    <n v="20"/>
  </r>
  <r>
    <s v="India"/>
    <x v="26"/>
    <x v="201"/>
    <x v="460"/>
    <x v="0"/>
    <n v="23.618182999999998"/>
    <n v="87.105717999999996"/>
    <x v="3"/>
    <n v="6"/>
    <n v="9"/>
    <n v="8"/>
  </r>
  <r>
    <s v="India"/>
    <x v="26"/>
    <x v="201"/>
    <x v="460"/>
    <x v="0"/>
    <n v="23.618182999999998"/>
    <n v="87.105717999999996"/>
    <x v="6"/>
    <n v="20"/>
    <n v="50"/>
    <n v="27"/>
  </r>
  <r>
    <s v="India"/>
    <x v="26"/>
    <x v="201"/>
    <x v="460"/>
    <x v="0"/>
    <n v="23.618182999999998"/>
    <n v="87.105717999999996"/>
    <x v="0"/>
    <n v="20"/>
    <n v="125"/>
    <n v="87"/>
  </r>
  <r>
    <s v="India"/>
    <x v="26"/>
    <x v="201"/>
    <x v="461"/>
    <x v="0"/>
    <n v="23.616515"/>
    <n v="87.119133000000005"/>
    <x v="6"/>
    <n v="34"/>
    <n v="63"/>
    <n v="40"/>
  </r>
  <r>
    <s v="India"/>
    <x v="26"/>
    <x v="198"/>
    <x v="346"/>
    <x v="0"/>
    <n v="23.567923"/>
    <n v="87.306843000000001"/>
    <x v="1"/>
    <n v="114"/>
    <n v="219"/>
    <n v="157"/>
  </r>
  <r>
    <s v="India"/>
    <x v="26"/>
    <x v="198"/>
    <x v="346"/>
    <x v="0"/>
    <n v="23.567923"/>
    <n v="87.306843000000001"/>
    <x v="0"/>
    <n v="13"/>
    <n v="105"/>
    <n v="67"/>
  </r>
  <r>
    <s v="India"/>
    <x v="24"/>
    <x v="194"/>
    <x v="337"/>
    <x v="0"/>
    <n v="25.323930000000001"/>
    <n v="82.996870000000001"/>
    <x v="3"/>
    <n v="1"/>
    <n v="1"/>
    <n v="1"/>
  </r>
  <r>
    <s v="India"/>
    <x v="24"/>
    <x v="194"/>
    <x v="337"/>
    <x v="0"/>
    <n v="25.323930000000001"/>
    <n v="82.996870000000001"/>
    <x v="6"/>
    <n v="16"/>
    <n v="129"/>
    <n v="44"/>
  </r>
  <r>
    <s v="India"/>
    <x v="24"/>
    <x v="195"/>
    <x v="338"/>
    <x v="0"/>
    <n v="27.571408999999999"/>
    <n v="77.655756999999994"/>
    <x v="5"/>
    <n v="6"/>
    <n v="64"/>
    <n v="30"/>
  </r>
  <r>
    <s v="India"/>
    <x v="24"/>
    <x v="195"/>
    <x v="338"/>
    <x v="0"/>
    <n v="27.571408999999999"/>
    <n v="77.655756999999994"/>
    <x v="0"/>
    <n v="10"/>
    <n v="12"/>
    <n v="11"/>
  </r>
  <r>
    <s v="India"/>
    <x v="25"/>
    <x v="196"/>
    <x v="339"/>
    <x v="0"/>
    <n v="30.269444"/>
    <n v="78.044167000000002"/>
    <x v="0"/>
    <n v="52"/>
    <n v="203"/>
    <n v="151"/>
  </r>
  <r>
    <s v="India"/>
    <x v="25"/>
    <x v="197"/>
    <x v="340"/>
    <x v="0"/>
    <n v="29.212411400000001"/>
    <n v="78.961175299999994"/>
    <x v="5"/>
    <n v="67"/>
    <n v="272"/>
    <n v="125"/>
  </r>
  <r>
    <s v="India"/>
    <x v="24"/>
    <x v="192"/>
    <x v="459"/>
    <x v="0"/>
    <n v="28.5898"/>
    <n v="77.310100000000006"/>
    <x v="0"/>
    <n v="1"/>
    <n v="180"/>
    <n v="89"/>
  </r>
  <r>
    <s v="India"/>
    <x v="24"/>
    <x v="192"/>
    <x v="335"/>
    <x v="0"/>
    <n v="28.569230000000001"/>
    <n v="77.393848000000006"/>
    <x v="5"/>
    <n v="43"/>
    <n v="310"/>
    <n v="139"/>
  </r>
  <r>
    <s v="India"/>
    <x v="24"/>
    <x v="192"/>
    <x v="335"/>
    <x v="0"/>
    <n v="28.569230000000001"/>
    <n v="77.393848000000006"/>
    <x v="0"/>
    <n v="2"/>
    <n v="177"/>
    <n v="75"/>
  </r>
  <r>
    <s v="India"/>
    <x v="24"/>
    <x v="193"/>
    <x v="336"/>
    <x v="0"/>
    <n v="25.425602000000001"/>
    <n v="81.917152000000002"/>
    <x v="5"/>
    <n v="24"/>
    <n v="150"/>
    <n v="66"/>
  </r>
  <r>
    <s v="India"/>
    <x v="24"/>
    <x v="193"/>
    <x v="336"/>
    <x v="0"/>
    <n v="25.425602000000001"/>
    <n v="81.917152000000002"/>
    <x v="1"/>
    <n v="35"/>
    <n v="413"/>
    <n v="134"/>
  </r>
  <r>
    <s v="India"/>
    <x v="24"/>
    <x v="193"/>
    <x v="336"/>
    <x v="0"/>
    <n v="25.425602000000001"/>
    <n v="81.917152000000002"/>
    <x v="4"/>
    <n v="28"/>
    <n v="30"/>
    <n v="29"/>
  </r>
  <r>
    <s v="India"/>
    <x v="25"/>
    <x v="197"/>
    <x v="340"/>
    <x v="0"/>
    <n v="29.212411400000001"/>
    <n v="78.961175299999994"/>
    <x v="3"/>
    <n v="3"/>
    <n v="13"/>
    <n v="7"/>
  </r>
  <r>
    <s v="India"/>
    <x v="25"/>
    <x v="197"/>
    <x v="340"/>
    <x v="0"/>
    <n v="29.212411400000001"/>
    <n v="78.961175299999994"/>
    <x v="6"/>
    <n v="17"/>
    <n v="96"/>
    <n v="41"/>
  </r>
  <r>
    <s v="India"/>
    <x v="25"/>
    <x v="248"/>
    <x v="464"/>
    <x v="0"/>
    <n v="30.075911000000001"/>
    <n v="78.285954700000005"/>
    <x v="4"/>
    <n v="4"/>
    <n v="5"/>
    <n v="4"/>
  </r>
  <r>
    <s v="India"/>
    <x v="25"/>
    <x v="248"/>
    <x v="464"/>
    <x v="0"/>
    <n v="30.075911000000001"/>
    <n v="78.285954700000005"/>
    <x v="6"/>
    <n v="24"/>
    <n v="54"/>
    <n v="36"/>
  </r>
  <r>
    <s v="India"/>
    <x v="24"/>
    <x v="193"/>
    <x v="336"/>
    <x v="0"/>
    <n v="25.425602000000001"/>
    <n v="81.917152000000002"/>
    <x v="0"/>
    <n v="5"/>
    <n v="79"/>
    <n v="49"/>
  </r>
  <r>
    <s v="India"/>
    <x v="24"/>
    <x v="193"/>
    <x v="454"/>
    <x v="0"/>
    <n v="25.494"/>
    <n v="81.863"/>
    <x v="1"/>
    <n v="62"/>
    <n v="154"/>
    <n v="111"/>
  </r>
  <r>
    <s v="India"/>
    <x v="24"/>
    <x v="193"/>
    <x v="454"/>
    <x v="0"/>
    <n v="25.494"/>
    <n v="81.863"/>
    <x v="3"/>
    <n v="3"/>
    <n v="6"/>
    <n v="5"/>
  </r>
  <r>
    <s v="India"/>
    <x v="24"/>
    <x v="194"/>
    <x v="349"/>
    <x v="0"/>
    <n v="25.301777999999999"/>
    <n v="82.996789000000007"/>
    <x v="6"/>
    <n v="6"/>
    <n v="121"/>
    <n v="43"/>
  </r>
  <r>
    <s v="India"/>
    <x v="24"/>
    <x v="194"/>
    <x v="350"/>
    <x v="0"/>
    <n v="25.262326000000002"/>
    <n v="82.995407999999998"/>
    <x v="2"/>
    <n v="2"/>
    <n v="2"/>
    <n v="2"/>
  </r>
  <r>
    <s v="India"/>
    <x v="26"/>
    <x v="201"/>
    <x v="351"/>
    <x v="0"/>
    <n v="23.685296999999998"/>
    <n v="86.945967999999993"/>
    <x v="0"/>
    <n v="19"/>
    <n v="76"/>
    <n v="59"/>
  </r>
  <r>
    <s v="India"/>
    <x v="24"/>
    <x v="192"/>
    <x v="333"/>
    <x v="0"/>
    <n v="28.544760799999999"/>
    <n v="77.323125700000006"/>
    <x v="3"/>
    <n v="13"/>
    <n v="21"/>
    <n v="17"/>
  </r>
  <r>
    <s v="India"/>
    <x v="24"/>
    <x v="192"/>
    <x v="459"/>
    <x v="0"/>
    <n v="28.5898"/>
    <n v="77.310100000000006"/>
    <x v="1"/>
    <n v="20"/>
    <n v="118"/>
    <n v="64"/>
  </r>
  <r>
    <s v="India"/>
    <x v="26"/>
    <x v="198"/>
    <x v="341"/>
    <x v="0"/>
    <n v="23.508763999999999"/>
    <n v="87.354439999999997"/>
    <x v="3"/>
    <n v="5"/>
    <n v="6"/>
    <n v="5"/>
  </r>
  <r>
    <s v="India"/>
    <x v="26"/>
    <x v="198"/>
    <x v="341"/>
    <x v="0"/>
    <n v="23.508763999999999"/>
    <n v="87.354439999999997"/>
    <x v="6"/>
    <n v="57"/>
    <n v="109"/>
    <n v="72"/>
  </r>
  <r>
    <s v="India"/>
    <x v="26"/>
    <x v="200"/>
    <x v="343"/>
    <x v="0"/>
    <n v="22.629801"/>
    <n v="88.352017000000004"/>
    <x v="3"/>
    <n v="4"/>
    <n v="4"/>
    <n v="4"/>
  </r>
  <r>
    <s v="India"/>
    <x v="26"/>
    <x v="200"/>
    <x v="347"/>
    <x v="0"/>
    <n v="22.554953999999999"/>
    <n v="88.292568000000003"/>
    <x v="2"/>
    <n v="7"/>
    <n v="18"/>
    <n v="12"/>
  </r>
  <r>
    <s v="India"/>
    <x v="26"/>
    <x v="200"/>
    <x v="347"/>
    <x v="0"/>
    <n v="22.554953999999999"/>
    <n v="88.292568000000003"/>
    <x v="4"/>
    <n v="4"/>
    <n v="8"/>
    <n v="5"/>
  </r>
  <r>
    <s v="India"/>
    <x v="26"/>
    <x v="200"/>
    <x v="347"/>
    <x v="0"/>
    <n v="22.554953999999999"/>
    <n v="88.292568000000003"/>
    <x v="0"/>
    <n v="8"/>
    <n v="60"/>
    <n v="31"/>
  </r>
  <r>
    <s v="India"/>
    <x v="26"/>
    <x v="200"/>
    <x v="462"/>
    <x v="0"/>
    <n v="22.611968000000001"/>
    <n v="88.347421999999995"/>
    <x v="1"/>
    <n v="41"/>
    <n v="89"/>
    <n v="65"/>
  </r>
  <r>
    <s v="India"/>
    <x v="26"/>
    <x v="200"/>
    <x v="463"/>
    <x v="0"/>
    <n v="22.5687319"/>
    <n v="88.279727600000001"/>
    <x v="2"/>
    <n v="8"/>
    <n v="22"/>
    <n v="14"/>
  </r>
  <r>
    <s v="India"/>
    <x v="26"/>
    <x v="203"/>
    <x v="355"/>
    <x v="0"/>
    <n v="22.499289999999998"/>
    <n v="88.369169999999997"/>
    <x v="4"/>
    <n v="5"/>
    <n v="34"/>
    <n v="11"/>
  </r>
  <r>
    <s v="India"/>
    <x v="26"/>
    <x v="204"/>
    <x v="359"/>
    <x v="0"/>
    <n v="26.6879226"/>
    <n v="88.415249500000002"/>
    <x v="2"/>
    <n v="19"/>
    <n v="34"/>
    <n v="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2">
  <r>
    <s v="India"/>
    <x v="0"/>
    <x v="0"/>
    <s v="Christianpatty, Nagaon - PCBA"/>
    <x v="0"/>
    <n v="26.349081999999999"/>
    <n v="92.684489999999997"/>
    <x v="0"/>
    <n v="22"/>
    <n v="33"/>
    <n v="26"/>
  </r>
  <r>
    <s v="India"/>
    <x v="0"/>
    <x v="1"/>
    <s v="Bata Chowk, Nalbari - PCBA"/>
    <x v="0"/>
    <n v="26.446912000000001"/>
    <n v="91.439057000000005"/>
    <x v="1"/>
    <n v="95"/>
    <n v="431"/>
    <n v="141"/>
  </r>
  <r>
    <s v="India"/>
    <x v="0"/>
    <x v="1"/>
    <s v="Bata Chowk, Nalbari - PCBA"/>
    <x v="0"/>
    <n v="26.446912000000001"/>
    <n v="91.439057000000005"/>
    <x v="2"/>
    <n v="1"/>
    <n v="7"/>
    <n v="3"/>
  </r>
  <r>
    <s v="India"/>
    <x v="0"/>
    <x v="1"/>
    <s v="Bata Chowk, Nalbari - PCBA"/>
    <x v="0"/>
    <n v="26.446912000000001"/>
    <n v="91.439057000000005"/>
    <x v="3"/>
    <n v="1"/>
    <n v="1"/>
    <n v="1"/>
  </r>
  <r>
    <s v="India"/>
    <x v="0"/>
    <x v="2"/>
    <s v="Tarapur, Silchar - PCBA"/>
    <x v="0"/>
    <n v="24.82827"/>
    <n v="92.795249999999996"/>
    <x v="1"/>
    <n v="34"/>
    <n v="81"/>
    <n v="53"/>
  </r>
  <r>
    <s v="India"/>
    <x v="0"/>
    <x v="2"/>
    <s v="Tarapur, Silchar - PCBA"/>
    <x v="0"/>
    <n v="24.82827"/>
    <n v="92.795249999999996"/>
    <x v="4"/>
    <m/>
    <m/>
    <m/>
  </r>
  <r>
    <s v="India"/>
    <x v="0"/>
    <x v="3"/>
    <s v="Girls College, Sivasagar - PCBA"/>
    <x v="0"/>
    <n v="26.987634"/>
    <n v="94.636573999999996"/>
    <x v="5"/>
    <n v="36"/>
    <n v="82"/>
    <n v="49"/>
  </r>
  <r>
    <s v="India"/>
    <x v="0"/>
    <x v="3"/>
    <s v="Girls College, Sivasagar - PCBA"/>
    <x v="0"/>
    <n v="26.987634"/>
    <n v="94.636573999999996"/>
    <x v="6"/>
    <n v="15"/>
    <n v="46"/>
    <n v="26"/>
  </r>
  <r>
    <s v="India"/>
    <x v="1"/>
    <x v="4"/>
    <s v="Kharahiya Basti, Araria - BSPCB"/>
    <x v="0"/>
    <n v="26.146529000000001"/>
    <n v="87.454183999999998"/>
    <x v="5"/>
    <n v="50"/>
    <n v="95"/>
    <n v="78"/>
  </r>
  <r>
    <s v="India"/>
    <x v="1"/>
    <x v="5"/>
    <s v="New DM Office, Arrah - BSPCB"/>
    <x v="0"/>
    <n v="25.562609500000001"/>
    <n v="84.663263999999998"/>
    <x v="2"/>
    <m/>
    <m/>
    <m/>
  </r>
  <r>
    <s v="India"/>
    <x v="1"/>
    <x v="6"/>
    <s v="Gurdeo Nagar, Aurangabad - BSPCB"/>
    <x v="0"/>
    <n v="24.757459999999998"/>
    <n v="84.366208"/>
    <x v="5"/>
    <n v="25"/>
    <n v="407"/>
    <n v="190"/>
  </r>
  <r>
    <s v="India"/>
    <x v="1"/>
    <x v="6"/>
    <s v="Gurdeo Nagar, Aurangabad - BSPCB"/>
    <x v="0"/>
    <n v="24.757459999999998"/>
    <n v="84.366208"/>
    <x v="3"/>
    <n v="1"/>
    <n v="1"/>
    <n v="1"/>
  </r>
  <r>
    <s v="India"/>
    <x v="2"/>
    <x v="7"/>
    <s v="Rajiv Nagar, Vijayawada - APPCB"/>
    <x v="0"/>
    <n v="16.554731"/>
    <n v="80.649109999999993"/>
    <x v="2"/>
    <n v="23"/>
    <n v="26"/>
    <n v="25"/>
  </r>
  <r>
    <s v="India"/>
    <x v="2"/>
    <x v="7"/>
    <s v="Rajiv Nagar, Vijayawada - APPCB"/>
    <x v="0"/>
    <n v="16.554731"/>
    <n v="80.649109999999993"/>
    <x v="0"/>
    <n v="33"/>
    <n v="72"/>
    <n v="38"/>
  </r>
  <r>
    <s v="India"/>
    <x v="2"/>
    <x v="8"/>
    <s v="GVM Corporation, Visakhapatnam - APPCB"/>
    <x v="0"/>
    <n v="17.72"/>
    <n v="83.3"/>
    <x v="1"/>
    <n v="31"/>
    <n v="114"/>
    <n v="75"/>
  </r>
  <r>
    <s v="India"/>
    <x v="0"/>
    <x v="9"/>
    <s v="Central Academy for SFS, Byrnihat - PCBA"/>
    <x v="0"/>
    <n v="26.071318000000002"/>
    <n v="91.874880000000005"/>
    <x v="4"/>
    <m/>
    <m/>
    <m/>
  </r>
  <r>
    <s v="India"/>
    <x v="2"/>
    <x v="10"/>
    <s v="Toll Gate, Tirumala - APPCB (Formerly known as Tirumala, Tirupati - APPCB)"/>
    <x v="0"/>
    <n v="13.67"/>
    <n v="79.349999999999994"/>
    <x v="5"/>
    <n v="33"/>
    <n v="82"/>
    <n v="51"/>
  </r>
  <r>
    <s v="India"/>
    <x v="2"/>
    <x v="11"/>
    <s v="Vaikuntapuram, Tirupati - APPCB"/>
    <x v="0"/>
    <n v="13.615387"/>
    <n v="79.409229999999994"/>
    <x v="6"/>
    <n v="15"/>
    <n v="26"/>
    <n v="22"/>
  </r>
  <r>
    <s v="India"/>
    <x v="2"/>
    <x v="7"/>
    <s v="Kanuru, Vijayawada - APPCB"/>
    <x v="0"/>
    <n v="16.486692000000001"/>
    <n v="80.699436000000006"/>
    <x v="2"/>
    <n v="26"/>
    <n v="127"/>
    <n v="58"/>
  </r>
  <r>
    <s v="India"/>
    <x v="2"/>
    <x v="12"/>
    <s v="Gulzarpet, Anantapur - APPCB"/>
    <x v="0"/>
    <n v="14.675886"/>
    <n v="77.593027000000006"/>
    <x v="5"/>
    <m/>
    <m/>
    <m/>
  </r>
  <r>
    <s v="India"/>
    <x v="2"/>
    <x v="12"/>
    <s v="Gulzarpet, Anantapur - APPCB"/>
    <x v="0"/>
    <n v="14.675886"/>
    <n v="77.593027000000006"/>
    <x v="1"/>
    <n v="69"/>
    <n v="98"/>
    <n v="78"/>
  </r>
  <r>
    <s v="India"/>
    <x v="2"/>
    <x v="12"/>
    <s v="Gulzarpet, Anantapur - APPCB"/>
    <x v="0"/>
    <n v="14.675886"/>
    <n v="77.593027000000006"/>
    <x v="0"/>
    <n v="4"/>
    <n v="47"/>
    <n v="34"/>
  </r>
  <r>
    <s v="India"/>
    <x v="2"/>
    <x v="13"/>
    <s v="Gangineni Cheruvu, Chittoor - APPCB"/>
    <x v="0"/>
    <n v="13.204879999999999"/>
    <n v="79.097888999999995"/>
    <x v="2"/>
    <n v="2"/>
    <n v="16"/>
    <n v="9"/>
  </r>
  <r>
    <s v="India"/>
    <x v="1"/>
    <x v="14"/>
    <s v="Kamalnath Nagar, Bettiah - BSPCB"/>
    <x v="0"/>
    <n v="26.803650000000001"/>
    <n v="84.519540000000006"/>
    <x v="5"/>
    <n v="25"/>
    <n v="247"/>
    <n v="109"/>
  </r>
  <r>
    <s v="India"/>
    <x v="1"/>
    <x v="14"/>
    <s v="Kamalnath Nagar, Bettiah - BSPCB"/>
    <x v="0"/>
    <n v="26.803650000000001"/>
    <n v="84.519540000000006"/>
    <x v="2"/>
    <n v="28"/>
    <n v="29"/>
    <n v="28"/>
  </r>
  <r>
    <s v="India"/>
    <x v="1"/>
    <x v="14"/>
    <s v="Kamalnath Nagar, Bettiah - BSPCB"/>
    <x v="0"/>
    <n v="26.803650000000001"/>
    <n v="84.519540000000006"/>
    <x v="4"/>
    <n v="12"/>
    <n v="18"/>
    <n v="15"/>
  </r>
  <r>
    <s v="India"/>
    <x v="1"/>
    <x v="15"/>
    <s v="Mayaganj, Bhagalpur - BSPCB"/>
    <x v="0"/>
    <n v="25.265194000000001"/>
    <n v="87.012946999999997"/>
    <x v="5"/>
    <n v="23"/>
    <n v="183"/>
    <n v="88"/>
  </r>
  <r>
    <s v="India"/>
    <x v="0"/>
    <x v="16"/>
    <s v="IITG, Guwahati - PCBA"/>
    <x v="0"/>
    <n v="26.202863600000001"/>
    <n v="91.700464359999998"/>
    <x v="3"/>
    <n v="5"/>
    <n v="5"/>
    <n v="5"/>
  </r>
  <r>
    <s v="India"/>
    <x v="0"/>
    <x v="16"/>
    <s v="LGBI Airport, Guwahati - PCBA"/>
    <x v="0"/>
    <n v="26.10887"/>
    <n v="91.589544000000004"/>
    <x v="4"/>
    <n v="1"/>
    <n v="16"/>
    <n v="12"/>
  </r>
  <r>
    <s v="India"/>
    <x v="0"/>
    <x v="16"/>
    <s v="Pan Bazaar, Guwahati - PCBA"/>
    <x v="0"/>
    <n v="26.1875"/>
    <n v="91.744193999999993"/>
    <x v="1"/>
    <n v="47"/>
    <n v="105"/>
    <n v="84"/>
  </r>
  <r>
    <s v="India"/>
    <x v="3"/>
    <x v="17"/>
    <s v="Police Line, Sri Vijaya Puram - ANPCC"/>
    <x v="0"/>
    <n v="11.654054"/>
    <n v="92.734054999999998"/>
    <x v="1"/>
    <n v="6"/>
    <n v="45"/>
    <n v="20"/>
  </r>
  <r>
    <s v="India"/>
    <x v="3"/>
    <x v="17"/>
    <s v="Police Line, Sri Vijaya Puram - ANPCC"/>
    <x v="0"/>
    <n v="11.654054"/>
    <n v="92.734054999999998"/>
    <x v="3"/>
    <n v="1"/>
    <n v="3"/>
    <n v="1"/>
  </r>
  <r>
    <s v="India"/>
    <x v="3"/>
    <x v="17"/>
    <s v="Police Line, Sri Vijaya Puram - ANPCC"/>
    <x v="0"/>
    <n v="11.654054"/>
    <n v="92.734054999999998"/>
    <x v="4"/>
    <n v="2"/>
    <n v="42"/>
    <n v="17"/>
  </r>
  <r>
    <s v="India"/>
    <x v="2"/>
    <x v="7"/>
    <s v="Kanuru, Vijayawada - APPCB"/>
    <x v="0"/>
    <n v="16.486692000000001"/>
    <n v="80.699436000000006"/>
    <x v="4"/>
    <n v="11"/>
    <n v="19"/>
    <n v="16"/>
  </r>
  <r>
    <s v="India"/>
    <x v="2"/>
    <x v="7"/>
    <s v="Rajiv Nagar, Vijayawada - APPCB"/>
    <x v="0"/>
    <n v="16.554731"/>
    <n v="80.649109999999993"/>
    <x v="5"/>
    <n v="46"/>
    <n v="88"/>
    <n v="65"/>
  </r>
  <r>
    <s v="India"/>
    <x v="1"/>
    <x v="15"/>
    <s v="Mayaganj, Bhagalpur - BSPCB"/>
    <x v="0"/>
    <n v="25.265194000000001"/>
    <n v="87.012946999999997"/>
    <x v="4"/>
    <n v="50"/>
    <n v="110"/>
    <n v="85"/>
  </r>
  <r>
    <s v="India"/>
    <x v="1"/>
    <x v="18"/>
    <s v="Samanpura, Patna - BSPCB"/>
    <x v="0"/>
    <n v="25.596727000000001"/>
    <n v="85.085623999999996"/>
    <x v="0"/>
    <n v="89"/>
    <n v="92"/>
    <n v="90"/>
  </r>
  <r>
    <s v="India"/>
    <x v="1"/>
    <x v="19"/>
    <s v="Mariam Nagar, Purnia - BSPCB"/>
    <x v="0"/>
    <n v="25.366336"/>
    <n v="87.117468000000002"/>
    <x v="1"/>
    <n v="71"/>
    <n v="124"/>
    <n v="102"/>
  </r>
  <r>
    <s v="India"/>
    <x v="1"/>
    <x v="19"/>
    <s v="Mariam Nagar, Purnia - BSPCB"/>
    <x v="0"/>
    <n v="25.366336"/>
    <n v="87.117468000000002"/>
    <x v="6"/>
    <n v="72"/>
    <n v="100"/>
    <n v="83"/>
  </r>
  <r>
    <s v="India"/>
    <x v="1"/>
    <x v="19"/>
    <s v="Mariam Nagar, Purnia - BSPCB"/>
    <x v="0"/>
    <n v="25.366336"/>
    <n v="87.117468000000002"/>
    <x v="0"/>
    <n v="8"/>
    <n v="30"/>
    <n v="19"/>
  </r>
  <r>
    <s v="India"/>
    <x v="1"/>
    <x v="20"/>
    <s v="Dangi Tola, Rajgir - BSPCB"/>
    <x v="0"/>
    <n v="25.032800000000002"/>
    <n v="85.419479999999993"/>
    <x v="2"/>
    <n v="8"/>
    <n v="10"/>
    <n v="9"/>
  </r>
  <r>
    <s v="India"/>
    <x v="1"/>
    <x v="21"/>
    <s v="Police Line, Saharsa - BSPCB"/>
    <x v="0"/>
    <n v="25.892357000000001"/>
    <n v="86.590325000000007"/>
    <x v="5"/>
    <n v="48"/>
    <n v="200"/>
    <n v="109"/>
  </r>
  <r>
    <s v="India"/>
    <x v="1"/>
    <x v="21"/>
    <s v="Police Line, Saharsa - BSPCB"/>
    <x v="0"/>
    <n v="25.892357000000001"/>
    <n v="86.590325000000007"/>
    <x v="0"/>
    <n v="5"/>
    <n v="41"/>
    <n v="12"/>
  </r>
  <r>
    <s v="India"/>
    <x v="1"/>
    <x v="22"/>
    <s v="SDM Office_Khagra, Kishanganj - BSPCB"/>
    <x v="0"/>
    <n v="26.088130499999998"/>
    <n v="87.938403359999995"/>
    <x v="4"/>
    <m/>
    <m/>
    <m/>
  </r>
  <r>
    <s v="India"/>
    <x v="1"/>
    <x v="22"/>
    <s v="SDM Office_Khagra, Kishanganj - BSPCB"/>
    <x v="0"/>
    <n v="26.088130499999998"/>
    <n v="87.938403359999995"/>
    <x v="0"/>
    <m/>
    <m/>
    <m/>
  </r>
  <r>
    <s v="India"/>
    <x v="1"/>
    <x v="23"/>
    <s v="Forest Rest House, Manguraha - BSPCB"/>
    <x v="0"/>
    <n v="27.308327999999999"/>
    <n v="84.531741999999994"/>
    <x v="4"/>
    <n v="6"/>
    <n v="7"/>
    <n v="7"/>
  </r>
  <r>
    <s v="India"/>
    <x v="1"/>
    <x v="23"/>
    <s v="Forest Rest House, Manguraha - BSPCB"/>
    <x v="0"/>
    <n v="27.308327999999999"/>
    <n v="84.531741999999994"/>
    <x v="0"/>
    <n v="12"/>
    <n v="33"/>
    <n v="23"/>
  </r>
  <r>
    <s v="India"/>
    <x v="1"/>
    <x v="24"/>
    <s v="Town Hall, Munger - BSPCB"/>
    <x v="0"/>
    <n v="25.376776"/>
    <n v="86.471523000000005"/>
    <x v="5"/>
    <n v="83"/>
    <n v="233"/>
    <n v="128"/>
  </r>
  <r>
    <s v="India"/>
    <x v="1"/>
    <x v="24"/>
    <s v="Town Hall, Munger - BSPCB"/>
    <x v="0"/>
    <n v="25.376776"/>
    <n v="86.471523000000005"/>
    <x v="6"/>
    <n v="16"/>
    <n v="64"/>
    <n v="33"/>
  </r>
  <r>
    <s v="India"/>
    <x v="1"/>
    <x v="25"/>
    <s v="Darshan Nagar, Chhapra - BSPCB"/>
    <x v="0"/>
    <n v="25.780825700000001"/>
    <n v="84.744676799999993"/>
    <x v="4"/>
    <m/>
    <m/>
    <m/>
  </r>
  <r>
    <s v="India"/>
    <x v="1"/>
    <x v="25"/>
    <s v="Darshan Nagar, Chhapra - BSPCB"/>
    <x v="0"/>
    <n v="25.780825700000001"/>
    <n v="84.744676799999993"/>
    <x v="0"/>
    <n v="3"/>
    <n v="124"/>
    <n v="67"/>
  </r>
  <r>
    <s v="India"/>
    <x v="1"/>
    <x v="26"/>
    <s v="Kareemganj, Gaya - BSPCB"/>
    <x v="0"/>
    <n v="24.792403"/>
    <n v="84.992416000000006"/>
    <x v="5"/>
    <n v="28"/>
    <n v="324"/>
    <n v="124"/>
  </r>
  <r>
    <s v="India"/>
    <x v="1"/>
    <x v="26"/>
    <s v="Kareemganj, Gaya - BSPCB"/>
    <x v="0"/>
    <n v="24.792403"/>
    <n v="84.992416000000006"/>
    <x v="2"/>
    <n v="3"/>
    <n v="7"/>
    <n v="5"/>
  </r>
  <r>
    <s v="India"/>
    <x v="1"/>
    <x v="26"/>
    <s v="Kareemganj, Gaya - BSPCB"/>
    <x v="0"/>
    <n v="24.792403"/>
    <n v="84.992416000000006"/>
    <x v="4"/>
    <n v="15"/>
    <n v="19"/>
    <n v="17"/>
  </r>
  <r>
    <s v="India"/>
    <x v="1"/>
    <x v="26"/>
    <s v="Kareemganj, Gaya - BSPCB"/>
    <x v="0"/>
    <n v="24.792403"/>
    <n v="84.992416000000006"/>
    <x v="0"/>
    <n v="4"/>
    <n v="43"/>
    <n v="20"/>
  </r>
  <r>
    <s v="India"/>
    <x v="1"/>
    <x v="18"/>
    <s v="Muradpur, Patna - BSPCB"/>
    <x v="0"/>
    <n v="25.619651000000001"/>
    <n v="85.147381999999993"/>
    <x v="2"/>
    <n v="6"/>
    <n v="64"/>
    <n v="33"/>
  </r>
  <r>
    <s v="India"/>
    <x v="1"/>
    <x v="18"/>
    <s v="Muradpur, Patna - BSPCB"/>
    <x v="0"/>
    <n v="25.619651000000001"/>
    <n v="85.147381999999993"/>
    <x v="3"/>
    <n v="1"/>
    <n v="16"/>
    <n v="5"/>
  </r>
  <r>
    <s v="India"/>
    <x v="1"/>
    <x v="18"/>
    <s v="Muradpur, Patna - BSPCB"/>
    <x v="0"/>
    <n v="25.619651000000001"/>
    <n v="85.147381999999993"/>
    <x v="6"/>
    <n v="32"/>
    <n v="70"/>
    <n v="46"/>
  </r>
  <r>
    <s v="India"/>
    <x v="1"/>
    <x v="18"/>
    <s v="Rajbansi Nagar, Patna - BSPCB"/>
    <x v="0"/>
    <n v="25.599485999999999"/>
    <n v="85.113665999999995"/>
    <x v="2"/>
    <n v="3"/>
    <n v="79"/>
    <n v="35"/>
  </r>
  <r>
    <s v="India"/>
    <x v="1"/>
    <x v="18"/>
    <s v="Rajbansi Nagar, Patna - BSPCB"/>
    <x v="0"/>
    <n v="25.599485999999999"/>
    <n v="85.113665999999995"/>
    <x v="3"/>
    <n v="1"/>
    <n v="2"/>
    <n v="1"/>
  </r>
  <r>
    <s v="India"/>
    <x v="1"/>
    <x v="27"/>
    <s v="Charitra Van, Buxar - BSPCB"/>
    <x v="0"/>
    <n v="25.567519999999998"/>
    <n v="83.966379000000003"/>
    <x v="5"/>
    <n v="15"/>
    <n v="332"/>
    <n v="170"/>
  </r>
  <r>
    <s v="India"/>
    <x v="1"/>
    <x v="27"/>
    <s v="Charitra Van, Buxar - BSPCB"/>
    <x v="0"/>
    <n v="25.567519999999998"/>
    <n v="83.966379000000003"/>
    <x v="2"/>
    <n v="4"/>
    <n v="5"/>
    <n v="5"/>
  </r>
  <r>
    <s v="India"/>
    <x v="1"/>
    <x v="27"/>
    <s v="Charitra Van, Buxar - BSPCB"/>
    <x v="0"/>
    <n v="25.567519999999998"/>
    <n v="83.966379000000003"/>
    <x v="4"/>
    <n v="9"/>
    <n v="22"/>
    <n v="14"/>
  </r>
  <r>
    <s v="India"/>
    <x v="1"/>
    <x v="27"/>
    <s v="Charitra Van, Buxar - BSPCB"/>
    <x v="0"/>
    <n v="25.567519999999998"/>
    <n v="83.966379000000003"/>
    <x v="6"/>
    <n v="12"/>
    <n v="54"/>
    <n v="54"/>
  </r>
  <r>
    <s v="India"/>
    <x v="1"/>
    <x v="28"/>
    <s v="Buddha Colony, Muzaffarpur - BSPCB"/>
    <x v="0"/>
    <n v="26.114419999999999"/>
    <n v="85.398129999999995"/>
    <x v="4"/>
    <n v="5"/>
    <n v="11"/>
    <n v="7"/>
  </r>
  <r>
    <s v="India"/>
    <x v="1"/>
    <x v="18"/>
    <s v="DRM Office Danapur, Patna - BSPCB"/>
    <x v="0"/>
    <n v="25.586562000000001"/>
    <n v="85.043586000000005"/>
    <x v="3"/>
    <n v="2"/>
    <n v="3"/>
    <n v="3"/>
  </r>
  <r>
    <s v="India"/>
    <x v="1"/>
    <x v="29"/>
    <s v="Industrial Area, Hajipur - BSPCB"/>
    <x v="0"/>
    <n v="25.697189000000002"/>
    <n v="85.245900000000006"/>
    <x v="4"/>
    <n v="3"/>
    <n v="6"/>
    <n v="5"/>
  </r>
  <r>
    <s v="India"/>
    <x v="1"/>
    <x v="30"/>
    <s v="Mirchaibari, Katihar - BSPCB"/>
    <x v="0"/>
    <n v="25.560082999999999"/>
    <n v="87.553264999999996"/>
    <x v="5"/>
    <n v="42"/>
    <n v="78"/>
    <n v="66"/>
  </r>
  <r>
    <s v="India"/>
    <x v="1"/>
    <x v="18"/>
    <s v="Govt. High School Shikarpur, Patna - BSPCB"/>
    <x v="0"/>
    <n v="25.592538999999999"/>
    <n v="85.227158000000003"/>
    <x v="1"/>
    <n v="86"/>
    <n v="354"/>
    <n v="149"/>
  </r>
  <r>
    <s v="India"/>
    <x v="1"/>
    <x v="18"/>
    <s v="Govt. High School Shikarpur, Patna - BSPCB"/>
    <x v="0"/>
    <n v="25.592538999999999"/>
    <n v="85.227158000000003"/>
    <x v="4"/>
    <n v="5"/>
    <n v="9"/>
    <n v="7"/>
  </r>
  <r>
    <s v="India"/>
    <x v="1"/>
    <x v="31"/>
    <s v="DM Office_Kasipur, Samastipur - BSPCB"/>
    <x v="0"/>
    <n v="25.859655"/>
    <n v="85.779439999999994"/>
    <x v="0"/>
    <n v="6"/>
    <n v="8"/>
    <n v="8"/>
  </r>
  <r>
    <s v="India"/>
    <x v="4"/>
    <x v="32"/>
    <s v="Hathkhoj, Bhilai - CECB"/>
    <x v="0"/>
    <n v="21.224231"/>
    <n v="81.408349999999999"/>
    <x v="6"/>
    <n v="8"/>
    <n v="74"/>
    <n v="14"/>
  </r>
  <r>
    <s v="India"/>
    <x v="4"/>
    <x v="33"/>
    <s v="Mangala, Bilaspur - NTPC"/>
    <x v="0"/>
    <n v="22.088149999999999"/>
    <n v="82.137370000000004"/>
    <x v="1"/>
    <m/>
    <m/>
    <m/>
  </r>
  <r>
    <s v="India"/>
    <x v="4"/>
    <x v="34"/>
    <s v="Nawapara SECL Colony, Chhal - CECB"/>
    <x v="0"/>
    <n v="22.118124999999999"/>
    <n v="83.140608"/>
    <x v="3"/>
    <n v="7"/>
    <n v="7"/>
    <n v="7"/>
  </r>
  <r>
    <s v="India"/>
    <x v="4"/>
    <x v="34"/>
    <s v="Nawapara SECL Colony, Chhal - CECB"/>
    <x v="0"/>
    <n v="22.118124999999999"/>
    <n v="83.140608"/>
    <x v="0"/>
    <n v="21"/>
    <n v="87"/>
    <n v="50"/>
  </r>
  <r>
    <s v="India"/>
    <x v="4"/>
    <x v="35"/>
    <s v="Rampur, Korba - CECB"/>
    <x v="0"/>
    <n v="22.368195"/>
    <n v="82.746431000000001"/>
    <x v="4"/>
    <m/>
    <m/>
    <m/>
  </r>
  <r>
    <s v="India"/>
    <x v="4"/>
    <x v="35"/>
    <s v="Rampur, Korba - CECB"/>
    <x v="0"/>
    <n v="22.368195"/>
    <n v="82.746431000000001"/>
    <x v="0"/>
    <m/>
    <m/>
    <m/>
  </r>
  <r>
    <s v="India"/>
    <x v="4"/>
    <x v="35"/>
    <s v="Urja Nagar, Korba - CECB"/>
    <x v="0"/>
    <n v="22.348441000000001"/>
    <n v="82.549610999999999"/>
    <x v="1"/>
    <n v="65"/>
    <n v="417"/>
    <n v="145"/>
  </r>
  <r>
    <s v="India"/>
    <x v="1"/>
    <x v="36"/>
    <s v="Dada Peer, Sasaram - BSPCB"/>
    <x v="0"/>
    <n v="24.952822000000001"/>
    <n v="84.002396000000005"/>
    <x v="4"/>
    <n v="4"/>
    <n v="5"/>
    <n v="5"/>
  </r>
  <r>
    <s v="India"/>
    <x v="1"/>
    <x v="37"/>
    <s v="Chitragupta Nagar, Siwan - BSPCB"/>
    <x v="0"/>
    <n v="26.227166499999999"/>
    <n v="84.357042699999994"/>
    <x v="4"/>
    <m/>
    <m/>
    <m/>
  </r>
  <r>
    <s v="India"/>
    <x v="1"/>
    <x v="37"/>
    <s v="Chitragupta Nagar, Siwan - BSPCB"/>
    <x v="0"/>
    <n v="26.227166499999999"/>
    <n v="84.357042699999994"/>
    <x v="6"/>
    <n v="79"/>
    <n v="111"/>
    <n v="107"/>
  </r>
  <r>
    <s v="India"/>
    <x v="5"/>
    <x v="38"/>
    <s v="Sector 22, Chandigarh - CPCC"/>
    <x v="0"/>
    <n v="30.735567"/>
    <n v="76.775713999999994"/>
    <x v="5"/>
    <n v="30"/>
    <n v="193"/>
    <n v="89"/>
  </r>
  <r>
    <s v="India"/>
    <x v="5"/>
    <x v="38"/>
    <s v="Sector 22, Chandigarh - CPCC"/>
    <x v="0"/>
    <n v="30.735567"/>
    <n v="76.775713999999994"/>
    <x v="2"/>
    <n v="26"/>
    <n v="204"/>
    <n v="62"/>
  </r>
  <r>
    <s v="India"/>
    <x v="6"/>
    <x v="39"/>
    <s v="Alipur, Delhi - DPCC"/>
    <x v="0"/>
    <n v="28.815328999999998"/>
    <n v="77.153009999999995"/>
    <x v="0"/>
    <n v="1"/>
    <n v="12"/>
    <n v="9"/>
  </r>
  <r>
    <s v="India"/>
    <x v="6"/>
    <x v="39"/>
    <s v="Ashok Vihar, Delhi - DPCC"/>
    <x v="0"/>
    <n v="28.695381000000001"/>
    <n v="77.181664999999995"/>
    <x v="2"/>
    <n v="21"/>
    <n v="145"/>
    <n v="71"/>
  </r>
  <r>
    <s v="India"/>
    <x v="6"/>
    <x v="39"/>
    <s v="Ashok Vihar, Delhi - DPCC"/>
    <x v="0"/>
    <n v="28.695381000000001"/>
    <n v="77.181664999999995"/>
    <x v="3"/>
    <n v="7"/>
    <n v="9"/>
    <n v="8"/>
  </r>
  <r>
    <s v="India"/>
    <x v="6"/>
    <x v="39"/>
    <s v="Bawana, Delhi - DPCC"/>
    <x v="0"/>
    <n v="28.776199999999999"/>
    <n v="77.051074"/>
    <x v="1"/>
    <n v="123"/>
    <n v="500"/>
    <n v="260"/>
  </r>
  <r>
    <s v="India"/>
    <x v="6"/>
    <x v="39"/>
    <s v="Bawana, Delhi - DPCC"/>
    <x v="0"/>
    <n v="28.776199999999999"/>
    <n v="77.051074"/>
    <x v="4"/>
    <n v="9"/>
    <n v="109"/>
    <n v="52"/>
  </r>
  <r>
    <s v="India"/>
    <x v="6"/>
    <x v="39"/>
    <s v="Bawana, Delhi - DPCC"/>
    <x v="0"/>
    <n v="28.776199999999999"/>
    <n v="77.051074"/>
    <x v="0"/>
    <n v="3"/>
    <n v="142"/>
    <n v="93"/>
  </r>
  <r>
    <s v="India"/>
    <x v="6"/>
    <x v="39"/>
    <s v="CRRI Mathura Road, Delhi - IMD"/>
    <x v="0"/>
    <n v="28.5512005"/>
    <n v="77.2735737"/>
    <x v="0"/>
    <n v="26"/>
    <n v="266"/>
    <n v="162"/>
  </r>
  <r>
    <s v="India"/>
    <x v="6"/>
    <x v="39"/>
    <s v="Chandni Chowk, Delhi - IITM"/>
    <x v="0"/>
    <n v="28.656756000000001"/>
    <n v="77.227233999999996"/>
    <x v="2"/>
    <n v="78"/>
    <n v="194"/>
    <n v="131"/>
  </r>
  <r>
    <s v="India"/>
    <x v="6"/>
    <x v="39"/>
    <s v="Dr. Karni Singh Shooting Range, Delhi - DPCC"/>
    <x v="0"/>
    <n v="28.498570999999998"/>
    <n v="77.264840000000007"/>
    <x v="4"/>
    <n v="17"/>
    <n v="61"/>
    <n v="33"/>
  </r>
  <r>
    <s v="India"/>
    <x v="6"/>
    <x v="39"/>
    <s v="Dr. Karni Singh Shooting Range, Delhi - DPCC"/>
    <x v="0"/>
    <n v="28.498570999999998"/>
    <n v="77.264840000000007"/>
    <x v="6"/>
    <n v="4"/>
    <n v="113"/>
    <n v="22"/>
  </r>
  <r>
    <s v="India"/>
    <x v="5"/>
    <x v="38"/>
    <s v="Sector-53, Chandigarh - CPCC"/>
    <x v="0"/>
    <n v="30.719859"/>
    <n v="76.738636999999997"/>
    <x v="2"/>
    <m/>
    <m/>
    <m/>
  </r>
  <r>
    <s v="India"/>
    <x v="4"/>
    <x v="32"/>
    <s v="Civic Center, Bhilai - Bhilai Steel Plant"/>
    <x v="0"/>
    <n v="21.185570999999999"/>
    <n v="81.343175000000002"/>
    <x v="4"/>
    <n v="8"/>
    <n v="14"/>
    <n v="10"/>
  </r>
  <r>
    <s v="India"/>
    <x v="4"/>
    <x v="40"/>
    <s v="AIIMS, Raipur - CECB"/>
    <x v="0"/>
    <n v="21.258814999999998"/>
    <n v="81.578979000000004"/>
    <x v="0"/>
    <n v="5"/>
    <n v="40"/>
    <n v="28"/>
  </r>
  <r>
    <s v="India"/>
    <x v="4"/>
    <x v="40"/>
    <s v="Bhatagaon New ISBT, Raipur - CECB"/>
    <x v="0"/>
    <n v="21.219664999999999"/>
    <n v="81.630094"/>
    <x v="2"/>
    <n v="42"/>
    <n v="158"/>
    <n v="76"/>
  </r>
  <r>
    <s v="India"/>
    <x v="4"/>
    <x v="40"/>
    <s v="Krishak Nagar, Raipur - CECB"/>
    <x v="0"/>
    <n v="21.237755"/>
    <n v="81.705301000000006"/>
    <x v="2"/>
    <n v="14"/>
    <n v="25"/>
    <n v="21"/>
  </r>
  <r>
    <s v="India"/>
    <x v="4"/>
    <x v="40"/>
    <s v="Krishak Nagar, Raipur - CECB"/>
    <x v="0"/>
    <n v="21.237755"/>
    <n v="81.705301000000006"/>
    <x v="4"/>
    <n v="10"/>
    <n v="22"/>
    <n v="13"/>
  </r>
  <r>
    <s v="India"/>
    <x v="4"/>
    <x v="40"/>
    <s v="Krishak Nagar, Raipur - CECB"/>
    <x v="0"/>
    <n v="21.237755"/>
    <n v="81.705301000000006"/>
    <x v="6"/>
    <n v="22"/>
    <n v="50"/>
    <n v="28"/>
  </r>
  <r>
    <s v="India"/>
    <x v="4"/>
    <x v="40"/>
    <s v="Siltara Phase-II, Raipur - CECB"/>
    <x v="0"/>
    <n v="21.371751"/>
    <n v="81.664929000000001"/>
    <x v="3"/>
    <n v="3"/>
    <n v="3"/>
    <n v="3"/>
  </r>
  <r>
    <s v="India"/>
    <x v="4"/>
    <x v="40"/>
    <s v="AIIMS, Raipur - CECB"/>
    <x v="0"/>
    <n v="21.258814999999998"/>
    <n v="81.578979000000004"/>
    <x v="5"/>
    <n v="21"/>
    <n v="57"/>
    <n v="34"/>
  </r>
  <r>
    <s v="India"/>
    <x v="6"/>
    <x v="39"/>
    <s v="Patparganj, Delhi - DPCC"/>
    <x v="0"/>
    <n v="28.623763"/>
    <n v="77.287209000000004"/>
    <x v="3"/>
    <n v="35"/>
    <n v="62"/>
    <n v="50"/>
  </r>
  <r>
    <s v="India"/>
    <x v="6"/>
    <x v="39"/>
    <s v="Punjabi Bagh, Delhi - DPCC"/>
    <x v="0"/>
    <n v="28.674045"/>
    <n v="77.131022999999999"/>
    <x v="5"/>
    <n v="47"/>
    <n v="404"/>
    <n v="230"/>
  </r>
  <r>
    <s v="India"/>
    <x v="6"/>
    <x v="39"/>
    <s v="Punjabi Bagh, Delhi - DPCC"/>
    <x v="0"/>
    <n v="28.674045"/>
    <n v="77.131022999999999"/>
    <x v="3"/>
    <n v="4"/>
    <n v="10"/>
    <n v="7"/>
  </r>
  <r>
    <s v="India"/>
    <x v="6"/>
    <x v="39"/>
    <s v="Pusa, Delhi - DPCC"/>
    <x v="0"/>
    <n v="28.639652000000002"/>
    <n v="77.146275000000003"/>
    <x v="2"/>
    <n v="47"/>
    <n v="108"/>
    <n v="82"/>
  </r>
  <r>
    <s v="India"/>
    <x v="6"/>
    <x v="39"/>
    <s v="Pusa, Delhi - DPCC"/>
    <x v="0"/>
    <n v="28.639652000000002"/>
    <n v="77.146275000000003"/>
    <x v="0"/>
    <n v="1"/>
    <n v="30"/>
    <n v="18"/>
  </r>
  <r>
    <s v="India"/>
    <x v="6"/>
    <x v="39"/>
    <s v="R K Puram, Delhi - DPCC"/>
    <x v="0"/>
    <n v="28.563262000000002"/>
    <n v="77.186937"/>
    <x v="4"/>
    <n v="13"/>
    <n v="69"/>
    <n v="43"/>
  </r>
  <r>
    <s v="India"/>
    <x v="6"/>
    <x v="39"/>
    <s v="Rohini, Delhi - DPCC"/>
    <x v="0"/>
    <n v="28.732527999999999"/>
    <n v="77.119919999999993"/>
    <x v="2"/>
    <n v="1"/>
    <n v="137"/>
    <n v="58"/>
  </r>
  <r>
    <s v="India"/>
    <x v="6"/>
    <x v="39"/>
    <s v="Shadipur, Delhi - CPCB"/>
    <x v="0"/>
    <n v="28.651478099999999"/>
    <n v="77.147310500000003"/>
    <x v="3"/>
    <n v="4"/>
    <n v="8"/>
    <n v="6"/>
  </r>
  <r>
    <s v="India"/>
    <x v="6"/>
    <x v="39"/>
    <s v="Shadipur, Delhi - CPCB"/>
    <x v="0"/>
    <n v="28.651478099999999"/>
    <n v="77.147310500000003"/>
    <x v="4"/>
    <n v="1"/>
    <n v="24"/>
    <n v="9"/>
  </r>
  <r>
    <s v="India"/>
    <x v="6"/>
    <x v="39"/>
    <s v="Sirifort, Delhi - CPCB"/>
    <x v="0"/>
    <n v="28.550424899999999"/>
    <n v="77.215937699999998"/>
    <x v="1"/>
    <n v="98"/>
    <n v="424"/>
    <n v="211"/>
  </r>
  <r>
    <s v="India"/>
    <x v="6"/>
    <x v="39"/>
    <s v="Sirifort, Delhi - CPCB"/>
    <x v="0"/>
    <n v="28.550424899999999"/>
    <n v="77.215937699999998"/>
    <x v="2"/>
    <n v="42"/>
    <n v="44"/>
    <n v="44"/>
  </r>
  <r>
    <s v="India"/>
    <x v="6"/>
    <x v="39"/>
    <s v="Sirifort, Delhi - CPCB"/>
    <x v="0"/>
    <n v="28.550424899999999"/>
    <n v="77.215937699999998"/>
    <x v="6"/>
    <n v="24"/>
    <n v="118"/>
    <n v="45"/>
  </r>
  <r>
    <s v="India"/>
    <x v="6"/>
    <x v="39"/>
    <s v="IGI Airport (T3), Delhi - IMD"/>
    <x v="0"/>
    <n v="28.562776299999999"/>
    <n v="77.118005299999993"/>
    <x v="0"/>
    <n v="5"/>
    <n v="141"/>
    <n v="65"/>
  </r>
  <r>
    <s v="India"/>
    <x v="6"/>
    <x v="39"/>
    <s v="IHBAS, Dilshad Garden, Delhi - CPCB"/>
    <x v="0"/>
    <n v="28.681173600000001"/>
    <n v="77.302523399999998"/>
    <x v="4"/>
    <n v="3"/>
    <n v="12"/>
    <n v="8"/>
  </r>
  <r>
    <s v="India"/>
    <x v="6"/>
    <x v="39"/>
    <s v="IHBAS, Dilshad Garden, Delhi - CPCB"/>
    <x v="0"/>
    <n v="28.681173600000001"/>
    <n v="77.302523399999998"/>
    <x v="0"/>
    <n v="8"/>
    <n v="58"/>
    <n v="36"/>
  </r>
  <r>
    <s v="India"/>
    <x v="6"/>
    <x v="39"/>
    <s v="Jahangirpuri, Delhi - DPCC"/>
    <x v="0"/>
    <n v="28.73282"/>
    <n v="77.170632999999995"/>
    <x v="5"/>
    <n v="48"/>
    <n v="434"/>
    <n v="253"/>
  </r>
  <r>
    <s v="India"/>
    <x v="6"/>
    <x v="39"/>
    <s v="Jahangirpuri, Delhi - DPCC"/>
    <x v="0"/>
    <n v="28.73282"/>
    <n v="77.170632999999995"/>
    <x v="1"/>
    <n v="100"/>
    <n v="435"/>
    <n v="277"/>
  </r>
  <r>
    <s v="India"/>
    <x v="6"/>
    <x v="39"/>
    <s v="Mundka, Delhi - DPCC"/>
    <x v="0"/>
    <n v="28.684678000000002"/>
    <n v="77.076573999999994"/>
    <x v="6"/>
    <n v="9"/>
    <n v="76"/>
    <n v="24"/>
  </r>
  <r>
    <s v="India"/>
    <x v="6"/>
    <x v="39"/>
    <s v="NSIT Dwarka, Delhi - CPCB"/>
    <x v="0"/>
    <n v="28.609089999999998"/>
    <n v="77.032541300000005"/>
    <x v="5"/>
    <n v="55"/>
    <n v="306"/>
    <n v="139"/>
  </r>
  <r>
    <s v="India"/>
    <x v="6"/>
    <x v="39"/>
    <s v="NSIT Dwarka, Delhi - CPCB"/>
    <x v="0"/>
    <n v="28.609089999999998"/>
    <n v="77.032541300000005"/>
    <x v="3"/>
    <n v="8"/>
    <n v="18"/>
    <n v="9"/>
  </r>
  <r>
    <s v="India"/>
    <x v="6"/>
    <x v="39"/>
    <s v="Najafgarh, Delhi - DPCC"/>
    <x v="0"/>
    <n v="28.570173"/>
    <n v="76.933762000000002"/>
    <x v="2"/>
    <n v="60"/>
    <n v="127"/>
    <n v="96"/>
  </r>
  <r>
    <s v="India"/>
    <x v="6"/>
    <x v="39"/>
    <s v="Narela, Delhi - DPCC"/>
    <x v="0"/>
    <n v="28.822835999999999"/>
    <n v="77.101980999999995"/>
    <x v="6"/>
    <n v="10"/>
    <n v="66"/>
    <n v="24"/>
  </r>
  <r>
    <s v="India"/>
    <x v="6"/>
    <x v="39"/>
    <s v="Nehru Nagar, Delhi - DPCC"/>
    <x v="0"/>
    <n v="28.567889999999998"/>
    <n v="77.250514999999993"/>
    <x v="1"/>
    <n v="85"/>
    <n v="250"/>
    <n v="161"/>
  </r>
  <r>
    <s v="India"/>
    <x v="6"/>
    <x v="39"/>
    <s v="North Campus, DU, Delhi - IMD"/>
    <x v="0"/>
    <n v="28.657381399999998"/>
    <n v="77.158544699999993"/>
    <x v="6"/>
    <n v="104"/>
    <n v="158"/>
    <n v="116"/>
  </r>
  <r>
    <s v="India"/>
    <x v="6"/>
    <x v="39"/>
    <s v="Sri Aurobindo Marg, Delhi - DPCC"/>
    <x v="0"/>
    <n v="28.531345999999999"/>
    <n v="77.190156000000002"/>
    <x v="5"/>
    <n v="50"/>
    <n v="248"/>
    <n v="128"/>
  </r>
  <r>
    <s v="India"/>
    <x v="6"/>
    <x v="39"/>
    <s v="Sri Aurobindo Marg, Delhi - DPCC"/>
    <x v="0"/>
    <n v="28.531345999999999"/>
    <n v="77.190156000000002"/>
    <x v="2"/>
    <n v="9"/>
    <n v="97"/>
    <n v="54"/>
  </r>
  <r>
    <s v="India"/>
    <x v="6"/>
    <x v="39"/>
    <s v="Sri Aurobindo Marg, Delhi - DPCC"/>
    <x v="0"/>
    <n v="28.531345999999999"/>
    <n v="77.190156000000002"/>
    <x v="4"/>
    <n v="27"/>
    <n v="46"/>
    <n v="35"/>
  </r>
  <r>
    <s v="India"/>
    <x v="6"/>
    <x v="39"/>
    <s v="Lodhi Road, Delhi - IITM"/>
    <x v="0"/>
    <n v="28.588332999999999"/>
    <n v="77.221666999999997"/>
    <x v="5"/>
    <n v="60"/>
    <n v="308"/>
    <n v="174"/>
  </r>
  <r>
    <s v="India"/>
    <x v="6"/>
    <x v="39"/>
    <s v="Lodhi Road, Delhi - IITM"/>
    <x v="0"/>
    <n v="28.588332999999999"/>
    <n v="77.221666999999997"/>
    <x v="2"/>
    <n v="26"/>
    <n v="176"/>
    <n v="85"/>
  </r>
  <r>
    <s v="India"/>
    <x v="6"/>
    <x v="39"/>
    <s v="Lodhi Road, Delhi - IITM"/>
    <x v="0"/>
    <n v="28.588332999999999"/>
    <n v="77.221666999999997"/>
    <x v="4"/>
    <n v="21"/>
    <n v="74"/>
    <n v="45"/>
  </r>
  <r>
    <s v="India"/>
    <x v="6"/>
    <x v="39"/>
    <s v="Vivek Vihar, Delhi - DPCC"/>
    <x v="0"/>
    <n v="28.672342"/>
    <n v="77.315259999999995"/>
    <x v="2"/>
    <n v="19"/>
    <n v="113"/>
    <n v="54"/>
  </r>
  <r>
    <s v="India"/>
    <x v="6"/>
    <x v="39"/>
    <s v="Wazirpur, Delhi - DPCC"/>
    <x v="0"/>
    <n v="28.699793"/>
    <n v="77.165452999999999"/>
    <x v="5"/>
    <n v="50"/>
    <n v="425"/>
    <n v="243"/>
  </r>
  <r>
    <s v="India"/>
    <x v="6"/>
    <x v="39"/>
    <s v="Sonia Vihar, Delhi - DPCC"/>
    <x v="0"/>
    <n v="28.710508000000001"/>
    <n v="77.249485000000007"/>
    <x v="4"/>
    <n v="11"/>
    <n v="53"/>
    <n v="23"/>
  </r>
  <r>
    <s v="India"/>
    <x v="7"/>
    <x v="41"/>
    <s v="Gyaspur, Ahmedabad - IITM"/>
    <x v="0"/>
    <n v="22.977134"/>
    <n v="72.553023999999994"/>
    <x v="0"/>
    <n v="1"/>
    <n v="34"/>
    <n v="18"/>
  </r>
  <r>
    <s v="India"/>
    <x v="7"/>
    <x v="41"/>
    <s v="Maninagar, Ahmedabad - GPCB"/>
    <x v="0"/>
    <n v="23.002656999999999"/>
    <n v="72.591911999999994"/>
    <x v="5"/>
    <n v="8"/>
    <n v="209"/>
    <n v="52"/>
  </r>
  <r>
    <s v="India"/>
    <x v="7"/>
    <x v="41"/>
    <s v="Maninagar, Ahmedabad - GPCB"/>
    <x v="0"/>
    <n v="23.002656999999999"/>
    <n v="72.591911999999994"/>
    <x v="1"/>
    <n v="46"/>
    <n v="423"/>
    <n v="144"/>
  </r>
  <r>
    <s v="India"/>
    <x v="7"/>
    <x v="41"/>
    <s v="Raikhad, Ahmedabad - IITM"/>
    <x v="0"/>
    <n v="23.020509000000001"/>
    <n v="72.579261000000002"/>
    <x v="5"/>
    <n v="9"/>
    <n v="334"/>
    <n v="108"/>
  </r>
  <r>
    <s v="India"/>
    <x v="7"/>
    <x v="41"/>
    <s v="Raikhad, Ahmedabad - IITM"/>
    <x v="0"/>
    <n v="23.020509000000001"/>
    <n v="72.579261000000002"/>
    <x v="3"/>
    <n v="4"/>
    <n v="18"/>
    <n v="8"/>
  </r>
  <r>
    <s v="India"/>
    <x v="8"/>
    <x v="42"/>
    <s v="HIMUDA Complex Phase-1, Baddi - HPPCB"/>
    <x v="0"/>
    <n v="30.943887"/>
    <n v="76.801991000000001"/>
    <x v="4"/>
    <n v="9"/>
    <n v="108"/>
    <n v="56"/>
  </r>
  <r>
    <s v="India"/>
    <x v="9"/>
    <x v="43"/>
    <s v="Rajbagh, Srinagar - JKSPCB"/>
    <x v="0"/>
    <n v="34.066206000000001"/>
    <n v="74.819820000000007"/>
    <x v="1"/>
    <n v="35"/>
    <n v="74"/>
    <n v="54"/>
  </r>
  <r>
    <s v="India"/>
    <x v="10"/>
    <x v="44"/>
    <s v="Vidayagiri, Bagalkot - KSPCB"/>
    <x v="0"/>
    <n v="16.172806000000001"/>
    <n v="75.659694000000002"/>
    <x v="4"/>
    <n v="7"/>
    <n v="7"/>
    <n v="7"/>
  </r>
  <r>
    <s v="India"/>
    <x v="7"/>
    <x v="41"/>
    <s v="Raikhad, Ahmedabad - IITM"/>
    <x v="0"/>
    <n v="23.020509000000001"/>
    <n v="72.579261000000002"/>
    <x v="0"/>
    <n v="3"/>
    <n v="53"/>
    <n v="30"/>
  </r>
  <r>
    <s v="India"/>
    <x v="7"/>
    <x v="41"/>
    <s v="SAC ISRO Bopal, Ahmedabad - IITM"/>
    <x v="0"/>
    <n v="23.041136999999999"/>
    <n v="72.456691000000006"/>
    <x v="1"/>
    <n v="35"/>
    <n v="138"/>
    <n v="71"/>
  </r>
  <r>
    <s v="India"/>
    <x v="7"/>
    <x v="41"/>
    <s v="SVPI Airport Hansol, Ahmedabad - IITM"/>
    <x v="0"/>
    <n v="23.076792999999999"/>
    <n v="72.627874000000006"/>
    <x v="5"/>
    <n v="22"/>
    <n v="122"/>
    <n v="43"/>
  </r>
  <r>
    <s v="India"/>
    <x v="7"/>
    <x v="41"/>
    <s v="SVPI Airport Hansol, Ahmedabad - IITM"/>
    <x v="0"/>
    <n v="23.076792999999999"/>
    <n v="72.627874000000006"/>
    <x v="6"/>
    <n v="10"/>
    <n v="109"/>
    <n v="39"/>
  </r>
  <r>
    <s v="India"/>
    <x v="10"/>
    <x v="45"/>
    <s v="BTM Layout, Bengaluru - CPCB"/>
    <x v="0"/>
    <n v="12.9135218"/>
    <n v="77.595080400000001"/>
    <x v="0"/>
    <n v="29"/>
    <n v="30"/>
    <n v="30"/>
  </r>
  <r>
    <s v="India"/>
    <x v="10"/>
    <x v="45"/>
    <s v="Bapuji Nagar, Bengaluru - KSPCB"/>
    <x v="0"/>
    <n v="12.951912999999999"/>
    <n v="77.539783999999997"/>
    <x v="5"/>
    <n v="29"/>
    <n v="83"/>
    <n v="49"/>
  </r>
  <r>
    <s v="India"/>
    <x v="10"/>
    <x v="45"/>
    <s v="City Railway Station, Bengaluru - KSPCB"/>
    <x v="0"/>
    <n v="12.975684299999999"/>
    <n v="77.566074900000004"/>
    <x v="6"/>
    <n v="48"/>
    <n v="82"/>
    <n v="59"/>
  </r>
  <r>
    <s v="India"/>
    <x v="11"/>
    <x v="46"/>
    <s v="NISE Gwal Pahari, Gurugram - IMD"/>
    <x v="0"/>
    <n v="28.422681000000001"/>
    <n v="77.148944"/>
    <x v="2"/>
    <n v="10"/>
    <n v="71"/>
    <n v="35"/>
  </r>
  <r>
    <s v="India"/>
    <x v="11"/>
    <x v="46"/>
    <s v="NISE Gwal Pahari, Gurugram - IMD"/>
    <x v="0"/>
    <n v="28.422681000000001"/>
    <n v="77.148944"/>
    <x v="0"/>
    <n v="43"/>
    <n v="170"/>
    <n v="108"/>
  </r>
  <r>
    <s v="India"/>
    <x v="11"/>
    <x v="47"/>
    <s v="Amity University, Panchgaon - IITM"/>
    <x v="0"/>
    <n v="28.315300000000001"/>
    <n v="76.914299999999997"/>
    <x v="0"/>
    <n v="4"/>
    <n v="158"/>
    <n v="110"/>
  </r>
  <r>
    <s v="India"/>
    <x v="7"/>
    <x v="41"/>
    <s v="Sardar Vallabhbhai Patel Stadium, Ahmedabad - IITM"/>
    <x v="0"/>
    <n v="23.04307"/>
    <n v="72.562967999999998"/>
    <x v="0"/>
    <n v="6"/>
    <n v="72"/>
    <n v="34"/>
  </r>
  <r>
    <s v="India"/>
    <x v="7"/>
    <x v="48"/>
    <s v="GIDC, Ankleshwar - GPCB"/>
    <x v="0"/>
    <n v="21.613267"/>
    <n v="73.010554999999997"/>
    <x v="5"/>
    <n v="24"/>
    <n v="194"/>
    <n v="74"/>
  </r>
  <r>
    <s v="India"/>
    <x v="7"/>
    <x v="48"/>
    <s v="GIDC, Ankleshwar - GPCB"/>
    <x v="0"/>
    <n v="21.613267"/>
    <n v="73.010554999999997"/>
    <x v="6"/>
    <n v="6"/>
    <n v="50"/>
    <n v="8"/>
  </r>
  <r>
    <s v="India"/>
    <x v="7"/>
    <x v="49"/>
    <s v="Sector-10, Gandhinagar - GPCB"/>
    <x v="0"/>
    <n v="23.221713999999999"/>
    <n v="72.654328000000007"/>
    <x v="6"/>
    <n v="6"/>
    <n v="86"/>
    <n v="27"/>
  </r>
  <r>
    <s v="India"/>
    <x v="7"/>
    <x v="49"/>
    <s v="Sector-10, Gandhinagar - GPCB"/>
    <x v="0"/>
    <n v="23.221713999999999"/>
    <n v="72.654328000000007"/>
    <x v="0"/>
    <n v="22"/>
    <n v="23"/>
    <n v="22"/>
  </r>
  <r>
    <s v="India"/>
    <x v="7"/>
    <x v="50"/>
    <s v="Science Center, Surat - SMC"/>
    <x v="0"/>
    <n v="21.170045999999999"/>
    <n v="72.795405000000002"/>
    <x v="5"/>
    <m/>
    <m/>
    <m/>
  </r>
  <r>
    <s v="India"/>
    <x v="7"/>
    <x v="50"/>
    <s v="Science Center, Surat - SMC"/>
    <x v="0"/>
    <n v="21.170045999999999"/>
    <n v="72.795405000000002"/>
    <x v="4"/>
    <m/>
    <m/>
    <m/>
  </r>
  <r>
    <s v="India"/>
    <x v="6"/>
    <x v="39"/>
    <s v="Wazirpur, Delhi - DPCC"/>
    <x v="0"/>
    <n v="28.699793"/>
    <n v="77.165452999999999"/>
    <x v="6"/>
    <n v="45"/>
    <n v="124"/>
    <n v="84"/>
  </r>
  <r>
    <s v="India"/>
    <x v="7"/>
    <x v="41"/>
    <s v="Chandkheda, Ahmedabad - IITM"/>
    <x v="0"/>
    <n v="23.107969000000001"/>
    <n v="72.574647999999996"/>
    <x v="6"/>
    <n v="26"/>
    <n v="142"/>
    <n v="65"/>
  </r>
  <r>
    <s v="India"/>
    <x v="7"/>
    <x v="41"/>
    <s v="Gyaspur, Ahmedabad - IITM"/>
    <x v="0"/>
    <n v="22.977134"/>
    <n v="72.553023999999994"/>
    <x v="5"/>
    <n v="46"/>
    <n v="379"/>
    <n v="189"/>
  </r>
  <r>
    <s v="India"/>
    <x v="10"/>
    <x v="45"/>
    <s v="Hombegowda Nagar, Bengaluru - KSPCB"/>
    <x v="0"/>
    <n v="12.938539"/>
    <n v="77.590100000000007"/>
    <x v="2"/>
    <n v="11"/>
    <n v="35"/>
    <n v="18"/>
  </r>
  <r>
    <s v="India"/>
    <x v="10"/>
    <x v="45"/>
    <s v="Hombegowda Nagar, Bengaluru - KSPCB"/>
    <x v="0"/>
    <n v="12.938539"/>
    <n v="77.590100000000007"/>
    <x v="4"/>
    <n v="9"/>
    <n v="19"/>
    <n v="13"/>
  </r>
  <r>
    <s v="India"/>
    <x v="10"/>
    <x v="45"/>
    <s v="Hombegowda Nagar, Bengaluru - KSPCB"/>
    <x v="0"/>
    <n v="12.938539"/>
    <n v="77.590100000000007"/>
    <x v="6"/>
    <n v="14"/>
    <n v="28"/>
    <n v="16"/>
  </r>
  <r>
    <s v="India"/>
    <x v="10"/>
    <x v="45"/>
    <s v="Hombegowda Nagar, Bengaluru - KSPCB"/>
    <x v="0"/>
    <n v="12.938539"/>
    <n v="77.590100000000007"/>
    <x v="0"/>
    <n v="17"/>
    <n v="218"/>
    <n v="178"/>
  </r>
  <r>
    <s v="India"/>
    <x v="10"/>
    <x v="51"/>
    <s v="Panchal Nagar, Gadag - KSPCB"/>
    <x v="0"/>
    <n v="15.411455999999999"/>
    <n v="75.638132999999996"/>
    <x v="2"/>
    <n v="4"/>
    <n v="24"/>
    <n v="14"/>
  </r>
  <r>
    <s v="India"/>
    <x v="10"/>
    <x v="51"/>
    <s v="Panchal Nagar, Gadag - KSPCB"/>
    <x v="0"/>
    <n v="15.411455999999999"/>
    <n v="75.638132999999996"/>
    <x v="6"/>
    <n v="40"/>
    <n v="48"/>
    <n v="45"/>
  </r>
  <r>
    <s v="India"/>
    <x v="10"/>
    <x v="52"/>
    <s v="Ashwini Nagar, Haveri - KSPCB"/>
    <x v="0"/>
    <n v="14.7918"/>
    <n v="75.389600000000002"/>
    <x v="1"/>
    <m/>
    <m/>
    <m/>
  </r>
  <r>
    <s v="India"/>
    <x v="10"/>
    <x v="53"/>
    <s v="Lingaraj Nagar, Hubballi - KSPCB"/>
    <x v="0"/>
    <n v="15.3714823"/>
    <n v="75.116016799999997"/>
    <x v="0"/>
    <n v="13"/>
    <n v="30"/>
    <n v="25"/>
  </r>
  <r>
    <s v="India"/>
    <x v="10"/>
    <x v="54"/>
    <s v="Lal Bahadur Shastri Nagar, Kalaburagi - KSPCB"/>
    <x v="0"/>
    <n v="17.321992999999999"/>
    <n v="76.822627999999995"/>
    <x v="1"/>
    <n v="42"/>
    <n v="107"/>
    <n v="73"/>
  </r>
  <r>
    <s v="India"/>
    <x v="10"/>
    <x v="54"/>
    <s v="Lal Bahadur Shastri Nagar, Kalaburagi - KSPCB"/>
    <x v="0"/>
    <n v="17.321992999999999"/>
    <n v="76.822627999999995"/>
    <x v="2"/>
    <n v="8"/>
    <n v="11"/>
    <n v="9"/>
  </r>
  <r>
    <s v="India"/>
    <x v="10"/>
    <x v="54"/>
    <s v="Lal Bahadur Shastri Nagar, Kalaburagi - KSPCB"/>
    <x v="0"/>
    <n v="17.321992999999999"/>
    <n v="76.822627999999995"/>
    <x v="3"/>
    <n v="3"/>
    <n v="4"/>
    <n v="3"/>
  </r>
  <r>
    <s v="India"/>
    <x v="10"/>
    <x v="54"/>
    <s v="Lal Bahadur Shastri Nagar, Kalaburagi - KSPCB"/>
    <x v="0"/>
    <n v="17.321992999999999"/>
    <n v="76.822627999999995"/>
    <x v="6"/>
    <n v="24"/>
    <n v="44"/>
    <n v="26"/>
  </r>
  <r>
    <s v="India"/>
    <x v="10"/>
    <x v="55"/>
    <s v="Chikkaballapur Rural, Chikkaballapur - KSPCB"/>
    <x v="0"/>
    <n v="13.428827999999999"/>
    <n v="77.731418000000005"/>
    <x v="6"/>
    <m/>
    <m/>
    <m/>
  </r>
  <r>
    <s v="India"/>
    <x v="10"/>
    <x v="56"/>
    <s v="Kalyana Nagara, Chikkamagaluru - KSPCB"/>
    <x v="0"/>
    <n v="13.328028"/>
    <n v="75.797055999999998"/>
    <x v="5"/>
    <m/>
    <m/>
    <m/>
  </r>
  <r>
    <s v="India"/>
    <x v="10"/>
    <x v="57"/>
    <s v="Devaraj Urs Badavane, Davanagere - KSPCB"/>
    <x v="0"/>
    <n v="14.4758"/>
    <n v="75.905199999999994"/>
    <x v="1"/>
    <n v="33"/>
    <n v="65"/>
    <n v="46"/>
  </r>
  <r>
    <s v="India"/>
    <x v="10"/>
    <x v="58"/>
    <s v="Kalabhavan, Dharwad - KSPCB"/>
    <x v="0"/>
    <n v="15.459706000000001"/>
    <n v="75.008381"/>
    <x v="3"/>
    <n v="4"/>
    <n v="4"/>
    <n v="4"/>
  </r>
  <r>
    <s v="India"/>
    <x v="10"/>
    <x v="59"/>
    <s v="Collector Office, Yadgir - KSPCB"/>
    <x v="0"/>
    <n v="16.760200000000001"/>
    <n v="77.142799999999994"/>
    <x v="1"/>
    <n v="39"/>
    <n v="86"/>
    <n v="55"/>
  </r>
  <r>
    <s v="India"/>
    <x v="10"/>
    <x v="59"/>
    <s v="Collector Office, Yadgir - KSPCB"/>
    <x v="0"/>
    <n v="16.760200000000001"/>
    <n v="77.142799999999994"/>
    <x v="2"/>
    <n v="34"/>
    <n v="57"/>
    <n v="45"/>
  </r>
  <r>
    <s v="India"/>
    <x v="10"/>
    <x v="59"/>
    <s v="Collector Office, Yadgir - KSPCB"/>
    <x v="0"/>
    <n v="16.760200000000001"/>
    <n v="77.142799999999994"/>
    <x v="3"/>
    <n v="3"/>
    <n v="4"/>
    <n v="4"/>
  </r>
  <r>
    <s v="India"/>
    <x v="10"/>
    <x v="59"/>
    <s v="Collector Office, Yadgir - KSPCB"/>
    <x v="0"/>
    <n v="16.760200000000001"/>
    <n v="77.142799999999994"/>
    <x v="6"/>
    <n v="17"/>
    <n v="24"/>
    <n v="21"/>
  </r>
  <r>
    <s v="India"/>
    <x v="12"/>
    <x v="60"/>
    <s v="Udyogamandal, Eloor - Kerala PCB"/>
    <x v="0"/>
    <n v="10.073232000000001"/>
    <n v="76.302764999999994"/>
    <x v="5"/>
    <m/>
    <m/>
    <m/>
  </r>
  <r>
    <s v="India"/>
    <x v="10"/>
    <x v="45"/>
    <s v="Shivapura_Peenya, Bengaluru - KSPCB"/>
    <x v="0"/>
    <n v="13.024634199999999"/>
    <n v="77.508011499999995"/>
    <x v="3"/>
    <n v="2"/>
    <n v="2"/>
    <n v="2"/>
  </r>
  <r>
    <s v="India"/>
    <x v="10"/>
    <x v="45"/>
    <s v="Shivapura_Peenya, Bengaluru - KSPCB"/>
    <x v="0"/>
    <n v="13.024634199999999"/>
    <n v="77.508011499999995"/>
    <x v="0"/>
    <n v="19"/>
    <n v="22"/>
    <n v="19"/>
  </r>
  <r>
    <s v="India"/>
    <x v="10"/>
    <x v="45"/>
    <s v="Silk Board, Bengaluru - KSPCB"/>
    <x v="0"/>
    <n v="12.917348"/>
    <n v="77.622812999999994"/>
    <x v="4"/>
    <n v="9"/>
    <n v="11"/>
    <n v="10"/>
  </r>
  <r>
    <s v="India"/>
    <x v="10"/>
    <x v="61"/>
    <s v="Urban, Chamarajanagar - KSPCB"/>
    <x v="0"/>
    <n v="11.55358"/>
    <n v="76.555210000000002"/>
    <x v="3"/>
    <n v="2"/>
    <n v="2"/>
    <n v="2"/>
  </r>
  <r>
    <s v="India"/>
    <x v="10"/>
    <x v="45"/>
    <s v="Peenya, Bengaluru - CPCB"/>
    <x v="0"/>
    <n v="13.027019900000001"/>
    <n v="77.494094000000004"/>
    <x v="1"/>
    <n v="49"/>
    <n v="70"/>
    <n v="59"/>
  </r>
  <r>
    <s v="India"/>
    <x v="10"/>
    <x v="45"/>
    <s v="RVCE-Mailasandra, Bengaluru - KSPCB"/>
    <x v="0"/>
    <n v="12.921417999999999"/>
    <n v="77.502465999999998"/>
    <x v="3"/>
    <n v="3"/>
    <n v="4"/>
    <n v="4"/>
  </r>
  <r>
    <s v="India"/>
    <x v="10"/>
    <x v="62"/>
    <s v="Hebbal 1st Stage, Mysuru - KSPCB"/>
    <x v="0"/>
    <n v="12.21041"/>
    <n v="76.373760000000004"/>
    <x v="1"/>
    <n v="31"/>
    <n v="50"/>
    <n v="39"/>
  </r>
  <r>
    <s v="India"/>
    <x v="10"/>
    <x v="62"/>
    <s v="Hebbal 1st Stage, Mysuru - KSPCB"/>
    <x v="0"/>
    <n v="12.21041"/>
    <n v="76.373760000000004"/>
    <x v="3"/>
    <n v="3"/>
    <n v="7"/>
    <n v="5"/>
  </r>
  <r>
    <s v="India"/>
    <x v="10"/>
    <x v="63"/>
    <s v="Thimmalapura, Tumakuru - KSPCB"/>
    <x v="0"/>
    <n v="13.377516"/>
    <n v="77.099072000000007"/>
    <x v="2"/>
    <n v="18"/>
    <n v="19"/>
    <n v="18"/>
  </r>
  <r>
    <s v="India"/>
    <x v="10"/>
    <x v="63"/>
    <s v="Thimmalapura, Tumakuru - KSPCB"/>
    <x v="0"/>
    <n v="13.377516"/>
    <n v="77.099072000000007"/>
    <x v="4"/>
    <n v="4"/>
    <n v="7"/>
    <n v="5"/>
  </r>
  <r>
    <s v="India"/>
    <x v="10"/>
    <x v="63"/>
    <s v="Thimmalapura, Tumakuru - KSPCB"/>
    <x v="0"/>
    <n v="13.377516"/>
    <n v="77.099072000000007"/>
    <x v="0"/>
    <n v="4"/>
    <n v="7"/>
    <n v="6"/>
  </r>
  <r>
    <s v="India"/>
    <x v="10"/>
    <x v="64"/>
    <s v="Stuart Hill, Madikeri - KSPCB"/>
    <x v="0"/>
    <n v="12.415910999999999"/>
    <n v="75.735050000000001"/>
    <x v="2"/>
    <n v="6"/>
    <n v="44"/>
    <n v="10"/>
  </r>
  <r>
    <s v="India"/>
    <x v="12"/>
    <x v="65"/>
    <s v="Plammoodu, Thiruvananthapuram - Kerala PCB"/>
    <x v="0"/>
    <n v="8.5149092999999993"/>
    <n v="76.943587899999997"/>
    <x v="0"/>
    <n v="11"/>
    <n v="25"/>
    <n v="14"/>
  </r>
  <r>
    <s v="India"/>
    <x v="12"/>
    <x v="66"/>
    <s v="Corporation Ground, Thrissur - Kerala PCB"/>
    <x v="0"/>
    <n v="10.532400000000001"/>
    <n v="76.215900000000005"/>
    <x v="5"/>
    <n v="46"/>
    <n v="51"/>
    <n v="49"/>
  </r>
  <r>
    <s v="India"/>
    <x v="12"/>
    <x v="66"/>
    <s v="Corporation Ground, Thrissur - Kerala PCB"/>
    <x v="0"/>
    <n v="10.532400000000001"/>
    <n v="76.215900000000005"/>
    <x v="2"/>
    <n v="9"/>
    <n v="10"/>
    <n v="10"/>
  </r>
  <r>
    <s v="India"/>
    <x v="13"/>
    <x v="67"/>
    <s v="Idgah Hills, Bhopal - MPPCB"/>
    <x v="0"/>
    <n v="23.264759000000002"/>
    <n v="77.381568000000001"/>
    <x v="3"/>
    <n v="3"/>
    <n v="10"/>
    <n v="6"/>
  </r>
  <r>
    <s v="India"/>
    <x v="13"/>
    <x v="67"/>
    <s v="T T Nagar, Bhopal - MPPCB"/>
    <x v="0"/>
    <n v="23.233584"/>
    <n v="77.400574000000006"/>
    <x v="5"/>
    <n v="19"/>
    <n v="62"/>
    <n v="43"/>
  </r>
  <r>
    <s v="India"/>
    <x v="13"/>
    <x v="67"/>
    <s v="T T Nagar, Bhopal - MPPCB"/>
    <x v="0"/>
    <n v="23.233584"/>
    <n v="77.400574000000006"/>
    <x v="2"/>
    <n v="22"/>
    <n v="129"/>
    <n v="48"/>
  </r>
  <r>
    <s v="India"/>
    <x v="13"/>
    <x v="67"/>
    <s v="T T Nagar, Bhopal - MPPCB"/>
    <x v="0"/>
    <n v="23.233584"/>
    <n v="77.400574000000006"/>
    <x v="3"/>
    <n v="16"/>
    <n v="38"/>
    <n v="22"/>
  </r>
  <r>
    <s v="India"/>
    <x v="13"/>
    <x v="67"/>
    <s v="T T Nagar, Bhopal - MPPCB"/>
    <x v="0"/>
    <n v="23.233584"/>
    <n v="77.400574000000006"/>
    <x v="6"/>
    <n v="34"/>
    <n v="59"/>
    <n v="45"/>
  </r>
  <r>
    <s v="India"/>
    <x v="13"/>
    <x v="68"/>
    <s v="Suhagi, Jabalpur - JMC"/>
    <x v="0"/>
    <n v="23.218135"/>
    <n v="79.957769999999996"/>
    <x v="0"/>
    <n v="4"/>
    <n v="82"/>
    <n v="38"/>
  </r>
  <r>
    <s v="India"/>
    <x v="13"/>
    <x v="69"/>
    <s v="Gole Bazar, Katni - MPPCB"/>
    <x v="0"/>
    <n v="23.500160000000001"/>
    <n v="80.232839999999996"/>
    <x v="5"/>
    <n v="20"/>
    <n v="233"/>
    <n v="77"/>
  </r>
  <r>
    <s v="India"/>
    <x v="13"/>
    <x v="69"/>
    <s v="Gole Bazar, Katni - MPPCB"/>
    <x v="0"/>
    <n v="23.500160000000001"/>
    <n v="80.232839999999996"/>
    <x v="4"/>
    <n v="17"/>
    <n v="105"/>
    <n v="36"/>
  </r>
  <r>
    <s v="India"/>
    <x v="13"/>
    <x v="70"/>
    <s v="Sahilara, Maihar - KJS Cements"/>
    <x v="0"/>
    <n v="24.261300899999998"/>
    <n v="80.723178300000001"/>
    <x v="4"/>
    <n v="4"/>
    <n v="5"/>
    <n v="4"/>
  </r>
  <r>
    <s v="India"/>
    <x v="13"/>
    <x v="71"/>
    <s v="Sector-D Industrial Area, Mandideep - MPPCB"/>
    <x v="0"/>
    <n v="23.108440000000002"/>
    <n v="77.511427999999995"/>
    <x v="5"/>
    <n v="24"/>
    <n v="408"/>
    <n v="129"/>
  </r>
  <r>
    <s v="India"/>
    <x v="13"/>
    <x v="72"/>
    <s v="Sector-2 Industrial Area, Pithampur - MPPCB"/>
    <x v="0"/>
    <n v="22.624758"/>
    <n v="75.675237999999993"/>
    <x v="2"/>
    <n v="2"/>
    <n v="39"/>
    <n v="12"/>
  </r>
  <r>
    <s v="India"/>
    <x v="13"/>
    <x v="72"/>
    <s v="Sector-2 Industrial Area, Pithampur - MPPCB"/>
    <x v="0"/>
    <n v="22.624758"/>
    <n v="75.675237999999993"/>
    <x v="6"/>
    <n v="21"/>
    <n v="62"/>
    <n v="36"/>
  </r>
  <r>
    <s v="India"/>
    <x v="13"/>
    <x v="73"/>
    <s v="Regional Park, Indore - IMC"/>
    <x v="0"/>
    <n v="22.678000000000001"/>
    <n v="75.855900000000005"/>
    <x v="6"/>
    <n v="36"/>
    <n v="52"/>
    <n v="39"/>
  </r>
  <r>
    <s v="India"/>
    <x v="13"/>
    <x v="73"/>
    <s v="Residency Area, Indore - IMC"/>
    <x v="0"/>
    <n v="22.708400000000001"/>
    <n v="75.881500000000003"/>
    <x v="2"/>
    <n v="10"/>
    <n v="17"/>
    <n v="14"/>
  </r>
  <r>
    <s v="India"/>
    <x v="13"/>
    <x v="73"/>
    <s v="Residency Area, Indore - IMC"/>
    <x v="0"/>
    <n v="22.708400000000001"/>
    <n v="75.881500000000003"/>
    <x v="0"/>
    <n v="10"/>
    <n v="18"/>
    <n v="15"/>
  </r>
  <r>
    <s v="India"/>
    <x v="13"/>
    <x v="68"/>
    <s v="Govindh Bhavan Colony, Jabalpur - JMC"/>
    <x v="0"/>
    <n v="23.163174000000001"/>
    <n v="79.973061000000001"/>
    <x v="1"/>
    <n v="50"/>
    <n v="118"/>
    <n v="88"/>
  </r>
  <r>
    <s v="India"/>
    <x v="13"/>
    <x v="68"/>
    <s v="Govindh Bhavan Colony, Jabalpur - JMC"/>
    <x v="0"/>
    <n v="23.163174000000001"/>
    <n v="79.973061000000001"/>
    <x v="3"/>
    <n v="2"/>
    <n v="2"/>
    <n v="2"/>
  </r>
  <r>
    <s v="India"/>
    <x v="13"/>
    <x v="68"/>
    <s v="Gupteshwar, Jabalpur - JMC"/>
    <x v="0"/>
    <n v="23.142887999999999"/>
    <n v="79.916146999999995"/>
    <x v="1"/>
    <m/>
    <m/>
    <m/>
  </r>
  <r>
    <s v="India"/>
    <x v="13"/>
    <x v="68"/>
    <s v="Marhatal, Jabalpur - MPPCB"/>
    <x v="0"/>
    <n v="23.168606"/>
    <n v="79.932247000000004"/>
    <x v="0"/>
    <n v="1"/>
    <n v="86"/>
    <n v="40"/>
  </r>
  <r>
    <s v="India"/>
    <x v="13"/>
    <x v="74"/>
    <s v="Shrivastav Colony, Damoh - MPPCB"/>
    <x v="0"/>
    <n v="23.817486779999999"/>
    <n v="79.446246000000002"/>
    <x v="1"/>
    <n v="22"/>
    <n v="76"/>
    <n v="48"/>
  </r>
  <r>
    <s v="India"/>
    <x v="13"/>
    <x v="75"/>
    <s v="City Center, Gwalior - MPPCB"/>
    <x v="0"/>
    <n v="26.203441999999999"/>
    <n v="78.193251000000004"/>
    <x v="3"/>
    <n v="2"/>
    <n v="3"/>
    <n v="3"/>
  </r>
  <r>
    <s v="India"/>
    <x v="13"/>
    <x v="75"/>
    <s v="Deen Dayal Nagar, Gwalior - MPPCB"/>
    <x v="0"/>
    <n v="26.259242"/>
    <n v="78.216431999999998"/>
    <x v="3"/>
    <n v="11"/>
    <n v="16"/>
    <n v="13"/>
  </r>
  <r>
    <s v="India"/>
    <x v="13"/>
    <x v="75"/>
    <s v="Deen Dayal Nagar, Gwalior - MPPCB"/>
    <x v="0"/>
    <n v="26.259242"/>
    <n v="78.216431999999998"/>
    <x v="4"/>
    <n v="14"/>
    <n v="18"/>
    <n v="16"/>
  </r>
  <r>
    <s v="India"/>
    <x v="13"/>
    <x v="75"/>
    <s v="Deen Dayal Nagar, Gwalior - MPPCB"/>
    <x v="0"/>
    <n v="26.259242"/>
    <n v="78.216431999999998"/>
    <x v="0"/>
    <n v="26"/>
    <n v="130"/>
    <n v="82"/>
  </r>
  <r>
    <s v="India"/>
    <x v="13"/>
    <x v="75"/>
    <s v="Maharaj Bada, Gwalior - MPPCB"/>
    <x v="0"/>
    <n v="26.200388"/>
    <n v="78.147713999999993"/>
    <x v="4"/>
    <n v="11"/>
    <n v="31"/>
    <n v="22"/>
  </r>
  <r>
    <s v="India"/>
    <x v="13"/>
    <x v="75"/>
    <s v="Maharaj Bada, Gwalior - MPPCB"/>
    <x v="0"/>
    <n v="26.200388"/>
    <n v="78.147713999999993"/>
    <x v="6"/>
    <n v="2"/>
    <n v="145"/>
    <n v="69"/>
  </r>
  <r>
    <s v="India"/>
    <x v="13"/>
    <x v="73"/>
    <s v="Airport Area, Indore - IMC"/>
    <x v="0"/>
    <n v="22.728899999999999"/>
    <n v="75.807599999999994"/>
    <x v="6"/>
    <n v="10"/>
    <n v="14"/>
    <n v="11"/>
  </r>
  <r>
    <s v="India"/>
    <x v="13"/>
    <x v="73"/>
    <s v="Airport Area, Indore - IMC"/>
    <x v="0"/>
    <n v="22.728899999999999"/>
    <n v="75.807599999999994"/>
    <x v="0"/>
    <n v="6"/>
    <n v="19"/>
    <n v="14"/>
  </r>
  <r>
    <s v="India"/>
    <x v="13"/>
    <x v="73"/>
    <s v="Chhoti Gwaltoli, Indore - MPPCB"/>
    <x v="0"/>
    <n v="22.431000000000001"/>
    <n v="75.521299999999997"/>
    <x v="5"/>
    <n v="45"/>
    <n v="321"/>
    <n v="136"/>
  </r>
  <r>
    <s v="India"/>
    <x v="13"/>
    <x v="73"/>
    <s v="Chhoti Gwaltoli, Indore - MPPCB"/>
    <x v="0"/>
    <n v="22.431000000000001"/>
    <n v="75.521299999999997"/>
    <x v="2"/>
    <n v="11"/>
    <n v="130"/>
    <n v="76"/>
  </r>
  <r>
    <s v="India"/>
    <x v="13"/>
    <x v="73"/>
    <s v="Chhoti Gwaltoli, Indore - MPPCB"/>
    <x v="0"/>
    <n v="22.431000000000001"/>
    <n v="75.521299999999997"/>
    <x v="6"/>
    <n v="22"/>
    <n v="104"/>
    <n v="52"/>
  </r>
  <r>
    <s v="India"/>
    <x v="13"/>
    <x v="76"/>
    <s v="Civil Lines, Sagar - MPPCB"/>
    <x v="0"/>
    <n v="23.838585999999999"/>
    <n v="78.759431000000006"/>
    <x v="1"/>
    <n v="21"/>
    <n v="115"/>
    <n v="56"/>
  </r>
  <r>
    <s v="India"/>
    <x v="13"/>
    <x v="76"/>
    <s v="Civil Lines, Sagar - MPPCB"/>
    <x v="0"/>
    <n v="23.838585999999999"/>
    <n v="78.759431000000006"/>
    <x v="2"/>
    <n v="9"/>
    <n v="45"/>
    <n v="18"/>
  </r>
  <r>
    <s v="India"/>
    <x v="13"/>
    <x v="76"/>
    <s v="Deen Dayal Nagar, Sagar - MPPCB"/>
    <x v="0"/>
    <n v="23.864015800000001"/>
    <n v="78.802893209999993"/>
    <x v="2"/>
    <n v="7"/>
    <n v="120"/>
    <n v="58"/>
  </r>
  <r>
    <s v="India"/>
    <x v="13"/>
    <x v="77"/>
    <s v="Bandhavgar Colony, Satna - Birla Cement"/>
    <x v="0"/>
    <n v="24.584343629999999"/>
    <n v="80.854941400000001"/>
    <x v="2"/>
    <n v="12"/>
    <n v="12"/>
    <n v="12"/>
  </r>
  <r>
    <s v="India"/>
    <x v="13"/>
    <x v="78"/>
    <s v="Suryakiran Bhawan NCL, Singrauli - MPPCB"/>
    <x v="0"/>
    <n v="24.108969999999999"/>
    <n v="82.645579999999995"/>
    <x v="3"/>
    <n v="1"/>
    <n v="9"/>
    <n v="5"/>
  </r>
  <r>
    <s v="India"/>
    <x v="12"/>
    <x v="65"/>
    <s v="Kariavattom, Thiruvananthapuram - Kerala PCB"/>
    <x v="0"/>
    <n v="8.5637000000000008"/>
    <n v="76.886499999999998"/>
    <x v="0"/>
    <n v="36"/>
    <n v="37"/>
    <n v="36"/>
  </r>
  <r>
    <s v="India"/>
    <x v="12"/>
    <x v="65"/>
    <s v="Plammoodu, Thiruvananthapuram - Kerala PCB"/>
    <x v="0"/>
    <n v="8.5149092999999993"/>
    <n v="76.943587899999997"/>
    <x v="5"/>
    <n v="11"/>
    <n v="78"/>
    <n v="29"/>
  </r>
  <r>
    <s v="India"/>
    <x v="12"/>
    <x v="79"/>
    <s v="Polayathode, Kollam - Kerala PCB"/>
    <x v="0"/>
    <n v="8.8787000000000003"/>
    <n v="76.607299999999995"/>
    <x v="4"/>
    <n v="1"/>
    <n v="3"/>
    <n v="2"/>
  </r>
  <r>
    <s v="India"/>
    <x v="14"/>
    <x v="80"/>
    <s v="Sinchan Bhavan, Kolhapur - MPCB"/>
    <x v="0"/>
    <n v="16.714374500000002"/>
    <n v="74.242639800000006"/>
    <x v="0"/>
    <n v="29"/>
    <n v="127"/>
    <n v="79"/>
  </r>
  <r>
    <s v="India"/>
    <x v="14"/>
    <x v="81"/>
    <s v="Kamble Tarf Birwadi, Mahad - MPCB"/>
    <x v="0"/>
    <n v="18.1023399"/>
    <n v="73.478368700000004"/>
    <x v="5"/>
    <n v="67"/>
    <n v="291"/>
    <n v="140"/>
  </r>
  <r>
    <s v="India"/>
    <x v="14"/>
    <x v="81"/>
    <s v="Kamble Tarf Birwadi, Mahad - MPCB"/>
    <x v="0"/>
    <n v="18.1023399"/>
    <n v="73.478368700000004"/>
    <x v="1"/>
    <n v="99"/>
    <n v="169"/>
    <n v="127"/>
  </r>
  <r>
    <s v="India"/>
    <x v="14"/>
    <x v="81"/>
    <s v="Kamble Tarf Birwadi, Mahad - MPCB"/>
    <x v="0"/>
    <n v="18.1023399"/>
    <n v="73.478368700000004"/>
    <x v="6"/>
    <n v="15"/>
    <n v="52"/>
    <n v="22"/>
  </r>
  <r>
    <s v="India"/>
    <x v="14"/>
    <x v="81"/>
    <s v="Kamble Tarf Birwadi, Mahad - MPCB"/>
    <x v="0"/>
    <n v="18.1023399"/>
    <n v="73.478368700000004"/>
    <x v="0"/>
    <n v="6"/>
    <n v="66"/>
    <n v="28"/>
  </r>
  <r>
    <s v="India"/>
    <x v="14"/>
    <x v="82"/>
    <s v="Mahesh Nagar, Malegaon - MPCB"/>
    <x v="0"/>
    <n v="20.555712"/>
    <n v="74.529235999999997"/>
    <x v="3"/>
    <n v="1"/>
    <n v="3"/>
    <n v="2"/>
  </r>
  <r>
    <s v="India"/>
    <x v="14"/>
    <x v="83"/>
    <s v="Bhayandar West, Mira-Bhayandar - MPCB"/>
    <x v="0"/>
    <n v="19.296481"/>
    <n v="72.840923000000004"/>
    <x v="3"/>
    <n v="4"/>
    <n v="6"/>
    <n v="4"/>
  </r>
  <r>
    <s v="India"/>
    <x v="14"/>
    <x v="83"/>
    <s v="Bhayandar West, Mira-Bhayandar - MPCB"/>
    <x v="0"/>
    <n v="19.296481"/>
    <n v="72.840923000000004"/>
    <x v="6"/>
    <n v="12"/>
    <n v="39"/>
    <n v="16"/>
  </r>
  <r>
    <s v="India"/>
    <x v="14"/>
    <x v="83"/>
    <s v="Bhayandar West, Mira-Bhayandar - MPCB"/>
    <x v="0"/>
    <n v="19.296481"/>
    <n v="72.840923000000004"/>
    <x v="0"/>
    <n v="3"/>
    <n v="85"/>
    <n v="49"/>
  </r>
  <r>
    <s v="India"/>
    <x v="14"/>
    <x v="84"/>
    <s v="Khaira, Boisar - MPCB"/>
    <x v="0"/>
    <n v="19.786089"/>
    <n v="72.757970999999998"/>
    <x v="4"/>
    <n v="2"/>
    <n v="34"/>
    <n v="20"/>
  </r>
  <r>
    <s v="India"/>
    <x v="14"/>
    <x v="84"/>
    <s v="Khaira, Boisar - MPCB"/>
    <x v="0"/>
    <n v="19.786089"/>
    <n v="72.757970999999998"/>
    <x v="6"/>
    <n v="1"/>
    <n v="29"/>
    <n v="14"/>
  </r>
  <r>
    <s v="India"/>
    <x v="14"/>
    <x v="85"/>
    <s v="Chauhan Colony, Chandrapur - MPCB"/>
    <x v="0"/>
    <n v="19.962900000000001"/>
    <n v="79.298714000000004"/>
    <x v="5"/>
    <n v="75"/>
    <n v="302"/>
    <n v="164"/>
  </r>
  <r>
    <s v="India"/>
    <x v="14"/>
    <x v="85"/>
    <s v="MIDC Khutala, Chandrapur - MPCB"/>
    <x v="0"/>
    <n v="19.9775302"/>
    <n v="79.2337086"/>
    <x v="2"/>
    <n v="31"/>
    <n v="35"/>
    <n v="33"/>
  </r>
  <r>
    <s v="India"/>
    <x v="14"/>
    <x v="85"/>
    <s v="MIDC Khutala, Chandrapur - MPCB"/>
    <x v="0"/>
    <n v="19.9775302"/>
    <n v="79.2337086"/>
    <x v="4"/>
    <n v="1"/>
    <n v="94"/>
    <n v="45"/>
  </r>
  <r>
    <s v="India"/>
    <x v="14"/>
    <x v="85"/>
    <s v="MIDC Khutala, Chandrapur - MPCB"/>
    <x v="0"/>
    <n v="19.9775302"/>
    <n v="79.2337086"/>
    <x v="0"/>
    <n v="1"/>
    <n v="138"/>
    <n v="69"/>
  </r>
  <r>
    <s v="India"/>
    <x v="14"/>
    <x v="86"/>
    <s v="Deopur, Dhule - MPCB"/>
    <x v="0"/>
    <n v="20.918945999999998"/>
    <n v="74.776387999999997"/>
    <x v="0"/>
    <n v="26"/>
    <n v="69"/>
    <n v="54"/>
  </r>
  <r>
    <s v="India"/>
    <x v="14"/>
    <x v="87"/>
    <s v="Tarakpur, Ahmednagar - MPCB"/>
    <x v="0"/>
    <n v="19.101220000000001"/>
    <n v="74.73339"/>
    <x v="1"/>
    <n v="61"/>
    <n v="367"/>
    <n v="147"/>
  </r>
  <r>
    <s v="India"/>
    <x v="14"/>
    <x v="87"/>
    <s v="Tarakpur, Ahmednagar - MPCB"/>
    <x v="0"/>
    <n v="19.101220000000001"/>
    <n v="74.73339"/>
    <x v="3"/>
    <n v="5"/>
    <n v="9"/>
    <n v="6"/>
  </r>
  <r>
    <s v="India"/>
    <x v="14"/>
    <x v="88"/>
    <s v="Ramdaspeth, Akola - MPCB"/>
    <x v="0"/>
    <n v="20.719515999999999"/>
    <n v="77.000253000000001"/>
    <x v="4"/>
    <n v="11"/>
    <n v="23"/>
    <n v="18"/>
  </r>
  <r>
    <s v="India"/>
    <x v="14"/>
    <x v="89"/>
    <s v="Shivneri Colony, Amravati - MPCB"/>
    <x v="0"/>
    <n v="20.940235900000001"/>
    <n v="77.789524799999995"/>
    <x v="3"/>
    <n v="1"/>
    <n v="3"/>
    <n v="2"/>
  </r>
  <r>
    <s v="India"/>
    <x v="14"/>
    <x v="89"/>
    <s v="Shri Shivaji Science College, Amaravati - MPCB"/>
    <x v="0"/>
    <n v="20.939198000000001"/>
    <n v="77.765701000000007"/>
    <x v="5"/>
    <n v="26"/>
    <n v="74"/>
    <n v="52"/>
  </r>
  <r>
    <s v="India"/>
    <x v="14"/>
    <x v="89"/>
    <s v="Shri Shivaji Science College, Amaravati - MPCB"/>
    <x v="0"/>
    <n v="20.939198000000001"/>
    <n v="77.765701000000007"/>
    <x v="1"/>
    <n v="61"/>
    <n v="108"/>
    <n v="86"/>
  </r>
  <r>
    <s v="India"/>
    <x v="14"/>
    <x v="90"/>
    <s v="Old MIDC, Jalna - MPCB"/>
    <x v="0"/>
    <n v="19.854616"/>
    <n v="75.905894000000004"/>
    <x v="1"/>
    <m/>
    <m/>
    <m/>
  </r>
  <r>
    <s v="India"/>
    <x v="14"/>
    <x v="90"/>
    <s v="Old MIDC, Jalna - MPCB"/>
    <x v="0"/>
    <n v="19.854616"/>
    <n v="75.905894000000004"/>
    <x v="3"/>
    <n v="3"/>
    <n v="4"/>
    <n v="4"/>
  </r>
  <r>
    <s v="India"/>
    <x v="14"/>
    <x v="90"/>
    <s v="Old MIDC, Jalna - MPCB"/>
    <x v="0"/>
    <n v="19.854616"/>
    <n v="75.905894000000004"/>
    <x v="6"/>
    <n v="7"/>
    <n v="30"/>
    <n v="13"/>
  </r>
  <r>
    <s v="India"/>
    <x v="14"/>
    <x v="91"/>
    <s v="Khadakpada, Kalyan - MPCB"/>
    <x v="0"/>
    <n v="19.25292"/>
    <n v="73.142019000000005"/>
    <x v="6"/>
    <n v="6"/>
    <n v="16"/>
    <n v="8"/>
  </r>
  <r>
    <s v="India"/>
    <x v="14"/>
    <x v="91"/>
    <s v="Pimpleshwar Mandir, Kalyan - MPCB"/>
    <x v="0"/>
    <n v="19.192056000000001"/>
    <n v="72.958518799999993"/>
    <x v="5"/>
    <m/>
    <m/>
    <m/>
  </r>
  <r>
    <s v="India"/>
    <x v="14"/>
    <x v="80"/>
    <s v="Shivaji University, Kolhapur - MPCB"/>
    <x v="0"/>
    <n v="16.6870449"/>
    <n v="74.250587199999998"/>
    <x v="2"/>
    <n v="1"/>
    <n v="23"/>
    <n v="15"/>
  </r>
  <r>
    <s v="India"/>
    <x v="14"/>
    <x v="6"/>
    <s v="Rachnakar Colony, Aurangabad - MPCB"/>
    <x v="0"/>
    <n v="19.863755999999999"/>
    <n v="75.321188000000006"/>
    <x v="4"/>
    <n v="17"/>
    <n v="51"/>
    <n v="24"/>
  </r>
  <r>
    <s v="India"/>
    <x v="14"/>
    <x v="6"/>
    <s v="Rachnakar Colony, Aurangabad - MPCB"/>
    <x v="0"/>
    <n v="19.863755999999999"/>
    <n v="75.321188000000006"/>
    <x v="0"/>
    <n v="12"/>
    <n v="143"/>
    <n v="69"/>
  </r>
  <r>
    <s v="India"/>
    <x v="14"/>
    <x v="92"/>
    <s v="CBD Belapur, Belapur - MPCB"/>
    <x v="0"/>
    <n v="19.024390199999999"/>
    <n v="73.040672099999995"/>
    <x v="5"/>
    <n v="27"/>
    <n v="96"/>
    <n v="66"/>
  </r>
  <r>
    <s v="India"/>
    <x v="14"/>
    <x v="92"/>
    <s v="CBD Belapur, Belapur - MPCB"/>
    <x v="0"/>
    <n v="19.024390199999999"/>
    <n v="73.040672099999995"/>
    <x v="2"/>
    <n v="8"/>
    <n v="25"/>
    <n v="17"/>
  </r>
  <r>
    <s v="India"/>
    <x v="14"/>
    <x v="6"/>
    <s v="MIDC Chilkalthana, Aurangabad - MPCB"/>
    <x v="0"/>
    <n v="19.875620000000001"/>
    <n v="75.387309999999999"/>
    <x v="5"/>
    <n v="28"/>
    <n v="79"/>
    <n v="49"/>
  </r>
  <r>
    <s v="India"/>
    <x v="14"/>
    <x v="6"/>
    <s v="MIDC Chilkalthana, Aurangabad - MPCB"/>
    <x v="0"/>
    <n v="19.875620000000001"/>
    <n v="75.387309999999999"/>
    <x v="3"/>
    <n v="1"/>
    <n v="2"/>
    <n v="2"/>
  </r>
  <r>
    <s v="India"/>
    <x v="14"/>
    <x v="6"/>
    <s v="Rachnakar Colony, Aurangabad - MPCB"/>
    <x v="0"/>
    <n v="19.863755999999999"/>
    <n v="75.321188000000006"/>
    <x v="5"/>
    <n v="57"/>
    <n v="174"/>
    <n v="87"/>
  </r>
  <r>
    <s v="India"/>
    <x v="14"/>
    <x v="6"/>
    <s v="Rachnakar Colony, Aurangabad - MPCB"/>
    <x v="0"/>
    <n v="19.863755999999999"/>
    <n v="75.321188000000006"/>
    <x v="1"/>
    <n v="50"/>
    <n v="174"/>
    <n v="87"/>
  </r>
  <r>
    <s v="India"/>
    <x v="14"/>
    <x v="80"/>
    <s v="Shivaji University, Kolhapur - MPCB"/>
    <x v="0"/>
    <n v="16.6870449"/>
    <n v="74.250587199999998"/>
    <x v="4"/>
    <n v="2"/>
    <n v="8"/>
    <n v="4"/>
  </r>
  <r>
    <s v="India"/>
    <x v="14"/>
    <x v="80"/>
    <s v="Sinchan Bhavan, Kolhapur - MPCB"/>
    <x v="0"/>
    <n v="16.714374500000002"/>
    <n v="74.242639800000006"/>
    <x v="4"/>
    <n v="1"/>
    <n v="3"/>
    <n v="1"/>
  </r>
  <r>
    <s v="India"/>
    <x v="14"/>
    <x v="80"/>
    <s v="Sinchan Bhavan, Kolhapur - MPCB"/>
    <x v="0"/>
    <n v="16.714374500000002"/>
    <n v="74.242639800000006"/>
    <x v="6"/>
    <n v="13"/>
    <n v="20"/>
    <n v="18"/>
  </r>
  <r>
    <s v="India"/>
    <x v="14"/>
    <x v="92"/>
    <s v="CBD Belapur, Belapur - MPCB"/>
    <x v="0"/>
    <n v="19.024390199999999"/>
    <n v="73.040672099999995"/>
    <x v="0"/>
    <n v="6"/>
    <n v="165"/>
    <n v="88"/>
  </r>
  <r>
    <s v="India"/>
    <x v="14"/>
    <x v="93"/>
    <s v="Gokul Nagar, Bhiwandi - MPCB"/>
    <x v="0"/>
    <n v="19.309073000000001"/>
    <n v="73.057222999999993"/>
    <x v="5"/>
    <n v="43"/>
    <n v="213"/>
    <n v="98"/>
  </r>
  <r>
    <s v="India"/>
    <x v="14"/>
    <x v="93"/>
    <s v="Gokul Nagar, Bhiwandi - MPCB"/>
    <x v="0"/>
    <n v="19.309073000000001"/>
    <n v="73.057222999999993"/>
    <x v="2"/>
    <n v="26"/>
    <n v="53"/>
    <n v="34"/>
  </r>
  <r>
    <s v="India"/>
    <x v="14"/>
    <x v="93"/>
    <s v="Gokul Nagar, Bhiwandi - MPCB"/>
    <x v="0"/>
    <n v="19.309073000000001"/>
    <n v="73.057222999999993"/>
    <x v="3"/>
    <n v="2"/>
    <n v="6"/>
    <n v="3"/>
  </r>
  <r>
    <s v="India"/>
    <x v="14"/>
    <x v="94"/>
    <s v="Ghatkopar, Mumbai - BMC"/>
    <x v="0"/>
    <n v="19.083694000000001"/>
    <n v="72.920967000000005"/>
    <x v="6"/>
    <n v="2"/>
    <n v="62"/>
    <n v="8"/>
  </r>
  <r>
    <s v="India"/>
    <x v="14"/>
    <x v="94"/>
    <s v="Kandivali East, Mumbai - MPCB"/>
    <x v="0"/>
    <n v="19.2058"/>
    <n v="72.868200000000002"/>
    <x v="1"/>
    <m/>
    <m/>
    <m/>
  </r>
  <r>
    <s v="India"/>
    <x v="14"/>
    <x v="94"/>
    <s v="Kandivali West, Mumbai - BMC"/>
    <x v="0"/>
    <n v="19.215858999999998"/>
    <n v="72.831717999999995"/>
    <x v="2"/>
    <n v="7"/>
    <n v="81"/>
    <n v="27"/>
  </r>
  <r>
    <s v="India"/>
    <x v="14"/>
    <x v="94"/>
    <s v="Kandivali West, Mumbai - BMC"/>
    <x v="0"/>
    <n v="19.215858999999998"/>
    <n v="72.831717999999995"/>
    <x v="6"/>
    <n v="6"/>
    <n v="42"/>
    <n v="13"/>
  </r>
  <r>
    <s v="India"/>
    <x v="14"/>
    <x v="94"/>
    <s v="Kherwadi_Bandra East, Mumbai - MPCB"/>
    <x v="0"/>
    <n v="19.063214299999999"/>
    <n v="72.8456324"/>
    <x v="6"/>
    <n v="1"/>
    <n v="31"/>
    <n v="5"/>
  </r>
  <r>
    <s v="India"/>
    <x v="14"/>
    <x v="94"/>
    <s v="Vasai West, Mumbai - MPCB"/>
    <x v="0"/>
    <n v="19.383199999999999"/>
    <n v="72.820400000000006"/>
    <x v="5"/>
    <n v="17"/>
    <n v="70"/>
    <n v="36"/>
  </r>
  <r>
    <s v="India"/>
    <x v="14"/>
    <x v="94"/>
    <s v="Vasai West, Mumbai - MPCB"/>
    <x v="0"/>
    <n v="19.383199999999999"/>
    <n v="72.820400000000006"/>
    <x v="6"/>
    <n v="48"/>
    <n v="72"/>
    <n v="52"/>
  </r>
  <r>
    <s v="India"/>
    <x v="14"/>
    <x v="94"/>
    <s v="Vile Parle West, Mumbai - MPCB"/>
    <x v="0"/>
    <n v="19.108609999999999"/>
    <n v="72.836219999999997"/>
    <x v="5"/>
    <n v="24"/>
    <n v="72"/>
    <n v="43"/>
  </r>
  <r>
    <s v="India"/>
    <x v="14"/>
    <x v="94"/>
    <s v="Vile Parle West, Mumbai - MPCB"/>
    <x v="0"/>
    <n v="19.108609999999999"/>
    <n v="72.836219999999997"/>
    <x v="1"/>
    <n v="39"/>
    <n v="107"/>
    <n v="66"/>
  </r>
  <r>
    <s v="India"/>
    <x v="14"/>
    <x v="94"/>
    <s v="Vile Parle West, Mumbai - MPCB"/>
    <x v="0"/>
    <n v="19.108609999999999"/>
    <n v="72.836219999999997"/>
    <x v="4"/>
    <n v="36"/>
    <n v="37"/>
    <n v="36"/>
  </r>
  <r>
    <s v="India"/>
    <x v="14"/>
    <x v="94"/>
    <s v="Bandra Kurla Complex, Mumbai - MPCB"/>
    <x v="0"/>
    <n v="19.065930999999999"/>
    <n v="72.862131000000005"/>
    <x v="3"/>
    <n v="6"/>
    <n v="13"/>
    <n v="9"/>
  </r>
  <r>
    <s v="India"/>
    <x v="14"/>
    <x v="94"/>
    <s v="Bandra Kurla Complex, Mumbai - MPCB"/>
    <x v="0"/>
    <n v="19.065930999999999"/>
    <n v="72.862131000000005"/>
    <x v="0"/>
    <n v="4"/>
    <n v="70"/>
    <n v="44"/>
  </r>
  <r>
    <s v="India"/>
    <x v="14"/>
    <x v="94"/>
    <s v="Borivali East, Mumbai - IITM"/>
    <x v="0"/>
    <n v="19.232410000000002"/>
    <n v="72.868949999999998"/>
    <x v="2"/>
    <n v="31"/>
    <n v="128"/>
    <n v="62"/>
  </r>
  <r>
    <s v="India"/>
    <x v="14"/>
    <x v="94"/>
    <s v="Borivali East, Mumbai - IITM"/>
    <x v="0"/>
    <n v="19.232410000000002"/>
    <n v="72.868949999999998"/>
    <x v="3"/>
    <n v="6"/>
    <n v="7"/>
    <n v="6"/>
  </r>
  <r>
    <s v="India"/>
    <x v="14"/>
    <x v="94"/>
    <s v="Powai, Mumbai - MPCB"/>
    <x v="0"/>
    <n v="19.137499999999999"/>
    <n v="72.915056000000007"/>
    <x v="4"/>
    <n v="23"/>
    <n v="27"/>
    <n v="26"/>
  </r>
  <r>
    <s v="India"/>
    <x v="14"/>
    <x v="94"/>
    <s v="Shivaji Nagar, Mumbai - BMC"/>
    <x v="0"/>
    <n v="19.060497999999999"/>
    <n v="72.923355999999998"/>
    <x v="5"/>
    <n v="39"/>
    <n v="89"/>
    <n v="61"/>
  </r>
  <r>
    <s v="India"/>
    <x v="14"/>
    <x v="94"/>
    <s v="Shivaji Nagar, Mumbai - BMC"/>
    <x v="0"/>
    <n v="19.060497999999999"/>
    <n v="72.923355999999998"/>
    <x v="2"/>
    <n v="10"/>
    <n v="37"/>
    <n v="23"/>
  </r>
  <r>
    <s v="India"/>
    <x v="14"/>
    <x v="94"/>
    <s v="Shivaji Nagar, Mumbai - BMC"/>
    <x v="0"/>
    <n v="19.060497999999999"/>
    <n v="72.923355999999998"/>
    <x v="4"/>
    <n v="1"/>
    <n v="7"/>
    <n v="3"/>
  </r>
  <r>
    <s v="India"/>
    <x v="14"/>
    <x v="94"/>
    <s v="Mindspace-Malad West, Mumbai - MPCB"/>
    <x v="0"/>
    <n v="19.1878657"/>
    <n v="72.8304069"/>
    <x v="1"/>
    <n v="42"/>
    <n v="84"/>
    <n v="57"/>
  </r>
  <r>
    <s v="India"/>
    <x v="14"/>
    <x v="94"/>
    <s v="Navy Nagar-Colaba, Mumbai - IITM"/>
    <x v="0"/>
    <n v="18.897756000000001"/>
    <n v="72.813320000000004"/>
    <x v="1"/>
    <n v="50"/>
    <n v="97"/>
    <n v="69"/>
  </r>
  <r>
    <s v="India"/>
    <x v="14"/>
    <x v="94"/>
    <s v="Navy Nagar-Colaba, Mumbai - IITM"/>
    <x v="0"/>
    <n v="18.897756000000001"/>
    <n v="72.813320000000004"/>
    <x v="0"/>
    <n v="14"/>
    <n v="61"/>
    <n v="52"/>
  </r>
  <r>
    <s v="India"/>
    <x v="14"/>
    <x v="94"/>
    <s v="Malad West, Mumbai - IITM"/>
    <x v="0"/>
    <n v="19.197089999999999"/>
    <n v="72.822040000000001"/>
    <x v="4"/>
    <n v="3"/>
    <n v="8"/>
    <n v="5"/>
  </r>
  <r>
    <s v="India"/>
    <x v="14"/>
    <x v="94"/>
    <s v="Mazgaon, Mumbai - IITM"/>
    <x v="0"/>
    <n v="18.967020000000002"/>
    <n v="72.842140000000001"/>
    <x v="5"/>
    <n v="39"/>
    <n v="81"/>
    <n v="56"/>
  </r>
  <r>
    <s v="India"/>
    <x v="14"/>
    <x v="94"/>
    <s v="Mazgaon, Mumbai - IITM"/>
    <x v="0"/>
    <n v="18.967020000000002"/>
    <n v="72.842140000000001"/>
    <x v="3"/>
    <n v="7"/>
    <n v="11"/>
    <n v="8"/>
  </r>
  <r>
    <s v="India"/>
    <x v="14"/>
    <x v="94"/>
    <s v="Chakala-Andheri East, Mumbai - IITM"/>
    <x v="0"/>
    <n v="19.11074"/>
    <n v="72.860839999999996"/>
    <x v="6"/>
    <n v="34"/>
    <n v="101"/>
    <n v="43"/>
  </r>
  <r>
    <s v="India"/>
    <x v="14"/>
    <x v="94"/>
    <s v="Chhatrapati Shivaji Intl. Airport (T2), Mumbai - MPCB"/>
    <x v="0"/>
    <n v="19.10078"/>
    <n v="72.874619999999993"/>
    <x v="3"/>
    <n v="1"/>
    <n v="2"/>
    <n v="2"/>
  </r>
  <r>
    <s v="India"/>
    <x v="14"/>
    <x v="94"/>
    <s v="Khindipada-Bhandup West, Mumbai - IITM"/>
    <x v="0"/>
    <n v="19.165332299999999"/>
    <n v="72.922099000000003"/>
    <x v="3"/>
    <n v="1"/>
    <n v="3"/>
    <n v="2"/>
  </r>
  <r>
    <s v="India"/>
    <x v="14"/>
    <x v="94"/>
    <s v="Colaba, Mumbai - MPCB"/>
    <x v="0"/>
    <n v="18.91"/>
    <n v="72.819999999999993"/>
    <x v="4"/>
    <m/>
    <m/>
    <m/>
  </r>
  <r>
    <s v="India"/>
    <x v="14"/>
    <x v="95"/>
    <s v="Bhosari, Pune - IITM"/>
    <x v="0"/>
    <n v="18.640051"/>
    <n v="73.848956000000001"/>
    <x v="2"/>
    <n v="15"/>
    <n v="104"/>
    <n v="59"/>
  </r>
  <r>
    <s v="India"/>
    <x v="14"/>
    <x v="95"/>
    <s v="Bhumkar Nagar, Pune - IITM"/>
    <x v="0"/>
    <n v="18.60577"/>
    <n v="73.749976000000004"/>
    <x v="2"/>
    <n v="22"/>
    <n v="61"/>
    <n v="38"/>
  </r>
  <r>
    <s v="India"/>
    <x v="14"/>
    <x v="95"/>
    <s v="Bhumkar Nagar, Pune - IITM"/>
    <x v="0"/>
    <n v="18.60577"/>
    <n v="73.749976000000004"/>
    <x v="0"/>
    <n v="1"/>
    <n v="184"/>
    <n v="116"/>
  </r>
  <r>
    <s v="India"/>
    <x v="14"/>
    <x v="95"/>
    <s v="Hadapsar, Pune - IITM"/>
    <x v="0"/>
    <n v="18.501792999999999"/>
    <n v="73.927531999999999"/>
    <x v="1"/>
    <n v="33"/>
    <n v="149"/>
    <n v="107"/>
  </r>
  <r>
    <s v="India"/>
    <x v="14"/>
    <x v="95"/>
    <s v="Katraj Dairy, Pune - MPCB"/>
    <x v="0"/>
    <n v="18.454450000000001"/>
    <n v="73.854155000000006"/>
    <x v="5"/>
    <n v="36"/>
    <n v="108"/>
    <n v="93"/>
  </r>
  <r>
    <s v="India"/>
    <x v="14"/>
    <x v="95"/>
    <s v="Katraj Dairy, Pune - MPCB"/>
    <x v="0"/>
    <n v="18.454450000000001"/>
    <n v="73.854155000000006"/>
    <x v="2"/>
    <n v="26"/>
    <n v="52"/>
    <n v="42"/>
  </r>
  <r>
    <s v="India"/>
    <x v="14"/>
    <x v="96"/>
    <s v="Mahape, Navi Mumbai - MPCB"/>
    <x v="0"/>
    <n v="19.113505100000001"/>
    <n v="73.008977999999999"/>
    <x v="1"/>
    <m/>
    <m/>
    <m/>
  </r>
  <r>
    <s v="India"/>
    <x v="14"/>
    <x v="96"/>
    <s v="Sanpada, Navi Mumbai - MPCB"/>
    <x v="0"/>
    <n v="19.057575199999999"/>
    <n v="73.015136699999999"/>
    <x v="0"/>
    <n v="1"/>
    <n v="69"/>
    <n v="40"/>
  </r>
  <r>
    <s v="India"/>
    <x v="14"/>
    <x v="96"/>
    <s v="Sector-2E Kalamboli, Navi Mumbai - MPCB"/>
    <x v="0"/>
    <n v="19.025790000000001"/>
    <n v="73.102969999999999"/>
    <x v="1"/>
    <n v="59"/>
    <n v="207"/>
    <n v="94"/>
  </r>
  <r>
    <s v="India"/>
    <x v="14"/>
    <x v="96"/>
    <s v="Sector-2E Kalamboli, Navi Mumbai - MPCB"/>
    <x v="0"/>
    <n v="19.025790000000001"/>
    <n v="73.102969999999999"/>
    <x v="6"/>
    <n v="4"/>
    <n v="40"/>
    <n v="7"/>
  </r>
  <r>
    <s v="India"/>
    <x v="14"/>
    <x v="96"/>
    <s v="Tondare-Taloja, Navi Mumbai - MPCB"/>
    <x v="0"/>
    <n v="19.062999999999999"/>
    <n v="73.120900000000006"/>
    <x v="6"/>
    <n v="5"/>
    <n v="14"/>
    <n v="8"/>
  </r>
  <r>
    <s v="India"/>
    <x v="14"/>
    <x v="97"/>
    <s v="Ambazari, Nagpur - MPCB"/>
    <x v="0"/>
    <n v="21.121801000000001"/>
    <n v="79.049520000000001"/>
    <x v="0"/>
    <n v="3"/>
    <n v="141"/>
    <n v="63"/>
  </r>
  <r>
    <s v="India"/>
    <x v="14"/>
    <x v="97"/>
    <s v="Ram Nagar, Nagpur - MPCB"/>
    <x v="0"/>
    <n v="21.143383"/>
    <n v="79.048912000000001"/>
    <x v="6"/>
    <n v="10"/>
    <n v="72"/>
    <n v="32"/>
  </r>
  <r>
    <s v="India"/>
    <x v="14"/>
    <x v="98"/>
    <s v="Sneh Nagar, Nanded - MPCB"/>
    <x v="0"/>
    <n v="19.173852"/>
    <n v="77.296290999999997"/>
    <x v="2"/>
    <n v="12"/>
    <n v="91"/>
    <n v="33"/>
  </r>
  <r>
    <s v="India"/>
    <x v="14"/>
    <x v="99"/>
    <s v="Gangapur Road, Nashik - MPCB"/>
    <x v="0"/>
    <n v="20.0073285"/>
    <n v="73.776242699999997"/>
    <x v="3"/>
    <n v="4"/>
    <n v="5"/>
    <n v="5"/>
  </r>
  <r>
    <s v="India"/>
    <x v="14"/>
    <x v="99"/>
    <s v="Gangapur Road, Nashik - MPCB"/>
    <x v="0"/>
    <n v="20.0073285"/>
    <n v="73.776242699999997"/>
    <x v="4"/>
    <n v="4"/>
    <n v="12"/>
    <n v="7"/>
  </r>
  <r>
    <s v="India"/>
    <x v="14"/>
    <x v="100"/>
    <s v="Thergaon, Pimpri Chinchwad - MPCB"/>
    <x v="0"/>
    <n v="18.616318"/>
    <n v="73.765797000000006"/>
    <x v="4"/>
    <n v="4"/>
    <n v="18"/>
    <n v="8"/>
  </r>
  <r>
    <s v="India"/>
    <x v="14"/>
    <x v="100"/>
    <s v="Thergaon, Pimpri Chinchwad - MPCB"/>
    <x v="0"/>
    <n v="18.616318"/>
    <n v="73.765797000000006"/>
    <x v="6"/>
    <n v="16"/>
    <n v="108"/>
    <n v="35"/>
  </r>
  <r>
    <s v="India"/>
    <x v="14"/>
    <x v="95"/>
    <s v="Bhosari, Pune - IITM"/>
    <x v="0"/>
    <n v="18.640051"/>
    <n v="73.848956000000001"/>
    <x v="1"/>
    <n v="65"/>
    <n v="176"/>
    <n v="120"/>
  </r>
  <r>
    <s v="India"/>
    <x v="14"/>
    <x v="95"/>
    <s v="Panchawati_Pashan, Pune - IITM"/>
    <x v="0"/>
    <n v="18.536456999999999"/>
    <n v="73.805453999999997"/>
    <x v="5"/>
    <n v="25"/>
    <n v="75"/>
    <n v="50"/>
  </r>
  <r>
    <s v="India"/>
    <x v="14"/>
    <x v="95"/>
    <s v="Panchawati_Pashan, Pune - IITM"/>
    <x v="0"/>
    <n v="18.536456999999999"/>
    <n v="73.805453999999997"/>
    <x v="1"/>
    <n v="45"/>
    <n v="101"/>
    <n v="72"/>
  </r>
  <r>
    <s v="India"/>
    <x v="14"/>
    <x v="95"/>
    <s v="Revenue Colony-Shivajinagar, Pune - IITM"/>
    <x v="0"/>
    <n v="18.530085"/>
    <n v="73.849598"/>
    <x v="1"/>
    <n v="104"/>
    <n v="161"/>
    <n v="132"/>
  </r>
  <r>
    <s v="India"/>
    <x v="14"/>
    <x v="100"/>
    <s v="Gavalinagar, Pimpri Chinchwad - MPCB"/>
    <x v="0"/>
    <n v="18.63673"/>
    <n v="73.824870000000004"/>
    <x v="3"/>
    <m/>
    <m/>
    <m/>
  </r>
  <r>
    <s v="India"/>
    <x v="14"/>
    <x v="100"/>
    <s v="Gavalinagar, Pimpri Chinchwad - MPCB"/>
    <x v="0"/>
    <n v="18.63673"/>
    <n v="73.824870000000004"/>
    <x v="6"/>
    <n v="12"/>
    <n v="100"/>
    <n v="20"/>
  </r>
  <r>
    <s v="India"/>
    <x v="14"/>
    <x v="100"/>
    <s v="Park Street Wakad, Pimpri Chinchwad - MPCB"/>
    <x v="0"/>
    <n v="18.590509999999998"/>
    <n v="73.77946"/>
    <x v="3"/>
    <n v="16"/>
    <n v="56"/>
    <n v="28"/>
  </r>
  <r>
    <s v="India"/>
    <x v="14"/>
    <x v="99"/>
    <s v="Hirawadi, Nashik - MPCB"/>
    <x v="0"/>
    <n v="20.021502999999999"/>
    <n v="73.813844000000003"/>
    <x v="3"/>
    <n v="2"/>
    <n v="10"/>
    <n v="5"/>
  </r>
  <r>
    <s v="India"/>
    <x v="14"/>
    <x v="99"/>
    <s v="Hirawadi, Nashik - MPCB"/>
    <x v="0"/>
    <n v="20.021502999999999"/>
    <n v="73.813844000000003"/>
    <x v="6"/>
    <n v="8"/>
    <n v="36"/>
    <n v="16"/>
  </r>
  <r>
    <s v="India"/>
    <x v="14"/>
    <x v="99"/>
    <s v="MIDC Ambad, Nashik - MPCB"/>
    <x v="0"/>
    <n v="19.950220000000002"/>
    <n v="73.731480000000005"/>
    <x v="3"/>
    <n v="4"/>
    <n v="6"/>
    <n v="5"/>
  </r>
  <r>
    <s v="India"/>
    <x v="14"/>
    <x v="99"/>
    <s v="Pandav Nagari, Nashik - MPCB"/>
    <x v="0"/>
    <n v="19.959134599999999"/>
    <n v="73.778800799999999"/>
    <x v="5"/>
    <n v="38"/>
    <n v="76"/>
    <n v="55"/>
  </r>
  <r>
    <s v="India"/>
    <x v="14"/>
    <x v="99"/>
    <s v="Pandav Nagari, Nashik - MPCB"/>
    <x v="0"/>
    <n v="19.959134599999999"/>
    <n v="73.778800799999999"/>
    <x v="6"/>
    <n v="8"/>
    <n v="26"/>
    <n v="16"/>
  </r>
  <r>
    <s v="India"/>
    <x v="14"/>
    <x v="101"/>
    <s v="Masoom Colony, Parbhani - MPCB"/>
    <x v="0"/>
    <n v="19.265594"/>
    <n v="76.761463000000006"/>
    <x v="6"/>
    <n v="10"/>
    <n v="40"/>
    <n v="33"/>
  </r>
  <r>
    <s v="India"/>
    <x v="14"/>
    <x v="101"/>
    <s v="Masoom Colony, Parbhani - MPCB"/>
    <x v="0"/>
    <n v="19.265594"/>
    <n v="76.761463000000006"/>
    <x v="0"/>
    <n v="31"/>
    <n v="99"/>
    <n v="73"/>
  </r>
  <r>
    <s v="India"/>
    <x v="15"/>
    <x v="102"/>
    <s v="CDA Area, Cuttack - OSPCB"/>
    <x v="0"/>
    <n v="20.488910000000001"/>
    <n v="85.847679999999997"/>
    <x v="6"/>
    <n v="94"/>
    <n v="100"/>
    <n v="97"/>
  </r>
  <r>
    <s v="India"/>
    <x v="15"/>
    <x v="103"/>
    <s v="Jagamohanpur, Keonjhar - OSPCB"/>
    <x v="0"/>
    <n v="21.643899999999999"/>
    <n v="85.599355000000003"/>
    <x v="5"/>
    <n v="34"/>
    <n v="66"/>
    <n v="50"/>
  </r>
  <r>
    <s v="India"/>
    <x v="15"/>
    <x v="103"/>
    <s v="Jagamohanpur, Keonjhar - OSPCB"/>
    <x v="0"/>
    <n v="21.643899999999999"/>
    <n v="85.599355000000003"/>
    <x v="2"/>
    <n v="1"/>
    <n v="14"/>
    <n v="8"/>
  </r>
  <r>
    <s v="India"/>
    <x v="15"/>
    <x v="103"/>
    <s v="Jagamohanpur, Keonjhar - OSPCB"/>
    <x v="0"/>
    <n v="21.643899999999999"/>
    <n v="85.599355000000003"/>
    <x v="4"/>
    <n v="7"/>
    <n v="28"/>
    <n v="10"/>
  </r>
  <r>
    <s v="India"/>
    <x v="15"/>
    <x v="103"/>
    <s v="Jagamohanpur, Keonjhar - OSPCB"/>
    <x v="0"/>
    <n v="21.643899999999999"/>
    <n v="85.599355000000003"/>
    <x v="6"/>
    <n v="15"/>
    <n v="55"/>
    <n v="51"/>
  </r>
  <r>
    <s v="India"/>
    <x v="15"/>
    <x v="103"/>
    <s v="Jagamohanpur, Keonjhar - OSPCB"/>
    <x v="0"/>
    <n v="21.643899999999999"/>
    <n v="85.599355000000003"/>
    <x v="0"/>
    <n v="4"/>
    <n v="37"/>
    <n v="31"/>
  </r>
  <r>
    <s v="India"/>
    <x v="15"/>
    <x v="104"/>
    <s v="Dabuna, Nayagarh - OSPCB"/>
    <x v="0"/>
    <n v="21.847279"/>
    <n v="85.416905"/>
    <x v="2"/>
    <m/>
    <m/>
    <m/>
  </r>
  <r>
    <s v="India"/>
    <x v="15"/>
    <x v="105"/>
    <s v="Divisional Forest Office, Rairangpur - OSPCB"/>
    <x v="0"/>
    <n v="22.265816000000001"/>
    <n v="86.174829000000003"/>
    <x v="4"/>
    <m/>
    <m/>
    <m/>
  </r>
  <r>
    <s v="India"/>
    <x v="15"/>
    <x v="106"/>
    <s v="Fertilizer Township, Rourkela - OSPCB"/>
    <x v="0"/>
    <n v="22.18972222"/>
    <n v="84.862777780000002"/>
    <x v="4"/>
    <m/>
    <m/>
    <m/>
  </r>
  <r>
    <s v="India"/>
    <x v="15"/>
    <x v="106"/>
    <s v="Fertilizer Township, Rourkela - OSPCB"/>
    <x v="0"/>
    <n v="22.18972222"/>
    <n v="84.862777780000002"/>
    <x v="6"/>
    <n v="9"/>
    <n v="34"/>
    <n v="19"/>
  </r>
  <r>
    <s v="India"/>
    <x v="15"/>
    <x v="107"/>
    <s v="Kalidaspur, Balasore - OSPCB"/>
    <x v="0"/>
    <n v="21.511610000000001"/>
    <n v="86.890879999999996"/>
    <x v="5"/>
    <n v="20"/>
    <n v="97"/>
    <n v="64"/>
  </r>
  <r>
    <s v="India"/>
    <x v="15"/>
    <x v="107"/>
    <s v="Kalidaspur, Balasore - OSPCB"/>
    <x v="0"/>
    <n v="21.511610000000001"/>
    <n v="86.890879999999996"/>
    <x v="4"/>
    <n v="7"/>
    <n v="23"/>
    <n v="12"/>
  </r>
  <r>
    <s v="India"/>
    <x v="15"/>
    <x v="108"/>
    <s v="Forest Office, Barbil - OSPCB"/>
    <x v="0"/>
    <n v="22.116605400000001"/>
    <n v="85.394554600000006"/>
    <x v="5"/>
    <n v="67"/>
    <n v="283"/>
    <n v="169"/>
  </r>
  <r>
    <s v="India"/>
    <x v="15"/>
    <x v="109"/>
    <s v="Meher Colony, Baripada - OSPCB"/>
    <x v="0"/>
    <n v="21.941841"/>
    <n v="86.728318000000002"/>
    <x v="2"/>
    <n v="1"/>
    <n v="29"/>
    <n v="11"/>
  </r>
  <r>
    <s v="India"/>
    <x v="15"/>
    <x v="109"/>
    <s v="Meher Colony, Baripada - OSPCB"/>
    <x v="0"/>
    <n v="21.941841"/>
    <n v="86.728318000000002"/>
    <x v="6"/>
    <n v="104"/>
    <n v="132"/>
    <n v="118"/>
  </r>
  <r>
    <s v="India"/>
    <x v="15"/>
    <x v="110"/>
    <s v="Lingraj Mandir, Bhubaneswar - OSPCB"/>
    <x v="0"/>
    <n v="20.240790000000001"/>
    <n v="85.836783999999994"/>
    <x v="5"/>
    <n v="25"/>
    <n v="92"/>
    <n v="53"/>
  </r>
  <r>
    <s v="India"/>
    <x v="15"/>
    <x v="110"/>
    <s v="Lingraj Mandir, Bhubaneswar - OSPCB"/>
    <x v="0"/>
    <n v="20.240790000000001"/>
    <n v="85.836783999999994"/>
    <x v="3"/>
    <n v="4"/>
    <n v="7"/>
    <n v="5"/>
  </r>
  <r>
    <s v="India"/>
    <x v="15"/>
    <x v="110"/>
    <s v="Lingraj Mandir, Bhubaneswar - OSPCB"/>
    <x v="0"/>
    <n v="20.240790000000001"/>
    <n v="85.836783999999994"/>
    <x v="6"/>
    <n v="41"/>
    <n v="71"/>
    <n v="55"/>
  </r>
  <r>
    <s v="India"/>
    <x v="15"/>
    <x v="110"/>
    <s v="Lingraj Mandir, Bhubaneswar - OSPCB"/>
    <x v="0"/>
    <n v="20.240790000000001"/>
    <n v="85.836783999999994"/>
    <x v="0"/>
    <n v="11"/>
    <n v="67"/>
    <n v="37"/>
  </r>
  <r>
    <s v="India"/>
    <x v="15"/>
    <x v="110"/>
    <s v="Patia, Bhubaneswar - OSPCB"/>
    <x v="0"/>
    <n v="20.346520000000002"/>
    <n v="85.816299999999998"/>
    <x v="2"/>
    <n v="9"/>
    <n v="37"/>
    <n v="20"/>
  </r>
  <r>
    <s v="India"/>
    <x v="15"/>
    <x v="110"/>
    <s v="Patia, Bhubaneswar - OSPCB"/>
    <x v="0"/>
    <n v="20.346520000000002"/>
    <n v="85.816299999999998"/>
    <x v="6"/>
    <n v="24"/>
    <n v="68"/>
    <n v="35"/>
  </r>
  <r>
    <s v="India"/>
    <x v="15"/>
    <x v="111"/>
    <s v="Tata Township, Bileipada - OSPCB"/>
    <x v="0"/>
    <n v="22.061567029999999"/>
    <n v="85.474096130000007"/>
    <x v="6"/>
    <n v="22"/>
    <n v="38"/>
    <n v="26"/>
  </r>
  <r>
    <s v="India"/>
    <x v="15"/>
    <x v="112"/>
    <s v="GM Office, Brajrajnagar - OSPCB"/>
    <x v="0"/>
    <n v="21.800499599999998"/>
    <n v="83.839697700000002"/>
    <x v="2"/>
    <n v="19"/>
    <n v="20"/>
    <n v="19"/>
  </r>
  <r>
    <s v="India"/>
    <x v="15"/>
    <x v="112"/>
    <s v="GM Office, Brajrajnagar - OSPCB"/>
    <x v="0"/>
    <n v="21.800499599999998"/>
    <n v="83.839697700000002"/>
    <x v="3"/>
    <n v="6"/>
    <n v="7"/>
    <n v="6"/>
  </r>
  <r>
    <s v="India"/>
    <x v="15"/>
    <x v="112"/>
    <s v="GM Office, Brajrajnagar - OSPCB"/>
    <x v="0"/>
    <n v="21.800499599999998"/>
    <n v="83.839697700000002"/>
    <x v="4"/>
    <n v="9"/>
    <n v="9"/>
    <n v="9"/>
  </r>
  <r>
    <s v="India"/>
    <x v="15"/>
    <x v="113"/>
    <s v="Ferro Chrome Colony, Byasanagar - OSPCB"/>
    <x v="0"/>
    <n v="20.941849999999999"/>
    <n v="86.115099999999998"/>
    <x v="3"/>
    <n v="1"/>
    <n v="2"/>
    <n v="1"/>
  </r>
  <r>
    <s v="India"/>
    <x v="15"/>
    <x v="113"/>
    <s v="Ferro Chrome Colony, Byasanagar - OSPCB"/>
    <x v="0"/>
    <n v="20.941849999999999"/>
    <n v="86.115099999999998"/>
    <x v="4"/>
    <n v="2"/>
    <n v="34"/>
    <n v="9"/>
  </r>
  <r>
    <s v="India"/>
    <x v="15"/>
    <x v="113"/>
    <s v="Ferro Chrome Colony, Byasanagar - OSPCB"/>
    <x v="0"/>
    <n v="20.941849999999999"/>
    <n v="86.115099999999998"/>
    <x v="6"/>
    <n v="8"/>
    <n v="30"/>
    <n v="22"/>
  </r>
  <r>
    <s v="India"/>
    <x v="14"/>
    <x v="114"/>
    <s v="Sidhi Vinayak Nagar, Ulhasnagar - MPCB"/>
    <x v="0"/>
    <n v="19.235581"/>
    <n v="73.159120999999999"/>
    <x v="4"/>
    <n v="4"/>
    <n v="34"/>
    <n v="16"/>
  </r>
  <r>
    <s v="India"/>
    <x v="16"/>
    <x v="115"/>
    <s v="DM College of Science, Imphal - Manipur PCB"/>
    <x v="0"/>
    <n v="24.820738899999998"/>
    <n v="93.942308499999996"/>
    <x v="1"/>
    <m/>
    <m/>
    <m/>
  </r>
  <r>
    <s v="India"/>
    <x v="16"/>
    <x v="115"/>
    <s v="DM College of Science, Imphal - Manipur PCB"/>
    <x v="0"/>
    <n v="24.820738899999998"/>
    <n v="93.942308499999996"/>
    <x v="2"/>
    <m/>
    <m/>
    <m/>
  </r>
  <r>
    <s v="India"/>
    <x v="16"/>
    <x v="115"/>
    <s v="DM College of Science, Imphal - Manipur PCB"/>
    <x v="0"/>
    <n v="24.820738899999998"/>
    <n v="93.942308499999996"/>
    <x v="3"/>
    <m/>
    <m/>
    <m/>
  </r>
  <r>
    <s v="India"/>
    <x v="14"/>
    <x v="116"/>
    <s v="Solapur, Solapur - MPCB"/>
    <x v="0"/>
    <n v="17.6599188"/>
    <n v="75.906390599999995"/>
    <x v="1"/>
    <n v="127"/>
    <n v="127"/>
    <n v="127"/>
  </r>
  <r>
    <s v="India"/>
    <x v="14"/>
    <x v="116"/>
    <s v="Solapur, Solapur - MPCB"/>
    <x v="0"/>
    <n v="17.6599188"/>
    <n v="75.906390599999995"/>
    <x v="2"/>
    <n v="55"/>
    <n v="55"/>
    <n v="55"/>
  </r>
  <r>
    <s v="India"/>
    <x v="14"/>
    <x v="117"/>
    <s v="Upvan Fort, Thane - MPCB"/>
    <x v="0"/>
    <n v="19.222279"/>
    <n v="72.957978999999995"/>
    <x v="2"/>
    <n v="11"/>
    <n v="92"/>
    <n v="42"/>
  </r>
  <r>
    <s v="India"/>
    <x v="14"/>
    <x v="95"/>
    <s v="Revenue Colony-Shivajinagar, Pune - IITM"/>
    <x v="0"/>
    <n v="18.530085"/>
    <n v="73.849598"/>
    <x v="0"/>
    <n v="1"/>
    <n v="99"/>
    <n v="54"/>
  </r>
  <r>
    <s v="India"/>
    <x v="14"/>
    <x v="95"/>
    <s v="Savitribai Phule Pune University, Pune - MPCB"/>
    <x v="0"/>
    <n v="18.547056000000001"/>
    <n v="73.826908000000003"/>
    <x v="3"/>
    <n v="1"/>
    <n v="4"/>
    <n v="2"/>
  </r>
  <r>
    <s v="India"/>
    <x v="14"/>
    <x v="116"/>
    <s v="Dnyaneshwar Nagar, Solapur - MPCB"/>
    <x v="0"/>
    <n v="17.633626400000001"/>
    <n v="75.913249500000006"/>
    <x v="2"/>
    <n v="7"/>
    <n v="99"/>
    <n v="24"/>
  </r>
  <r>
    <s v="India"/>
    <x v="14"/>
    <x v="116"/>
    <s v="Dnyaneshwar Nagar, Solapur - MPCB"/>
    <x v="0"/>
    <n v="17.633626400000001"/>
    <n v="75.913249500000006"/>
    <x v="0"/>
    <n v="27"/>
    <n v="94"/>
    <n v="68"/>
  </r>
  <r>
    <s v="India"/>
    <x v="17"/>
    <x v="118"/>
    <s v="Sikulpuikawn, Aizawl - Mizoram PCB"/>
    <x v="0"/>
    <n v="23.717634199999999"/>
    <n v="92.719284099999996"/>
    <x v="6"/>
    <n v="3"/>
    <n v="3"/>
    <n v="3"/>
  </r>
  <r>
    <s v="India"/>
    <x v="18"/>
    <x v="119"/>
    <s v="Punjab Agricultural University, Ludhiana - PPCB"/>
    <x v="0"/>
    <n v="30.902799999999999"/>
    <n v="75.808599999999998"/>
    <x v="0"/>
    <n v="4"/>
    <n v="26"/>
    <n v="14"/>
  </r>
  <r>
    <s v="India"/>
    <x v="18"/>
    <x v="120"/>
    <s v="RIMT University, Mandi Gobindgarh - PPCB"/>
    <x v="0"/>
    <n v="30.649961000000001"/>
    <n v="76.331441999999996"/>
    <x v="3"/>
    <n v="6"/>
    <n v="8"/>
    <n v="7"/>
  </r>
  <r>
    <s v="India"/>
    <x v="18"/>
    <x v="120"/>
    <s v="RIMT University, Mandi Gobindgarh - PPCB"/>
    <x v="0"/>
    <n v="30.649961000000001"/>
    <n v="76.331441999999996"/>
    <x v="4"/>
    <n v="17"/>
    <n v="33"/>
    <n v="23"/>
  </r>
  <r>
    <s v="India"/>
    <x v="18"/>
    <x v="120"/>
    <s v="RIMT University, Mandi Gobindgarh - PPCB"/>
    <x v="0"/>
    <n v="30.649961000000001"/>
    <n v="76.331441999999996"/>
    <x v="0"/>
    <n v="46"/>
    <n v="53"/>
    <n v="49"/>
  </r>
  <r>
    <s v="India"/>
    <x v="18"/>
    <x v="121"/>
    <s v="Model Town, Patiala - PPCB"/>
    <x v="0"/>
    <n v="30.349388000000001"/>
    <n v="76.366641999999999"/>
    <x v="2"/>
    <n v="21"/>
    <n v="86"/>
    <n v="34"/>
  </r>
  <r>
    <s v="India"/>
    <x v="18"/>
    <x v="121"/>
    <s v="Model Town, Patiala - PPCB"/>
    <x v="0"/>
    <n v="30.349388000000001"/>
    <n v="76.366641999999999"/>
    <x v="4"/>
    <n v="10"/>
    <n v="39"/>
    <n v="17"/>
  </r>
  <r>
    <s v="India"/>
    <x v="18"/>
    <x v="121"/>
    <s v="Model Town, Patiala - PPCB"/>
    <x v="0"/>
    <n v="30.349388000000001"/>
    <n v="76.366641999999999"/>
    <x v="0"/>
    <n v="45"/>
    <n v="58"/>
    <n v="48"/>
  </r>
  <r>
    <s v="India"/>
    <x v="18"/>
    <x v="122"/>
    <s v="Ratanpura, Rupnagar - Ambuja Cements"/>
    <x v="0"/>
    <n v="31.0325454"/>
    <n v="76.562304600000004"/>
    <x v="5"/>
    <n v="34"/>
    <n v="157"/>
    <n v="91"/>
  </r>
  <r>
    <s v="India"/>
    <x v="19"/>
    <x v="123"/>
    <s v="Civil Lines,  Ajmer - RSPCB"/>
    <x v="0"/>
    <n v="26.470859000000001"/>
    <n v="74.646593999999993"/>
    <x v="5"/>
    <n v="32"/>
    <n v="183"/>
    <n v="98"/>
  </r>
  <r>
    <s v="India"/>
    <x v="19"/>
    <x v="123"/>
    <s v="Civil Lines,  Ajmer - RSPCB"/>
    <x v="0"/>
    <n v="26.470859000000001"/>
    <n v="74.646593999999993"/>
    <x v="1"/>
    <n v="78"/>
    <n v="133"/>
    <n v="102"/>
  </r>
  <r>
    <s v="India"/>
    <x v="19"/>
    <x v="123"/>
    <s v="Civil Lines,  Ajmer - RSPCB"/>
    <x v="0"/>
    <n v="26.470859000000001"/>
    <n v="74.646593999999993"/>
    <x v="6"/>
    <n v="14"/>
    <n v="109"/>
    <n v="51"/>
  </r>
  <r>
    <s v="India"/>
    <x v="19"/>
    <x v="123"/>
    <s v="Civil Lines,  Ajmer - RSPCB"/>
    <x v="0"/>
    <n v="26.470859000000001"/>
    <n v="74.646593999999993"/>
    <x v="0"/>
    <n v="26"/>
    <n v="64"/>
    <n v="44"/>
  </r>
  <r>
    <s v="India"/>
    <x v="19"/>
    <x v="124"/>
    <s v="Moti Doongri, Alwar - RSPCB"/>
    <x v="0"/>
    <n v="27.554793"/>
    <n v="76.611536000000001"/>
    <x v="5"/>
    <n v="32"/>
    <n v="76"/>
    <n v="52"/>
  </r>
  <r>
    <s v="India"/>
    <x v="15"/>
    <x v="106"/>
    <s v="Raghunathpali, Rourkela - OSPCB"/>
    <x v="0"/>
    <n v="22.220832999999999"/>
    <n v="84.809443999999999"/>
    <x v="2"/>
    <n v="6"/>
    <n v="11"/>
    <n v="8"/>
  </r>
  <r>
    <s v="India"/>
    <x v="15"/>
    <x v="125"/>
    <s v="OMC Colony, Suakati - OSPCB"/>
    <x v="0"/>
    <n v="21.606864999999999"/>
    <n v="85.510537999999997"/>
    <x v="2"/>
    <n v="15"/>
    <n v="22"/>
    <n v="19"/>
  </r>
  <r>
    <s v="India"/>
    <x v="15"/>
    <x v="125"/>
    <s v="OMC Colony, Suakati - OSPCB"/>
    <x v="0"/>
    <n v="21.606864999999999"/>
    <n v="85.510537999999997"/>
    <x v="6"/>
    <n v="20"/>
    <n v="38"/>
    <n v="27"/>
  </r>
  <r>
    <s v="India"/>
    <x v="15"/>
    <x v="125"/>
    <s v="OMC Colony, Suakati - OSPCB"/>
    <x v="0"/>
    <n v="21.606864999999999"/>
    <n v="85.510537999999997"/>
    <x v="0"/>
    <n v="17"/>
    <n v="55"/>
    <n v="39"/>
  </r>
  <r>
    <s v="India"/>
    <x v="15"/>
    <x v="126"/>
    <s v="Talcher Coalfields,Talcher - OSPCB"/>
    <x v="0"/>
    <n v="20.936071099999999"/>
    <n v="85.1707021"/>
    <x v="1"/>
    <n v="13"/>
    <n v="196"/>
    <n v="96"/>
  </r>
  <r>
    <s v="India"/>
    <x v="15"/>
    <x v="126"/>
    <s v="Talcher Coalfields,Talcher - OSPCB"/>
    <x v="0"/>
    <n v="20.936071099999999"/>
    <n v="85.1707021"/>
    <x v="6"/>
    <n v="44"/>
    <n v="108"/>
    <n v="53"/>
  </r>
  <r>
    <s v="India"/>
    <x v="20"/>
    <x v="127"/>
    <s v="Jawahar Nagar, Puducherry - PPCC"/>
    <x v="0"/>
    <n v="11.930899999999999"/>
    <n v="79.802700000000002"/>
    <x v="0"/>
    <n v="3"/>
    <n v="56"/>
    <n v="31"/>
  </r>
  <r>
    <s v="India"/>
    <x v="18"/>
    <x v="128"/>
    <s v="Golden Temple, Amritsar - PPCB"/>
    <x v="0"/>
    <n v="31.62"/>
    <n v="74.876512000000005"/>
    <x v="6"/>
    <n v="20"/>
    <n v="180"/>
    <n v="56"/>
  </r>
  <r>
    <s v="India"/>
    <x v="18"/>
    <x v="129"/>
    <s v="Kalal Majra, Khanna - PPCB"/>
    <x v="0"/>
    <n v="30.736056000000001"/>
    <n v="76.209693999999999"/>
    <x v="1"/>
    <n v="51"/>
    <n v="111"/>
    <n v="86"/>
  </r>
  <r>
    <s v="India"/>
    <x v="19"/>
    <x v="130"/>
    <s v="Vasundhara Nagar_UIT, Bhiwadi - RSPCB"/>
    <x v="0"/>
    <n v="28.207266000000001"/>
    <n v="76.829265000000007"/>
    <x v="2"/>
    <n v="17"/>
    <n v="111"/>
    <n v="49"/>
  </r>
  <r>
    <s v="India"/>
    <x v="19"/>
    <x v="130"/>
    <s v="Vasundhara Nagar_UIT, Bhiwadi - RSPCB"/>
    <x v="0"/>
    <n v="28.207266000000001"/>
    <n v="76.829265000000007"/>
    <x v="3"/>
    <n v="11"/>
    <n v="15"/>
    <n v="13"/>
  </r>
  <r>
    <s v="India"/>
    <x v="19"/>
    <x v="131"/>
    <s v="MM Ground, Bikaner - RSPCB"/>
    <x v="0"/>
    <n v="28.018792000000001"/>
    <n v="73.292658000000003"/>
    <x v="2"/>
    <n v="7"/>
    <n v="124"/>
    <n v="41"/>
  </r>
  <r>
    <s v="India"/>
    <x v="19"/>
    <x v="131"/>
    <s v="MM Ground, Bikaner - RSPCB"/>
    <x v="0"/>
    <n v="28.018792000000001"/>
    <n v="73.292658000000003"/>
    <x v="3"/>
    <n v="5"/>
    <n v="12"/>
    <n v="9"/>
  </r>
  <r>
    <s v="India"/>
    <x v="19"/>
    <x v="132"/>
    <s v="Krishna Nagar, Bharatpur - RSPCB"/>
    <x v="0"/>
    <n v="27.215415"/>
    <n v="77.50873"/>
    <x v="3"/>
    <n v="3"/>
    <n v="16"/>
    <n v="6"/>
  </r>
  <r>
    <s v="India"/>
    <x v="19"/>
    <x v="132"/>
    <s v="Krishna Nagar, Bharatpur - RSPCB"/>
    <x v="0"/>
    <n v="27.215415"/>
    <n v="77.50873"/>
    <x v="4"/>
    <n v="1"/>
    <n v="31"/>
    <n v="11"/>
  </r>
  <r>
    <s v="India"/>
    <x v="19"/>
    <x v="133"/>
    <s v="Pratap Nagar, Bhilwara - RSPCB"/>
    <x v="0"/>
    <n v="25.339604999999999"/>
    <n v="74.618882999999997"/>
    <x v="1"/>
    <n v="52"/>
    <n v="315"/>
    <n v="113"/>
  </r>
  <r>
    <s v="India"/>
    <x v="19"/>
    <x v="124"/>
    <s v="Moti Doongri, Alwar - RSPCB"/>
    <x v="0"/>
    <n v="27.554793"/>
    <n v="76.611536000000001"/>
    <x v="0"/>
    <n v="11"/>
    <n v="70"/>
    <n v="54"/>
  </r>
  <r>
    <s v="India"/>
    <x v="19"/>
    <x v="134"/>
    <s v="Rati Talai, Banswara - RSPCB"/>
    <x v="0"/>
    <n v="23.55519"/>
    <n v="74.440010000000001"/>
    <x v="5"/>
    <n v="33"/>
    <n v="91"/>
    <n v="63"/>
  </r>
  <r>
    <s v="India"/>
    <x v="19"/>
    <x v="134"/>
    <s v="Rati Talai, Banswara - RSPCB"/>
    <x v="0"/>
    <n v="23.55519"/>
    <n v="74.440010000000001"/>
    <x v="3"/>
    <n v="4"/>
    <n v="11"/>
    <n v="7"/>
  </r>
  <r>
    <s v="India"/>
    <x v="19"/>
    <x v="135"/>
    <s v="Bamboliya, Baran - RSPCB"/>
    <x v="0"/>
    <n v="25.106006000000001"/>
    <n v="76.469948000000002"/>
    <x v="6"/>
    <n v="2"/>
    <n v="49"/>
    <n v="16"/>
  </r>
  <r>
    <s v="India"/>
    <x v="19"/>
    <x v="136"/>
    <s v="Railway Colony, Barmer - RSPCB"/>
    <x v="0"/>
    <n v="25.747299000000002"/>
    <n v="71.393989000000005"/>
    <x v="1"/>
    <n v="75"/>
    <n v="240"/>
    <n v="116"/>
  </r>
  <r>
    <s v="India"/>
    <x v="19"/>
    <x v="137"/>
    <s v="Shastri Nagar, Chittorgarh - RSPCB"/>
    <x v="0"/>
    <n v="24.892047000000002"/>
    <n v="74.623526999999996"/>
    <x v="2"/>
    <n v="7"/>
    <n v="91"/>
    <n v="43"/>
  </r>
  <r>
    <s v="India"/>
    <x v="19"/>
    <x v="137"/>
    <s v="Shastri Nagar, Chittorgarh - RSPCB"/>
    <x v="0"/>
    <n v="24.892047000000002"/>
    <n v="74.623526999999996"/>
    <x v="4"/>
    <n v="4"/>
    <n v="15"/>
    <n v="10"/>
  </r>
  <r>
    <s v="India"/>
    <x v="19"/>
    <x v="137"/>
    <s v="Shastri Nagar, Chittorgarh - RSPCB"/>
    <x v="0"/>
    <n v="24.892047000000002"/>
    <n v="74.623526999999996"/>
    <x v="6"/>
    <n v="15"/>
    <n v="115"/>
    <n v="49"/>
  </r>
  <r>
    <s v="India"/>
    <x v="19"/>
    <x v="138"/>
    <s v="New Colony, Bundi - RSPCB"/>
    <x v="0"/>
    <n v="25.435773999999999"/>
    <n v="75.644272000000001"/>
    <x v="3"/>
    <n v="10"/>
    <n v="18"/>
    <n v="15"/>
  </r>
  <r>
    <s v="India"/>
    <x v="19"/>
    <x v="138"/>
    <s v="New Colony, Bundi - RSPCB"/>
    <x v="0"/>
    <n v="25.435773999999999"/>
    <n v="75.644272000000001"/>
    <x v="4"/>
    <n v="9"/>
    <n v="19"/>
    <n v="13"/>
  </r>
  <r>
    <s v="India"/>
    <x v="19"/>
    <x v="139"/>
    <s v="Police Commissionerate, Jaipur - RSPCB"/>
    <x v="0"/>
    <n v="26.9164092"/>
    <n v="75.7994901"/>
    <x v="1"/>
    <n v="106"/>
    <n v="169"/>
    <n v="126"/>
  </r>
  <r>
    <s v="India"/>
    <x v="19"/>
    <x v="139"/>
    <s v="Police Commissionerate, Jaipur - RSPCB"/>
    <x v="0"/>
    <n v="26.9164092"/>
    <n v="75.7994901"/>
    <x v="3"/>
    <n v="2"/>
    <n v="22"/>
    <n v="8"/>
  </r>
  <r>
    <s v="India"/>
    <x v="19"/>
    <x v="139"/>
    <s v="RIICO Sitapura, Jaipur - RSPCB"/>
    <x v="0"/>
    <n v="26.786681999999999"/>
    <n v="75.827928"/>
    <x v="5"/>
    <n v="25"/>
    <n v="345"/>
    <n v="129"/>
  </r>
  <r>
    <s v="India"/>
    <x v="19"/>
    <x v="139"/>
    <s v="RIICO Sitapura, Jaipur - RSPCB"/>
    <x v="0"/>
    <n v="26.786681999999999"/>
    <n v="75.827928"/>
    <x v="1"/>
    <n v="74"/>
    <n v="294"/>
    <n v="139"/>
  </r>
  <r>
    <s v="India"/>
    <x v="19"/>
    <x v="139"/>
    <s v="RIICO Sitapura, Jaipur - RSPCB"/>
    <x v="0"/>
    <n v="26.786681999999999"/>
    <n v="75.827928"/>
    <x v="2"/>
    <n v="17"/>
    <n v="156"/>
    <n v="74"/>
  </r>
  <r>
    <s v="India"/>
    <x v="19"/>
    <x v="139"/>
    <s v="RIICO Sitapura, Jaipur - RSPCB"/>
    <x v="0"/>
    <n v="26.786681999999999"/>
    <n v="75.827928"/>
    <x v="4"/>
    <n v="2"/>
    <n v="5"/>
    <n v="3"/>
  </r>
  <r>
    <s v="India"/>
    <x v="19"/>
    <x v="139"/>
    <s v="Sector-2 Murlipura, Jaipur - RSPCB"/>
    <x v="0"/>
    <n v="26.960668999999999"/>
    <n v="75.771816999999999"/>
    <x v="2"/>
    <n v="23"/>
    <n v="145"/>
    <n v="71"/>
  </r>
  <r>
    <s v="India"/>
    <x v="19"/>
    <x v="139"/>
    <s v="Shastri Nagar, Jaipur - RSPCB"/>
    <x v="0"/>
    <n v="26.950292900000001"/>
    <n v="75.730942999999996"/>
    <x v="3"/>
    <n v="4"/>
    <n v="11"/>
    <n v="7"/>
  </r>
  <r>
    <s v="India"/>
    <x v="19"/>
    <x v="140"/>
    <s v="Sadar Bazar, Jaisalmer - RSPCB"/>
    <x v="0"/>
    <n v="26.912329"/>
    <n v="70.909167999999994"/>
    <x v="0"/>
    <n v="3"/>
    <n v="104"/>
    <n v="60"/>
  </r>
  <r>
    <s v="India"/>
    <x v="19"/>
    <x v="141"/>
    <s v="Mudtra Sili, Jalore - RSPCB"/>
    <x v="0"/>
    <n v="25.344694"/>
    <n v="72.626208000000005"/>
    <x v="5"/>
    <n v="32"/>
    <n v="114"/>
    <n v="49"/>
  </r>
  <r>
    <s v="India"/>
    <x v="19"/>
    <x v="141"/>
    <s v="Mudtra Sili, Jalore - RSPCB"/>
    <x v="0"/>
    <n v="25.344694"/>
    <n v="72.626208000000005"/>
    <x v="3"/>
    <n v="6"/>
    <n v="9"/>
    <n v="7"/>
  </r>
  <r>
    <s v="India"/>
    <x v="19"/>
    <x v="142"/>
    <s v="Rajlaxmi Nagar, Jhalawar - RSPCB"/>
    <x v="0"/>
    <n v="24.588397000000001"/>
    <n v="76.172781999999998"/>
    <x v="1"/>
    <n v="63"/>
    <n v="292"/>
    <n v="130"/>
  </r>
  <r>
    <s v="India"/>
    <x v="19"/>
    <x v="142"/>
    <s v="Rajlaxmi Nagar, Jhalawar - RSPCB"/>
    <x v="0"/>
    <n v="24.588397000000001"/>
    <n v="76.172781999999998"/>
    <x v="3"/>
    <n v="4"/>
    <n v="8"/>
    <n v="6"/>
  </r>
  <r>
    <s v="India"/>
    <x v="19"/>
    <x v="143"/>
    <s v="Indra Nagar, Jhunjhunu - RSPCB"/>
    <x v="0"/>
    <n v="28.108988"/>
    <n v="75.386577000000003"/>
    <x v="3"/>
    <n v="4"/>
    <n v="14"/>
    <n v="11"/>
  </r>
  <r>
    <s v="India"/>
    <x v="19"/>
    <x v="143"/>
    <s v="Indra Nagar, Jhunjhunu - RSPCB"/>
    <x v="0"/>
    <n v="28.108988"/>
    <n v="75.386577000000003"/>
    <x v="4"/>
    <n v="3"/>
    <n v="11"/>
    <n v="6"/>
  </r>
  <r>
    <s v="India"/>
    <x v="19"/>
    <x v="144"/>
    <s v="Collectorate, Jodhpur - RSPCB"/>
    <x v="0"/>
    <n v="26.268249000000001"/>
    <n v="73.019385299999996"/>
    <x v="2"/>
    <n v="5"/>
    <n v="25"/>
    <n v="15"/>
  </r>
  <r>
    <s v="India"/>
    <x v="19"/>
    <x v="144"/>
    <s v="Jhalamand, Jodhpur - RSPCB"/>
    <x v="0"/>
    <n v="26.215415"/>
    <n v="73.070155999999997"/>
    <x v="6"/>
    <n v="8"/>
    <n v="91"/>
    <n v="35"/>
  </r>
  <r>
    <s v="India"/>
    <x v="19"/>
    <x v="144"/>
    <s v="Mandor, Jodhpur - RSPCB"/>
    <x v="0"/>
    <n v="26.358805"/>
    <n v="73.047443999999999"/>
    <x v="2"/>
    <n v="19"/>
    <n v="88"/>
    <n v="47"/>
  </r>
  <r>
    <s v="India"/>
    <x v="19"/>
    <x v="145"/>
    <s v="Indira Colony Vistar, Pali - RSPCB"/>
    <x v="0"/>
    <n v="25.771061"/>
    <n v="73.340226999999999"/>
    <x v="5"/>
    <n v="94"/>
    <n v="344"/>
    <n v="172"/>
  </r>
  <r>
    <s v="India"/>
    <x v="19"/>
    <x v="145"/>
    <s v="Indira Colony Vistar, Pali - RSPCB"/>
    <x v="0"/>
    <n v="25.771061"/>
    <n v="73.340226999999999"/>
    <x v="6"/>
    <n v="34"/>
    <n v="105"/>
    <n v="56"/>
  </r>
  <r>
    <s v="India"/>
    <x v="19"/>
    <x v="145"/>
    <s v="Indira Colony Vistar, Pali - RSPCB"/>
    <x v="0"/>
    <n v="25.771061"/>
    <n v="73.340226999999999"/>
    <x v="0"/>
    <n v="10"/>
    <n v="70"/>
    <n v="47"/>
  </r>
  <r>
    <s v="India"/>
    <x v="19"/>
    <x v="146"/>
    <s v="Pragati Nagar, Pratapgarh - RSPCB"/>
    <x v="0"/>
    <n v="24.041198000000001"/>
    <n v="74.780702000000005"/>
    <x v="4"/>
    <n v="3"/>
    <n v="9"/>
    <n v="5"/>
  </r>
  <r>
    <s v="India"/>
    <x v="19"/>
    <x v="146"/>
    <s v="Pragati Nagar, Pratapgarh - RSPCB"/>
    <x v="0"/>
    <n v="24.041198000000001"/>
    <n v="74.780702000000005"/>
    <x v="0"/>
    <n v="19"/>
    <n v="132"/>
    <n v="107"/>
  </r>
  <r>
    <s v="India"/>
    <x v="19"/>
    <x v="147"/>
    <s v="Dhoinda, Rajsamand - RSPCB"/>
    <x v="0"/>
    <n v="25.036359999999998"/>
    <n v="73.883501999999993"/>
    <x v="0"/>
    <n v="51"/>
    <n v="106"/>
    <n v="80"/>
  </r>
  <r>
    <s v="India"/>
    <x v="19"/>
    <x v="148"/>
    <s v="Sahu Nagar, Sawai Madhopur - RSPCB"/>
    <x v="0"/>
    <n v="26.031442999999999"/>
    <n v="76.359326999999993"/>
    <x v="1"/>
    <n v="115"/>
    <n v="449"/>
    <n v="196"/>
  </r>
  <r>
    <s v="India"/>
    <x v="19"/>
    <x v="148"/>
    <s v="Sahu Nagar, Sawai Madhopur - RSPCB"/>
    <x v="0"/>
    <n v="26.031442999999999"/>
    <n v="76.359326999999993"/>
    <x v="3"/>
    <n v="17"/>
    <n v="23"/>
    <n v="19"/>
  </r>
  <r>
    <s v="India"/>
    <x v="19"/>
    <x v="149"/>
    <s v="Radhakishan Pura, Sikar - RSPCB"/>
    <x v="0"/>
    <n v="27.608912"/>
    <n v="75.153301999999996"/>
    <x v="6"/>
    <n v="12"/>
    <n v="80"/>
    <n v="34"/>
  </r>
  <r>
    <s v="India"/>
    <x v="19"/>
    <x v="150"/>
    <s v="Bhoiwada, Dungarpur - RSPCB"/>
    <x v="0"/>
    <n v="23.837789000000001"/>
    <n v="73.714926000000006"/>
    <x v="2"/>
    <n v="6"/>
    <n v="29"/>
    <n v="14"/>
  </r>
  <r>
    <s v="India"/>
    <x v="19"/>
    <x v="150"/>
    <s v="Bhoiwada, Dungarpur - RSPCB"/>
    <x v="0"/>
    <n v="23.837789000000001"/>
    <n v="73.714926000000006"/>
    <x v="3"/>
    <n v="6"/>
    <n v="8"/>
    <n v="7"/>
  </r>
  <r>
    <s v="India"/>
    <x v="19"/>
    <x v="151"/>
    <s v="Housing Board, Hanumangarh - RSPCB"/>
    <x v="0"/>
    <n v="29.610749999999999"/>
    <n v="74.283608000000001"/>
    <x v="5"/>
    <n v="20"/>
    <n v="323"/>
    <n v="105"/>
  </r>
  <r>
    <s v="India"/>
    <x v="19"/>
    <x v="151"/>
    <s v="Housing Board, Hanumangarh - RSPCB"/>
    <x v="0"/>
    <n v="29.610749999999999"/>
    <n v="74.283608000000001"/>
    <x v="1"/>
    <n v="75"/>
    <n v="260"/>
    <n v="136"/>
  </r>
  <r>
    <s v="India"/>
    <x v="19"/>
    <x v="152"/>
    <s v="Khatikan Mohalla, Dausa - RSPCB"/>
    <x v="0"/>
    <n v="26.895551999999999"/>
    <n v="76.334753000000006"/>
    <x v="3"/>
    <n v="7"/>
    <n v="9"/>
    <n v="8"/>
  </r>
  <r>
    <s v="India"/>
    <x v="19"/>
    <x v="153"/>
    <s v="Raja Ganj, Dholpur - RSPCB"/>
    <x v="0"/>
    <n v="26.699556999999999"/>
    <n v="77.898881000000003"/>
    <x v="5"/>
    <n v="22"/>
    <n v="98"/>
    <n v="50"/>
  </r>
  <r>
    <s v="India"/>
    <x v="19"/>
    <x v="153"/>
    <s v="Raja Ganj, Dholpur - RSPCB"/>
    <x v="0"/>
    <n v="26.699556999999999"/>
    <n v="77.898881000000003"/>
    <x v="1"/>
    <n v="61"/>
    <n v="230"/>
    <n v="126"/>
  </r>
  <r>
    <s v="India"/>
    <x v="19"/>
    <x v="154"/>
    <s v="Satyawati Vihar, Karauli - RSPCB"/>
    <x v="0"/>
    <n v="26.506177000000001"/>
    <n v="77.025988999999996"/>
    <x v="5"/>
    <n v="16"/>
    <n v="138"/>
    <n v="50"/>
  </r>
  <r>
    <s v="India"/>
    <x v="19"/>
    <x v="155"/>
    <s v="Nayapura, Kota - RSPCB"/>
    <x v="0"/>
    <n v="25.196024000000001"/>
    <n v="75.855667999999994"/>
    <x v="2"/>
    <n v="15"/>
    <n v="118"/>
    <n v="53"/>
  </r>
  <r>
    <s v="India"/>
    <x v="19"/>
    <x v="156"/>
    <s v="Subash Chowk, Churu - RSPCB"/>
    <x v="0"/>
    <n v="28.296139"/>
    <n v="74.961696000000003"/>
    <x v="3"/>
    <n v="5"/>
    <n v="8"/>
    <n v="6"/>
  </r>
  <r>
    <s v="India"/>
    <x v="19"/>
    <x v="156"/>
    <s v="Subash Chowk, Churu - RSPCB"/>
    <x v="0"/>
    <n v="28.296139"/>
    <n v="74.961696000000003"/>
    <x v="6"/>
    <n v="4"/>
    <n v="8"/>
    <n v="7"/>
  </r>
  <r>
    <s v="India"/>
    <x v="21"/>
    <x v="157"/>
    <s v="Perungudi, Chennai - TNPCB"/>
    <x v="0"/>
    <n v="12.9533"/>
    <n v="80.235699999999994"/>
    <x v="2"/>
    <n v="2"/>
    <n v="9"/>
    <n v="5"/>
  </r>
  <r>
    <s v="India"/>
    <x v="21"/>
    <x v="157"/>
    <s v="Royapuram, Chennai - TNPCB"/>
    <x v="0"/>
    <n v="13.1036"/>
    <n v="80.290899999999993"/>
    <x v="6"/>
    <n v="14"/>
    <n v="55"/>
    <n v="23"/>
  </r>
  <r>
    <s v="India"/>
    <x v="21"/>
    <x v="157"/>
    <s v="Royapuram, Chennai - TNPCB"/>
    <x v="0"/>
    <n v="13.1036"/>
    <n v="80.290899999999993"/>
    <x v="0"/>
    <n v="3"/>
    <n v="29"/>
    <n v="16"/>
  </r>
  <r>
    <s v="India"/>
    <x v="21"/>
    <x v="157"/>
    <s v="Velachery Res. Area, Chennai - CPCB"/>
    <x v="0"/>
    <n v="13.005218899999999"/>
    <n v="80.239812499999999"/>
    <x v="3"/>
    <n v="4"/>
    <n v="4"/>
    <n v="4"/>
  </r>
  <r>
    <s v="India"/>
    <x v="21"/>
    <x v="158"/>
    <s v="PSG College of Arts and Science, Coimbatore - TNPCB"/>
    <x v="0"/>
    <n v="11.0328"/>
    <n v="77.034899999999993"/>
    <x v="5"/>
    <n v="16"/>
    <n v="53"/>
    <n v="38"/>
  </r>
  <r>
    <s v="India"/>
    <x v="21"/>
    <x v="158"/>
    <s v="SIDCO Kurichi, Coimbatore - TNPCB"/>
    <x v="0"/>
    <n v="10.942451"/>
    <n v="76.978995999999995"/>
    <x v="1"/>
    <n v="24"/>
    <n v="48"/>
    <n v="34"/>
  </r>
  <r>
    <s v="India"/>
    <x v="21"/>
    <x v="158"/>
    <s v="SIDCO Kurichi, Coimbatore - TNPCB"/>
    <x v="0"/>
    <n v="10.942451"/>
    <n v="76.978995999999995"/>
    <x v="4"/>
    <n v="19"/>
    <n v="20"/>
    <n v="20"/>
  </r>
  <r>
    <s v="India"/>
    <x v="21"/>
    <x v="159"/>
    <s v="Kamadenu Nagar, Karur - TNPCB"/>
    <x v="0"/>
    <n v="10.96782"/>
    <n v="78.080882000000003"/>
    <x v="5"/>
    <n v="10"/>
    <n v="38"/>
    <n v="26"/>
  </r>
  <r>
    <s v="India"/>
    <x v="21"/>
    <x v="159"/>
    <s v="Kamadenu Nagar, Karur - TNPCB"/>
    <x v="0"/>
    <n v="10.96782"/>
    <n v="78.080882000000003"/>
    <x v="4"/>
    <n v="8"/>
    <n v="34"/>
    <n v="12"/>
  </r>
  <r>
    <s v="India"/>
    <x v="21"/>
    <x v="160"/>
    <s v="Velippalayam, Nagapattinam - TNPCB"/>
    <x v="0"/>
    <n v="10.798548"/>
    <n v="79.838211999999999"/>
    <x v="2"/>
    <n v="5"/>
    <n v="5"/>
    <n v="5"/>
  </r>
  <r>
    <s v="India"/>
    <x v="21"/>
    <x v="160"/>
    <s v="Velippalayam, Nagapattinam - TNPCB"/>
    <x v="0"/>
    <n v="10.798548"/>
    <n v="79.838211999999999"/>
    <x v="4"/>
    <n v="4"/>
    <n v="8"/>
    <n v="6"/>
  </r>
  <r>
    <s v="India"/>
    <x v="21"/>
    <x v="161"/>
    <s v="Ponnusamy Nagar, Namakkal - TNPCB"/>
    <x v="0"/>
    <n v="11.273992"/>
    <n v="78.163544999999999"/>
    <x v="5"/>
    <m/>
    <m/>
    <m/>
  </r>
  <r>
    <s v="India"/>
    <x v="22"/>
    <x v="162"/>
    <s v="Zero Point GICI, Gangtok - SSPCB"/>
    <x v="0"/>
    <n v="27.338529999999999"/>
    <n v="88.614098999999996"/>
    <x v="3"/>
    <n v="1"/>
    <n v="1"/>
    <n v="1"/>
  </r>
  <r>
    <s v="India"/>
    <x v="21"/>
    <x v="163"/>
    <s v="Keelapalur, Ariyalur - TNPCB"/>
    <x v="0"/>
    <n v="11.068250000000001"/>
    <n v="79.070329999999998"/>
    <x v="5"/>
    <n v="22"/>
    <n v="47"/>
    <n v="37"/>
  </r>
  <r>
    <s v="India"/>
    <x v="21"/>
    <x v="163"/>
    <s v="Keelapalur, Ariyalur - TNPCB"/>
    <x v="0"/>
    <n v="11.068250000000001"/>
    <n v="79.070329999999998"/>
    <x v="2"/>
    <n v="10"/>
    <n v="10"/>
    <n v="10"/>
  </r>
  <r>
    <s v="India"/>
    <x v="21"/>
    <x v="164"/>
    <s v="Mendonsa Colony, Dindigul - TNPCB"/>
    <x v="0"/>
    <n v="10.358535"/>
    <n v="77.984320999999994"/>
    <x v="5"/>
    <n v="28"/>
    <n v="62"/>
    <n v="41"/>
  </r>
  <r>
    <s v="India"/>
    <x v="21"/>
    <x v="165"/>
    <s v="SIPCOT Phase-1, Hosur - TNPCB"/>
    <x v="0"/>
    <n v="12.746998"/>
    <n v="77.813811000000001"/>
    <x v="5"/>
    <n v="28"/>
    <n v="165"/>
    <n v="73"/>
  </r>
  <r>
    <s v="India"/>
    <x v="21"/>
    <x v="165"/>
    <s v="SIPCOT Phase-1, Hosur - TNPCB"/>
    <x v="0"/>
    <n v="12.746998"/>
    <n v="77.813811000000001"/>
    <x v="1"/>
    <n v="31"/>
    <n v="136"/>
    <n v="79"/>
  </r>
  <r>
    <s v="India"/>
    <x v="19"/>
    <x v="166"/>
    <s v="Old City, Sri Ganganagar - RSPCB"/>
    <x v="0"/>
    <n v="29.931623999999999"/>
    <n v="73.864510999999993"/>
    <x v="2"/>
    <n v="31"/>
    <n v="127"/>
    <n v="80"/>
  </r>
  <r>
    <s v="India"/>
    <x v="19"/>
    <x v="167"/>
    <s v="Shastri Nagar, Tonk - RSPCB"/>
    <x v="0"/>
    <n v="26.159932999999999"/>
    <n v="75.780517000000003"/>
    <x v="0"/>
    <n v="1"/>
    <n v="85"/>
    <n v="46"/>
  </r>
  <r>
    <s v="India"/>
    <x v="21"/>
    <x v="157"/>
    <s v="Alandur Bus Depot, Chennai - CPCB"/>
    <x v="0"/>
    <n v="12.9099161"/>
    <n v="80.107653799999994"/>
    <x v="4"/>
    <n v="15"/>
    <n v="16"/>
    <n v="15"/>
  </r>
  <r>
    <s v="India"/>
    <x v="21"/>
    <x v="157"/>
    <s v="Kodungaiyur, Chennai - TNPCB"/>
    <x v="0"/>
    <n v="13.127800000000001"/>
    <n v="80.264200000000002"/>
    <x v="3"/>
    <n v="4"/>
    <n v="6"/>
    <n v="5"/>
  </r>
  <r>
    <s v="India"/>
    <x v="21"/>
    <x v="157"/>
    <s v="Manali Village, Chennai - TNPCB"/>
    <x v="0"/>
    <n v="13.1662"/>
    <n v="80.258399999999995"/>
    <x v="6"/>
    <n v="24"/>
    <n v="72"/>
    <n v="39"/>
  </r>
  <r>
    <s v="India"/>
    <x v="21"/>
    <x v="157"/>
    <s v="Manali, Chennai - CPCB"/>
    <x v="0"/>
    <n v="13.164543999999999"/>
    <n v="80.26285"/>
    <x v="4"/>
    <n v="7"/>
    <n v="20"/>
    <n v="14"/>
  </r>
  <r>
    <s v="India"/>
    <x v="21"/>
    <x v="168"/>
    <s v="Kudikadu, Cuddalore - TNPCB"/>
    <x v="0"/>
    <n v="11.6829898"/>
    <n v="79.753209900000002"/>
    <x v="1"/>
    <n v="12"/>
    <n v="36"/>
    <n v="22"/>
  </r>
  <r>
    <s v="India"/>
    <x v="21"/>
    <x v="163"/>
    <s v="Keelapalur, Ariyalur - TNPCB"/>
    <x v="0"/>
    <n v="11.068250000000001"/>
    <n v="79.070329999999998"/>
    <x v="0"/>
    <n v="3"/>
    <n v="23"/>
    <n v="16"/>
  </r>
  <r>
    <s v="India"/>
    <x v="21"/>
    <x v="169"/>
    <s v="St Joseph College, Tiruchirappalli - TNPCB"/>
    <x v="0"/>
    <n v="10.830158000000001"/>
    <n v="78.691849000000005"/>
    <x v="3"/>
    <n v="2"/>
    <n v="3"/>
    <n v="3"/>
  </r>
  <r>
    <s v="India"/>
    <x v="21"/>
    <x v="170"/>
    <s v="Municipal Corporation Office, Tirunelveli - TNPCB"/>
    <x v="0"/>
    <n v="8.7284419999999994"/>
    <n v="77.696200000000005"/>
    <x v="3"/>
    <n v="1"/>
    <n v="2"/>
    <n v="1"/>
  </r>
  <r>
    <s v="India"/>
    <x v="21"/>
    <x v="171"/>
    <s v="Kumaran College, Tirupur - TNPCB"/>
    <x v="0"/>
    <n v="11.0973603"/>
    <n v="77.322867299999999"/>
    <x v="5"/>
    <n v="1"/>
    <n v="24"/>
    <n v="6"/>
  </r>
  <r>
    <s v="India"/>
    <x v="21"/>
    <x v="171"/>
    <s v="Kumaran College, Tirupur - TNPCB"/>
    <x v="0"/>
    <n v="11.0973603"/>
    <n v="77.322867299999999"/>
    <x v="2"/>
    <n v="4"/>
    <n v="9"/>
    <n v="6"/>
  </r>
  <r>
    <s v="India"/>
    <x v="21"/>
    <x v="172"/>
    <s v="Collectorate Office, Virudhunagar - TNPCB"/>
    <x v="0"/>
    <n v="9.5593819999999994"/>
    <n v="77.948828000000006"/>
    <x v="5"/>
    <n v="23"/>
    <n v="95"/>
    <n v="42"/>
  </r>
  <r>
    <s v="India"/>
    <x v="21"/>
    <x v="172"/>
    <s v="Collectorate Office, Virudhunagar - TNPCB"/>
    <x v="0"/>
    <n v="9.5593819999999994"/>
    <n v="77.948828000000006"/>
    <x v="1"/>
    <n v="32"/>
    <n v="113"/>
    <n v="55"/>
  </r>
  <r>
    <s v="India"/>
    <x v="21"/>
    <x v="172"/>
    <s v="Collectorate Office, Virudhunagar - TNPCB"/>
    <x v="0"/>
    <n v="9.5593819999999994"/>
    <n v="77.948828000000006"/>
    <x v="3"/>
    <n v="6"/>
    <n v="7"/>
    <n v="7"/>
  </r>
  <r>
    <s v="India"/>
    <x v="23"/>
    <x v="173"/>
    <s v="Kompally Municipal Office, Hyderabad - TSPCB"/>
    <x v="0"/>
    <n v="17.544899000000001"/>
    <n v="78.486948999999996"/>
    <x v="2"/>
    <n v="18"/>
    <n v="19"/>
    <n v="18"/>
  </r>
  <r>
    <s v="India"/>
    <x v="23"/>
    <x v="173"/>
    <s v="Kompally Municipal Office, Hyderabad - TSPCB"/>
    <x v="0"/>
    <n v="17.544899000000001"/>
    <n v="78.486948999999996"/>
    <x v="4"/>
    <n v="4"/>
    <n v="10"/>
    <n v="6"/>
  </r>
  <r>
    <s v="India"/>
    <x v="23"/>
    <x v="173"/>
    <s v="Kompally Municipal Office, Hyderabad - TSPCB"/>
    <x v="0"/>
    <n v="17.544899000000001"/>
    <n v="78.486948999999996"/>
    <x v="0"/>
    <n v="16"/>
    <n v="60"/>
    <n v="46"/>
  </r>
  <r>
    <s v="India"/>
    <x v="23"/>
    <x v="173"/>
    <s v="New Malakpet, Hyderabad - TSPCB"/>
    <x v="0"/>
    <n v="17.372060000000001"/>
    <n v="78.50864"/>
    <x v="6"/>
    <n v="12"/>
    <n v="56"/>
    <n v="45"/>
  </r>
  <r>
    <s v="India"/>
    <x v="23"/>
    <x v="173"/>
    <s v="Ramachandrapuram, Hyderabad - TSPCB"/>
    <x v="0"/>
    <n v="17.528544"/>
    <n v="78.286195000000006"/>
    <x v="5"/>
    <n v="60"/>
    <n v="68"/>
    <n v="65"/>
  </r>
  <r>
    <s v="India"/>
    <x v="23"/>
    <x v="173"/>
    <s v="Ramachandrapuram, Hyderabad - TSPCB"/>
    <x v="0"/>
    <n v="17.528544"/>
    <n v="78.286195000000006"/>
    <x v="1"/>
    <n v="50"/>
    <n v="68"/>
    <n v="62"/>
  </r>
  <r>
    <s v="India"/>
    <x v="23"/>
    <x v="173"/>
    <s v="Bollaram Industrial Area, Hyderabad - TSPCB"/>
    <x v="0"/>
    <n v="17.540890999999998"/>
    <n v="78.358528000000007"/>
    <x v="1"/>
    <n v="58"/>
    <n v="118"/>
    <n v="88"/>
  </r>
  <r>
    <s v="India"/>
    <x v="23"/>
    <x v="173"/>
    <s v="Bollaram Industrial Area, Hyderabad - TSPCB"/>
    <x v="0"/>
    <n v="17.540890999999998"/>
    <n v="78.358528000000007"/>
    <x v="4"/>
    <n v="4"/>
    <n v="13"/>
    <n v="7"/>
  </r>
  <r>
    <s v="India"/>
    <x v="23"/>
    <x v="173"/>
    <s v="Bollaram Industrial Area, Hyderabad - TSPCB"/>
    <x v="0"/>
    <n v="17.540890999999998"/>
    <n v="78.358528000000007"/>
    <x v="0"/>
    <n v="48"/>
    <n v="49"/>
    <n v="49"/>
  </r>
  <r>
    <s v="India"/>
    <x v="23"/>
    <x v="173"/>
    <s v="ECIL Kapra, Hyderabad - TSPCB"/>
    <x v="0"/>
    <n v="17.470431000000001"/>
    <n v="78.566958999999997"/>
    <x v="1"/>
    <n v="76"/>
    <n v="101"/>
    <n v="85"/>
  </r>
  <r>
    <s v="India"/>
    <x v="23"/>
    <x v="173"/>
    <s v="IDA Pashamylaram, Hyderabad - TSPCB"/>
    <x v="0"/>
    <n v="17.531689499999999"/>
    <n v="78.218939000000006"/>
    <x v="3"/>
    <n v="1"/>
    <n v="2"/>
    <n v="2"/>
  </r>
  <r>
    <s v="India"/>
    <x v="21"/>
    <x v="174"/>
    <s v="VOC Nagar_SIPCOT, Ranipet - TNPCB"/>
    <x v="0"/>
    <n v="12.952707"/>
    <n v="79.303939999999997"/>
    <x v="5"/>
    <n v="22"/>
    <n v="66"/>
    <n v="42"/>
  </r>
  <r>
    <s v="India"/>
    <x v="21"/>
    <x v="174"/>
    <s v="VOC Nagar_SIPCOT, Ranipet - TNPCB"/>
    <x v="0"/>
    <n v="12.952707"/>
    <n v="79.303939999999997"/>
    <x v="6"/>
    <n v="16"/>
    <n v="20"/>
    <n v="18"/>
  </r>
  <r>
    <s v="India"/>
    <x v="21"/>
    <x v="175"/>
    <s v="Meelavittan, Thoothukudi - TNPCB"/>
    <x v="0"/>
    <n v="8.8164280000000002"/>
    <n v="78.099039000000005"/>
    <x v="1"/>
    <n v="19"/>
    <n v="90"/>
    <n v="43"/>
  </r>
  <r>
    <s v="India"/>
    <x v="24"/>
    <x v="176"/>
    <s v="Manoharpur, Agra - UPPCB"/>
    <x v="0"/>
    <n v="27.237110000000001"/>
    <n v="78.019360000000006"/>
    <x v="4"/>
    <n v="8"/>
    <n v="32"/>
    <n v="15"/>
  </r>
  <r>
    <s v="India"/>
    <x v="24"/>
    <x v="176"/>
    <s v="Rohta, Agra - UPPCB"/>
    <x v="0"/>
    <n v="27.106971999999999"/>
    <n v="78.000111000000004"/>
    <x v="5"/>
    <n v="26"/>
    <n v="323"/>
    <n v="110"/>
  </r>
  <r>
    <s v="India"/>
    <x v="24"/>
    <x v="176"/>
    <s v="Sanjay Palace, Agra - UPPCB"/>
    <x v="0"/>
    <n v="27.198658330000001"/>
    <n v="78.005980559999998"/>
    <x v="1"/>
    <n v="123"/>
    <n v="436"/>
    <n v="191"/>
  </r>
  <r>
    <s v="India"/>
    <x v="21"/>
    <x v="177"/>
    <s v="Chalai Bazaar, Ramanathapuram - TNPCB"/>
    <x v="0"/>
    <n v="9.3639899999999994"/>
    <n v="78.831976999999995"/>
    <x v="2"/>
    <n v="5"/>
    <n v="5"/>
    <n v="5"/>
  </r>
  <r>
    <s v="India"/>
    <x v="23"/>
    <x v="173"/>
    <s v="Sanathnagar, Hyderabad - TSPCB"/>
    <x v="0"/>
    <n v="17.455945799999999"/>
    <n v="78.433215200000006"/>
    <x v="0"/>
    <n v="6"/>
    <n v="18"/>
    <n v="13"/>
  </r>
  <r>
    <s v="India"/>
    <x v="23"/>
    <x v="173"/>
    <s v="Somajiguda, Hyderabad - TSPCB"/>
    <x v="0"/>
    <n v="17.417093999999999"/>
    <n v="78.457436999999999"/>
    <x v="0"/>
    <n v="11"/>
    <n v="11"/>
    <n v="11"/>
  </r>
  <r>
    <s v="India"/>
    <x v="24"/>
    <x v="178"/>
    <s v="Civil Lines, Bareilly - UPPCB"/>
    <x v="0"/>
    <n v="28.359580999999999"/>
    <n v="79.414455000000004"/>
    <x v="0"/>
    <n v="16"/>
    <n v="22"/>
    <n v="17"/>
  </r>
  <r>
    <s v="India"/>
    <x v="24"/>
    <x v="178"/>
    <s v="Rajendra Nagar, Bareilly - UPPCB"/>
    <x v="0"/>
    <n v="28.389109359999999"/>
    <n v="79.429637080000006"/>
    <x v="6"/>
    <n v="8"/>
    <n v="77"/>
    <n v="32"/>
  </r>
  <r>
    <s v="India"/>
    <x v="24"/>
    <x v="179"/>
    <s v="Yamunapuram, Bulandshahr - UPPCB"/>
    <x v="0"/>
    <n v="28.406963000000001"/>
    <n v="77.849830999999995"/>
    <x v="5"/>
    <n v="47"/>
    <n v="344"/>
    <n v="165"/>
  </r>
  <r>
    <s v="India"/>
    <x v="24"/>
    <x v="179"/>
    <s v="Yamunapuram, Bulandshahr - UPPCB"/>
    <x v="0"/>
    <n v="28.406963000000001"/>
    <n v="77.849830999999995"/>
    <x v="1"/>
    <n v="113"/>
    <n v="441"/>
    <n v="211"/>
  </r>
  <r>
    <s v="India"/>
    <x v="24"/>
    <x v="180"/>
    <s v="Nagla Bhau, Firozabad - UPPCB"/>
    <x v="0"/>
    <n v="27.168897000000001"/>
    <n v="78.376959999999997"/>
    <x v="0"/>
    <n v="3"/>
    <n v="5"/>
    <n v="5"/>
  </r>
  <r>
    <s v="India"/>
    <x v="24"/>
    <x v="180"/>
    <s v="Vibhab Nagar, Firozabad - UPPCB"/>
    <x v="0"/>
    <n v="27.159400000000002"/>
    <n v="78.395300000000006"/>
    <x v="5"/>
    <n v="44"/>
    <n v="202"/>
    <n v="85"/>
  </r>
  <r>
    <s v="India"/>
    <x v="24"/>
    <x v="181"/>
    <s v="Indirapuram, Ghaziabad - UPPCB"/>
    <x v="0"/>
    <n v="28.646232999999999"/>
    <n v="77.358074999999999"/>
    <x v="1"/>
    <n v="64"/>
    <n v="323"/>
    <n v="141"/>
  </r>
  <r>
    <s v="India"/>
    <x v="24"/>
    <x v="181"/>
    <s v="Loni, Ghaziabad - UPPCB"/>
    <x v="0"/>
    <n v="28.757294000000002"/>
    <n v="77.278791999999996"/>
    <x v="1"/>
    <n v="103"/>
    <n v="446"/>
    <n v="273"/>
  </r>
  <r>
    <s v="India"/>
    <x v="24"/>
    <x v="181"/>
    <s v="Loni, Ghaziabad - UPPCB"/>
    <x v="0"/>
    <n v="28.757294000000002"/>
    <n v="77.278791999999996"/>
    <x v="4"/>
    <n v="2"/>
    <n v="70"/>
    <n v="32"/>
  </r>
  <r>
    <s v="India"/>
    <x v="24"/>
    <x v="181"/>
    <s v="Loni, Ghaziabad - UPPCB"/>
    <x v="0"/>
    <n v="28.757294000000002"/>
    <n v="77.278791999999996"/>
    <x v="0"/>
    <n v="1"/>
    <n v="95"/>
    <n v="57"/>
  </r>
  <r>
    <s v="India"/>
    <x v="24"/>
    <x v="181"/>
    <s v="Sanjay Nagar, Ghaziabad - UPPCB"/>
    <x v="0"/>
    <n v="28.685382000000001"/>
    <n v="77.453839000000002"/>
    <x v="1"/>
    <n v="109"/>
    <n v="364"/>
    <n v="210"/>
  </r>
  <r>
    <s v="India"/>
    <x v="24"/>
    <x v="181"/>
    <s v="Sanjay Nagar, Ghaziabad - UPPCB"/>
    <x v="0"/>
    <n v="28.685382000000001"/>
    <n v="77.453839000000002"/>
    <x v="3"/>
    <n v="7"/>
    <n v="12"/>
    <n v="8"/>
  </r>
  <r>
    <s v="India"/>
    <x v="24"/>
    <x v="181"/>
    <s v="Vasundhara, Ghaziabad - UPPCB"/>
    <x v="0"/>
    <n v="28.660334599999999"/>
    <n v="77.357256300000003"/>
    <x v="6"/>
    <n v="32"/>
    <n v="131"/>
    <n v="62"/>
  </r>
  <r>
    <s v="India"/>
    <x v="24"/>
    <x v="181"/>
    <s v="Vasundhara, Ghaziabad - UPPCB"/>
    <x v="0"/>
    <n v="28.660334599999999"/>
    <n v="77.357256300000003"/>
    <x v="0"/>
    <n v="4"/>
    <n v="145"/>
    <n v="83"/>
  </r>
  <r>
    <s v="India"/>
    <x v="24"/>
    <x v="182"/>
    <s v="Madan Mohan Malaviya University of Technology, Gorakhpur - UPPCB"/>
    <x v="0"/>
    <n v="26.730136000000002"/>
    <n v="83.433858999999998"/>
    <x v="5"/>
    <n v="17"/>
    <n v="134"/>
    <n v="70"/>
  </r>
  <r>
    <s v="India"/>
    <x v="24"/>
    <x v="176"/>
    <s v="Sector-3B Avas Vikas Colony, Agra - UPPCB"/>
    <x v="0"/>
    <n v="27.194120000000002"/>
    <n v="77.962370000000007"/>
    <x v="1"/>
    <n v="50"/>
    <n v="187"/>
    <n v="116"/>
  </r>
  <r>
    <s v="India"/>
    <x v="24"/>
    <x v="176"/>
    <s v="Sector-3B Avas Vikas Colony, Agra - UPPCB"/>
    <x v="0"/>
    <n v="27.194120000000002"/>
    <n v="77.962370000000007"/>
    <x v="0"/>
    <n v="1"/>
    <n v="4"/>
    <n v="2"/>
  </r>
  <r>
    <s v="India"/>
    <x v="24"/>
    <x v="176"/>
    <s v="Shahjahan Garden, Agra - UPPCB"/>
    <x v="0"/>
    <n v="27.169338"/>
    <n v="78.035820000000001"/>
    <x v="4"/>
    <m/>
    <m/>
    <m/>
  </r>
  <r>
    <s v="India"/>
    <x v="24"/>
    <x v="176"/>
    <s v="Shahjahan Garden, Agra - UPPCB"/>
    <x v="0"/>
    <n v="27.169338"/>
    <n v="78.035820000000001"/>
    <x v="6"/>
    <m/>
    <m/>
    <m/>
  </r>
  <r>
    <s v="India"/>
    <x v="24"/>
    <x v="176"/>
    <s v="Shahjahan Garden, Agra - UPPCB"/>
    <x v="0"/>
    <n v="27.169338"/>
    <n v="78.035820000000001"/>
    <x v="0"/>
    <m/>
    <m/>
    <m/>
  </r>
  <r>
    <s v="India"/>
    <x v="24"/>
    <x v="182"/>
    <s v="Madan Mohan Malaviya University of Technology, Gorakhpur - UPPCB"/>
    <x v="0"/>
    <n v="26.730136000000002"/>
    <n v="83.433858999999998"/>
    <x v="6"/>
    <n v="6"/>
    <n v="11"/>
    <n v="7"/>
  </r>
  <r>
    <s v="India"/>
    <x v="24"/>
    <x v="183"/>
    <s v="Knowledge Park - V, Greater Noida - UPPCB"/>
    <x v="0"/>
    <n v="28.557054000000001"/>
    <n v="77.453663000000006"/>
    <x v="2"/>
    <n v="29"/>
    <n v="171"/>
    <n v="82"/>
  </r>
  <r>
    <s v="India"/>
    <x v="24"/>
    <x v="184"/>
    <s v="Anand Vihar, Hapur - UPPCB"/>
    <x v="0"/>
    <n v="28.725645"/>
    <n v="77.749674999999996"/>
    <x v="0"/>
    <n v="5"/>
    <n v="178"/>
    <n v="110"/>
  </r>
  <r>
    <s v="India"/>
    <x v="24"/>
    <x v="185"/>
    <s v="Shivaji Nagar, Jhansi - UPPCB"/>
    <x v="0"/>
    <n v="25.454699999999999"/>
    <n v="78.603899999999996"/>
    <x v="1"/>
    <n v="87"/>
    <n v="152"/>
    <n v="117"/>
  </r>
  <r>
    <s v="India"/>
    <x v="24"/>
    <x v="186"/>
    <s v="NSI Kalyanpur, Kanpur - UPPCB"/>
    <x v="0"/>
    <n v="26.509954"/>
    <n v="80.249611999999999"/>
    <x v="3"/>
    <n v="2"/>
    <n v="2"/>
    <n v="2"/>
  </r>
  <r>
    <s v="India"/>
    <x v="24"/>
    <x v="186"/>
    <s v="Nehru Nagar, Kanpur - UPPCB"/>
    <x v="0"/>
    <n v="26.470313600000001"/>
    <n v="80.322986299999997"/>
    <x v="6"/>
    <n v="26"/>
    <n v="56"/>
    <n v="35"/>
  </r>
  <r>
    <s v="India"/>
    <x v="24"/>
    <x v="187"/>
    <s v="Sardar Patel Inter College, Baghpat - UPPCB"/>
    <x v="0"/>
    <n v="28.964949000000001"/>
    <n v="77.278761000000003"/>
    <x v="2"/>
    <n v="18"/>
    <n v="119"/>
    <n v="58"/>
  </r>
  <r>
    <s v="India"/>
    <x v="24"/>
    <x v="187"/>
    <s v="Sardar Patel Inter College, Baghpat - UPPCB"/>
    <x v="0"/>
    <n v="28.964949000000001"/>
    <n v="77.278761000000003"/>
    <x v="3"/>
    <n v="2"/>
    <n v="9"/>
    <n v="5"/>
  </r>
  <r>
    <s v="India"/>
    <x v="24"/>
    <x v="188"/>
    <s v="Kalindi Kunj, Khurja - UPPCB"/>
    <x v="0"/>
    <n v="28.2348927"/>
    <n v="77.868300199999993"/>
    <x v="1"/>
    <m/>
    <m/>
    <m/>
  </r>
  <r>
    <s v="India"/>
    <x v="24"/>
    <x v="188"/>
    <s v="Kalindi Kunj, Khurja - UPPCB"/>
    <x v="0"/>
    <n v="28.2348927"/>
    <n v="77.868300199999993"/>
    <x v="2"/>
    <n v="3"/>
    <n v="4"/>
    <n v="3"/>
  </r>
  <r>
    <s v="India"/>
    <x v="24"/>
    <x v="189"/>
    <s v="B R Ambedkar University, Lucknow - UPPCB"/>
    <x v="0"/>
    <n v="26.766432999999999"/>
    <n v="80.927299000000005"/>
    <x v="0"/>
    <n v="2"/>
    <n v="100"/>
    <n v="72"/>
  </r>
  <r>
    <s v="India"/>
    <x v="24"/>
    <x v="189"/>
    <s v="Kukrail Picnic Spot-1, Lucknow - UPPCB"/>
    <x v="0"/>
    <n v="26.907229999999998"/>
    <n v="80.985789999999994"/>
    <x v="5"/>
    <n v="18"/>
    <n v="122"/>
    <n v="44"/>
  </r>
  <r>
    <s v="India"/>
    <x v="24"/>
    <x v="189"/>
    <s v="Talkatora District Industries Center, Lucknow - CPCB"/>
    <x v="0"/>
    <n v="26.833997220000001"/>
    <n v="80.891736100000003"/>
    <x v="4"/>
    <n v="1"/>
    <n v="48"/>
    <n v="9"/>
  </r>
  <r>
    <s v="India"/>
    <x v="24"/>
    <x v="190"/>
    <s v="Ganga Nagar, Meerut - UPPCB"/>
    <x v="0"/>
    <n v="28.999264"/>
    <n v="77.759035400000002"/>
    <x v="6"/>
    <n v="18"/>
    <n v="103"/>
    <n v="48"/>
  </r>
  <r>
    <s v="India"/>
    <x v="24"/>
    <x v="190"/>
    <s v="Ganga Nagar, Meerut - UPPCB"/>
    <x v="0"/>
    <n v="28.999264"/>
    <n v="77.759035400000002"/>
    <x v="0"/>
    <n v="7"/>
    <n v="177"/>
    <n v="114"/>
  </r>
  <r>
    <s v="India"/>
    <x v="24"/>
    <x v="191"/>
    <s v="Buddhi Vihar, Moradabad - UPPCB"/>
    <x v="0"/>
    <n v="28.835260000000002"/>
    <n v="78.744600000000005"/>
    <x v="4"/>
    <m/>
    <m/>
    <m/>
  </r>
  <r>
    <s v="India"/>
    <x v="24"/>
    <x v="191"/>
    <s v="Buddhi Vihar, Moradabad - UPPCB"/>
    <x v="0"/>
    <n v="28.835260000000002"/>
    <n v="78.744600000000005"/>
    <x v="0"/>
    <n v="7"/>
    <n v="22"/>
    <n v="7"/>
  </r>
  <r>
    <s v="India"/>
    <x v="24"/>
    <x v="191"/>
    <s v="Eco Herbal Park, Moradabad - UPPCB"/>
    <x v="0"/>
    <n v="28.840738999999999"/>
    <n v="78.697530999999998"/>
    <x v="5"/>
    <n v="22"/>
    <n v="130"/>
    <n v="67"/>
  </r>
  <r>
    <s v="India"/>
    <x v="24"/>
    <x v="191"/>
    <s v="Eco Herbal Park, Moradabad - UPPCB"/>
    <x v="0"/>
    <n v="28.840738999999999"/>
    <n v="78.697530999999998"/>
    <x v="6"/>
    <n v="28"/>
    <n v="110"/>
    <n v="67"/>
  </r>
  <r>
    <s v="India"/>
    <x v="24"/>
    <x v="191"/>
    <s v="Jigar Colony, Moradabad - UPPCB"/>
    <x v="0"/>
    <n v="28.856663999999999"/>
    <n v="78.772638000000001"/>
    <x v="4"/>
    <n v="17"/>
    <n v="104"/>
    <n v="46"/>
  </r>
  <r>
    <s v="India"/>
    <x v="24"/>
    <x v="189"/>
    <s v="Gomti Nagar, Lucknow - UPPCB"/>
    <x v="0"/>
    <n v="26.868120000000001"/>
    <n v="81.005118999999993"/>
    <x v="0"/>
    <n v="37"/>
    <n v="52"/>
    <n v="49"/>
  </r>
  <r>
    <s v="India"/>
    <x v="24"/>
    <x v="189"/>
    <s v="Kendriya Vidyalaya, Lucknow - CPCB"/>
    <x v="0"/>
    <n v="26.906110999999999"/>
    <n v="80.948222000000001"/>
    <x v="1"/>
    <n v="100"/>
    <n v="268"/>
    <n v="138"/>
  </r>
  <r>
    <s v="India"/>
    <x v="24"/>
    <x v="190"/>
    <s v="Pallavpuram Phase 2, Meerut - UPPCB"/>
    <x v="0"/>
    <n v="29.063510000000001"/>
    <n v="77.709722999999997"/>
    <x v="4"/>
    <n v="17"/>
    <n v="78"/>
    <n v="40"/>
  </r>
  <r>
    <s v="India"/>
    <x v="24"/>
    <x v="191"/>
    <s v="Buddhi Vihar, Moradabad - UPPCB"/>
    <x v="0"/>
    <n v="28.835260000000002"/>
    <n v="78.744600000000005"/>
    <x v="1"/>
    <m/>
    <m/>
    <m/>
  </r>
  <r>
    <s v="India"/>
    <x v="24"/>
    <x v="190"/>
    <s v="Jai Bhim Nagar, Meerut - UPPCB"/>
    <x v="0"/>
    <n v="28.953588199999999"/>
    <n v="77.762294100000005"/>
    <x v="2"/>
    <n v="12"/>
    <n v="91"/>
    <n v="35"/>
  </r>
  <r>
    <s v="India"/>
    <x v="24"/>
    <x v="190"/>
    <s v="Jai Bhim Nagar, Meerut - UPPCB"/>
    <x v="0"/>
    <n v="28.953588199999999"/>
    <n v="77.762294100000005"/>
    <x v="6"/>
    <n v="19"/>
    <n v="104"/>
    <n v="44"/>
  </r>
  <r>
    <s v="India"/>
    <x v="24"/>
    <x v="192"/>
    <s v="Sector - 125, Noida - UPPCB"/>
    <x v="0"/>
    <n v="28.544760799999999"/>
    <n v="77.323125700000006"/>
    <x v="2"/>
    <n v="10"/>
    <n v="111"/>
    <n v="65"/>
  </r>
  <r>
    <s v="India"/>
    <x v="24"/>
    <x v="192"/>
    <s v="Sector - 125, Noida - UPPCB"/>
    <x v="0"/>
    <n v="28.544760799999999"/>
    <n v="77.323125700000006"/>
    <x v="0"/>
    <n v="1"/>
    <n v="159"/>
    <n v="81"/>
  </r>
  <r>
    <s v="India"/>
    <x v="24"/>
    <x v="191"/>
    <s v="Transport Nagar, Moradabad - UPPCB"/>
    <x v="0"/>
    <n v="28.802624999999999"/>
    <n v="78.753727999999995"/>
    <x v="2"/>
    <n v="27"/>
    <n v="27"/>
    <n v="27"/>
  </r>
  <r>
    <s v="India"/>
    <x v="24"/>
    <x v="192"/>
    <s v="Sector-116, Noida - UPPCB"/>
    <x v="0"/>
    <n v="28.569230000000001"/>
    <n v="77.393848000000006"/>
    <x v="6"/>
    <n v="4"/>
    <n v="151"/>
    <n v="150"/>
  </r>
  <r>
    <s v="India"/>
    <x v="24"/>
    <x v="193"/>
    <s v="Jhunsi, Prayagraj - UPPCB"/>
    <x v="0"/>
    <n v="25.425602000000001"/>
    <n v="81.917152000000002"/>
    <x v="3"/>
    <n v="5"/>
    <n v="5"/>
    <n v="5"/>
  </r>
  <r>
    <s v="India"/>
    <x v="24"/>
    <x v="194"/>
    <s v="Maldahiya, Varanasi - UPPCB"/>
    <x v="0"/>
    <n v="25.323930000000001"/>
    <n v="82.996870000000001"/>
    <x v="1"/>
    <n v="39"/>
    <n v="215"/>
    <n v="120"/>
  </r>
  <r>
    <s v="India"/>
    <x v="24"/>
    <x v="194"/>
    <s v="Maldahiya, Varanasi - UPPCB"/>
    <x v="0"/>
    <n v="25.323930000000001"/>
    <n v="82.996870000000001"/>
    <x v="2"/>
    <n v="2"/>
    <n v="4"/>
    <n v="2"/>
  </r>
  <r>
    <s v="India"/>
    <x v="24"/>
    <x v="195"/>
    <s v="Omex Eternity, Vrindavan - UPPCB"/>
    <x v="0"/>
    <n v="27.571408999999999"/>
    <n v="77.655756999999994"/>
    <x v="4"/>
    <n v="29"/>
    <n v="34"/>
    <n v="31"/>
  </r>
  <r>
    <s v="India"/>
    <x v="25"/>
    <x v="196"/>
    <s v="Doon University, Dehradun - UKPCB"/>
    <x v="0"/>
    <n v="30.269444"/>
    <n v="78.044167000000002"/>
    <x v="1"/>
    <n v="64"/>
    <n v="150"/>
    <n v="96"/>
  </r>
  <r>
    <s v="India"/>
    <x v="25"/>
    <x v="196"/>
    <s v="Doon University, Dehradun - UKPCB"/>
    <x v="0"/>
    <n v="30.269444"/>
    <n v="78.044167000000002"/>
    <x v="6"/>
    <n v="13"/>
    <n v="27"/>
    <n v="19"/>
  </r>
  <r>
    <s v="India"/>
    <x v="25"/>
    <x v="197"/>
    <s v="Govt. Girls Inter College, Kashipur - UKPCB"/>
    <x v="0"/>
    <n v="29.212411400000001"/>
    <n v="78.961175299999994"/>
    <x v="1"/>
    <n v="65"/>
    <n v="154"/>
    <n v="102"/>
  </r>
  <r>
    <s v="India"/>
    <x v="26"/>
    <x v="198"/>
    <s v="PCBL Residential Complex, Durgapur - WBPCB"/>
    <x v="0"/>
    <n v="23.508763999999999"/>
    <n v="87.354439999999997"/>
    <x v="2"/>
    <n v="8"/>
    <n v="32"/>
    <n v="19"/>
  </r>
  <r>
    <s v="India"/>
    <x v="26"/>
    <x v="198"/>
    <s v="PCBL Residential Complex, Durgapur - WBPCB"/>
    <x v="0"/>
    <n v="23.508763999999999"/>
    <n v="87.354439999999997"/>
    <x v="4"/>
    <n v="4"/>
    <n v="23"/>
    <n v="12"/>
  </r>
  <r>
    <s v="India"/>
    <x v="26"/>
    <x v="198"/>
    <s v="PCBL Residential Complex, Durgapur - WBPCB"/>
    <x v="0"/>
    <n v="23.508763999999999"/>
    <n v="87.354439999999997"/>
    <x v="0"/>
    <n v="12"/>
    <n v="96"/>
    <n v="63"/>
  </r>
  <r>
    <s v="India"/>
    <x v="26"/>
    <x v="199"/>
    <s v="Priyambada Housing Estate, Haldia - WBPCB"/>
    <x v="0"/>
    <n v="22.060469999999999"/>
    <n v="88.109736999999996"/>
    <x v="4"/>
    <n v="5"/>
    <n v="24"/>
    <n v="15"/>
  </r>
  <r>
    <s v="India"/>
    <x v="26"/>
    <x v="199"/>
    <s v="Priyambada Housing Estate, Haldia - WBPCB"/>
    <x v="0"/>
    <n v="22.060469999999999"/>
    <n v="88.109736999999996"/>
    <x v="6"/>
    <n v="23"/>
    <n v="31"/>
    <n v="24"/>
  </r>
  <r>
    <s v="India"/>
    <x v="26"/>
    <x v="200"/>
    <s v="Belur Math, Howrah - WBPCB"/>
    <x v="0"/>
    <n v="22.629801"/>
    <n v="88.352017000000004"/>
    <x v="1"/>
    <n v="49"/>
    <n v="111"/>
    <n v="71"/>
  </r>
  <r>
    <s v="India"/>
    <x v="26"/>
    <x v="201"/>
    <s v="Evelyn Lodge, Asansol - WBPCB"/>
    <x v="0"/>
    <n v="23.697935999999999"/>
    <n v="86.944395"/>
    <x v="5"/>
    <n v="62"/>
    <n v="271"/>
    <n v="130"/>
  </r>
  <r>
    <s v="India"/>
    <x v="26"/>
    <x v="201"/>
    <s v="Evelyn Lodge, Asansol - WBPCB"/>
    <x v="0"/>
    <n v="23.697935999999999"/>
    <n v="86.944395"/>
    <x v="0"/>
    <n v="3"/>
    <n v="79"/>
    <n v="55"/>
  </r>
  <r>
    <s v="India"/>
    <x v="26"/>
    <x v="202"/>
    <s v="SVSPA Campus, Barrackpore - WBPCB"/>
    <x v="0"/>
    <n v="22.760558100000001"/>
    <n v="88.361758899999998"/>
    <x v="1"/>
    <n v="42"/>
    <n v="101"/>
    <n v="84"/>
  </r>
  <r>
    <s v="India"/>
    <x v="26"/>
    <x v="202"/>
    <s v="SVSPA Campus, Barrackpore - WBPCB"/>
    <x v="0"/>
    <n v="22.760558100000001"/>
    <n v="88.361758899999998"/>
    <x v="0"/>
    <n v="9"/>
    <n v="66"/>
    <n v="37"/>
  </r>
  <r>
    <s v="India"/>
    <x v="26"/>
    <x v="198"/>
    <s v="Mahishkapur Road_B-Zone, Durgapur - WBPCB"/>
    <x v="0"/>
    <n v="23.567923"/>
    <n v="87.306843000000001"/>
    <x v="6"/>
    <n v="37"/>
    <n v="60"/>
    <n v="41"/>
  </r>
  <r>
    <s v="India"/>
    <x v="26"/>
    <x v="200"/>
    <s v="Botanical Garden, Howrah - WBPCB"/>
    <x v="0"/>
    <n v="22.554953999999999"/>
    <n v="88.292568000000003"/>
    <x v="1"/>
    <n v="34"/>
    <n v="95"/>
    <n v="73"/>
  </r>
  <r>
    <s v="India"/>
    <x v="26"/>
    <x v="200"/>
    <s v="Botanical Garden, Howrah - WBPCB"/>
    <x v="0"/>
    <n v="22.554953999999999"/>
    <n v="88.292568000000003"/>
    <x v="6"/>
    <n v="26"/>
    <n v="33"/>
    <n v="29"/>
  </r>
  <r>
    <s v="India"/>
    <x v="26"/>
    <x v="200"/>
    <s v="Dasnagar, Howrah - WBPCB"/>
    <x v="0"/>
    <n v="22.602557099999999"/>
    <n v="88.310566399999999"/>
    <x v="5"/>
    <n v="6"/>
    <n v="88"/>
    <n v="43"/>
  </r>
  <r>
    <s v="India"/>
    <x v="26"/>
    <x v="200"/>
    <s v="Dasnagar, Howrah - WBPCB"/>
    <x v="0"/>
    <n v="22.602557099999999"/>
    <n v="88.310566399999999"/>
    <x v="1"/>
    <n v="27"/>
    <n v="129"/>
    <n v="78"/>
  </r>
  <r>
    <s v="India"/>
    <x v="24"/>
    <x v="194"/>
    <s v="Bhelupur, Varanasi - UPPCB"/>
    <x v="0"/>
    <n v="25.301777999999999"/>
    <n v="82.996789000000007"/>
    <x v="5"/>
    <n v="9"/>
    <n v="74"/>
    <n v="40"/>
  </r>
  <r>
    <s v="India"/>
    <x v="24"/>
    <x v="194"/>
    <s v="Bhelupur, Varanasi - UPPCB"/>
    <x v="0"/>
    <n v="25.301777999999999"/>
    <n v="82.996789000000007"/>
    <x v="0"/>
    <n v="3"/>
    <n v="41"/>
    <n v="30"/>
  </r>
  <r>
    <s v="India"/>
    <x v="24"/>
    <x v="194"/>
    <s v="IESD Banaras Hindu University, Varanasi - UPPCB"/>
    <x v="0"/>
    <n v="25.262326000000002"/>
    <n v="82.995407999999998"/>
    <x v="4"/>
    <n v="15"/>
    <n v="40"/>
    <n v="22"/>
  </r>
  <r>
    <s v="India"/>
    <x v="26"/>
    <x v="201"/>
    <s v="Asansol Court Area, Asansol - WBPCB"/>
    <x v="0"/>
    <n v="23.685296999999998"/>
    <n v="86.945967999999993"/>
    <x v="6"/>
    <n v="29"/>
    <n v="116"/>
    <n v="44"/>
  </r>
  <r>
    <s v="India"/>
    <x v="24"/>
    <x v="194"/>
    <s v="Ardhali Bazar, Varanasi - UPPCB"/>
    <x v="0"/>
    <n v="25.350598600000001"/>
    <n v="82.908307399999998"/>
    <x v="6"/>
    <n v="4"/>
    <n v="39"/>
    <n v="9"/>
  </r>
  <r>
    <s v="India"/>
    <x v="26"/>
    <x v="203"/>
    <s v="Ballygunge, Kolkata - WBPCB"/>
    <x v="0"/>
    <n v="22.536750699999999"/>
    <n v="88.363802199999995"/>
    <x v="2"/>
    <n v="14"/>
    <n v="23"/>
    <n v="18"/>
  </r>
  <r>
    <s v="India"/>
    <x v="26"/>
    <x v="203"/>
    <s v="Ballygunge, Kolkata - WBPCB"/>
    <x v="0"/>
    <n v="22.536750699999999"/>
    <n v="88.363802199999995"/>
    <x v="0"/>
    <n v="13"/>
    <n v="72"/>
    <n v="35"/>
  </r>
  <r>
    <s v="India"/>
    <x v="26"/>
    <x v="203"/>
    <s v="Bidhannagar, Kolkata - WBPCB"/>
    <x v="0"/>
    <n v="22.58157048"/>
    <n v="88.410024570000004"/>
    <x v="5"/>
    <n v="34"/>
    <n v="52"/>
    <n v="42"/>
  </r>
  <r>
    <s v="India"/>
    <x v="26"/>
    <x v="203"/>
    <s v="Bidhannagar, Kolkata - WBPCB"/>
    <x v="0"/>
    <n v="22.58157048"/>
    <n v="88.410024570000004"/>
    <x v="6"/>
    <n v="21"/>
    <n v="24"/>
    <n v="22"/>
  </r>
  <r>
    <s v="India"/>
    <x v="26"/>
    <x v="203"/>
    <s v="Jadavpur, Kolkata - WBPCB"/>
    <x v="0"/>
    <n v="22.499289999999998"/>
    <n v="88.369169999999997"/>
    <x v="5"/>
    <n v="60"/>
    <n v="97"/>
    <n v="80"/>
  </r>
  <r>
    <s v="India"/>
    <x v="26"/>
    <x v="203"/>
    <s v="Jadavpur, Kolkata - WBPCB"/>
    <x v="0"/>
    <n v="22.499289999999998"/>
    <n v="88.369169999999997"/>
    <x v="0"/>
    <n v="15"/>
    <n v="83"/>
    <n v="42"/>
  </r>
  <r>
    <s v="India"/>
    <x v="26"/>
    <x v="203"/>
    <s v="Rabindra Bharati University, Kolkata - WBPCB"/>
    <x v="0"/>
    <n v="22.627846999999999"/>
    <n v="88.380668999999997"/>
    <x v="1"/>
    <n v="34"/>
    <n v="79"/>
    <n v="60"/>
  </r>
  <r>
    <s v="India"/>
    <x v="26"/>
    <x v="203"/>
    <s v="Rabindra Bharati University, Kolkata - WBPCB"/>
    <x v="0"/>
    <n v="22.627846999999999"/>
    <n v="88.380668999999997"/>
    <x v="4"/>
    <n v="10"/>
    <n v="13"/>
    <n v="11"/>
  </r>
  <r>
    <s v="India"/>
    <x v="26"/>
    <x v="203"/>
    <s v="Rabindra Bharati University, Kolkata - WBPCB"/>
    <x v="0"/>
    <n v="22.627846999999999"/>
    <n v="88.380668999999997"/>
    <x v="6"/>
    <n v="24"/>
    <n v="28"/>
    <n v="25"/>
  </r>
  <r>
    <s v="India"/>
    <x v="26"/>
    <x v="203"/>
    <s v="Rabindra Sarobar, Kolkata - WBPCB"/>
    <x v="0"/>
    <n v="22.511060000000001"/>
    <n v="88.351420000000005"/>
    <x v="4"/>
    <n v="3"/>
    <n v="37"/>
    <n v="16"/>
  </r>
  <r>
    <s v="India"/>
    <x v="26"/>
    <x v="203"/>
    <s v="Rabindra Sarobar, Kolkata - WBPCB"/>
    <x v="0"/>
    <n v="22.511060000000001"/>
    <n v="88.351420000000005"/>
    <x v="0"/>
    <n v="16"/>
    <n v="127"/>
    <n v="54"/>
  </r>
  <r>
    <s v="India"/>
    <x v="26"/>
    <x v="203"/>
    <s v="Victoria, Kolkata - WBPCB"/>
    <x v="0"/>
    <n v="22.544808199999999"/>
    <n v="88.340369100000004"/>
    <x v="2"/>
    <n v="24"/>
    <n v="29"/>
    <n v="26"/>
  </r>
  <r>
    <s v="India"/>
    <x v="26"/>
    <x v="203"/>
    <s v="Victoria, Kolkata - WBPCB"/>
    <x v="0"/>
    <n v="22.544808199999999"/>
    <n v="88.340369100000004"/>
    <x v="6"/>
    <n v="14"/>
    <n v="57"/>
    <n v="35"/>
  </r>
  <r>
    <s v="India"/>
    <x v="26"/>
    <x v="204"/>
    <s v="Ward-32 Bapupara, Siliguri - WBPCB"/>
    <x v="0"/>
    <n v="26.6879226"/>
    <n v="88.415249500000002"/>
    <x v="4"/>
    <n v="15"/>
    <n v="19"/>
    <n v="17"/>
  </r>
  <r>
    <s v="India"/>
    <x v="26"/>
    <x v="204"/>
    <s v="Ward-32 Bapupara, Siliguri - WBPCB"/>
    <x v="0"/>
    <n v="26.6879226"/>
    <n v="88.415249500000002"/>
    <x v="6"/>
    <n v="40"/>
    <n v="100"/>
    <n v="51"/>
  </r>
  <r>
    <s v="India"/>
    <x v="26"/>
    <x v="204"/>
    <s v="Ward-32 Bapupara, Siliguri - WBPCB"/>
    <x v="0"/>
    <n v="26.6879226"/>
    <n v="88.415249500000002"/>
    <x v="0"/>
    <n v="14"/>
    <n v="55"/>
    <n v="44"/>
  </r>
  <r>
    <s v="India"/>
    <x v="2"/>
    <x v="205"/>
    <s v="Anand Kala Kshetram, Rajamahendravaram - APPCB"/>
    <x v="0"/>
    <n v="16.987286699999999"/>
    <n v="81.736317600000007"/>
    <x v="0"/>
    <n v="6"/>
    <n v="9"/>
    <n v="7"/>
  </r>
  <r>
    <s v="India"/>
    <x v="2"/>
    <x v="10"/>
    <s v="Toll Gate, Tirumala - APPCB (Formerly known as Tirumala, Tirupati - APPCB)"/>
    <x v="0"/>
    <n v="13.67"/>
    <n v="79.349999999999994"/>
    <x v="2"/>
    <n v="12"/>
    <n v="25"/>
    <n v="18"/>
  </r>
  <r>
    <s v="India"/>
    <x v="2"/>
    <x v="10"/>
    <s v="Toll Gate, Tirumala - APPCB (Formerly known as Tirumala, Tirupati - APPCB)"/>
    <x v="0"/>
    <n v="13.67"/>
    <n v="79.349999999999994"/>
    <x v="4"/>
    <n v="3"/>
    <n v="13"/>
    <n v="7"/>
  </r>
  <r>
    <s v="India"/>
    <x v="2"/>
    <x v="11"/>
    <s v="Vaikuntapuram, Tirupati - APPCB"/>
    <x v="0"/>
    <n v="13.615387"/>
    <n v="79.409229999999994"/>
    <x v="2"/>
    <n v="3"/>
    <n v="3"/>
    <n v="3"/>
  </r>
  <r>
    <s v="India"/>
    <x v="2"/>
    <x v="11"/>
    <s v="Vaikuntapuram, Tirupati - APPCB"/>
    <x v="0"/>
    <n v="13.615387"/>
    <n v="79.409229999999994"/>
    <x v="3"/>
    <n v="3"/>
    <n v="3"/>
    <n v="3"/>
  </r>
  <r>
    <s v="India"/>
    <x v="2"/>
    <x v="11"/>
    <s v="Vaikuntapuram, Tirupati - APPCB"/>
    <x v="0"/>
    <n v="13.615387"/>
    <n v="79.409229999999994"/>
    <x v="4"/>
    <n v="10"/>
    <n v="11"/>
    <n v="10"/>
  </r>
  <r>
    <s v="India"/>
    <x v="2"/>
    <x v="7"/>
    <s v="HB Colony, Vijayawada - APPCB"/>
    <x v="0"/>
    <n v="16.536107000000001"/>
    <n v="80.594233000000003"/>
    <x v="5"/>
    <n v="47"/>
    <n v="65"/>
    <n v="54"/>
  </r>
  <r>
    <s v="India"/>
    <x v="2"/>
    <x v="7"/>
    <s v="HB Colony, Vijayawada - APPCB"/>
    <x v="0"/>
    <n v="16.536107000000001"/>
    <n v="80.594233000000003"/>
    <x v="4"/>
    <n v="6"/>
    <n v="8"/>
    <n v="7"/>
  </r>
  <r>
    <s v="India"/>
    <x v="1"/>
    <x v="5"/>
    <s v="New DM Office, Arrah - BSPCB"/>
    <x v="0"/>
    <n v="25.562609500000001"/>
    <n v="84.663263999999998"/>
    <x v="4"/>
    <m/>
    <m/>
    <m/>
  </r>
  <r>
    <s v="India"/>
    <x v="1"/>
    <x v="6"/>
    <s v="Gurdeo Nagar, Aurangabad - BSPCB"/>
    <x v="0"/>
    <n v="24.757459999999998"/>
    <n v="84.366208"/>
    <x v="2"/>
    <n v="2"/>
    <n v="3"/>
    <n v="2"/>
  </r>
  <r>
    <s v="India"/>
    <x v="1"/>
    <x v="6"/>
    <s v="Gurdeo Nagar, Aurangabad - BSPCB"/>
    <x v="0"/>
    <n v="24.757459999999998"/>
    <n v="84.366208"/>
    <x v="4"/>
    <n v="11"/>
    <n v="19"/>
    <n v="15"/>
  </r>
  <r>
    <s v="India"/>
    <x v="1"/>
    <x v="206"/>
    <s v="Lohiyanagar, Begusarai - BSPCB"/>
    <x v="0"/>
    <n v="25.427420229999999"/>
    <n v="86.138860789999995"/>
    <x v="1"/>
    <n v="86"/>
    <n v="211"/>
    <n v="140"/>
  </r>
  <r>
    <s v="India"/>
    <x v="1"/>
    <x v="206"/>
    <s v="Lohiyanagar, Begusarai - BSPCB"/>
    <x v="0"/>
    <n v="25.427420229999999"/>
    <n v="86.138860789999995"/>
    <x v="3"/>
    <n v="11"/>
    <n v="11"/>
    <n v="11"/>
  </r>
  <r>
    <s v="India"/>
    <x v="2"/>
    <x v="12"/>
    <s v="Gulzarpet, Anantapur - APPCB"/>
    <x v="0"/>
    <n v="14.675886"/>
    <n v="77.593027000000006"/>
    <x v="3"/>
    <n v="6"/>
    <n v="14"/>
    <n v="9"/>
  </r>
  <r>
    <s v="India"/>
    <x v="2"/>
    <x v="13"/>
    <s v="Gangineni Cheruvu, Chittoor - APPCB"/>
    <x v="0"/>
    <n v="13.204879999999999"/>
    <n v="79.097888999999995"/>
    <x v="6"/>
    <n v="7"/>
    <n v="34"/>
    <n v="9"/>
  </r>
  <r>
    <s v="India"/>
    <x v="2"/>
    <x v="207"/>
    <s v="Yerramukkapalli, Kadapa - APPCB"/>
    <x v="0"/>
    <n v="14.465052"/>
    <n v="78.824186999999995"/>
    <x v="3"/>
    <n v="4"/>
    <n v="5"/>
    <n v="5"/>
  </r>
  <r>
    <s v="India"/>
    <x v="2"/>
    <x v="7"/>
    <s v="Kanuru, Vijayawada - APPCB"/>
    <x v="0"/>
    <n v="16.486692000000001"/>
    <n v="80.699436000000006"/>
    <x v="0"/>
    <n v="26"/>
    <n v="43"/>
    <n v="30"/>
  </r>
  <r>
    <s v="India"/>
    <x v="2"/>
    <x v="7"/>
    <s v="Rajiv Gandhi Park, Vijayawada - APPCB"/>
    <x v="0"/>
    <n v="16.509716999999998"/>
    <n v="80.612222000000003"/>
    <x v="5"/>
    <n v="54"/>
    <n v="82"/>
    <n v="69"/>
  </r>
  <r>
    <s v="India"/>
    <x v="2"/>
    <x v="7"/>
    <s v="Rajiv Gandhi Park, Vijayawada - APPCB"/>
    <x v="0"/>
    <n v="16.509716999999998"/>
    <n v="80.612222000000003"/>
    <x v="3"/>
    <n v="2"/>
    <n v="5"/>
    <n v="3"/>
  </r>
  <r>
    <s v="India"/>
    <x v="1"/>
    <x v="14"/>
    <s v="Kamalnath Nagar, Bettiah - BSPCB"/>
    <x v="0"/>
    <n v="26.803650000000001"/>
    <n v="84.519540000000006"/>
    <x v="0"/>
    <n v="22"/>
    <n v="29"/>
    <n v="26"/>
  </r>
  <r>
    <s v="India"/>
    <x v="1"/>
    <x v="15"/>
    <s v="DM Office_Kachari Chowk, Bhagalpur - BSPCB"/>
    <x v="0"/>
    <n v="25.251013"/>
    <n v="86.989001000000002"/>
    <x v="4"/>
    <n v="28"/>
    <n v="53"/>
    <n v="41"/>
  </r>
  <r>
    <s v="India"/>
    <x v="2"/>
    <x v="208"/>
    <s v="Secretariat, Amaravati - APPCB"/>
    <x v="0"/>
    <n v="16.515083300000001"/>
    <n v="80.518166699999995"/>
    <x v="5"/>
    <n v="10"/>
    <n v="45"/>
    <n v="26"/>
  </r>
  <r>
    <s v="India"/>
    <x v="2"/>
    <x v="208"/>
    <s v="Secretariat, Amaravati - APPCB"/>
    <x v="0"/>
    <n v="16.515083300000001"/>
    <n v="80.518166699999995"/>
    <x v="3"/>
    <n v="1"/>
    <n v="3"/>
    <n v="2"/>
  </r>
  <r>
    <s v="India"/>
    <x v="0"/>
    <x v="16"/>
    <s v="LGBI Airport, Guwahati - PCBA"/>
    <x v="0"/>
    <n v="26.10887"/>
    <n v="91.589544000000004"/>
    <x v="2"/>
    <n v="18"/>
    <n v="23"/>
    <n v="21"/>
  </r>
  <r>
    <s v="India"/>
    <x v="0"/>
    <x v="16"/>
    <s v="LGBI Airport, Guwahati - PCBA"/>
    <x v="0"/>
    <n v="26.10887"/>
    <n v="91.589544000000004"/>
    <x v="3"/>
    <n v="15"/>
    <n v="23"/>
    <n v="17"/>
  </r>
  <r>
    <s v="India"/>
    <x v="2"/>
    <x v="8"/>
    <s v="GVM Corporation, Visakhapatnam - APPCB"/>
    <x v="0"/>
    <n v="17.72"/>
    <n v="83.3"/>
    <x v="0"/>
    <n v="8"/>
    <n v="18"/>
    <n v="11"/>
  </r>
  <r>
    <s v="India"/>
    <x v="0"/>
    <x v="3"/>
    <s v="Girls College, Sivasagar - PCBA"/>
    <x v="0"/>
    <n v="26.987634"/>
    <n v="94.636573999999996"/>
    <x v="1"/>
    <n v="36"/>
    <n v="95"/>
    <n v="56"/>
  </r>
  <r>
    <s v="India"/>
    <x v="0"/>
    <x v="0"/>
    <s v="Christianpatty, Nagaon - PCBA"/>
    <x v="0"/>
    <n v="26.349081999999999"/>
    <n v="92.684489999999997"/>
    <x v="4"/>
    <n v="3"/>
    <n v="23"/>
    <n v="13"/>
  </r>
  <r>
    <s v="India"/>
    <x v="1"/>
    <x v="18"/>
    <s v="Samanpura, Patna - BSPCB"/>
    <x v="0"/>
    <n v="25.596727000000001"/>
    <n v="85.085623999999996"/>
    <x v="6"/>
    <n v="3"/>
    <n v="103"/>
    <n v="18"/>
  </r>
  <r>
    <s v="India"/>
    <x v="1"/>
    <x v="19"/>
    <s v="Mariam Nagar, Purnia - BSPCB"/>
    <x v="0"/>
    <n v="25.366336"/>
    <n v="87.117468000000002"/>
    <x v="2"/>
    <n v="16"/>
    <n v="20"/>
    <n v="19"/>
  </r>
  <r>
    <s v="India"/>
    <x v="1"/>
    <x v="20"/>
    <s v="Dangi Tola, Rajgir - BSPCB"/>
    <x v="0"/>
    <n v="25.032800000000002"/>
    <n v="85.419479999999993"/>
    <x v="1"/>
    <m/>
    <m/>
    <m/>
  </r>
  <r>
    <s v="India"/>
    <x v="1"/>
    <x v="21"/>
    <s v="Police Line, Saharsa - BSPCB"/>
    <x v="0"/>
    <n v="25.892357000000001"/>
    <n v="86.590325000000007"/>
    <x v="1"/>
    <n v="82"/>
    <n v="189"/>
    <n v="126"/>
  </r>
  <r>
    <s v="India"/>
    <x v="1"/>
    <x v="21"/>
    <s v="Police Line, Saharsa - BSPCB"/>
    <x v="0"/>
    <n v="25.892357000000001"/>
    <n v="86.590325000000007"/>
    <x v="3"/>
    <n v="4"/>
    <n v="4"/>
    <n v="4"/>
  </r>
  <r>
    <s v="India"/>
    <x v="1"/>
    <x v="21"/>
    <s v="Police Line, Saharsa - BSPCB"/>
    <x v="0"/>
    <n v="25.892357000000001"/>
    <n v="86.590325000000007"/>
    <x v="6"/>
    <n v="4"/>
    <n v="58"/>
    <n v="18"/>
  </r>
  <r>
    <s v="India"/>
    <x v="1"/>
    <x v="31"/>
    <s v="DM Office_Kasipur, Samastipur - BSPCB"/>
    <x v="0"/>
    <n v="25.859655"/>
    <n v="85.779439999999994"/>
    <x v="1"/>
    <n v="55"/>
    <n v="184"/>
    <n v="114"/>
  </r>
  <r>
    <s v="India"/>
    <x v="1"/>
    <x v="31"/>
    <s v="DM Office_Kasipur, Samastipur - BSPCB"/>
    <x v="0"/>
    <n v="25.859655"/>
    <n v="85.779439999999994"/>
    <x v="2"/>
    <n v="1"/>
    <n v="2"/>
    <n v="1"/>
  </r>
  <r>
    <s v="India"/>
    <x v="1"/>
    <x v="31"/>
    <s v="DM Office_Kasipur, Samastipur - BSPCB"/>
    <x v="0"/>
    <n v="25.859655"/>
    <n v="85.779439999999994"/>
    <x v="3"/>
    <n v="2"/>
    <n v="2"/>
    <n v="2"/>
  </r>
  <r>
    <s v="India"/>
    <x v="1"/>
    <x v="28"/>
    <s v="Buddha Colony, Muzaffarpur - BSPCB"/>
    <x v="0"/>
    <n v="26.114419999999999"/>
    <n v="85.398129999999995"/>
    <x v="3"/>
    <n v="10"/>
    <n v="15"/>
    <n v="12"/>
  </r>
  <r>
    <s v="India"/>
    <x v="1"/>
    <x v="28"/>
    <s v="MIT-Daudpur Kothi, Muzaffarpur - BSPCB"/>
    <x v="0"/>
    <n v="26.140334500000002"/>
    <n v="85.365019200000006"/>
    <x v="2"/>
    <n v="17"/>
    <n v="17"/>
    <n v="17"/>
  </r>
  <r>
    <s v="India"/>
    <x v="1"/>
    <x v="28"/>
    <s v="Muzaffarpur Collectorate, Muzaffarpur - BSPCB"/>
    <x v="0"/>
    <n v="26.120899999999999"/>
    <n v="85.364699999999999"/>
    <x v="5"/>
    <n v="17"/>
    <n v="75"/>
    <n v="44"/>
  </r>
  <r>
    <s v="India"/>
    <x v="1"/>
    <x v="28"/>
    <s v="Muzaffarpur Collectorate, Muzaffarpur - BSPCB"/>
    <x v="0"/>
    <n v="26.120899999999999"/>
    <n v="85.364699999999999"/>
    <x v="2"/>
    <n v="3"/>
    <n v="9"/>
    <n v="7"/>
  </r>
  <r>
    <s v="India"/>
    <x v="1"/>
    <x v="28"/>
    <s v="Muzaffarpur Collectorate, Muzaffarpur - BSPCB"/>
    <x v="0"/>
    <n v="26.120899999999999"/>
    <n v="85.364699999999999"/>
    <x v="6"/>
    <n v="8"/>
    <n v="24"/>
    <n v="14"/>
  </r>
  <r>
    <s v="India"/>
    <x v="1"/>
    <x v="28"/>
    <s v="Muzaffarpur Collectorate, Muzaffarpur - BSPCB"/>
    <x v="0"/>
    <n v="26.120899999999999"/>
    <n v="85.364699999999999"/>
    <x v="0"/>
    <n v="16"/>
    <n v="93"/>
    <n v="51"/>
  </r>
  <r>
    <s v="India"/>
    <x v="1"/>
    <x v="18"/>
    <s v="DRM Office Danapur, Patna - BSPCB"/>
    <x v="0"/>
    <n v="25.586562000000001"/>
    <n v="85.043586000000005"/>
    <x v="5"/>
    <n v="86"/>
    <n v="400"/>
    <n v="190"/>
  </r>
  <r>
    <s v="India"/>
    <x v="1"/>
    <x v="18"/>
    <s v="DRM Office Danapur, Patna - BSPCB"/>
    <x v="0"/>
    <n v="25.586562000000001"/>
    <n v="85.043586000000005"/>
    <x v="2"/>
    <n v="27"/>
    <n v="35"/>
    <n v="32"/>
  </r>
  <r>
    <s v="India"/>
    <x v="1"/>
    <x v="18"/>
    <s v="IGSC Planetarium Complex, Patna - BSPCB"/>
    <x v="0"/>
    <n v="25.610368999999999"/>
    <n v="85.132568000000006"/>
    <x v="0"/>
    <n v="41"/>
    <n v="43"/>
    <n v="42"/>
  </r>
  <r>
    <s v="India"/>
    <x v="1"/>
    <x v="18"/>
    <s v="Muradpur, Patna - BSPCB"/>
    <x v="0"/>
    <n v="25.619651000000001"/>
    <n v="85.147381999999993"/>
    <x v="0"/>
    <n v="6"/>
    <n v="41"/>
    <n v="26"/>
  </r>
  <r>
    <s v="India"/>
    <x v="1"/>
    <x v="18"/>
    <s v="Rajbansi Nagar, Patna - BSPCB"/>
    <x v="0"/>
    <n v="25.599485999999999"/>
    <n v="85.113665999999995"/>
    <x v="4"/>
    <n v="1"/>
    <n v="3"/>
    <n v="1"/>
  </r>
  <r>
    <s v="India"/>
    <x v="1"/>
    <x v="18"/>
    <s v="Samanpura, Patna - BSPCB"/>
    <x v="0"/>
    <n v="25.596727000000001"/>
    <n v="85.085623999999996"/>
    <x v="5"/>
    <n v="67"/>
    <n v="275"/>
    <n v="152"/>
  </r>
  <r>
    <s v="India"/>
    <x v="1"/>
    <x v="18"/>
    <s v="Samanpura, Patna - BSPCB"/>
    <x v="0"/>
    <n v="25.596727000000001"/>
    <n v="85.085623999999996"/>
    <x v="2"/>
    <n v="40"/>
    <n v="51"/>
    <n v="45"/>
  </r>
  <r>
    <s v="India"/>
    <x v="1"/>
    <x v="18"/>
    <s v="Samanpura, Patna - BSPCB"/>
    <x v="0"/>
    <n v="25.596727000000001"/>
    <n v="85.085623999999996"/>
    <x v="3"/>
    <n v="6"/>
    <n v="7"/>
    <n v="6"/>
  </r>
  <r>
    <s v="India"/>
    <x v="1"/>
    <x v="26"/>
    <s v="SFTI Kusdihra, Gaya - BSPCB"/>
    <x v="0"/>
    <n v="24.762518"/>
    <n v="84.982348000000002"/>
    <x v="3"/>
    <n v="3"/>
    <n v="4"/>
    <n v="3"/>
  </r>
  <r>
    <s v="India"/>
    <x v="1"/>
    <x v="29"/>
    <s v="Industrial Area, Hajipur - BSPCB"/>
    <x v="0"/>
    <n v="25.697189000000002"/>
    <n v="85.245900000000006"/>
    <x v="3"/>
    <n v="6"/>
    <n v="8"/>
    <n v="7"/>
  </r>
  <r>
    <s v="India"/>
    <x v="1"/>
    <x v="29"/>
    <s v="Industrial Area, Hajipur - BSPCB"/>
    <x v="0"/>
    <n v="25.697189000000002"/>
    <n v="85.245900000000006"/>
    <x v="6"/>
    <n v="20"/>
    <n v="68"/>
    <n v="25"/>
  </r>
  <r>
    <s v="India"/>
    <x v="1"/>
    <x v="29"/>
    <s v="Industrial Area, Hajipur - BSPCB"/>
    <x v="0"/>
    <n v="25.697189000000002"/>
    <n v="85.245900000000006"/>
    <x v="0"/>
    <n v="20"/>
    <n v="186"/>
    <n v="117"/>
  </r>
  <r>
    <s v="India"/>
    <x v="1"/>
    <x v="30"/>
    <s v="Mirchaibari, Katihar - BSPCB"/>
    <x v="0"/>
    <n v="25.560082999999999"/>
    <n v="87.553264999999996"/>
    <x v="3"/>
    <n v="1"/>
    <n v="1"/>
    <n v="1"/>
  </r>
  <r>
    <s v="India"/>
    <x v="1"/>
    <x v="209"/>
    <s v="Gandak Colony, Motihari - BSPCB"/>
    <x v="0"/>
    <n v="26.630859999999998"/>
    <n v="84.900509999999997"/>
    <x v="1"/>
    <n v="20"/>
    <n v="150"/>
    <n v="69"/>
  </r>
  <r>
    <s v="India"/>
    <x v="1"/>
    <x v="209"/>
    <s v="Gandak Colony, Motihari - BSPCB"/>
    <x v="0"/>
    <n v="26.630859999999998"/>
    <n v="84.900509999999997"/>
    <x v="4"/>
    <n v="12"/>
    <n v="16"/>
    <n v="14"/>
  </r>
  <r>
    <s v="India"/>
    <x v="1"/>
    <x v="209"/>
    <s v="Gandak Colony, Motihari - BSPCB"/>
    <x v="0"/>
    <n v="26.630859999999998"/>
    <n v="84.900509999999997"/>
    <x v="0"/>
    <n v="12"/>
    <n v="17"/>
    <n v="15"/>
  </r>
  <r>
    <s v="India"/>
    <x v="1"/>
    <x v="24"/>
    <s v="Town Hall, Munger - BSPCB"/>
    <x v="0"/>
    <n v="25.376776"/>
    <n v="86.471523000000005"/>
    <x v="0"/>
    <n v="1"/>
    <n v="7"/>
    <n v="5"/>
  </r>
  <r>
    <s v="India"/>
    <x v="1"/>
    <x v="23"/>
    <s v="Forest Rest House, Manguraha - BSPCB"/>
    <x v="0"/>
    <n v="27.308327999999999"/>
    <n v="84.531741999999994"/>
    <x v="1"/>
    <n v="66"/>
    <n v="228"/>
    <n v="122"/>
  </r>
  <r>
    <s v="India"/>
    <x v="1"/>
    <x v="23"/>
    <s v="Forest Rest House, Manguraha - BSPCB"/>
    <x v="0"/>
    <n v="27.308327999999999"/>
    <n v="84.531741999999994"/>
    <x v="2"/>
    <n v="7"/>
    <n v="13"/>
    <n v="9"/>
  </r>
  <r>
    <s v="India"/>
    <x v="1"/>
    <x v="23"/>
    <s v="Forest Rest House, Manguraha - BSPCB"/>
    <x v="0"/>
    <n v="27.308327999999999"/>
    <n v="84.531741999999994"/>
    <x v="3"/>
    <n v="1"/>
    <n v="2"/>
    <n v="1"/>
  </r>
  <r>
    <s v="India"/>
    <x v="1"/>
    <x v="15"/>
    <s v="Mayaganj, Bhagalpur - BSPCB"/>
    <x v="0"/>
    <n v="25.265194000000001"/>
    <n v="87.012946999999997"/>
    <x v="6"/>
    <n v="20"/>
    <n v="35"/>
    <n v="28"/>
  </r>
  <r>
    <s v="India"/>
    <x v="1"/>
    <x v="27"/>
    <s v="Charitra Van, Buxar - BSPCB"/>
    <x v="0"/>
    <n v="25.567519999999998"/>
    <n v="83.966379000000003"/>
    <x v="3"/>
    <n v="4"/>
    <n v="4"/>
    <n v="4"/>
  </r>
  <r>
    <s v="India"/>
    <x v="1"/>
    <x v="25"/>
    <s v="Darshan Nagar, Chhapra - BSPCB"/>
    <x v="0"/>
    <n v="25.780825700000001"/>
    <n v="84.744676799999993"/>
    <x v="1"/>
    <m/>
    <m/>
    <m/>
  </r>
  <r>
    <s v="India"/>
    <x v="1"/>
    <x v="15"/>
    <s v="Mayaganj, Bhagalpur - BSPCB"/>
    <x v="0"/>
    <n v="25.265194000000001"/>
    <n v="87.012946999999997"/>
    <x v="3"/>
    <n v="4"/>
    <n v="4"/>
    <n v="4"/>
  </r>
  <r>
    <s v="India"/>
    <x v="6"/>
    <x v="39"/>
    <s v="Alipur, Delhi - DPCC"/>
    <x v="0"/>
    <n v="28.815328999999998"/>
    <n v="77.153009999999995"/>
    <x v="2"/>
    <n v="22"/>
    <n v="102"/>
    <n v="55"/>
  </r>
  <r>
    <s v="India"/>
    <x v="6"/>
    <x v="39"/>
    <s v="Alipur, Delhi - DPCC"/>
    <x v="0"/>
    <n v="28.815328999999998"/>
    <n v="77.153009999999995"/>
    <x v="4"/>
    <n v="7"/>
    <n v="105"/>
    <n v="34"/>
  </r>
  <r>
    <s v="India"/>
    <x v="6"/>
    <x v="39"/>
    <s v="Anand Vihar, Delhi - DPCC"/>
    <x v="0"/>
    <n v="28.647621999999998"/>
    <n v="77.315809000000002"/>
    <x v="3"/>
    <n v="1"/>
    <n v="10"/>
    <n v="6"/>
  </r>
  <r>
    <s v="India"/>
    <x v="6"/>
    <x v="39"/>
    <s v="Anand Vihar, Delhi - DPCC"/>
    <x v="0"/>
    <n v="28.647621999999998"/>
    <n v="77.315809000000002"/>
    <x v="0"/>
    <n v="1"/>
    <n v="44"/>
    <n v="20"/>
  </r>
  <r>
    <s v="India"/>
    <x v="6"/>
    <x v="39"/>
    <s v="Ashok Vihar, Delhi - DPCC"/>
    <x v="0"/>
    <n v="28.695381000000001"/>
    <n v="77.181664999999995"/>
    <x v="5"/>
    <n v="50"/>
    <n v="402"/>
    <n v="216"/>
  </r>
  <r>
    <s v="India"/>
    <x v="6"/>
    <x v="39"/>
    <s v="Ashok Vihar, Delhi - DPCC"/>
    <x v="0"/>
    <n v="28.695381000000001"/>
    <n v="77.181664999999995"/>
    <x v="1"/>
    <n v="103"/>
    <n v="403"/>
    <n v="219"/>
  </r>
  <r>
    <s v="India"/>
    <x v="6"/>
    <x v="39"/>
    <s v="Ashok Vihar, Delhi - DPCC"/>
    <x v="0"/>
    <n v="28.695381000000001"/>
    <n v="77.181664999999995"/>
    <x v="4"/>
    <n v="13"/>
    <n v="91"/>
    <n v="39"/>
  </r>
  <r>
    <s v="India"/>
    <x v="6"/>
    <x v="39"/>
    <s v="Ashok Vihar, Delhi - DPCC"/>
    <x v="0"/>
    <n v="28.695381000000001"/>
    <n v="77.181664999999995"/>
    <x v="6"/>
    <n v="11"/>
    <n v="119"/>
    <n v="48"/>
  </r>
  <r>
    <s v="India"/>
    <x v="6"/>
    <x v="39"/>
    <s v="Bawana, Delhi - DPCC"/>
    <x v="0"/>
    <n v="28.776199999999999"/>
    <n v="77.051074"/>
    <x v="2"/>
    <n v="9"/>
    <n v="99"/>
    <n v="44"/>
  </r>
  <r>
    <s v="India"/>
    <x v="4"/>
    <x v="35"/>
    <s v="Rampur, Korba - CECB"/>
    <x v="0"/>
    <n v="22.368195"/>
    <n v="82.746431000000001"/>
    <x v="6"/>
    <m/>
    <m/>
    <m/>
  </r>
  <r>
    <s v="India"/>
    <x v="4"/>
    <x v="35"/>
    <s v="Urja Nagar, Korba - CECB"/>
    <x v="0"/>
    <n v="22.348441000000001"/>
    <n v="82.549610999999999"/>
    <x v="6"/>
    <n v="15"/>
    <n v="101"/>
    <n v="28"/>
  </r>
  <r>
    <s v="India"/>
    <x v="4"/>
    <x v="210"/>
    <s v="OP Jindal School, Kunjemura - CECB"/>
    <x v="0"/>
    <n v="22.126650000000001"/>
    <n v="83.483211999999995"/>
    <x v="1"/>
    <n v="72"/>
    <n v="242"/>
    <n v="114"/>
  </r>
  <r>
    <s v="India"/>
    <x v="4"/>
    <x v="211"/>
    <s v="Govt. Higher Secondary School, Milupara - CECB"/>
    <x v="0"/>
    <n v="22.191017200000001"/>
    <n v="83.519700900000004"/>
    <x v="1"/>
    <n v="60"/>
    <n v="166"/>
    <n v="103"/>
  </r>
  <r>
    <s v="India"/>
    <x v="4"/>
    <x v="211"/>
    <s v="Govt. Higher Secondary School, Milupara - CECB"/>
    <x v="0"/>
    <n v="22.191017200000001"/>
    <n v="83.519700900000004"/>
    <x v="2"/>
    <n v="14"/>
    <n v="89"/>
    <n v="47"/>
  </r>
  <r>
    <s v="India"/>
    <x v="5"/>
    <x v="38"/>
    <s v="Sector-25, Chandigarh - CPCC"/>
    <x v="0"/>
    <n v="30.751462"/>
    <n v="76.762878999999998"/>
    <x v="5"/>
    <n v="39"/>
    <n v="120"/>
    <n v="80"/>
  </r>
  <r>
    <s v="India"/>
    <x v="5"/>
    <x v="38"/>
    <s v="Sector-25, Chandigarh - CPCC"/>
    <x v="0"/>
    <n v="30.751462"/>
    <n v="76.762878999999998"/>
    <x v="4"/>
    <n v="2"/>
    <n v="8"/>
    <n v="6"/>
  </r>
  <r>
    <s v="India"/>
    <x v="5"/>
    <x v="38"/>
    <s v="Sector-25, Chandigarh - CPCC"/>
    <x v="0"/>
    <n v="30.751462"/>
    <n v="76.762878999999998"/>
    <x v="6"/>
    <n v="11"/>
    <n v="40"/>
    <n v="17"/>
  </r>
  <r>
    <s v="India"/>
    <x v="5"/>
    <x v="38"/>
    <s v="Sector-25, Chandigarh - CPCC"/>
    <x v="0"/>
    <n v="30.751462"/>
    <n v="76.762878999999998"/>
    <x v="0"/>
    <n v="2"/>
    <n v="80"/>
    <n v="53"/>
  </r>
  <r>
    <s v="India"/>
    <x v="4"/>
    <x v="32"/>
    <s v="32Bungalows, Bhilai - CECB"/>
    <x v="0"/>
    <n v="21.194814999999998"/>
    <n v="81.314769999999996"/>
    <x v="3"/>
    <n v="3"/>
    <n v="4"/>
    <n v="4"/>
  </r>
  <r>
    <s v="India"/>
    <x v="1"/>
    <x v="36"/>
    <s v="Dada Peer, Sasaram - BSPCB"/>
    <x v="0"/>
    <n v="24.952822000000001"/>
    <n v="84.002396000000005"/>
    <x v="3"/>
    <n v="3"/>
    <n v="3"/>
    <n v="3"/>
  </r>
  <r>
    <s v="India"/>
    <x v="1"/>
    <x v="36"/>
    <s v="Dada Peer, Sasaram - BSPCB"/>
    <x v="0"/>
    <n v="24.952822000000001"/>
    <n v="84.002396000000005"/>
    <x v="0"/>
    <n v="3"/>
    <n v="15"/>
    <n v="8"/>
  </r>
  <r>
    <s v="India"/>
    <x v="1"/>
    <x v="37"/>
    <s v="Chitragupta Nagar, Siwan - BSPCB"/>
    <x v="0"/>
    <n v="26.227166499999999"/>
    <n v="84.357042699999994"/>
    <x v="5"/>
    <m/>
    <m/>
    <m/>
  </r>
  <r>
    <s v="India"/>
    <x v="1"/>
    <x v="37"/>
    <s v="Chitragupta Nagar, Siwan - BSPCB"/>
    <x v="0"/>
    <n v="26.227166499999999"/>
    <n v="84.357042699999994"/>
    <x v="1"/>
    <m/>
    <m/>
    <m/>
  </r>
  <r>
    <s v="India"/>
    <x v="1"/>
    <x v="37"/>
    <s v="Chitragupta Nagar, Siwan - BSPCB"/>
    <x v="0"/>
    <n v="26.227166499999999"/>
    <n v="84.357042699999994"/>
    <x v="0"/>
    <n v="3"/>
    <n v="103"/>
    <n v="27"/>
  </r>
  <r>
    <s v="India"/>
    <x v="4"/>
    <x v="211"/>
    <s v="Govt. Higher Secondary School, Milupara - CECB"/>
    <x v="0"/>
    <n v="22.191017200000001"/>
    <n v="83.519700900000004"/>
    <x v="0"/>
    <n v="13"/>
    <n v="35"/>
    <n v="27"/>
  </r>
  <r>
    <s v="India"/>
    <x v="4"/>
    <x v="40"/>
    <s v="AIIMS, Raipur - CECB"/>
    <x v="0"/>
    <n v="21.258814999999998"/>
    <n v="81.578979000000004"/>
    <x v="3"/>
    <n v="7"/>
    <n v="7"/>
    <n v="7"/>
  </r>
  <r>
    <s v="India"/>
    <x v="4"/>
    <x v="40"/>
    <s v="Bhatagaon New ISBT, Raipur - CECB"/>
    <x v="0"/>
    <n v="21.219664999999999"/>
    <n v="81.630094"/>
    <x v="6"/>
    <n v="20"/>
    <n v="78"/>
    <n v="33"/>
  </r>
  <r>
    <s v="India"/>
    <x v="4"/>
    <x v="32"/>
    <s v="Civic Center, Bhilai - Bhilai Steel Plant"/>
    <x v="0"/>
    <n v="21.185570999999999"/>
    <n v="81.343175000000002"/>
    <x v="2"/>
    <n v="6"/>
    <n v="9"/>
    <n v="8"/>
  </r>
  <r>
    <s v="India"/>
    <x v="4"/>
    <x v="32"/>
    <s v="Hathkhoj, Bhilai - CECB"/>
    <x v="0"/>
    <n v="21.224231"/>
    <n v="81.408349999999999"/>
    <x v="3"/>
    <n v="3"/>
    <n v="5"/>
    <n v="4"/>
  </r>
  <r>
    <s v="India"/>
    <x v="4"/>
    <x v="32"/>
    <s v="Hathkhoj, Bhilai - CECB"/>
    <x v="0"/>
    <n v="21.224231"/>
    <n v="81.408349999999999"/>
    <x v="4"/>
    <n v="7"/>
    <n v="32"/>
    <n v="16"/>
  </r>
  <r>
    <s v="India"/>
    <x v="4"/>
    <x v="32"/>
    <s v="Hathkhoj, Bhilai - CECB"/>
    <x v="0"/>
    <n v="21.224231"/>
    <n v="81.408349999999999"/>
    <x v="0"/>
    <n v="18"/>
    <n v="35"/>
    <n v="26"/>
  </r>
  <r>
    <s v="India"/>
    <x v="4"/>
    <x v="212"/>
    <s v="OP Jindal Industrial Park, Tumidih - CECB"/>
    <x v="0"/>
    <n v="22.06631475"/>
    <n v="83.33820077"/>
    <x v="1"/>
    <n v="41"/>
    <n v="435"/>
    <n v="147"/>
  </r>
  <r>
    <s v="India"/>
    <x v="4"/>
    <x v="212"/>
    <s v="OP Jindal Industrial Park, Tumidih - CECB"/>
    <x v="0"/>
    <n v="22.06631475"/>
    <n v="83.33820077"/>
    <x v="2"/>
    <n v="17"/>
    <n v="87"/>
    <n v="50"/>
  </r>
  <r>
    <s v="India"/>
    <x v="4"/>
    <x v="212"/>
    <s v="OP Jindal Industrial Park, Tumidih - CECB"/>
    <x v="0"/>
    <n v="22.06631475"/>
    <n v="83.33820077"/>
    <x v="4"/>
    <n v="6"/>
    <n v="10"/>
    <n v="7"/>
  </r>
  <r>
    <s v="India"/>
    <x v="4"/>
    <x v="40"/>
    <s v="Siltara Phase-II, Raipur - CECB"/>
    <x v="0"/>
    <n v="21.371751"/>
    <n v="81.664929000000001"/>
    <x v="5"/>
    <n v="46"/>
    <n v="304"/>
    <n v="101"/>
  </r>
  <r>
    <s v="India"/>
    <x v="4"/>
    <x v="40"/>
    <s v="Krishak Nagar, Raipur - CECB"/>
    <x v="0"/>
    <n v="21.237755"/>
    <n v="81.705301000000006"/>
    <x v="1"/>
    <n v="43"/>
    <n v="69"/>
    <n v="56"/>
  </r>
  <r>
    <s v="India"/>
    <x v="6"/>
    <x v="39"/>
    <s v="Burari Crossing, Delhi - IMD"/>
    <x v="0"/>
    <n v="28.725650399999999"/>
    <n v="77.201157300000006"/>
    <x v="2"/>
    <n v="15"/>
    <n v="25"/>
    <n v="20"/>
  </r>
  <r>
    <s v="India"/>
    <x v="6"/>
    <x v="39"/>
    <s v="CRRI Mathura Road, Delhi - IMD"/>
    <x v="0"/>
    <n v="28.5512005"/>
    <n v="77.2735737"/>
    <x v="1"/>
    <n v="82"/>
    <n v="415"/>
    <n v="213"/>
  </r>
  <r>
    <s v="India"/>
    <x v="6"/>
    <x v="39"/>
    <s v="Chandni Chowk, Delhi - IITM"/>
    <x v="0"/>
    <n v="28.656756000000001"/>
    <n v="77.227233999999996"/>
    <x v="5"/>
    <n v="70"/>
    <n v="245"/>
    <n v="114"/>
  </r>
  <r>
    <s v="India"/>
    <x v="6"/>
    <x v="39"/>
    <s v="Chandni Chowk, Delhi - IITM"/>
    <x v="0"/>
    <n v="28.656756000000001"/>
    <n v="77.227233999999996"/>
    <x v="1"/>
    <n v="15"/>
    <n v="276"/>
    <n v="164"/>
  </r>
  <r>
    <s v="India"/>
    <x v="6"/>
    <x v="39"/>
    <s v="DTU, Delhi - CPCB"/>
    <x v="0"/>
    <n v="28.7500499"/>
    <n v="77.111261499999998"/>
    <x v="1"/>
    <n v="83"/>
    <n v="453"/>
    <n v="225"/>
  </r>
  <r>
    <s v="India"/>
    <x v="6"/>
    <x v="39"/>
    <s v="DTU, Delhi - CPCB"/>
    <x v="0"/>
    <n v="28.7500499"/>
    <n v="77.111261499999998"/>
    <x v="2"/>
    <n v="42"/>
    <n v="55"/>
    <n v="47"/>
  </r>
  <r>
    <s v="India"/>
    <x v="6"/>
    <x v="39"/>
    <s v="DTU, Delhi - CPCB"/>
    <x v="0"/>
    <n v="28.7500499"/>
    <n v="77.111261499999998"/>
    <x v="6"/>
    <n v="24"/>
    <n v="49"/>
    <n v="30"/>
  </r>
  <r>
    <s v="India"/>
    <x v="6"/>
    <x v="39"/>
    <s v="Dwarka-Sector 8, Delhi - DPCC "/>
    <x v="0"/>
    <n v="28.571027399999998"/>
    <n v="77.071900600000006"/>
    <x v="2"/>
    <n v="7"/>
    <n v="27"/>
    <n v="16"/>
  </r>
  <r>
    <s v="India"/>
    <x v="6"/>
    <x v="39"/>
    <s v="Dwarka-Sector 8, Delhi - DPCC "/>
    <x v="0"/>
    <n v="28.571027399999998"/>
    <n v="77.071900600000006"/>
    <x v="3"/>
    <n v="11"/>
    <n v="22"/>
    <n v="14"/>
  </r>
  <r>
    <s v="India"/>
    <x v="6"/>
    <x v="39"/>
    <s v="Mundka, Delhi - DPCC"/>
    <x v="0"/>
    <n v="28.684678000000002"/>
    <n v="77.076573999999994"/>
    <x v="2"/>
    <n v="38"/>
    <n v="103"/>
    <n v="66"/>
  </r>
  <r>
    <s v="India"/>
    <x v="6"/>
    <x v="39"/>
    <s v="NSIT Dwarka, Delhi - CPCB"/>
    <x v="0"/>
    <n v="28.609089999999998"/>
    <n v="77.032541300000005"/>
    <x v="1"/>
    <n v="81"/>
    <n v="437"/>
    <n v="175"/>
  </r>
  <r>
    <s v="India"/>
    <x v="6"/>
    <x v="39"/>
    <s v="NSIT Dwarka, Delhi - CPCB"/>
    <x v="0"/>
    <n v="28.609089999999998"/>
    <n v="77.032541300000005"/>
    <x v="2"/>
    <n v="44"/>
    <n v="47"/>
    <n v="46"/>
  </r>
  <r>
    <s v="India"/>
    <x v="6"/>
    <x v="39"/>
    <s v="Najafgarh, Delhi - DPCC"/>
    <x v="0"/>
    <n v="28.570173"/>
    <n v="76.933762000000002"/>
    <x v="3"/>
    <n v="8"/>
    <n v="12"/>
    <n v="10"/>
  </r>
  <r>
    <s v="India"/>
    <x v="6"/>
    <x v="39"/>
    <s v="Najafgarh, Delhi - DPCC"/>
    <x v="0"/>
    <n v="28.570173"/>
    <n v="76.933762000000002"/>
    <x v="0"/>
    <n v="2"/>
    <n v="226"/>
    <n v="150"/>
  </r>
  <r>
    <s v="India"/>
    <x v="6"/>
    <x v="39"/>
    <s v="Narela, Delhi - DPCC"/>
    <x v="0"/>
    <n v="28.822835999999999"/>
    <n v="77.101980999999995"/>
    <x v="5"/>
    <n v="47"/>
    <n v="408"/>
    <n v="232"/>
  </r>
  <r>
    <s v="India"/>
    <x v="6"/>
    <x v="39"/>
    <s v="Narela, Delhi - DPCC"/>
    <x v="0"/>
    <n v="28.822835999999999"/>
    <n v="77.101980999999995"/>
    <x v="2"/>
    <n v="10"/>
    <n v="78"/>
    <n v="28"/>
  </r>
  <r>
    <s v="India"/>
    <x v="6"/>
    <x v="39"/>
    <s v="Narela, Delhi - DPCC"/>
    <x v="0"/>
    <n v="28.822835999999999"/>
    <n v="77.101980999999995"/>
    <x v="4"/>
    <n v="19"/>
    <n v="61"/>
    <n v="33"/>
  </r>
  <r>
    <s v="India"/>
    <x v="6"/>
    <x v="39"/>
    <s v="Nehru Nagar, Delhi - DPCC"/>
    <x v="0"/>
    <n v="28.567889999999998"/>
    <n v="77.250514999999993"/>
    <x v="5"/>
    <n v="47"/>
    <n v="325"/>
    <n v="169"/>
  </r>
  <r>
    <s v="India"/>
    <x v="6"/>
    <x v="39"/>
    <s v="Lodhi Road, Delhi - IMD"/>
    <x v="0"/>
    <n v="28.591824500000001"/>
    <n v="77.227307400000001"/>
    <x v="5"/>
    <m/>
    <m/>
    <m/>
  </r>
  <r>
    <s v="India"/>
    <x v="6"/>
    <x v="39"/>
    <s v="Lodhi Road, Delhi - IMD"/>
    <x v="0"/>
    <n v="28.591824500000001"/>
    <n v="77.227307400000001"/>
    <x v="6"/>
    <n v="18"/>
    <n v="26"/>
    <n v="19"/>
  </r>
  <r>
    <s v="India"/>
    <x v="6"/>
    <x v="39"/>
    <s v="Major Dhyan Chand National Stadium, Delhi - DPCC"/>
    <x v="0"/>
    <n v="28.611281000000002"/>
    <n v="77.237737999999993"/>
    <x v="5"/>
    <n v="73"/>
    <n v="342"/>
    <n v="196"/>
  </r>
  <r>
    <s v="India"/>
    <x v="6"/>
    <x v="39"/>
    <s v="Major Dhyan Chand National Stadium, Delhi - DPCC"/>
    <x v="0"/>
    <n v="28.611281000000002"/>
    <n v="77.237737999999993"/>
    <x v="2"/>
    <n v="15"/>
    <n v="157"/>
    <n v="85"/>
  </r>
  <r>
    <s v="India"/>
    <x v="6"/>
    <x v="39"/>
    <s v="Mandir Marg, Delhi - DPCC"/>
    <x v="0"/>
    <n v="28.636429"/>
    <n v="77.201066999999995"/>
    <x v="5"/>
    <n v="22"/>
    <n v="336"/>
    <n v="129"/>
  </r>
  <r>
    <s v="India"/>
    <x v="6"/>
    <x v="39"/>
    <s v="Mandir Marg, Delhi - DPCC"/>
    <x v="0"/>
    <n v="28.636429"/>
    <n v="77.201066999999995"/>
    <x v="1"/>
    <n v="58"/>
    <n v="218"/>
    <n v="121"/>
  </r>
  <r>
    <s v="India"/>
    <x v="6"/>
    <x v="39"/>
    <s v="Mandir Marg, Delhi - DPCC"/>
    <x v="0"/>
    <n v="28.636429"/>
    <n v="77.201066999999995"/>
    <x v="2"/>
    <n v="142"/>
    <n v="179"/>
    <n v="154"/>
  </r>
  <r>
    <s v="India"/>
    <x v="6"/>
    <x v="39"/>
    <s v="Dwarka-Sector 8, Delhi - DPCC "/>
    <x v="0"/>
    <n v="28.571027399999998"/>
    <n v="77.071900600000006"/>
    <x v="0"/>
    <n v="5"/>
    <n v="106"/>
    <n v="58"/>
  </r>
  <r>
    <s v="India"/>
    <x v="6"/>
    <x v="39"/>
    <s v="IGI Airport (T3), Delhi - IMD"/>
    <x v="0"/>
    <n v="28.562776299999999"/>
    <n v="77.118005299999993"/>
    <x v="5"/>
    <n v="22"/>
    <n v="184"/>
    <n v="75"/>
  </r>
  <r>
    <s v="India"/>
    <x v="6"/>
    <x v="39"/>
    <s v="IGI Airport (T3), Delhi - IMD"/>
    <x v="0"/>
    <n v="28.562776299999999"/>
    <n v="77.118005299999993"/>
    <x v="2"/>
    <n v="64"/>
    <n v="141"/>
    <n v="106"/>
  </r>
  <r>
    <s v="India"/>
    <x v="6"/>
    <x v="39"/>
    <s v="IGI Airport (T3), Delhi - IMD"/>
    <x v="0"/>
    <n v="28.562776299999999"/>
    <n v="77.118005299999993"/>
    <x v="6"/>
    <n v="34"/>
    <n v="108"/>
    <n v="51"/>
  </r>
  <r>
    <s v="India"/>
    <x v="6"/>
    <x v="39"/>
    <s v="IHBAS, Dilshad Garden, Delhi - CPCB"/>
    <x v="0"/>
    <n v="28.681173600000001"/>
    <n v="77.302523399999998"/>
    <x v="3"/>
    <n v="10"/>
    <n v="15"/>
    <n v="12"/>
  </r>
  <r>
    <s v="India"/>
    <x v="6"/>
    <x v="39"/>
    <s v="ITO, Delhi - CPCB"/>
    <x v="0"/>
    <n v="28.628623999999999"/>
    <n v="77.241060000000004"/>
    <x v="5"/>
    <n v="54"/>
    <n v="343"/>
    <n v="169"/>
  </r>
  <r>
    <s v="India"/>
    <x v="6"/>
    <x v="39"/>
    <s v="Pusa, Delhi - DPCC"/>
    <x v="0"/>
    <n v="28.639652000000002"/>
    <n v="77.146275000000003"/>
    <x v="4"/>
    <n v="14"/>
    <n v="60"/>
    <n v="28"/>
  </r>
  <r>
    <s v="India"/>
    <x v="6"/>
    <x v="39"/>
    <s v="Pusa, Delhi - DPCC"/>
    <x v="0"/>
    <n v="28.639652000000002"/>
    <n v="77.146275000000003"/>
    <x v="6"/>
    <n v="1"/>
    <n v="59"/>
    <n v="26"/>
  </r>
  <r>
    <s v="India"/>
    <x v="6"/>
    <x v="39"/>
    <s v="R K Puram, Delhi - DPCC"/>
    <x v="0"/>
    <n v="28.563262000000002"/>
    <n v="77.186937"/>
    <x v="6"/>
    <n v="2"/>
    <n v="146"/>
    <n v="48"/>
  </r>
  <r>
    <s v="India"/>
    <x v="6"/>
    <x v="39"/>
    <s v="Rohini, Delhi - DPCC"/>
    <x v="0"/>
    <n v="28.732527999999999"/>
    <n v="77.119919999999993"/>
    <x v="0"/>
    <n v="3"/>
    <n v="172"/>
    <n v="84"/>
  </r>
  <r>
    <s v="India"/>
    <x v="6"/>
    <x v="39"/>
    <s v="Shadipur, Delhi - CPCB"/>
    <x v="0"/>
    <n v="28.651478099999999"/>
    <n v="77.147310500000003"/>
    <x v="5"/>
    <n v="192"/>
    <n v="500"/>
    <n v="328"/>
  </r>
  <r>
    <s v="India"/>
    <x v="6"/>
    <x v="39"/>
    <s v="Shadipur, Delhi - CPCB"/>
    <x v="0"/>
    <n v="28.651478099999999"/>
    <n v="77.147310500000003"/>
    <x v="1"/>
    <n v="124"/>
    <n v="500"/>
    <n v="228"/>
  </r>
  <r>
    <s v="India"/>
    <x v="6"/>
    <x v="39"/>
    <s v="Shadipur, Delhi - CPCB"/>
    <x v="0"/>
    <n v="28.651478099999999"/>
    <n v="77.147310500000003"/>
    <x v="6"/>
    <n v="26"/>
    <n v="79"/>
    <n v="46"/>
  </r>
  <r>
    <s v="India"/>
    <x v="6"/>
    <x v="39"/>
    <s v="North Campus, DU, Delhi - IMD"/>
    <x v="0"/>
    <n v="28.657381399999998"/>
    <n v="77.158544699999993"/>
    <x v="2"/>
    <n v="13"/>
    <n v="125"/>
    <n v="66"/>
  </r>
  <r>
    <s v="India"/>
    <x v="6"/>
    <x v="39"/>
    <s v="Patparganj, Delhi - DPCC"/>
    <x v="0"/>
    <n v="28.623763"/>
    <n v="77.287209000000004"/>
    <x v="1"/>
    <n v="103"/>
    <n v="390"/>
    <n v="190"/>
  </r>
  <r>
    <s v="India"/>
    <x v="6"/>
    <x v="39"/>
    <s v="Patparganj, Delhi - DPCC"/>
    <x v="0"/>
    <n v="28.623763"/>
    <n v="77.287209000000004"/>
    <x v="2"/>
    <n v="19"/>
    <n v="140"/>
    <n v="76"/>
  </r>
  <r>
    <s v="India"/>
    <x v="6"/>
    <x v="39"/>
    <s v="Patparganj, Delhi - DPCC"/>
    <x v="0"/>
    <n v="28.623763"/>
    <n v="77.287209000000004"/>
    <x v="4"/>
    <n v="8"/>
    <n v="12"/>
    <n v="10"/>
  </r>
  <r>
    <s v="India"/>
    <x v="6"/>
    <x v="39"/>
    <s v="Punjabi Bagh, Delhi - DPCC"/>
    <x v="0"/>
    <n v="28.674045"/>
    <n v="77.131022999999999"/>
    <x v="0"/>
    <n v="1"/>
    <n v="305"/>
    <n v="125"/>
  </r>
  <r>
    <s v="India"/>
    <x v="6"/>
    <x v="39"/>
    <s v="Pusa, Delhi - DPCC"/>
    <x v="0"/>
    <n v="28.639652000000002"/>
    <n v="77.146275000000003"/>
    <x v="1"/>
    <n v="86"/>
    <n v="233"/>
    <n v="150"/>
  </r>
  <r>
    <s v="India"/>
    <x v="6"/>
    <x v="39"/>
    <s v="Sonia Vihar, Delhi - DPCC"/>
    <x v="0"/>
    <n v="28.710508000000001"/>
    <n v="77.249485000000007"/>
    <x v="5"/>
    <n v="33"/>
    <n v="343"/>
    <n v="139"/>
  </r>
  <r>
    <s v="India"/>
    <x v="6"/>
    <x v="39"/>
    <s v="Sonia Vihar, Delhi - DPCC"/>
    <x v="0"/>
    <n v="28.710508000000001"/>
    <n v="77.249485000000007"/>
    <x v="1"/>
    <n v="69"/>
    <n v="443"/>
    <n v="177"/>
  </r>
  <r>
    <s v="India"/>
    <x v="6"/>
    <x v="39"/>
    <s v="Sonia Vihar, Delhi - DPCC"/>
    <x v="0"/>
    <n v="28.710508000000001"/>
    <n v="77.249485000000007"/>
    <x v="3"/>
    <n v="5"/>
    <n v="7"/>
    <n v="6"/>
  </r>
  <r>
    <s v="India"/>
    <x v="6"/>
    <x v="39"/>
    <s v="Sonia Vihar, Delhi - DPCC"/>
    <x v="0"/>
    <n v="28.710508000000001"/>
    <n v="77.249485000000007"/>
    <x v="6"/>
    <n v="22"/>
    <n v="100"/>
    <n v="34"/>
  </r>
  <r>
    <s v="India"/>
    <x v="6"/>
    <x v="39"/>
    <s v="Jawaharlal Nehru Stadium, Delhi - DPCC"/>
    <x v="0"/>
    <n v="28.580279999999998"/>
    <n v="77.233829"/>
    <x v="2"/>
    <n v="97"/>
    <n v="221"/>
    <n v="161"/>
  </r>
  <r>
    <s v="India"/>
    <x v="6"/>
    <x v="39"/>
    <s v="Sri Aurobindo Marg, Delhi - DPCC"/>
    <x v="0"/>
    <n v="28.531345999999999"/>
    <n v="77.190156000000002"/>
    <x v="1"/>
    <n v="102"/>
    <n v="244"/>
    <n v="154"/>
  </r>
  <r>
    <s v="India"/>
    <x v="7"/>
    <x v="213"/>
    <s v="Phase-1 GIDC, Vapi - GPCB"/>
    <x v="0"/>
    <n v="20.362421000000001"/>
    <n v="72.918013000000002"/>
    <x v="4"/>
    <n v="36"/>
    <n v="38"/>
    <n v="37"/>
  </r>
  <r>
    <s v="India"/>
    <x v="7"/>
    <x v="214"/>
    <s v="Phase-4 GIDC, Vatva - GPCB"/>
    <x v="0"/>
    <n v="22.969611"/>
    <n v="72.643500000000003"/>
    <x v="5"/>
    <n v="30"/>
    <n v="313"/>
    <n v="102"/>
  </r>
  <r>
    <s v="India"/>
    <x v="7"/>
    <x v="214"/>
    <s v="Phase-4 GIDC, Vatva - GPCB"/>
    <x v="0"/>
    <n v="22.969611"/>
    <n v="72.643500000000003"/>
    <x v="6"/>
    <n v="53"/>
    <n v="107"/>
    <n v="63"/>
  </r>
  <r>
    <s v="India"/>
    <x v="11"/>
    <x v="46"/>
    <s v="NISE Gwal Pahari, Gurugram - IMD"/>
    <x v="0"/>
    <n v="28.422681000000001"/>
    <n v="77.148944"/>
    <x v="6"/>
    <n v="11"/>
    <n v="42"/>
    <n v="19"/>
  </r>
  <r>
    <s v="India"/>
    <x v="11"/>
    <x v="47"/>
    <s v="Amity University, Panchgaon - IITM"/>
    <x v="0"/>
    <n v="28.315300000000001"/>
    <n v="76.914299999999997"/>
    <x v="1"/>
    <n v="20"/>
    <n v="48"/>
    <n v="37"/>
  </r>
  <r>
    <s v="India"/>
    <x v="11"/>
    <x v="47"/>
    <s v="Amity University, Panchgaon - IITM"/>
    <x v="0"/>
    <n v="28.315300000000001"/>
    <n v="76.914299999999997"/>
    <x v="2"/>
    <n v="33"/>
    <n v="80"/>
    <n v="48"/>
  </r>
  <r>
    <s v="India"/>
    <x v="8"/>
    <x v="42"/>
    <s v="HIMUDA Complex Phase-1, Baddi - HPPCB"/>
    <x v="0"/>
    <n v="30.943887"/>
    <n v="76.801991000000001"/>
    <x v="5"/>
    <n v="17"/>
    <n v="203"/>
    <n v="91"/>
  </r>
  <r>
    <s v="India"/>
    <x v="8"/>
    <x v="42"/>
    <s v="HIMUDA Complex Phase-1, Baddi - HPPCB"/>
    <x v="0"/>
    <n v="30.943887"/>
    <n v="76.801991000000001"/>
    <x v="1"/>
    <n v="62"/>
    <n v="288"/>
    <n v="124"/>
  </r>
  <r>
    <s v="India"/>
    <x v="10"/>
    <x v="215"/>
    <s v="Ramteerth Nagar, Belgaum - KSPCB"/>
    <x v="0"/>
    <n v="15.888653"/>
    <n v="74.541751000000005"/>
    <x v="5"/>
    <n v="23"/>
    <n v="33"/>
    <n v="27"/>
  </r>
  <r>
    <s v="India"/>
    <x v="10"/>
    <x v="215"/>
    <s v="Ramteerth Nagar, Belgaum - KSPCB"/>
    <x v="0"/>
    <n v="15.888653"/>
    <n v="74.541751000000005"/>
    <x v="0"/>
    <n v="19"/>
    <n v="20"/>
    <n v="19"/>
  </r>
  <r>
    <s v="India"/>
    <x v="10"/>
    <x v="45"/>
    <s v="BTM Layout, Bengaluru - CPCB"/>
    <x v="0"/>
    <n v="12.9135218"/>
    <n v="77.595080400000001"/>
    <x v="2"/>
    <m/>
    <m/>
    <m/>
  </r>
  <r>
    <s v="India"/>
    <x v="10"/>
    <x v="45"/>
    <s v="Bapuji Nagar, Bengaluru - KSPCB"/>
    <x v="0"/>
    <n v="12.951912999999999"/>
    <n v="77.539783999999997"/>
    <x v="2"/>
    <n v="5"/>
    <n v="15"/>
    <n v="8"/>
  </r>
  <r>
    <s v="India"/>
    <x v="10"/>
    <x v="45"/>
    <s v="Bapuji Nagar, Bengaluru - KSPCB"/>
    <x v="0"/>
    <n v="12.951912999999999"/>
    <n v="77.539783999999997"/>
    <x v="0"/>
    <n v="27"/>
    <n v="168"/>
    <n v="82"/>
  </r>
  <r>
    <s v="India"/>
    <x v="10"/>
    <x v="45"/>
    <s v="City Railway Station, Bengaluru - KSPCB"/>
    <x v="0"/>
    <n v="12.975684299999999"/>
    <n v="77.566074900000004"/>
    <x v="2"/>
    <n v="31"/>
    <n v="36"/>
    <n v="33"/>
  </r>
  <r>
    <s v="India"/>
    <x v="10"/>
    <x v="45"/>
    <s v="Hebbal, Bengaluru - KSPCB"/>
    <x v="0"/>
    <n v="13.029152"/>
    <n v="77.585901000000007"/>
    <x v="6"/>
    <n v="4"/>
    <n v="37"/>
    <n v="24"/>
  </r>
  <r>
    <s v="India"/>
    <x v="10"/>
    <x v="45"/>
    <s v="Hebbal, Bengaluru - KSPCB"/>
    <x v="0"/>
    <n v="13.029152"/>
    <n v="77.585901000000007"/>
    <x v="0"/>
    <n v="6"/>
    <n v="28"/>
    <n v="18"/>
  </r>
  <r>
    <s v="India"/>
    <x v="8"/>
    <x v="42"/>
    <s v="HIMUDA Complex Phase-1, Baddi - HPPCB"/>
    <x v="0"/>
    <n v="30.943887"/>
    <n v="76.801991000000001"/>
    <x v="2"/>
    <n v="6"/>
    <n v="86"/>
    <n v="27"/>
  </r>
  <r>
    <s v="India"/>
    <x v="8"/>
    <x v="42"/>
    <s v="HIMUDA Complex Phase-1, Baddi - HPPCB"/>
    <x v="0"/>
    <n v="30.943887"/>
    <n v="76.801991000000001"/>
    <x v="3"/>
    <n v="5"/>
    <n v="8"/>
    <n v="7"/>
  </r>
  <r>
    <s v="India"/>
    <x v="9"/>
    <x v="43"/>
    <s v="Rajbagh, Srinagar - JKSPCB"/>
    <x v="0"/>
    <n v="34.066206000000001"/>
    <n v="74.819820000000007"/>
    <x v="5"/>
    <n v="39"/>
    <n v="83"/>
    <n v="62"/>
  </r>
  <r>
    <s v="India"/>
    <x v="9"/>
    <x v="43"/>
    <s v="Rajbagh, Srinagar - JKSPCB"/>
    <x v="0"/>
    <n v="34.066206000000001"/>
    <n v="74.819820000000007"/>
    <x v="2"/>
    <n v="21"/>
    <n v="21"/>
    <n v="21"/>
  </r>
  <r>
    <s v="India"/>
    <x v="27"/>
    <x v="216"/>
    <s v="Sardar Patel Nagar, Dhanbad - JSPCB"/>
    <x v="0"/>
    <n v="23.805689999999998"/>
    <n v="86.442679999999996"/>
    <x v="1"/>
    <n v="103"/>
    <n v="283"/>
    <n v="165"/>
  </r>
  <r>
    <s v="India"/>
    <x v="10"/>
    <x v="44"/>
    <s v="Vidayagiri, Bagalkot - KSPCB"/>
    <x v="0"/>
    <n v="16.172806000000001"/>
    <n v="75.659694000000002"/>
    <x v="5"/>
    <n v="33"/>
    <n v="34"/>
    <n v="34"/>
  </r>
  <r>
    <s v="India"/>
    <x v="10"/>
    <x v="44"/>
    <s v="Vidayagiri, Bagalkot - KSPCB"/>
    <x v="0"/>
    <n v="16.172806000000001"/>
    <n v="75.659694000000002"/>
    <x v="2"/>
    <n v="9"/>
    <n v="10"/>
    <n v="9"/>
  </r>
  <r>
    <s v="India"/>
    <x v="7"/>
    <x v="49"/>
    <s v="IIPHG Lekawada, Gandhinagar - IITM"/>
    <x v="0"/>
    <n v="23.243639000000002"/>
    <n v="72.689940000000007"/>
    <x v="5"/>
    <n v="48"/>
    <n v="253"/>
    <n v="118"/>
  </r>
  <r>
    <s v="India"/>
    <x v="7"/>
    <x v="49"/>
    <s v="Sector-10, Gandhinagar - GPCB"/>
    <x v="0"/>
    <n v="23.221713999999999"/>
    <n v="72.654328000000007"/>
    <x v="3"/>
    <n v="5"/>
    <n v="6"/>
    <n v="5"/>
  </r>
  <r>
    <s v="India"/>
    <x v="7"/>
    <x v="49"/>
    <s v="Sector-10, Gandhinagar - GPCB"/>
    <x v="0"/>
    <n v="23.221713999999999"/>
    <n v="72.654328000000007"/>
    <x v="4"/>
    <n v="5"/>
    <n v="7"/>
    <n v="6"/>
  </r>
  <r>
    <s v="India"/>
    <x v="7"/>
    <x v="217"/>
    <s v="GIDC, Nandesari - Nandesari Ind. Association"/>
    <x v="0"/>
    <n v="22.410802"/>
    <n v="73.097922999999994"/>
    <x v="5"/>
    <n v="2"/>
    <n v="8"/>
    <n v="4"/>
  </r>
  <r>
    <s v="India"/>
    <x v="7"/>
    <x v="50"/>
    <s v="Science Center, Surat - SMC"/>
    <x v="0"/>
    <n v="21.170045999999999"/>
    <n v="72.795405000000002"/>
    <x v="2"/>
    <m/>
    <m/>
    <m/>
  </r>
  <r>
    <s v="India"/>
    <x v="7"/>
    <x v="213"/>
    <s v="Phase-1 GIDC, Vapi - GPCB"/>
    <x v="0"/>
    <n v="20.362421000000001"/>
    <n v="72.918013000000002"/>
    <x v="2"/>
    <n v="13"/>
    <n v="14"/>
    <n v="14"/>
  </r>
  <r>
    <s v="India"/>
    <x v="7"/>
    <x v="41"/>
    <s v="Raikhad, Ahmedabad - IITM"/>
    <x v="0"/>
    <n v="23.020509000000001"/>
    <n v="72.579261000000002"/>
    <x v="1"/>
    <n v="8"/>
    <n v="181"/>
    <n v="81"/>
  </r>
  <r>
    <s v="India"/>
    <x v="7"/>
    <x v="41"/>
    <s v="Rakhial, Ahmedabad - IITM"/>
    <x v="0"/>
    <n v="23.016833999999999"/>
    <n v="72.625775000000004"/>
    <x v="6"/>
    <n v="2"/>
    <n v="164"/>
    <n v="164"/>
  </r>
  <r>
    <s v="India"/>
    <x v="7"/>
    <x v="41"/>
    <s v="SAC ISRO Bopal, Ahmedabad - IITM"/>
    <x v="0"/>
    <n v="23.041136999999999"/>
    <n v="72.456691000000006"/>
    <x v="2"/>
    <n v="8"/>
    <n v="22"/>
    <n v="13"/>
  </r>
  <r>
    <s v="India"/>
    <x v="7"/>
    <x v="41"/>
    <s v="SAC ISRO Bopal, Ahmedabad - IITM"/>
    <x v="0"/>
    <n v="23.041136999999999"/>
    <n v="72.456691000000006"/>
    <x v="4"/>
    <n v="1"/>
    <n v="2"/>
    <n v="1"/>
  </r>
  <r>
    <s v="India"/>
    <x v="7"/>
    <x v="41"/>
    <s v="SAC ISRO Bopal, Ahmedabad - IITM"/>
    <x v="0"/>
    <n v="23.041136999999999"/>
    <n v="72.456691000000006"/>
    <x v="0"/>
    <n v="4"/>
    <n v="37"/>
    <n v="33"/>
  </r>
  <r>
    <s v="India"/>
    <x v="7"/>
    <x v="41"/>
    <s v="SVPI Airport Hansol, Ahmedabad - IITM"/>
    <x v="0"/>
    <n v="23.076792999999999"/>
    <n v="72.627874000000006"/>
    <x v="2"/>
    <n v="6"/>
    <n v="69"/>
    <n v="26"/>
  </r>
  <r>
    <s v="India"/>
    <x v="7"/>
    <x v="41"/>
    <s v="SVPI Airport Hansol, Ahmedabad - IITM"/>
    <x v="0"/>
    <n v="23.076792999999999"/>
    <n v="72.627874000000006"/>
    <x v="3"/>
    <n v="3"/>
    <n v="9"/>
    <n v="6"/>
  </r>
  <r>
    <s v="India"/>
    <x v="6"/>
    <x v="39"/>
    <s v="Wazirpur, Delhi - DPCC"/>
    <x v="0"/>
    <n v="28.699793"/>
    <n v="77.165452999999999"/>
    <x v="0"/>
    <n v="5"/>
    <n v="303"/>
    <n v="120"/>
  </r>
  <r>
    <s v="India"/>
    <x v="7"/>
    <x v="41"/>
    <s v="Chandkheda, Ahmedabad - IITM"/>
    <x v="0"/>
    <n v="23.107969000000001"/>
    <n v="72.574647999999996"/>
    <x v="3"/>
    <n v="3"/>
    <n v="9"/>
    <n v="4"/>
  </r>
  <r>
    <s v="India"/>
    <x v="7"/>
    <x v="41"/>
    <s v="Gyaspur, Ahmedabad - IITM"/>
    <x v="0"/>
    <n v="22.977134"/>
    <n v="72.553023999999994"/>
    <x v="1"/>
    <n v="52"/>
    <n v="373"/>
    <n v="163"/>
  </r>
  <r>
    <s v="India"/>
    <x v="7"/>
    <x v="41"/>
    <s v="Gyaspur, Ahmedabad - IITM"/>
    <x v="0"/>
    <n v="22.977134"/>
    <n v="72.553023999999994"/>
    <x v="2"/>
    <n v="7"/>
    <n v="87"/>
    <n v="38"/>
  </r>
  <r>
    <s v="India"/>
    <x v="7"/>
    <x v="41"/>
    <s v="Sardar Vallabhbhai Patel Stadium, Ahmedabad - IITM"/>
    <x v="0"/>
    <n v="23.04307"/>
    <n v="72.562967999999998"/>
    <x v="1"/>
    <n v="50"/>
    <n v="126"/>
    <n v="75"/>
  </r>
  <r>
    <s v="India"/>
    <x v="7"/>
    <x v="48"/>
    <s v="GIDC, Ankleshwar - GPCB"/>
    <x v="0"/>
    <n v="21.613267"/>
    <n v="73.010554999999997"/>
    <x v="3"/>
    <n v="7"/>
    <n v="8"/>
    <n v="7"/>
  </r>
  <r>
    <s v="India"/>
    <x v="6"/>
    <x v="39"/>
    <s v="Vivek Vihar, Delhi - DPCC"/>
    <x v="0"/>
    <n v="28.672342"/>
    <n v="77.315259999999995"/>
    <x v="3"/>
    <n v="1"/>
    <n v="5"/>
    <n v="4"/>
  </r>
  <r>
    <s v="India"/>
    <x v="6"/>
    <x v="39"/>
    <s v="Wazirpur, Delhi - DPCC"/>
    <x v="0"/>
    <n v="28.699793"/>
    <n v="77.165452999999999"/>
    <x v="1"/>
    <m/>
    <m/>
    <m/>
  </r>
  <r>
    <s v="India"/>
    <x v="6"/>
    <x v="39"/>
    <s v="Wazirpur, Delhi - DPCC"/>
    <x v="0"/>
    <n v="28.699793"/>
    <n v="77.165452999999999"/>
    <x v="3"/>
    <n v="10"/>
    <n v="21"/>
    <n v="14"/>
  </r>
  <r>
    <s v="India"/>
    <x v="7"/>
    <x v="41"/>
    <s v="Maninagar, Ahmedabad - GPCB"/>
    <x v="0"/>
    <n v="23.002656999999999"/>
    <n v="72.591911999999994"/>
    <x v="6"/>
    <n v="10"/>
    <n v="92"/>
    <n v="47"/>
  </r>
  <r>
    <s v="India"/>
    <x v="10"/>
    <x v="56"/>
    <s v="Kalyana Nagara, Chikkamagaluru - KSPCB"/>
    <x v="0"/>
    <n v="13.328028"/>
    <n v="75.797055999999998"/>
    <x v="0"/>
    <n v="12"/>
    <n v="41"/>
    <n v="15"/>
  </r>
  <r>
    <s v="India"/>
    <x v="10"/>
    <x v="57"/>
    <s v="Devaraj Urs Badavane, Davanagere - KSPCB"/>
    <x v="0"/>
    <n v="14.4758"/>
    <n v="75.905199999999994"/>
    <x v="3"/>
    <n v="2"/>
    <n v="3"/>
    <n v="2"/>
  </r>
  <r>
    <s v="India"/>
    <x v="10"/>
    <x v="58"/>
    <s v="Kalabhavan, Dharwad - KSPCB"/>
    <x v="0"/>
    <n v="15.459706000000001"/>
    <n v="75.008381"/>
    <x v="5"/>
    <n v="46"/>
    <n v="68"/>
    <n v="50"/>
  </r>
  <r>
    <s v="India"/>
    <x v="10"/>
    <x v="58"/>
    <s v="Kalabhavan, Dharwad - KSPCB"/>
    <x v="0"/>
    <n v="15.459706000000001"/>
    <n v="75.008381"/>
    <x v="1"/>
    <n v="50"/>
    <n v="80"/>
    <n v="56"/>
  </r>
  <r>
    <s v="India"/>
    <x v="10"/>
    <x v="51"/>
    <s v="Panchal Nagar, Gadag - KSPCB"/>
    <x v="0"/>
    <n v="15.411455999999999"/>
    <n v="75.638132999999996"/>
    <x v="1"/>
    <n v="30"/>
    <n v="57"/>
    <n v="42"/>
  </r>
  <r>
    <s v="India"/>
    <x v="10"/>
    <x v="51"/>
    <s v="Panchal Nagar, Gadag - KSPCB"/>
    <x v="0"/>
    <n v="15.411455999999999"/>
    <n v="75.638132999999996"/>
    <x v="0"/>
    <n v="18"/>
    <n v="71"/>
    <n v="56"/>
  </r>
  <r>
    <s v="India"/>
    <x v="10"/>
    <x v="52"/>
    <s v="Ashwini Nagar, Haveri - KSPCB"/>
    <x v="0"/>
    <n v="14.7918"/>
    <n v="75.389600000000002"/>
    <x v="2"/>
    <m/>
    <m/>
    <m/>
  </r>
  <r>
    <s v="India"/>
    <x v="10"/>
    <x v="53"/>
    <s v="Lingaraj Nagar, Hubballi - KSPCB"/>
    <x v="0"/>
    <n v="15.3714823"/>
    <n v="75.116016799999997"/>
    <x v="1"/>
    <n v="46"/>
    <n v="47"/>
    <n v="47"/>
  </r>
  <r>
    <s v="India"/>
    <x v="10"/>
    <x v="53"/>
    <s v="Lingaraj Nagar, Hubballi - KSPCB"/>
    <x v="0"/>
    <n v="15.3714823"/>
    <n v="75.116016799999997"/>
    <x v="6"/>
    <n v="6"/>
    <n v="19"/>
    <n v="8"/>
  </r>
  <r>
    <s v="India"/>
    <x v="10"/>
    <x v="54"/>
    <s v="Lal Bahadur Shastri Nagar, Kalaburagi - KSPCB"/>
    <x v="0"/>
    <n v="17.321992999999999"/>
    <n v="76.822627999999995"/>
    <x v="0"/>
    <n v="23"/>
    <n v="70"/>
    <n v="59"/>
  </r>
  <r>
    <s v="India"/>
    <x v="10"/>
    <x v="54"/>
    <s v="Mahatma Basaveswar Colony, Kalaburgi - KSPCB"/>
    <x v="0"/>
    <n v="17.336317999999999"/>
    <n v="76.847397000000001"/>
    <x v="6"/>
    <n v="31"/>
    <n v="80"/>
    <n v="44"/>
  </r>
  <r>
    <s v="India"/>
    <x v="10"/>
    <x v="218"/>
    <s v="Diwator Nagar, Koppal - KSPCB"/>
    <x v="0"/>
    <n v="15.347630000000001"/>
    <n v="76.181766999999994"/>
    <x v="5"/>
    <n v="11"/>
    <n v="51"/>
    <n v="25"/>
  </r>
  <r>
    <s v="India"/>
    <x v="10"/>
    <x v="45"/>
    <s v="Kasturi Nagar, Bengaluru - KSPCB"/>
    <x v="0"/>
    <n v="13.003871999999999"/>
    <n v="77.664216999999994"/>
    <x v="2"/>
    <n v="20"/>
    <n v="23"/>
    <n v="22"/>
  </r>
  <r>
    <s v="India"/>
    <x v="10"/>
    <x v="45"/>
    <s v="Kasturi Nagar, Bengaluru - KSPCB"/>
    <x v="0"/>
    <n v="13.003871999999999"/>
    <n v="77.664216999999994"/>
    <x v="3"/>
    <n v="2"/>
    <n v="2"/>
    <n v="2"/>
  </r>
  <r>
    <s v="India"/>
    <x v="10"/>
    <x v="45"/>
    <s v="Peenya, Bengaluru - CPCB"/>
    <x v="0"/>
    <n v="13.027019900000001"/>
    <n v="77.494094000000004"/>
    <x v="6"/>
    <n v="23"/>
    <n v="70"/>
    <n v="44"/>
  </r>
  <r>
    <s v="India"/>
    <x v="10"/>
    <x v="45"/>
    <s v="RVCE-Mailasandra, Bengaluru - KSPCB"/>
    <x v="0"/>
    <n v="12.921417999999999"/>
    <n v="77.502465999999998"/>
    <x v="2"/>
    <n v="18"/>
    <n v="21"/>
    <n v="20"/>
  </r>
  <r>
    <s v="India"/>
    <x v="10"/>
    <x v="45"/>
    <s v="Shivapura_Peenya, Bengaluru - KSPCB"/>
    <x v="0"/>
    <n v="13.024634199999999"/>
    <n v="77.508011499999995"/>
    <x v="1"/>
    <n v="28"/>
    <n v="88"/>
    <n v="47"/>
  </r>
  <r>
    <s v="India"/>
    <x v="10"/>
    <x v="45"/>
    <s v="Shivapura_Peenya, Bengaluru - KSPCB"/>
    <x v="0"/>
    <n v="13.024634199999999"/>
    <n v="77.508011499999995"/>
    <x v="2"/>
    <n v="8"/>
    <n v="10"/>
    <n v="8"/>
  </r>
  <r>
    <s v="India"/>
    <x v="10"/>
    <x v="61"/>
    <s v="Urban, Chamarajanagar - KSPCB"/>
    <x v="0"/>
    <n v="11.55358"/>
    <n v="76.555210000000002"/>
    <x v="1"/>
    <n v="30"/>
    <n v="46"/>
    <n v="43"/>
  </r>
  <r>
    <s v="India"/>
    <x v="10"/>
    <x v="61"/>
    <s v="Urban, Chamarajanagar - KSPCB"/>
    <x v="0"/>
    <n v="11.55358"/>
    <n v="76.555210000000002"/>
    <x v="6"/>
    <n v="18"/>
    <n v="120"/>
    <n v="22"/>
  </r>
  <r>
    <s v="India"/>
    <x v="10"/>
    <x v="61"/>
    <s v="Urban, Chamarajanagar - KSPCB"/>
    <x v="0"/>
    <n v="11.55358"/>
    <n v="76.555210000000002"/>
    <x v="0"/>
    <n v="13"/>
    <n v="26"/>
    <n v="16"/>
  </r>
  <r>
    <s v="India"/>
    <x v="10"/>
    <x v="55"/>
    <s v="Chikkaballapur Rural, Chikkaballapur - KSPCB"/>
    <x v="0"/>
    <n v="13.428827999999999"/>
    <n v="77.731418000000005"/>
    <x v="1"/>
    <n v="25"/>
    <n v="63"/>
    <n v="45"/>
  </r>
  <r>
    <s v="India"/>
    <x v="10"/>
    <x v="55"/>
    <s v="Chikkaballapur Rural, Chikkaballapur - KSPCB"/>
    <x v="0"/>
    <n v="13.428827999999999"/>
    <n v="77.731418000000005"/>
    <x v="3"/>
    <n v="3"/>
    <n v="4"/>
    <n v="4"/>
  </r>
  <r>
    <s v="India"/>
    <x v="10"/>
    <x v="55"/>
    <s v="Chikkaballapur Rural, Chikkaballapur - KSPCB"/>
    <x v="0"/>
    <n v="13.428827999999999"/>
    <n v="77.731418000000005"/>
    <x v="0"/>
    <n v="24"/>
    <n v="25"/>
    <n v="25"/>
  </r>
  <r>
    <s v="India"/>
    <x v="10"/>
    <x v="218"/>
    <s v="Diwator Nagar, Koppal - KSPCB"/>
    <x v="0"/>
    <n v="15.347630000000001"/>
    <n v="76.181766999999994"/>
    <x v="2"/>
    <n v="11"/>
    <n v="25"/>
    <n v="16"/>
  </r>
  <r>
    <s v="India"/>
    <x v="10"/>
    <x v="218"/>
    <s v="Diwator Nagar, Koppal - KSPCB"/>
    <x v="0"/>
    <n v="15.347630000000001"/>
    <n v="76.181766999999994"/>
    <x v="4"/>
    <n v="10"/>
    <n v="28"/>
    <n v="18"/>
  </r>
  <r>
    <s v="India"/>
    <x v="10"/>
    <x v="219"/>
    <s v="Kadri, Mangalore - KSPCB"/>
    <x v="0"/>
    <n v="12.889250000000001"/>
    <n v="74.852999999999994"/>
    <x v="2"/>
    <n v="5"/>
    <n v="9"/>
    <n v="7"/>
  </r>
  <r>
    <s v="India"/>
    <x v="10"/>
    <x v="45"/>
    <s v="Jayanagar 5th Block, Bengaluru - KSPCB"/>
    <x v="0"/>
    <n v="12.920984000000001"/>
    <n v="77.584907999999999"/>
    <x v="2"/>
    <n v="15"/>
    <n v="16"/>
    <n v="16"/>
  </r>
  <r>
    <s v="India"/>
    <x v="10"/>
    <x v="45"/>
    <s v="Jayanagar 5th Block, Bengaluru - KSPCB"/>
    <x v="0"/>
    <n v="12.920984000000001"/>
    <n v="77.584907999999999"/>
    <x v="3"/>
    <n v="1"/>
    <n v="1"/>
    <n v="1"/>
  </r>
  <r>
    <s v="India"/>
    <x v="10"/>
    <x v="45"/>
    <s v="Jayanagar 5th Block, Bengaluru - KSPCB"/>
    <x v="0"/>
    <n v="12.920984000000001"/>
    <n v="77.584907999999999"/>
    <x v="4"/>
    <n v="6"/>
    <n v="15"/>
    <n v="9"/>
  </r>
  <r>
    <s v="India"/>
    <x v="10"/>
    <x v="220"/>
    <s v="Vinoba Nagara, Shivamogga - KSPCB"/>
    <x v="0"/>
    <n v="13.94"/>
    <n v="75.555916999999994"/>
    <x v="3"/>
    <n v="2"/>
    <n v="2"/>
    <n v="2"/>
  </r>
  <r>
    <s v="India"/>
    <x v="10"/>
    <x v="220"/>
    <s v="Vinoba Nagara, Shivamogga - KSPCB"/>
    <x v="0"/>
    <n v="13.94"/>
    <n v="75.555916999999994"/>
    <x v="0"/>
    <n v="9"/>
    <n v="59"/>
    <n v="47"/>
  </r>
  <r>
    <s v="India"/>
    <x v="10"/>
    <x v="62"/>
    <s v="Hebbal 1st Stage, Mysuru - KSPCB"/>
    <x v="0"/>
    <n v="12.21041"/>
    <n v="76.373760000000004"/>
    <x v="5"/>
    <n v="16"/>
    <n v="35"/>
    <n v="23"/>
  </r>
  <r>
    <s v="India"/>
    <x v="10"/>
    <x v="62"/>
    <s v="Hebbal 1st Stage, Mysuru - KSPCB"/>
    <x v="0"/>
    <n v="12.21041"/>
    <n v="76.373760000000004"/>
    <x v="0"/>
    <n v="12"/>
    <n v="104"/>
    <n v="76"/>
  </r>
  <r>
    <s v="India"/>
    <x v="10"/>
    <x v="63"/>
    <s v="Thimmalapura, Tumakuru - KSPCB"/>
    <x v="0"/>
    <n v="13.377516"/>
    <n v="77.099072000000007"/>
    <x v="5"/>
    <n v="20"/>
    <n v="56"/>
    <n v="33"/>
  </r>
  <r>
    <s v="India"/>
    <x v="13"/>
    <x v="71"/>
    <s v="Sector-D Industrial Area, Mandideep - MPPCB"/>
    <x v="0"/>
    <n v="23.108440000000002"/>
    <n v="77.511427999999995"/>
    <x v="6"/>
    <n v="14"/>
    <n v="148"/>
    <n v="40"/>
  </r>
  <r>
    <s v="India"/>
    <x v="13"/>
    <x v="71"/>
    <s v="Sector-D Industrial Area, Mandideep - MPPCB"/>
    <x v="0"/>
    <n v="23.108440000000002"/>
    <n v="77.511427999999995"/>
    <x v="0"/>
    <n v="29"/>
    <n v="38"/>
    <n v="32"/>
  </r>
  <r>
    <s v="India"/>
    <x v="13"/>
    <x v="72"/>
    <s v="Sector-2 Industrial Area, Pithampur - MPPCB"/>
    <x v="0"/>
    <n v="22.624758"/>
    <n v="75.675237999999993"/>
    <x v="5"/>
    <n v="40"/>
    <n v="314"/>
    <n v="103"/>
  </r>
  <r>
    <s v="India"/>
    <x v="13"/>
    <x v="72"/>
    <s v="Sector-2 Industrial Area, Pithampur - MPPCB"/>
    <x v="0"/>
    <n v="22.624758"/>
    <n v="75.675237999999993"/>
    <x v="0"/>
    <n v="50"/>
    <n v="109"/>
    <n v="86"/>
  </r>
  <r>
    <s v="India"/>
    <x v="13"/>
    <x v="221"/>
    <s v="Shasthri Nagar, Ratlam - IPCA Lab"/>
    <x v="0"/>
    <n v="23.331731000000001"/>
    <n v="75.045980999999998"/>
    <x v="5"/>
    <n v="43"/>
    <n v="106"/>
    <n v="68"/>
  </r>
  <r>
    <s v="India"/>
    <x v="13"/>
    <x v="76"/>
    <s v="Civil Lines, Sagar - MPPCB"/>
    <x v="0"/>
    <n v="23.838585999999999"/>
    <n v="78.759431000000006"/>
    <x v="5"/>
    <n v="17"/>
    <n v="119"/>
    <n v="51"/>
  </r>
  <r>
    <s v="India"/>
    <x v="13"/>
    <x v="76"/>
    <s v="Deen Dayal Nagar, Sagar - MPPCB"/>
    <x v="0"/>
    <n v="23.864015800000001"/>
    <n v="78.802893209999993"/>
    <x v="5"/>
    <n v="19"/>
    <n v="98"/>
    <n v="57"/>
  </r>
  <r>
    <s v="India"/>
    <x v="13"/>
    <x v="76"/>
    <s v="Deen Dayal Nagar, Sagar - MPPCB"/>
    <x v="0"/>
    <n v="23.864015800000001"/>
    <n v="78.802893209999993"/>
    <x v="1"/>
    <n v="45"/>
    <n v="124"/>
    <n v="80"/>
  </r>
  <r>
    <s v="India"/>
    <x v="13"/>
    <x v="68"/>
    <s v="Gupteshwar, Jabalpur - JMC"/>
    <x v="0"/>
    <n v="23.142887999999999"/>
    <n v="79.916146999999995"/>
    <x v="6"/>
    <n v="24"/>
    <n v="114"/>
    <n v="59"/>
  </r>
  <r>
    <s v="India"/>
    <x v="13"/>
    <x v="68"/>
    <s v="Marhatal, Jabalpur - MPPCB"/>
    <x v="0"/>
    <n v="23.168606"/>
    <n v="79.932247000000004"/>
    <x v="4"/>
    <n v="4"/>
    <n v="18"/>
    <n v="12"/>
  </r>
  <r>
    <s v="India"/>
    <x v="13"/>
    <x v="68"/>
    <s v="Suhagi, Jabalpur - JMC"/>
    <x v="0"/>
    <n v="23.218135"/>
    <n v="79.957769999999996"/>
    <x v="6"/>
    <n v="16"/>
    <n v="117"/>
    <n v="71"/>
  </r>
  <r>
    <s v="India"/>
    <x v="13"/>
    <x v="69"/>
    <s v="Gole Bazar, Katni - MPPCB"/>
    <x v="0"/>
    <n v="23.500160000000001"/>
    <n v="80.232839999999996"/>
    <x v="6"/>
    <n v="21"/>
    <n v="114"/>
    <n v="54"/>
  </r>
  <r>
    <s v="India"/>
    <x v="13"/>
    <x v="70"/>
    <s v="Sahilara, Maihar - KJS Cements"/>
    <x v="0"/>
    <n v="24.261300899999998"/>
    <n v="80.723178300000001"/>
    <x v="2"/>
    <n v="11"/>
    <n v="12"/>
    <n v="11"/>
  </r>
  <r>
    <s v="India"/>
    <x v="13"/>
    <x v="71"/>
    <s v="Sector-D Industrial Area, Mandideep - MPPCB"/>
    <x v="0"/>
    <n v="23.108440000000002"/>
    <n v="77.511427999999995"/>
    <x v="1"/>
    <n v="81"/>
    <n v="472"/>
    <n v="187"/>
  </r>
  <r>
    <s v="India"/>
    <x v="12"/>
    <x v="65"/>
    <s v="Plammoodu, Thiruvananthapuram - Kerala PCB"/>
    <x v="0"/>
    <n v="8.5149092999999993"/>
    <n v="76.943587899999997"/>
    <x v="2"/>
    <n v="8"/>
    <n v="14"/>
    <n v="10"/>
  </r>
  <r>
    <s v="India"/>
    <x v="13"/>
    <x v="67"/>
    <s v="Idgah Hills, Bhopal - MPPCB"/>
    <x v="0"/>
    <n v="23.264759000000002"/>
    <n v="77.381568000000001"/>
    <x v="5"/>
    <n v="18"/>
    <n v="78"/>
    <n v="43"/>
  </r>
  <r>
    <s v="India"/>
    <x v="13"/>
    <x v="67"/>
    <s v="Paryavaran Parisar, Bhopal - MPPCB"/>
    <x v="0"/>
    <n v="23.210494000000001"/>
    <n v="77.425409000000002"/>
    <x v="4"/>
    <n v="5"/>
    <n v="14"/>
    <n v="9"/>
  </r>
  <r>
    <s v="India"/>
    <x v="13"/>
    <x v="67"/>
    <s v="T T Nagar, Bhopal - MPPCB"/>
    <x v="0"/>
    <n v="23.233584"/>
    <n v="77.400574000000006"/>
    <x v="1"/>
    <n v="81"/>
    <n v="160"/>
    <n v="117"/>
  </r>
  <r>
    <s v="India"/>
    <x v="12"/>
    <x v="60"/>
    <s v="Udyogamandal, Eloor - Kerala PCB"/>
    <x v="0"/>
    <n v="10.073232000000001"/>
    <n v="76.302764999999994"/>
    <x v="3"/>
    <m/>
    <m/>
    <m/>
  </r>
  <r>
    <s v="India"/>
    <x v="12"/>
    <x v="60"/>
    <s v="Udyogamandal, Eloor - Kerala PCB"/>
    <x v="0"/>
    <n v="10.073232000000001"/>
    <n v="76.302764999999994"/>
    <x v="6"/>
    <m/>
    <m/>
    <m/>
  </r>
  <r>
    <s v="India"/>
    <x v="12"/>
    <x v="222"/>
    <s v="Thavakkara, Kannur - Kerala PCB"/>
    <x v="0"/>
    <n v="11.875"/>
    <n v="75.373199999999997"/>
    <x v="5"/>
    <n v="48"/>
    <n v="55"/>
    <n v="53"/>
  </r>
  <r>
    <s v="India"/>
    <x v="12"/>
    <x v="222"/>
    <s v="Thavakkara, Kannur - Kerala PCB"/>
    <x v="0"/>
    <n v="11.875"/>
    <n v="75.373199999999997"/>
    <x v="1"/>
    <n v="58"/>
    <n v="66"/>
    <n v="63"/>
  </r>
  <r>
    <s v="India"/>
    <x v="12"/>
    <x v="222"/>
    <s v="Thavakkara, Kannur - Kerala PCB"/>
    <x v="0"/>
    <n v="11.875"/>
    <n v="75.373199999999997"/>
    <x v="6"/>
    <n v="24"/>
    <n v="30"/>
    <n v="28"/>
  </r>
  <r>
    <s v="India"/>
    <x v="12"/>
    <x v="79"/>
    <s v="Polayathode, Kollam - Kerala PCB"/>
    <x v="0"/>
    <n v="8.8787000000000003"/>
    <n v="76.607299999999995"/>
    <x v="1"/>
    <n v="59"/>
    <n v="65"/>
    <n v="62"/>
  </r>
  <r>
    <s v="India"/>
    <x v="13"/>
    <x v="78"/>
    <s v="Suryakiran Bhawan NCL, Singrauli - MPPCB"/>
    <x v="0"/>
    <n v="24.108969999999999"/>
    <n v="82.645579999999995"/>
    <x v="2"/>
    <n v="13"/>
    <n v="125"/>
    <n v="60"/>
  </r>
  <r>
    <s v="India"/>
    <x v="14"/>
    <x v="87"/>
    <s v="Tarakpur, Ahmednagar - MPCB"/>
    <x v="0"/>
    <n v="19.101220000000001"/>
    <n v="74.73339"/>
    <x v="5"/>
    <n v="71"/>
    <n v="268"/>
    <n v="132"/>
  </r>
  <r>
    <s v="India"/>
    <x v="14"/>
    <x v="88"/>
    <s v="Ramdaspeth, Akola - MPCB"/>
    <x v="0"/>
    <n v="20.719515999999999"/>
    <n v="77.000253000000001"/>
    <x v="3"/>
    <n v="6"/>
    <n v="21"/>
    <n v="8"/>
  </r>
  <r>
    <s v="India"/>
    <x v="14"/>
    <x v="88"/>
    <s v="Ramdaspeth, Akola - MPCB"/>
    <x v="0"/>
    <n v="20.719515999999999"/>
    <n v="77.000253000000001"/>
    <x v="0"/>
    <n v="1"/>
    <n v="90"/>
    <n v="56"/>
  </r>
  <r>
    <s v="India"/>
    <x v="13"/>
    <x v="223"/>
    <s v="Bhopal Chauraha, Dewas - MPPCB"/>
    <x v="0"/>
    <n v="22.968259100000001"/>
    <n v="76.064117999999993"/>
    <x v="2"/>
    <n v="78"/>
    <n v="138"/>
    <n v="98"/>
  </r>
  <r>
    <s v="India"/>
    <x v="13"/>
    <x v="75"/>
    <s v="City Center, Gwalior - MPPCB"/>
    <x v="0"/>
    <n v="26.203441999999999"/>
    <n v="78.193251000000004"/>
    <x v="1"/>
    <n v="74"/>
    <n v="252"/>
    <n v="150"/>
  </r>
  <r>
    <s v="India"/>
    <x v="13"/>
    <x v="75"/>
    <s v="City Center, Gwalior - MPPCB"/>
    <x v="0"/>
    <n v="26.203441999999999"/>
    <n v="78.193251000000004"/>
    <x v="0"/>
    <n v="17"/>
    <n v="158"/>
    <n v="117"/>
  </r>
  <r>
    <s v="India"/>
    <x v="13"/>
    <x v="73"/>
    <s v="Airport Area, Indore - IMC"/>
    <x v="0"/>
    <n v="22.728899999999999"/>
    <n v="75.807599999999994"/>
    <x v="1"/>
    <n v="58"/>
    <n v="131"/>
    <n v="95"/>
  </r>
  <r>
    <s v="India"/>
    <x v="13"/>
    <x v="73"/>
    <s v="Airport Area, Indore - IMC"/>
    <x v="0"/>
    <n v="22.728899999999999"/>
    <n v="75.807599999999994"/>
    <x v="4"/>
    <n v="16"/>
    <n v="16"/>
    <n v="16"/>
  </r>
  <r>
    <s v="India"/>
    <x v="13"/>
    <x v="77"/>
    <s v="Bandhavgar Colony, Satna - Birla Cement"/>
    <x v="0"/>
    <n v="24.584343629999999"/>
    <n v="80.854941400000001"/>
    <x v="1"/>
    <n v="54"/>
    <n v="57"/>
    <n v="55"/>
  </r>
  <r>
    <s v="India"/>
    <x v="12"/>
    <x v="65"/>
    <s v="Kariavattom, Thiruvananthapuram - Kerala PCB"/>
    <x v="0"/>
    <n v="8.5637000000000008"/>
    <n v="76.886499999999998"/>
    <x v="6"/>
    <n v="18"/>
    <n v="36"/>
    <n v="22"/>
  </r>
  <r>
    <s v="India"/>
    <x v="14"/>
    <x v="86"/>
    <s v="Deopur, Dhule - MPCB"/>
    <x v="0"/>
    <n v="20.918945999999998"/>
    <n v="74.776387999999997"/>
    <x v="3"/>
    <n v="8"/>
    <n v="19"/>
    <n v="11"/>
  </r>
  <r>
    <s v="India"/>
    <x v="14"/>
    <x v="224"/>
    <s v="Prabhat Colony, Jalgaon - MPCB"/>
    <x v="0"/>
    <n v="21.001263999999999"/>
    <n v="75.565601999999998"/>
    <x v="1"/>
    <m/>
    <m/>
    <m/>
  </r>
  <r>
    <s v="India"/>
    <x v="14"/>
    <x v="224"/>
    <s v="Prabhat Colony, Jalgaon - MPCB"/>
    <x v="0"/>
    <n v="21.001263999999999"/>
    <n v="75.565601999999998"/>
    <x v="4"/>
    <n v="15"/>
    <n v="39"/>
    <n v="29"/>
  </r>
  <r>
    <s v="India"/>
    <x v="14"/>
    <x v="224"/>
    <s v="Prabhat Colony, Jalgaon - MPCB"/>
    <x v="0"/>
    <n v="21.001263999999999"/>
    <n v="75.565601999999998"/>
    <x v="6"/>
    <n v="20"/>
    <n v="56"/>
    <n v="47"/>
  </r>
  <r>
    <s v="India"/>
    <x v="14"/>
    <x v="224"/>
    <s v="Prabhat Colony, Jalgaon - MPCB"/>
    <x v="0"/>
    <n v="21.001263999999999"/>
    <n v="75.565601999999998"/>
    <x v="0"/>
    <n v="4"/>
    <n v="84"/>
    <n v="50"/>
  </r>
  <r>
    <s v="India"/>
    <x v="14"/>
    <x v="90"/>
    <s v="Old MIDC, Jalna - MPCB"/>
    <x v="0"/>
    <n v="19.854616"/>
    <n v="75.905894000000004"/>
    <x v="5"/>
    <n v="49"/>
    <n v="119"/>
    <n v="78"/>
  </r>
  <r>
    <s v="India"/>
    <x v="14"/>
    <x v="90"/>
    <s v="Old MIDC, Jalna - MPCB"/>
    <x v="0"/>
    <n v="19.854616"/>
    <n v="75.905894000000004"/>
    <x v="2"/>
    <n v="21"/>
    <n v="140"/>
    <n v="53"/>
  </r>
  <r>
    <s v="India"/>
    <x v="14"/>
    <x v="90"/>
    <s v="Old MIDC, Jalna - MPCB"/>
    <x v="0"/>
    <n v="19.854616"/>
    <n v="75.905894000000004"/>
    <x v="0"/>
    <n v="14"/>
    <n v="46"/>
    <n v="35"/>
  </r>
  <r>
    <s v="India"/>
    <x v="14"/>
    <x v="91"/>
    <s v="Khadakpada, Kalyan - MPCB"/>
    <x v="0"/>
    <n v="19.25292"/>
    <n v="73.142019000000005"/>
    <x v="2"/>
    <n v="5"/>
    <n v="12"/>
    <n v="7"/>
  </r>
  <r>
    <s v="India"/>
    <x v="14"/>
    <x v="91"/>
    <s v="Khadakpada, Kalyan - MPCB"/>
    <x v="0"/>
    <n v="19.25292"/>
    <n v="73.142019000000005"/>
    <x v="3"/>
    <n v="1"/>
    <n v="2"/>
    <n v="1"/>
  </r>
  <r>
    <s v="India"/>
    <x v="14"/>
    <x v="91"/>
    <s v="Khadakpada, Kalyan - MPCB"/>
    <x v="0"/>
    <n v="19.25292"/>
    <n v="73.142019000000005"/>
    <x v="4"/>
    <n v="4"/>
    <n v="10"/>
    <n v="6"/>
  </r>
  <r>
    <s v="India"/>
    <x v="14"/>
    <x v="91"/>
    <s v="Khadakpada, Kalyan - MPCB"/>
    <x v="0"/>
    <n v="19.25292"/>
    <n v="73.142019000000005"/>
    <x v="0"/>
    <n v="16"/>
    <n v="16"/>
    <n v="16"/>
  </r>
  <r>
    <s v="India"/>
    <x v="14"/>
    <x v="80"/>
    <s v="Shivaji University, Kolhapur - MPCB"/>
    <x v="0"/>
    <n v="16.6870449"/>
    <n v="74.250587199999998"/>
    <x v="1"/>
    <n v="48"/>
    <n v="64"/>
    <n v="56"/>
  </r>
  <r>
    <s v="India"/>
    <x v="14"/>
    <x v="89"/>
    <s v="Shivneri Colony, Amravati - MPCB"/>
    <x v="0"/>
    <n v="20.940235900000001"/>
    <n v="77.789524799999995"/>
    <x v="4"/>
    <n v="8"/>
    <n v="10"/>
    <n v="9"/>
  </r>
  <r>
    <s v="India"/>
    <x v="14"/>
    <x v="89"/>
    <s v="Shivneri Colony, Amravati - MPCB"/>
    <x v="0"/>
    <n v="20.940235900000001"/>
    <n v="77.789524799999995"/>
    <x v="6"/>
    <n v="16"/>
    <n v="49"/>
    <n v="27"/>
  </r>
  <r>
    <s v="India"/>
    <x v="14"/>
    <x v="89"/>
    <s v="Shivneri Colony, Amravati - MPCB"/>
    <x v="0"/>
    <n v="20.940235900000001"/>
    <n v="77.789524799999995"/>
    <x v="0"/>
    <n v="1"/>
    <n v="83"/>
    <n v="49"/>
  </r>
  <r>
    <s v="India"/>
    <x v="14"/>
    <x v="89"/>
    <s v="Shri Shivaji Science College, Amaravati - MPCB"/>
    <x v="0"/>
    <n v="20.939198000000001"/>
    <n v="77.765701000000007"/>
    <x v="4"/>
    <n v="1"/>
    <n v="14"/>
    <n v="6"/>
  </r>
  <r>
    <s v="India"/>
    <x v="14"/>
    <x v="6"/>
    <s v="MIDC Chilkalthana, Aurangabad - MPCB"/>
    <x v="0"/>
    <n v="19.875620000000001"/>
    <n v="75.387309999999999"/>
    <x v="4"/>
    <n v="6"/>
    <n v="32"/>
    <n v="12"/>
  </r>
  <r>
    <s v="India"/>
    <x v="14"/>
    <x v="6"/>
    <s v="More Chowk Waluj, Aurangabad - MPCB"/>
    <x v="0"/>
    <n v="19.8389439"/>
    <n v="75.244448000000006"/>
    <x v="1"/>
    <n v="49"/>
    <n v="108"/>
    <n v="83"/>
  </r>
  <r>
    <s v="India"/>
    <x v="14"/>
    <x v="6"/>
    <s v="More Chowk Waluj, Aurangabad - MPCB"/>
    <x v="0"/>
    <n v="19.8389439"/>
    <n v="75.244448000000006"/>
    <x v="4"/>
    <n v="24"/>
    <n v="38"/>
    <n v="30"/>
  </r>
  <r>
    <s v="India"/>
    <x v="14"/>
    <x v="93"/>
    <s v="Gokul Nagar, Bhiwandi - MPCB"/>
    <x v="0"/>
    <n v="19.309073000000001"/>
    <n v="73.057222999999993"/>
    <x v="6"/>
    <n v="15"/>
    <n v="76"/>
    <n v="19"/>
  </r>
  <r>
    <s v="India"/>
    <x v="14"/>
    <x v="93"/>
    <s v="Gokul Nagar, Bhiwandi - MPCB"/>
    <x v="0"/>
    <n v="19.309073000000001"/>
    <n v="73.057222999999993"/>
    <x v="0"/>
    <n v="31"/>
    <n v="122"/>
    <n v="75"/>
  </r>
  <r>
    <s v="India"/>
    <x v="14"/>
    <x v="84"/>
    <s v="Khaira, Boisar - MPCB"/>
    <x v="0"/>
    <n v="19.786089"/>
    <n v="72.757970999999998"/>
    <x v="1"/>
    <n v="76"/>
    <n v="116"/>
    <n v="96"/>
  </r>
  <r>
    <s v="India"/>
    <x v="14"/>
    <x v="85"/>
    <s v="Chauhan Colony, Chandrapur - MPCB"/>
    <x v="0"/>
    <n v="19.962900000000001"/>
    <n v="79.298714000000004"/>
    <x v="1"/>
    <n v="114"/>
    <n v="367"/>
    <n v="175"/>
  </r>
  <r>
    <s v="India"/>
    <x v="14"/>
    <x v="85"/>
    <s v="Chauhan Colony, Chandrapur - MPCB"/>
    <x v="0"/>
    <n v="19.962900000000001"/>
    <n v="79.298714000000004"/>
    <x v="2"/>
    <n v="21"/>
    <n v="59"/>
    <n v="38"/>
  </r>
  <r>
    <s v="India"/>
    <x v="14"/>
    <x v="85"/>
    <s v="Chauhan Colony, Chandrapur - MPCB"/>
    <x v="0"/>
    <n v="19.962900000000001"/>
    <n v="79.298714000000004"/>
    <x v="6"/>
    <n v="10"/>
    <n v="30"/>
    <n v="12"/>
  </r>
  <r>
    <s v="India"/>
    <x v="14"/>
    <x v="225"/>
    <s v="Sawe Wadi, Latur - MPCB"/>
    <x v="0"/>
    <n v="18.399629999999998"/>
    <n v="76.574520000000007"/>
    <x v="5"/>
    <n v="55"/>
    <n v="263"/>
    <n v="123"/>
  </r>
  <r>
    <s v="India"/>
    <x v="14"/>
    <x v="225"/>
    <s v="Sawe Wadi, Latur - MPCB"/>
    <x v="0"/>
    <n v="18.399629999999998"/>
    <n v="76.574520000000007"/>
    <x v="2"/>
    <n v="18"/>
    <n v="219"/>
    <n v="77"/>
  </r>
  <r>
    <s v="India"/>
    <x v="14"/>
    <x v="225"/>
    <s v="Sawe Wadi, Latur - MPCB"/>
    <x v="0"/>
    <n v="18.399629999999998"/>
    <n v="76.574520000000007"/>
    <x v="6"/>
    <n v="2"/>
    <n v="167"/>
    <n v="85"/>
  </r>
  <r>
    <s v="India"/>
    <x v="14"/>
    <x v="82"/>
    <s v="Mahesh Nagar, Malegaon - MPCB"/>
    <x v="0"/>
    <n v="20.555712"/>
    <n v="74.529235999999997"/>
    <x v="1"/>
    <n v="26"/>
    <n v="306"/>
    <n v="94"/>
  </r>
  <r>
    <s v="India"/>
    <x v="14"/>
    <x v="82"/>
    <s v="Mahesh Nagar, Malegaon - MPCB"/>
    <x v="0"/>
    <n v="20.555712"/>
    <n v="74.529235999999997"/>
    <x v="6"/>
    <n v="10"/>
    <n v="60"/>
    <n v="22"/>
  </r>
  <r>
    <s v="India"/>
    <x v="14"/>
    <x v="94"/>
    <s v="Borivali East, Mumbai - IITM"/>
    <x v="0"/>
    <n v="19.232410000000002"/>
    <n v="72.868949999999998"/>
    <x v="6"/>
    <n v="22"/>
    <n v="42"/>
    <n v="24"/>
  </r>
  <r>
    <s v="India"/>
    <x v="14"/>
    <x v="94"/>
    <s v="Borivali East, Mumbai - IITM"/>
    <x v="0"/>
    <n v="19.232410000000002"/>
    <n v="72.868949999999998"/>
    <x v="0"/>
    <n v="4"/>
    <n v="92"/>
    <n v="45"/>
  </r>
  <r>
    <s v="India"/>
    <x v="14"/>
    <x v="94"/>
    <s v="Byculla, Mumbai - BMC"/>
    <x v="0"/>
    <n v="18.976700000000001"/>
    <n v="72.837999999999994"/>
    <x v="3"/>
    <n v="4"/>
    <n v="16"/>
    <n v="7"/>
  </r>
  <r>
    <s v="India"/>
    <x v="14"/>
    <x v="94"/>
    <s v="Byculla, Mumbai - BMC"/>
    <x v="0"/>
    <n v="18.976700000000001"/>
    <n v="72.837999999999994"/>
    <x v="6"/>
    <n v="4"/>
    <n v="30"/>
    <n v="9"/>
  </r>
  <r>
    <s v="India"/>
    <x v="14"/>
    <x v="226"/>
    <s v="Katrap, Badlapur - MPCB"/>
    <x v="0"/>
    <n v="19.164850000000001"/>
    <n v="73.234089999999995"/>
    <x v="6"/>
    <n v="12"/>
    <n v="90"/>
    <n v="22"/>
  </r>
  <r>
    <s v="India"/>
    <x v="14"/>
    <x v="92"/>
    <s v="CBD Belapur, Belapur - MPCB"/>
    <x v="0"/>
    <n v="19.024390199999999"/>
    <n v="73.040672099999995"/>
    <x v="1"/>
    <n v="77"/>
    <n v="143"/>
    <n v="120"/>
  </r>
  <r>
    <s v="India"/>
    <x v="14"/>
    <x v="92"/>
    <s v="CBD Belapur, Belapur - MPCB"/>
    <x v="0"/>
    <n v="19.024390199999999"/>
    <n v="73.040672099999995"/>
    <x v="4"/>
    <n v="2"/>
    <n v="12"/>
    <n v="7"/>
  </r>
  <r>
    <s v="India"/>
    <x v="14"/>
    <x v="94"/>
    <s v="Chembur, Mumbai - MPCB"/>
    <x v="0"/>
    <n v="19.036458499999998"/>
    <n v="72.895437099999995"/>
    <x v="5"/>
    <n v="50"/>
    <n v="65"/>
    <n v="58"/>
  </r>
  <r>
    <s v="India"/>
    <x v="14"/>
    <x v="94"/>
    <s v="Chembur, Mumbai - MPCB"/>
    <x v="0"/>
    <n v="19.036458499999998"/>
    <n v="72.895437099999995"/>
    <x v="4"/>
    <n v="1"/>
    <n v="79"/>
    <n v="12"/>
  </r>
  <r>
    <s v="India"/>
    <x v="14"/>
    <x v="94"/>
    <s v="Chhatrapati Shivaji Intl. Airport (T2), Mumbai - MPCB"/>
    <x v="0"/>
    <n v="19.10078"/>
    <n v="72.874619999999993"/>
    <x v="4"/>
    <n v="12"/>
    <n v="24"/>
    <n v="20"/>
  </r>
  <r>
    <s v="India"/>
    <x v="14"/>
    <x v="6"/>
    <s v="More Chowk Waluj, Aurangabad - MPCB"/>
    <x v="0"/>
    <n v="19.8389439"/>
    <n v="75.244448000000006"/>
    <x v="6"/>
    <n v="30"/>
    <n v="48"/>
    <n v="41"/>
  </r>
  <r>
    <s v="India"/>
    <x v="14"/>
    <x v="6"/>
    <s v="Rachnakar Colony, Aurangabad - MPCB"/>
    <x v="0"/>
    <n v="19.863755999999999"/>
    <n v="75.321188000000006"/>
    <x v="2"/>
    <n v="13"/>
    <n v="158"/>
    <n v="52"/>
  </r>
  <r>
    <s v="India"/>
    <x v="14"/>
    <x v="94"/>
    <s v="Chakala-Andheri East, Mumbai - IITM"/>
    <x v="0"/>
    <n v="19.11074"/>
    <n v="72.860839999999996"/>
    <x v="3"/>
    <n v="6"/>
    <n v="8"/>
    <n v="7"/>
  </r>
  <r>
    <s v="India"/>
    <x v="14"/>
    <x v="94"/>
    <s v="Worli, Mumbai - MPCB"/>
    <x v="0"/>
    <n v="18.993616200000002"/>
    <n v="72.812811300000007"/>
    <x v="1"/>
    <n v="71"/>
    <n v="109"/>
    <n v="82"/>
  </r>
  <r>
    <s v="India"/>
    <x v="14"/>
    <x v="94"/>
    <s v="Worli, Mumbai - MPCB"/>
    <x v="0"/>
    <n v="18.993616200000002"/>
    <n v="72.812811300000007"/>
    <x v="3"/>
    <n v="4"/>
    <n v="5"/>
    <n v="5"/>
  </r>
  <r>
    <s v="India"/>
    <x v="14"/>
    <x v="97"/>
    <s v="Ambazari, Nagpur - MPCB"/>
    <x v="0"/>
    <n v="21.121801000000001"/>
    <n v="79.049520000000001"/>
    <x v="2"/>
    <n v="23"/>
    <n v="101"/>
    <n v="58"/>
  </r>
  <r>
    <s v="India"/>
    <x v="14"/>
    <x v="97"/>
    <s v="Opp GPO Civil Lines, Nagpur - MPCB"/>
    <x v="0"/>
    <n v="21.152875000000002"/>
    <n v="79.051753099999999"/>
    <x v="6"/>
    <n v="8"/>
    <n v="109"/>
    <n v="44"/>
  </r>
  <r>
    <s v="India"/>
    <x v="14"/>
    <x v="97"/>
    <s v="Ram Nagar, Nagpur - MPCB"/>
    <x v="0"/>
    <n v="21.143383"/>
    <n v="79.048912000000001"/>
    <x v="5"/>
    <n v="49"/>
    <n v="306"/>
    <n v="131"/>
  </r>
  <r>
    <s v="India"/>
    <x v="14"/>
    <x v="97"/>
    <s v="Ram Nagar, Nagpur - MPCB"/>
    <x v="0"/>
    <n v="21.143383"/>
    <n v="79.048912000000001"/>
    <x v="1"/>
    <n v="81"/>
    <n v="159"/>
    <n v="116"/>
  </r>
  <r>
    <s v="India"/>
    <x v="14"/>
    <x v="94"/>
    <s v="Kandivali East, Mumbai - MPCB"/>
    <x v="0"/>
    <n v="19.2058"/>
    <n v="72.868200000000002"/>
    <x v="3"/>
    <n v="4"/>
    <n v="7"/>
    <n v="6"/>
  </r>
  <r>
    <s v="India"/>
    <x v="14"/>
    <x v="94"/>
    <s v="Kandivali West, Mumbai - BMC"/>
    <x v="0"/>
    <n v="19.215858999999998"/>
    <n v="72.831717999999995"/>
    <x v="1"/>
    <n v="31"/>
    <n v="88"/>
    <n v="54"/>
  </r>
  <r>
    <s v="India"/>
    <x v="14"/>
    <x v="94"/>
    <s v="Kandivali West, Mumbai - BMC"/>
    <x v="0"/>
    <n v="19.215858999999998"/>
    <n v="72.831717999999995"/>
    <x v="3"/>
    <n v="1"/>
    <n v="9"/>
    <n v="7"/>
  </r>
  <r>
    <s v="India"/>
    <x v="14"/>
    <x v="94"/>
    <s v="Kherwadi_Bandra East, Mumbai - MPCB"/>
    <x v="0"/>
    <n v="19.063214299999999"/>
    <n v="72.8456324"/>
    <x v="3"/>
    <n v="2"/>
    <n v="32"/>
    <n v="13"/>
  </r>
  <r>
    <s v="India"/>
    <x v="14"/>
    <x v="94"/>
    <s v="Kherwadi_Bandra East, Mumbai - MPCB"/>
    <x v="0"/>
    <n v="19.063214299999999"/>
    <n v="72.8456324"/>
    <x v="4"/>
    <m/>
    <m/>
    <m/>
  </r>
  <r>
    <s v="India"/>
    <x v="14"/>
    <x v="94"/>
    <s v="Khindipada-Bhandup West, Mumbai - IITM"/>
    <x v="0"/>
    <n v="19.165332299999999"/>
    <n v="72.922099000000003"/>
    <x v="4"/>
    <n v="2"/>
    <n v="22"/>
    <n v="7"/>
  </r>
  <r>
    <s v="India"/>
    <x v="14"/>
    <x v="98"/>
    <s v="Sneh Nagar, Nanded - MPCB"/>
    <x v="0"/>
    <n v="19.173852"/>
    <n v="77.296290999999997"/>
    <x v="1"/>
    <n v="48"/>
    <n v="108"/>
    <n v="76"/>
  </r>
  <r>
    <s v="India"/>
    <x v="14"/>
    <x v="98"/>
    <s v="Sneh Nagar, Nanded - MPCB"/>
    <x v="0"/>
    <n v="19.173852"/>
    <n v="77.296290999999997"/>
    <x v="0"/>
    <n v="15"/>
    <n v="117"/>
    <n v="84"/>
  </r>
  <r>
    <s v="India"/>
    <x v="14"/>
    <x v="99"/>
    <s v="Gangapur Road, Nashik - MPCB"/>
    <x v="0"/>
    <n v="20.0073285"/>
    <n v="73.776242699999997"/>
    <x v="0"/>
    <n v="34"/>
    <n v="90"/>
    <n v="83"/>
  </r>
  <r>
    <s v="India"/>
    <x v="14"/>
    <x v="99"/>
    <s v="Hirawadi, Nashik - MPCB"/>
    <x v="0"/>
    <n v="20.021502999999999"/>
    <n v="73.813844000000003"/>
    <x v="1"/>
    <n v="78"/>
    <n v="169"/>
    <n v="119"/>
  </r>
  <r>
    <s v="India"/>
    <x v="14"/>
    <x v="94"/>
    <s v="Kurla, Mumbai - MPCB"/>
    <x v="0"/>
    <n v="19.086300000000001"/>
    <n v="72.888800000000003"/>
    <x v="5"/>
    <m/>
    <m/>
    <m/>
  </r>
  <r>
    <s v="India"/>
    <x v="14"/>
    <x v="94"/>
    <s v="Malad West, Mumbai - IITM"/>
    <x v="0"/>
    <n v="19.197089999999999"/>
    <n v="72.822040000000001"/>
    <x v="5"/>
    <n v="13"/>
    <n v="64"/>
    <n v="40"/>
  </r>
  <r>
    <s v="India"/>
    <x v="14"/>
    <x v="94"/>
    <s v="Malad West, Mumbai - IITM"/>
    <x v="0"/>
    <n v="19.197089999999999"/>
    <n v="72.822040000000001"/>
    <x v="1"/>
    <n v="36"/>
    <n v="121"/>
    <n v="78"/>
  </r>
  <r>
    <s v="India"/>
    <x v="14"/>
    <x v="94"/>
    <s v="Malad West, Mumbai - IITM"/>
    <x v="0"/>
    <n v="19.197089999999999"/>
    <n v="72.822040000000001"/>
    <x v="3"/>
    <n v="9"/>
    <n v="15"/>
    <n v="11"/>
  </r>
  <r>
    <s v="India"/>
    <x v="14"/>
    <x v="94"/>
    <s v="Malad West, Mumbai - IITM"/>
    <x v="0"/>
    <n v="19.197089999999999"/>
    <n v="72.822040000000001"/>
    <x v="0"/>
    <n v="2"/>
    <n v="84"/>
    <n v="60"/>
  </r>
  <r>
    <s v="India"/>
    <x v="14"/>
    <x v="94"/>
    <s v="Mindspace-Malad West, Mumbai - MPCB"/>
    <x v="0"/>
    <n v="19.1878657"/>
    <n v="72.8304069"/>
    <x v="3"/>
    <n v="1"/>
    <n v="4"/>
    <n v="2"/>
  </r>
  <r>
    <s v="India"/>
    <x v="14"/>
    <x v="94"/>
    <s v="Mindspace-Malad West, Mumbai - MPCB"/>
    <x v="0"/>
    <n v="19.1878657"/>
    <n v="72.8304069"/>
    <x v="4"/>
    <n v="8"/>
    <n v="24"/>
    <n v="12"/>
  </r>
  <r>
    <s v="India"/>
    <x v="14"/>
    <x v="94"/>
    <s v="Powai, Mumbai - MPCB"/>
    <x v="0"/>
    <n v="19.137499999999999"/>
    <n v="72.915056000000007"/>
    <x v="3"/>
    <n v="2"/>
    <n v="2"/>
    <n v="2"/>
  </r>
  <r>
    <s v="India"/>
    <x v="14"/>
    <x v="99"/>
    <s v="MIDC Ambad, Nashik - MPCB"/>
    <x v="0"/>
    <n v="19.950220000000002"/>
    <n v="73.731480000000005"/>
    <x v="4"/>
    <n v="7"/>
    <n v="25"/>
    <n v="14"/>
  </r>
  <r>
    <s v="India"/>
    <x v="14"/>
    <x v="99"/>
    <s v="Pandav Nagari, Nashik - MPCB"/>
    <x v="0"/>
    <n v="19.959134599999999"/>
    <n v="73.778800799999999"/>
    <x v="4"/>
    <n v="2"/>
    <n v="25"/>
    <n v="10"/>
  </r>
  <r>
    <s v="India"/>
    <x v="14"/>
    <x v="94"/>
    <s v="Shivaji Nagar, Mumbai - BMC"/>
    <x v="0"/>
    <n v="19.060497999999999"/>
    <n v="72.923355999999998"/>
    <x v="0"/>
    <n v="1"/>
    <n v="86"/>
    <n v="42"/>
  </r>
  <r>
    <s v="India"/>
    <x v="14"/>
    <x v="94"/>
    <s v="Colaba, Mumbai - MPCB"/>
    <x v="0"/>
    <n v="18.91"/>
    <n v="72.819999999999993"/>
    <x v="1"/>
    <n v="36"/>
    <n v="97"/>
    <n v="52"/>
  </r>
  <r>
    <s v="India"/>
    <x v="14"/>
    <x v="94"/>
    <s v="Mazgaon, Mumbai - IITM"/>
    <x v="0"/>
    <n v="18.967020000000002"/>
    <n v="72.842140000000001"/>
    <x v="6"/>
    <n v="16"/>
    <n v="82"/>
    <n v="53"/>
  </r>
  <r>
    <s v="India"/>
    <x v="14"/>
    <x v="116"/>
    <s v="Ratandeep Housing Society, Solapur - MPCB"/>
    <x v="0"/>
    <n v="17.654389999999999"/>
    <n v="75.906490000000005"/>
    <x v="1"/>
    <n v="51"/>
    <n v="132"/>
    <n v="75"/>
  </r>
  <r>
    <s v="India"/>
    <x v="14"/>
    <x v="116"/>
    <s v="Ratandeep Housing Society, Solapur - MPCB"/>
    <x v="0"/>
    <n v="17.654389999999999"/>
    <n v="75.906490000000005"/>
    <x v="6"/>
    <n v="15"/>
    <n v="65"/>
    <n v="31"/>
  </r>
  <r>
    <s v="India"/>
    <x v="14"/>
    <x v="116"/>
    <s v="Ratandeep Housing Society, Solapur - MPCB"/>
    <x v="0"/>
    <n v="17.654389999999999"/>
    <n v="75.906490000000005"/>
    <x v="0"/>
    <n v="28"/>
    <n v="94"/>
    <n v="72"/>
  </r>
  <r>
    <s v="India"/>
    <x v="14"/>
    <x v="116"/>
    <s v="Solapur, Solapur - MPCB"/>
    <x v="0"/>
    <n v="17.6599188"/>
    <n v="75.906390599999995"/>
    <x v="5"/>
    <n v="75"/>
    <n v="75"/>
    <n v="75"/>
  </r>
  <r>
    <s v="India"/>
    <x v="14"/>
    <x v="117"/>
    <s v="Kasarvadavali, Thane - MPCB"/>
    <x v="0"/>
    <n v="19.267769999999999"/>
    <n v="72.971819999999994"/>
    <x v="5"/>
    <n v="51"/>
    <n v="96"/>
    <n v="71"/>
  </r>
  <r>
    <s v="India"/>
    <x v="14"/>
    <x v="117"/>
    <s v="Kasarvadavali, Thane - MPCB"/>
    <x v="0"/>
    <n v="19.267769999999999"/>
    <n v="72.971819999999994"/>
    <x v="2"/>
    <n v="13"/>
    <n v="99"/>
    <n v="41"/>
  </r>
  <r>
    <s v="India"/>
    <x v="14"/>
    <x v="117"/>
    <s v="Kasarvadavali, Thane - MPCB"/>
    <x v="0"/>
    <n v="19.267769999999999"/>
    <n v="72.971819999999994"/>
    <x v="3"/>
    <n v="5"/>
    <n v="22"/>
    <n v="9"/>
  </r>
  <r>
    <s v="India"/>
    <x v="14"/>
    <x v="117"/>
    <s v="Kasarvadavali, Thane - MPCB"/>
    <x v="0"/>
    <n v="19.267769999999999"/>
    <n v="72.971819999999994"/>
    <x v="0"/>
    <n v="2"/>
    <n v="97"/>
    <n v="32"/>
  </r>
  <r>
    <s v="India"/>
    <x v="14"/>
    <x v="96"/>
    <s v="Sector-2E Kalamboli, Navi Mumbai - MPCB"/>
    <x v="0"/>
    <n v="19.025790000000001"/>
    <n v="73.102969999999999"/>
    <x v="4"/>
    <n v="3"/>
    <n v="28"/>
    <n v="10"/>
  </r>
  <r>
    <s v="India"/>
    <x v="14"/>
    <x v="96"/>
    <s v="Sector-2E Kalamboli, Navi Mumbai - MPCB"/>
    <x v="0"/>
    <n v="19.025790000000001"/>
    <n v="73.102969999999999"/>
    <x v="0"/>
    <n v="1"/>
    <n v="88"/>
    <n v="50"/>
  </r>
  <r>
    <s v="India"/>
    <x v="14"/>
    <x v="96"/>
    <s v="Tondare-Taloja, Navi Mumbai - MPCB"/>
    <x v="0"/>
    <n v="19.062999999999999"/>
    <n v="73.120900000000006"/>
    <x v="1"/>
    <n v="71"/>
    <n v="233"/>
    <n v="120"/>
  </r>
  <r>
    <s v="India"/>
    <x v="14"/>
    <x v="101"/>
    <s v="Masoom Colony, Parbhani - MPCB"/>
    <x v="0"/>
    <n v="19.265594"/>
    <n v="76.761463000000006"/>
    <x v="4"/>
    <m/>
    <m/>
    <m/>
  </r>
  <r>
    <s v="India"/>
    <x v="14"/>
    <x v="100"/>
    <s v="Savta Mali Nagar, Pimpri-Chinchwad - IITM"/>
    <x v="0"/>
    <n v="18.614767000000001"/>
    <n v="73.799515999999997"/>
    <x v="1"/>
    <n v="77"/>
    <n v="165"/>
    <n v="129"/>
  </r>
  <r>
    <s v="India"/>
    <x v="14"/>
    <x v="100"/>
    <s v="Savta Mali Nagar, Pimpri-Chinchwad - IITM"/>
    <x v="0"/>
    <n v="18.614767000000001"/>
    <n v="73.799515999999997"/>
    <x v="6"/>
    <n v="21"/>
    <n v="110"/>
    <n v="50"/>
  </r>
  <r>
    <s v="India"/>
    <x v="14"/>
    <x v="100"/>
    <s v="Thergaon, Pimpri Chinchwad - MPCB"/>
    <x v="0"/>
    <n v="18.616318"/>
    <n v="73.765797000000006"/>
    <x v="2"/>
    <n v="27"/>
    <n v="144"/>
    <n v="76"/>
  </r>
  <r>
    <s v="India"/>
    <x v="14"/>
    <x v="100"/>
    <s v="Thergaon, Pimpri Chinchwad - MPCB"/>
    <x v="0"/>
    <n v="18.616318"/>
    <n v="73.765797000000006"/>
    <x v="0"/>
    <n v="1"/>
    <n v="59"/>
    <n v="45"/>
  </r>
  <r>
    <s v="India"/>
    <x v="14"/>
    <x v="95"/>
    <s v="Bhosari, Pune - IITM"/>
    <x v="0"/>
    <n v="18.640051"/>
    <n v="73.848956000000001"/>
    <x v="0"/>
    <n v="1"/>
    <n v="98"/>
    <n v="72"/>
  </r>
  <r>
    <s v="India"/>
    <x v="14"/>
    <x v="95"/>
    <s v="Hadapsar, Pune - IITM"/>
    <x v="0"/>
    <n v="18.501792999999999"/>
    <n v="73.927531999999999"/>
    <x v="5"/>
    <n v="25"/>
    <n v="99"/>
    <n v="71"/>
  </r>
  <r>
    <s v="India"/>
    <x v="14"/>
    <x v="95"/>
    <s v="Hadapsar, Pune - IITM"/>
    <x v="0"/>
    <n v="18.501792999999999"/>
    <n v="73.927531999999999"/>
    <x v="2"/>
    <n v="75"/>
    <n v="125"/>
    <n v="97"/>
  </r>
  <r>
    <s v="India"/>
    <x v="14"/>
    <x v="95"/>
    <s v="Karve Road, Pune - MPCB"/>
    <x v="0"/>
    <n v="18.501174299999999"/>
    <n v="73.816552700000003"/>
    <x v="2"/>
    <n v="2"/>
    <n v="2"/>
    <n v="2"/>
  </r>
  <r>
    <s v="India"/>
    <x v="14"/>
    <x v="96"/>
    <s v="Kopripada-Vashi, Navi Mumbai - MPCB"/>
    <x v="0"/>
    <n v="19.090337000000002"/>
    <n v="73.014232000000007"/>
    <x v="4"/>
    <n v="3"/>
    <n v="13"/>
    <n v="6"/>
  </r>
  <r>
    <s v="India"/>
    <x v="14"/>
    <x v="96"/>
    <s v="Kopripada-Vashi, Navi Mumbai - MPCB"/>
    <x v="0"/>
    <n v="19.090337000000002"/>
    <n v="73.014232000000007"/>
    <x v="6"/>
    <n v="34"/>
    <n v="120"/>
    <n v="43"/>
  </r>
  <r>
    <s v="India"/>
    <x v="14"/>
    <x v="96"/>
    <s v="Sanpada, Navi Mumbai - MPCB"/>
    <x v="0"/>
    <n v="19.057575199999999"/>
    <n v="73.015136699999999"/>
    <x v="3"/>
    <n v="7"/>
    <n v="24"/>
    <n v="12"/>
  </r>
  <r>
    <s v="India"/>
    <x v="14"/>
    <x v="114"/>
    <s v="Sidhi Vinayak Nagar, Ulhasnagar - MPCB"/>
    <x v="0"/>
    <n v="19.235581"/>
    <n v="73.159120999999999"/>
    <x v="2"/>
    <n v="28"/>
    <n v="46"/>
    <n v="39"/>
  </r>
  <r>
    <s v="India"/>
    <x v="14"/>
    <x v="114"/>
    <s v="Sidhi Vinayak Nagar, Ulhasnagar - MPCB"/>
    <x v="0"/>
    <n v="19.235581"/>
    <n v="73.159120999999999"/>
    <x v="3"/>
    <n v="3"/>
    <n v="6"/>
    <n v="4"/>
  </r>
  <r>
    <s v="India"/>
    <x v="14"/>
    <x v="227"/>
    <s v="Bolinj, Virar - MPCB"/>
    <x v="0"/>
    <n v="19.445820999999999"/>
    <n v="72.798823100000007"/>
    <x v="4"/>
    <n v="1"/>
    <n v="3"/>
    <n v="1"/>
  </r>
  <r>
    <s v="India"/>
    <x v="14"/>
    <x v="116"/>
    <s v="Dnyaneshwar Nagar, Solapur - MPCB"/>
    <x v="0"/>
    <n v="17.633626400000001"/>
    <n v="75.913249500000006"/>
    <x v="5"/>
    <n v="47"/>
    <n v="99"/>
    <n v="75"/>
  </r>
  <r>
    <s v="India"/>
    <x v="14"/>
    <x v="116"/>
    <s v="Dnyaneshwar Nagar, Solapur - MPCB"/>
    <x v="0"/>
    <n v="17.633626400000001"/>
    <n v="75.913249500000006"/>
    <x v="1"/>
    <n v="52"/>
    <n v="141"/>
    <n v="95"/>
  </r>
  <r>
    <s v="India"/>
    <x v="14"/>
    <x v="100"/>
    <s v="Gavalinagar, Pimpri Chinchwad - MPCB"/>
    <x v="0"/>
    <n v="18.63673"/>
    <n v="73.824870000000004"/>
    <x v="2"/>
    <n v="27"/>
    <n v="123"/>
    <n v="63"/>
  </r>
  <r>
    <s v="India"/>
    <x v="14"/>
    <x v="95"/>
    <s v="Karve Road, Pune - MPCB"/>
    <x v="0"/>
    <n v="18.501174299999999"/>
    <n v="73.816552700000003"/>
    <x v="4"/>
    <n v="7"/>
    <n v="7"/>
    <n v="7"/>
  </r>
  <r>
    <s v="India"/>
    <x v="15"/>
    <x v="228"/>
    <s v="Barsua Iron Ore Mines, Tensa - OSPCB"/>
    <x v="0"/>
    <n v="21.869985"/>
    <n v="85.167016000000004"/>
    <x v="1"/>
    <n v="81"/>
    <n v="121"/>
    <n v="99"/>
  </r>
  <r>
    <s v="India"/>
    <x v="15"/>
    <x v="228"/>
    <s v="Barsua Iron Ore Mines, Tensa - OSPCB"/>
    <x v="0"/>
    <n v="21.869985"/>
    <n v="85.167016000000004"/>
    <x v="6"/>
    <n v="28"/>
    <n v="42"/>
    <n v="36"/>
  </r>
  <r>
    <s v="India"/>
    <x v="20"/>
    <x v="127"/>
    <s v="Jawahar Nagar, Puducherry - PPCC"/>
    <x v="0"/>
    <n v="11.930899999999999"/>
    <n v="79.802700000000002"/>
    <x v="5"/>
    <n v="5"/>
    <n v="106"/>
    <n v="29"/>
  </r>
  <r>
    <s v="India"/>
    <x v="20"/>
    <x v="127"/>
    <s v="Jawahar Nagar, Puducherry - PPCC"/>
    <x v="0"/>
    <n v="11.930899999999999"/>
    <n v="79.802700000000002"/>
    <x v="3"/>
    <n v="3"/>
    <n v="8"/>
    <n v="4"/>
  </r>
  <r>
    <s v="India"/>
    <x v="20"/>
    <x v="127"/>
    <s v="Jawahar Nagar, Puducherry - PPCC"/>
    <x v="0"/>
    <n v="11.930899999999999"/>
    <n v="79.802700000000002"/>
    <x v="6"/>
    <n v="14"/>
    <n v="34"/>
    <n v="16"/>
  </r>
  <r>
    <s v="India"/>
    <x v="18"/>
    <x v="128"/>
    <s v="Golden Temple, Amritsar - PPCB"/>
    <x v="0"/>
    <n v="31.62"/>
    <n v="74.876512000000005"/>
    <x v="0"/>
    <n v="42"/>
    <n v="61"/>
    <n v="50"/>
  </r>
  <r>
    <s v="India"/>
    <x v="18"/>
    <x v="229"/>
    <s v="Hardev Nagar, Bathinda - PPCB"/>
    <x v="0"/>
    <n v="30.233011000000001"/>
    <n v="74.907758000000001"/>
    <x v="4"/>
    <n v="3"/>
    <n v="19"/>
    <n v="11"/>
  </r>
  <r>
    <s v="India"/>
    <x v="18"/>
    <x v="230"/>
    <s v="Civil Line, Jalandhar - PPCB"/>
    <x v="0"/>
    <n v="31.321906999999999"/>
    <n v="75.578913999999997"/>
    <x v="1"/>
    <n v="62"/>
    <n v="183"/>
    <n v="126"/>
  </r>
  <r>
    <s v="India"/>
    <x v="15"/>
    <x v="112"/>
    <s v="GM Office, Brajrajnagar - OSPCB"/>
    <x v="0"/>
    <n v="21.800499599999998"/>
    <n v="83.839697700000002"/>
    <x v="6"/>
    <n v="28"/>
    <n v="61"/>
    <n v="56"/>
  </r>
  <r>
    <s v="India"/>
    <x v="15"/>
    <x v="113"/>
    <s v="Ferro Chrome Colony, Byasanagar - OSPCB"/>
    <x v="0"/>
    <n v="20.941849999999999"/>
    <n v="86.115099999999998"/>
    <x v="0"/>
    <n v="22"/>
    <n v="154"/>
    <n v="97"/>
  </r>
  <r>
    <s v="India"/>
    <x v="15"/>
    <x v="102"/>
    <s v="CDA Area, Cuttack - OSPCB"/>
    <x v="0"/>
    <n v="20.488910000000001"/>
    <n v="85.847679999999997"/>
    <x v="5"/>
    <n v="28"/>
    <n v="93"/>
    <n v="51"/>
  </r>
  <r>
    <s v="India"/>
    <x v="15"/>
    <x v="103"/>
    <s v="Jagamohanpur, Keonjhar - OSPCB"/>
    <x v="0"/>
    <n v="21.643899999999999"/>
    <n v="85.599355000000003"/>
    <x v="1"/>
    <n v="85"/>
    <n v="128"/>
    <n v="107"/>
  </r>
  <r>
    <s v="India"/>
    <x v="15"/>
    <x v="104"/>
    <s v="Dabuna, Nayagarh - OSPCB"/>
    <x v="0"/>
    <n v="21.847279"/>
    <n v="85.416905"/>
    <x v="3"/>
    <m/>
    <m/>
    <m/>
  </r>
  <r>
    <s v="India"/>
    <x v="15"/>
    <x v="104"/>
    <s v="Dabuna, Nayagarh - OSPCB"/>
    <x v="0"/>
    <n v="21.847279"/>
    <n v="85.416905"/>
    <x v="6"/>
    <m/>
    <m/>
    <m/>
  </r>
  <r>
    <s v="India"/>
    <x v="28"/>
    <x v="231"/>
    <s v="PWD Juction, Kohima - NPCB"/>
    <x v="0"/>
    <n v="25.663541299999999"/>
    <n v="94.098987800000003"/>
    <x v="6"/>
    <n v="2"/>
    <n v="16"/>
    <n v="13"/>
  </r>
  <r>
    <s v="India"/>
    <x v="15"/>
    <x v="232"/>
    <s v="Hakimapada, Angul - OSPCB"/>
    <x v="0"/>
    <n v="20.832874"/>
    <n v="85.104082000000005"/>
    <x v="5"/>
    <n v="55"/>
    <n v="325"/>
    <n v="131"/>
  </r>
  <r>
    <s v="India"/>
    <x v="15"/>
    <x v="107"/>
    <s v="Kalidaspur, Balasore - OSPCB"/>
    <x v="0"/>
    <n v="21.511610000000001"/>
    <n v="86.890879999999996"/>
    <x v="1"/>
    <n v="43"/>
    <n v="164"/>
    <n v="102"/>
  </r>
  <r>
    <s v="India"/>
    <x v="15"/>
    <x v="108"/>
    <s v="Forest Office, Barbil - OSPCB"/>
    <x v="0"/>
    <n v="22.116605400000001"/>
    <n v="85.394554600000006"/>
    <x v="2"/>
    <n v="13"/>
    <n v="79"/>
    <n v="26"/>
  </r>
  <r>
    <s v="India"/>
    <x v="15"/>
    <x v="108"/>
    <s v="Forest Office, Barbil - OSPCB"/>
    <x v="0"/>
    <n v="22.116605400000001"/>
    <n v="85.394554600000006"/>
    <x v="4"/>
    <n v="15"/>
    <n v="92"/>
    <n v="30"/>
  </r>
  <r>
    <s v="India"/>
    <x v="15"/>
    <x v="110"/>
    <s v="Lingraj Mandir, Bhubaneswar - OSPCB"/>
    <x v="0"/>
    <n v="20.240790000000001"/>
    <n v="85.836783999999994"/>
    <x v="4"/>
    <n v="1"/>
    <n v="12"/>
    <n v="6"/>
  </r>
  <r>
    <s v="India"/>
    <x v="15"/>
    <x v="110"/>
    <s v="Patia, Bhubaneswar - OSPCB"/>
    <x v="0"/>
    <n v="20.346520000000002"/>
    <n v="85.816299999999998"/>
    <x v="5"/>
    <n v="12"/>
    <n v="326"/>
    <n v="74"/>
  </r>
  <r>
    <s v="India"/>
    <x v="15"/>
    <x v="110"/>
    <s v="Patia, Bhubaneswar - OSPCB"/>
    <x v="0"/>
    <n v="20.346520000000002"/>
    <n v="85.816299999999998"/>
    <x v="3"/>
    <n v="2"/>
    <n v="2"/>
    <n v="2"/>
  </r>
  <r>
    <s v="India"/>
    <x v="15"/>
    <x v="110"/>
    <s v="Patia, Bhubaneswar - OSPCB"/>
    <x v="0"/>
    <n v="20.346520000000002"/>
    <n v="85.816299999999998"/>
    <x v="4"/>
    <n v="3"/>
    <n v="13"/>
    <n v="7"/>
  </r>
  <r>
    <s v="India"/>
    <x v="15"/>
    <x v="111"/>
    <s v="Tata Township, Bileipada - OSPCB"/>
    <x v="0"/>
    <n v="22.061567029999999"/>
    <n v="85.474096130000007"/>
    <x v="4"/>
    <n v="6"/>
    <n v="19"/>
    <n v="9"/>
  </r>
  <r>
    <s v="India"/>
    <x v="29"/>
    <x v="233"/>
    <s v="JN Stadium, Shillong - Meghalaya PCB"/>
    <x v="0"/>
    <n v="25.580341900000001"/>
    <n v="91.894257100000004"/>
    <x v="5"/>
    <n v="69"/>
    <n v="310"/>
    <n v="186"/>
  </r>
  <r>
    <s v="India"/>
    <x v="29"/>
    <x v="233"/>
    <s v="JN Stadium, Shillong - Meghalaya PCB"/>
    <x v="0"/>
    <n v="25.580341900000001"/>
    <n v="91.894257100000004"/>
    <x v="2"/>
    <n v="14"/>
    <n v="58"/>
    <n v="31"/>
  </r>
  <r>
    <s v="India"/>
    <x v="29"/>
    <x v="233"/>
    <s v="Lumpyngngad, Shillong - Meghalaya PCB"/>
    <x v="0"/>
    <n v="25.558599999999998"/>
    <n v="91.898499999999999"/>
    <x v="4"/>
    <n v="6"/>
    <n v="11"/>
    <n v="8"/>
  </r>
  <r>
    <s v="India"/>
    <x v="17"/>
    <x v="118"/>
    <s v="Sikulpuikawn, Aizawl - Mizoram PCB"/>
    <x v="0"/>
    <n v="23.717634199999999"/>
    <n v="92.719284099999996"/>
    <x v="3"/>
    <n v="1"/>
    <n v="2"/>
    <n v="1"/>
  </r>
  <r>
    <s v="India"/>
    <x v="18"/>
    <x v="129"/>
    <s v="Kalal Majra, Khanna - PPCB"/>
    <x v="0"/>
    <n v="30.736056000000001"/>
    <n v="76.209693999999999"/>
    <x v="3"/>
    <n v="7"/>
    <n v="8"/>
    <n v="7"/>
  </r>
  <r>
    <s v="India"/>
    <x v="18"/>
    <x v="119"/>
    <s v="Punjab Agricultural University, Ludhiana - PPCB"/>
    <x v="0"/>
    <n v="30.902799999999999"/>
    <n v="75.808599999999998"/>
    <x v="5"/>
    <n v="88"/>
    <n v="181"/>
    <n v="101"/>
  </r>
  <r>
    <s v="India"/>
    <x v="18"/>
    <x v="119"/>
    <s v="Punjab Agricultural University, Ludhiana - PPCB"/>
    <x v="0"/>
    <n v="30.902799999999999"/>
    <n v="75.808599999999998"/>
    <x v="1"/>
    <n v="103"/>
    <n v="146"/>
    <n v="111"/>
  </r>
  <r>
    <s v="India"/>
    <x v="19"/>
    <x v="124"/>
    <s v="Moti Doongri, Alwar - RSPCB"/>
    <x v="0"/>
    <n v="27.554793"/>
    <n v="76.611536000000001"/>
    <x v="4"/>
    <n v="3"/>
    <n v="27"/>
    <n v="14"/>
  </r>
  <r>
    <s v="India"/>
    <x v="19"/>
    <x v="134"/>
    <s v="Rati Talai, Banswara - RSPCB"/>
    <x v="0"/>
    <n v="23.55519"/>
    <n v="74.440010000000001"/>
    <x v="6"/>
    <n v="14"/>
    <n v="36"/>
    <n v="22"/>
  </r>
  <r>
    <s v="India"/>
    <x v="19"/>
    <x v="134"/>
    <s v="Rati Talai, Banswara - RSPCB"/>
    <x v="0"/>
    <n v="23.55519"/>
    <n v="74.440010000000001"/>
    <x v="0"/>
    <n v="48"/>
    <n v="116"/>
    <n v="85"/>
  </r>
  <r>
    <s v="India"/>
    <x v="18"/>
    <x v="121"/>
    <s v="Model Town, Patiala - PPCB"/>
    <x v="0"/>
    <n v="30.349388000000001"/>
    <n v="76.366641999999999"/>
    <x v="3"/>
    <n v="1"/>
    <n v="4"/>
    <n v="4"/>
  </r>
  <r>
    <s v="India"/>
    <x v="18"/>
    <x v="122"/>
    <s v="Ratanpura, Rupnagar - Ambuja Cements"/>
    <x v="0"/>
    <n v="31.0325454"/>
    <n v="76.562304600000004"/>
    <x v="4"/>
    <n v="5"/>
    <n v="8"/>
    <n v="7"/>
  </r>
  <r>
    <s v="India"/>
    <x v="15"/>
    <x v="106"/>
    <s v="Fertilizer Township, Rourkela - OSPCB"/>
    <x v="0"/>
    <n v="22.18972222"/>
    <n v="84.862777780000002"/>
    <x v="5"/>
    <m/>
    <m/>
    <m/>
  </r>
  <r>
    <s v="India"/>
    <x v="19"/>
    <x v="150"/>
    <s v="Bhoiwada, Dungarpur - RSPCB"/>
    <x v="0"/>
    <n v="23.837789000000001"/>
    <n v="73.714926000000006"/>
    <x v="4"/>
    <n v="2"/>
    <n v="8"/>
    <n v="5"/>
  </r>
  <r>
    <s v="India"/>
    <x v="19"/>
    <x v="150"/>
    <s v="Bhoiwada, Dungarpur - RSPCB"/>
    <x v="0"/>
    <n v="23.837789000000001"/>
    <n v="73.714926000000006"/>
    <x v="6"/>
    <n v="11"/>
    <n v="32"/>
    <n v="15"/>
  </r>
  <r>
    <s v="India"/>
    <x v="19"/>
    <x v="151"/>
    <s v="Housing Board, Hanumangarh - RSPCB"/>
    <x v="0"/>
    <n v="29.610749999999999"/>
    <n v="74.283608000000001"/>
    <x v="2"/>
    <n v="12"/>
    <n v="73"/>
    <n v="32"/>
  </r>
  <r>
    <s v="India"/>
    <x v="19"/>
    <x v="151"/>
    <s v="Housing Board, Hanumangarh - RSPCB"/>
    <x v="0"/>
    <n v="29.610749999999999"/>
    <n v="74.283608000000001"/>
    <x v="4"/>
    <n v="7"/>
    <n v="29"/>
    <n v="13"/>
  </r>
  <r>
    <s v="India"/>
    <x v="19"/>
    <x v="139"/>
    <s v="Mansarovar Sector-12, Jaipur - RSPCB"/>
    <x v="0"/>
    <n v="26.843698"/>
    <n v="75.766893999999994"/>
    <x v="2"/>
    <n v="9"/>
    <n v="138"/>
    <n v="65"/>
  </r>
  <r>
    <s v="India"/>
    <x v="19"/>
    <x v="139"/>
    <s v="Mansarovar Sector-12, Jaipur - RSPCB"/>
    <x v="0"/>
    <n v="26.843698"/>
    <n v="75.766893999999994"/>
    <x v="6"/>
    <n v="14"/>
    <n v="105"/>
    <n v="44"/>
  </r>
  <r>
    <s v="India"/>
    <x v="19"/>
    <x v="133"/>
    <s v="Pratap Nagar, Bhilwara - RSPCB"/>
    <x v="0"/>
    <n v="25.339604999999999"/>
    <n v="74.618882999999997"/>
    <x v="0"/>
    <n v="1"/>
    <n v="75"/>
    <n v="44"/>
  </r>
  <r>
    <s v="India"/>
    <x v="19"/>
    <x v="130"/>
    <s v="RIICO Ind. Area III, Bhiwadi - RSPCB"/>
    <x v="0"/>
    <n v="28.194908999999999"/>
    <n v="76.862296000000001"/>
    <x v="1"/>
    <m/>
    <m/>
    <m/>
  </r>
  <r>
    <s v="India"/>
    <x v="19"/>
    <x v="130"/>
    <s v="RIICO Ind. Area III, Bhiwadi - RSPCB"/>
    <x v="0"/>
    <n v="28.194908999999999"/>
    <n v="76.862296000000001"/>
    <x v="0"/>
    <n v="14"/>
    <n v="75"/>
    <n v="33"/>
  </r>
  <r>
    <s v="India"/>
    <x v="19"/>
    <x v="130"/>
    <s v="Vasundhara Nagar_UIT, Bhiwadi - RSPCB"/>
    <x v="0"/>
    <n v="28.207266000000001"/>
    <n v="76.829265000000007"/>
    <x v="0"/>
    <n v="4"/>
    <n v="141"/>
    <n v="90"/>
  </r>
  <r>
    <s v="India"/>
    <x v="19"/>
    <x v="152"/>
    <s v="Khatikan Mohalla, Dausa - RSPCB"/>
    <x v="0"/>
    <n v="26.895551999999999"/>
    <n v="76.334753000000006"/>
    <x v="1"/>
    <n v="116"/>
    <n v="274"/>
    <n v="165"/>
  </r>
  <r>
    <s v="India"/>
    <x v="19"/>
    <x v="152"/>
    <s v="Khatikan Mohalla, Dausa - RSPCB"/>
    <x v="0"/>
    <n v="26.895551999999999"/>
    <n v="76.334753000000006"/>
    <x v="4"/>
    <n v="10"/>
    <n v="20"/>
    <n v="12"/>
  </r>
  <r>
    <s v="India"/>
    <x v="19"/>
    <x v="153"/>
    <s v="Raja Ganj, Dholpur - RSPCB"/>
    <x v="0"/>
    <n v="26.699556999999999"/>
    <n v="77.898881000000003"/>
    <x v="3"/>
    <n v="6"/>
    <n v="11"/>
    <n v="8"/>
  </r>
  <r>
    <s v="India"/>
    <x v="19"/>
    <x v="153"/>
    <s v="Raja Ganj, Dholpur - RSPCB"/>
    <x v="0"/>
    <n v="26.699556999999999"/>
    <n v="77.898881000000003"/>
    <x v="4"/>
    <n v="10"/>
    <n v="62"/>
    <n v="28"/>
  </r>
  <r>
    <s v="India"/>
    <x v="19"/>
    <x v="156"/>
    <s v="Subash Chowk, Churu - RSPCB"/>
    <x v="0"/>
    <n v="28.296139"/>
    <n v="74.961696000000003"/>
    <x v="4"/>
    <n v="3"/>
    <n v="5"/>
    <n v="4"/>
  </r>
  <r>
    <s v="India"/>
    <x v="19"/>
    <x v="156"/>
    <s v="Subash Chowk, Churu - RSPCB"/>
    <x v="0"/>
    <n v="28.296139"/>
    <n v="74.961696000000003"/>
    <x v="0"/>
    <n v="28"/>
    <n v="142"/>
    <n v="102"/>
  </r>
  <r>
    <s v="India"/>
    <x v="19"/>
    <x v="152"/>
    <s v="Khatikan Mohalla, Dausa - RSPCB"/>
    <x v="0"/>
    <n v="26.895551999999999"/>
    <n v="76.334753000000006"/>
    <x v="5"/>
    <n v="47"/>
    <n v="239"/>
    <n v="88"/>
  </r>
  <r>
    <s v="India"/>
    <x v="19"/>
    <x v="136"/>
    <s v="Railway Colony, Barmer - RSPCB"/>
    <x v="0"/>
    <n v="25.747299000000002"/>
    <n v="71.393989000000005"/>
    <x v="3"/>
    <n v="4"/>
    <n v="12"/>
    <n v="6"/>
  </r>
  <r>
    <s v="India"/>
    <x v="19"/>
    <x v="136"/>
    <s v="Railway Colony, Barmer - RSPCB"/>
    <x v="0"/>
    <n v="25.747299000000002"/>
    <n v="71.393989000000005"/>
    <x v="6"/>
    <n v="10"/>
    <n v="29"/>
    <n v="20"/>
  </r>
  <r>
    <s v="India"/>
    <x v="19"/>
    <x v="136"/>
    <s v="Railway Colony, Barmer - RSPCB"/>
    <x v="0"/>
    <n v="25.747299000000002"/>
    <n v="71.393989000000005"/>
    <x v="0"/>
    <n v="33"/>
    <n v="110"/>
    <n v="74"/>
  </r>
  <r>
    <s v="India"/>
    <x v="19"/>
    <x v="131"/>
    <s v="MM Ground, Bikaner - RSPCB"/>
    <x v="0"/>
    <n v="28.018792000000001"/>
    <n v="73.292658000000003"/>
    <x v="0"/>
    <n v="1"/>
    <n v="113"/>
    <n v="66"/>
  </r>
  <r>
    <s v="India"/>
    <x v="19"/>
    <x v="138"/>
    <s v="New Colony, Bundi - RSPCB"/>
    <x v="0"/>
    <n v="25.435773999999999"/>
    <n v="75.644272000000001"/>
    <x v="1"/>
    <n v="101"/>
    <n v="330"/>
    <n v="156"/>
  </r>
  <r>
    <s v="India"/>
    <x v="19"/>
    <x v="140"/>
    <s v="Sadar Bazar, Jaisalmer - RSPCB"/>
    <x v="0"/>
    <n v="26.912329"/>
    <n v="70.909167999999994"/>
    <x v="3"/>
    <n v="6"/>
    <n v="36"/>
    <n v="18"/>
  </r>
  <r>
    <s v="India"/>
    <x v="19"/>
    <x v="133"/>
    <s v="Pratap Nagar, Bhilwara - RSPCB"/>
    <x v="0"/>
    <n v="25.339604999999999"/>
    <n v="74.618882999999997"/>
    <x v="4"/>
    <n v="27"/>
    <n v="42"/>
    <n v="32"/>
  </r>
  <r>
    <s v="India"/>
    <x v="19"/>
    <x v="156"/>
    <s v="Subash Chowk, Churu - RSPCB"/>
    <x v="0"/>
    <n v="28.296139"/>
    <n v="74.961696000000003"/>
    <x v="1"/>
    <n v="47"/>
    <n v="138"/>
    <n v="88"/>
  </r>
  <r>
    <s v="India"/>
    <x v="19"/>
    <x v="155"/>
    <s v="Nayapura, Kota - RSPCB"/>
    <x v="0"/>
    <n v="25.196024000000001"/>
    <n v="75.855667999999994"/>
    <x v="5"/>
    <n v="22"/>
    <n v="189"/>
    <n v="78"/>
  </r>
  <r>
    <s v="India"/>
    <x v="19"/>
    <x v="155"/>
    <s v="Nayapura, Kota - RSPCB"/>
    <x v="0"/>
    <n v="25.196024000000001"/>
    <n v="75.855667999999994"/>
    <x v="1"/>
    <n v="89"/>
    <n v="373"/>
    <n v="144"/>
  </r>
  <r>
    <s v="India"/>
    <x v="19"/>
    <x v="155"/>
    <s v="Nayapura, Kota - RSPCB"/>
    <x v="0"/>
    <n v="25.196024000000001"/>
    <n v="75.855667999999994"/>
    <x v="4"/>
    <n v="1"/>
    <n v="10"/>
    <n v="5"/>
  </r>
  <r>
    <s v="India"/>
    <x v="19"/>
    <x v="155"/>
    <s v="Nayapura, Kota - RSPCB"/>
    <x v="0"/>
    <n v="25.196024000000001"/>
    <n v="75.855667999999994"/>
    <x v="6"/>
    <n v="16"/>
    <n v="106"/>
    <n v="41"/>
  </r>
  <r>
    <s v="India"/>
    <x v="19"/>
    <x v="155"/>
    <s v="Nayapura, Kota - RSPCB"/>
    <x v="0"/>
    <n v="25.196024000000001"/>
    <n v="75.855667999999994"/>
    <x v="0"/>
    <n v="3"/>
    <n v="78"/>
    <n v="66"/>
  </r>
  <r>
    <s v="India"/>
    <x v="19"/>
    <x v="155"/>
    <s v="Shrinath Puram, Kota - RSPCB"/>
    <x v="0"/>
    <n v="25.143889999999999"/>
    <n v="75.821256000000005"/>
    <x v="3"/>
    <n v="2"/>
    <n v="8"/>
    <n v="4"/>
  </r>
  <r>
    <s v="India"/>
    <x v="19"/>
    <x v="234"/>
    <s v="Karni Colony, Nagaur - RSPCB"/>
    <x v="0"/>
    <n v="27.213494000000001"/>
    <n v="73.734443999999996"/>
    <x v="1"/>
    <n v="92"/>
    <n v="474"/>
    <n v="190"/>
  </r>
  <r>
    <s v="India"/>
    <x v="19"/>
    <x v="234"/>
    <s v="Karni Colony, Nagaur - RSPCB"/>
    <x v="0"/>
    <n v="27.213494000000001"/>
    <n v="73.734443999999996"/>
    <x v="0"/>
    <n v="24"/>
    <n v="88"/>
    <n v="67"/>
  </r>
  <r>
    <s v="India"/>
    <x v="19"/>
    <x v="145"/>
    <s v="Indira Colony Vistar, Pali - RSPCB"/>
    <x v="0"/>
    <n v="25.771061"/>
    <n v="73.340226999999999"/>
    <x v="1"/>
    <n v="103"/>
    <n v="339"/>
    <n v="156"/>
  </r>
  <r>
    <s v="India"/>
    <x v="19"/>
    <x v="145"/>
    <s v="Indira Colony Vistar, Pali - RSPCB"/>
    <x v="0"/>
    <n v="25.771061"/>
    <n v="73.340226999999999"/>
    <x v="2"/>
    <n v="14"/>
    <n v="36"/>
    <n v="23"/>
  </r>
  <r>
    <s v="India"/>
    <x v="19"/>
    <x v="144"/>
    <s v="Jhalamand, Jodhpur - RSPCB"/>
    <x v="0"/>
    <n v="26.215415"/>
    <n v="73.070155999999997"/>
    <x v="3"/>
    <n v="5"/>
    <n v="33"/>
    <n v="19"/>
  </r>
  <r>
    <s v="India"/>
    <x v="19"/>
    <x v="144"/>
    <s v="Jhalamand, Jodhpur - RSPCB"/>
    <x v="0"/>
    <n v="26.215415"/>
    <n v="73.070155999999997"/>
    <x v="4"/>
    <n v="3"/>
    <n v="18"/>
    <n v="7"/>
  </r>
  <r>
    <s v="India"/>
    <x v="19"/>
    <x v="144"/>
    <s v="Jhalamand, Jodhpur - RSPCB"/>
    <x v="0"/>
    <n v="26.215415"/>
    <n v="73.070155999999997"/>
    <x v="0"/>
    <n v="10"/>
    <n v="62"/>
    <n v="43"/>
  </r>
  <r>
    <s v="India"/>
    <x v="19"/>
    <x v="144"/>
    <s v="Mandor, Jodhpur - RSPCB"/>
    <x v="0"/>
    <n v="26.358805"/>
    <n v="73.047443999999999"/>
    <x v="3"/>
    <n v="4"/>
    <n v="8"/>
    <n v="6"/>
  </r>
  <r>
    <s v="India"/>
    <x v="19"/>
    <x v="144"/>
    <s v="Samrat Ashok Udhyan, Jodhpur - RSPCB"/>
    <x v="0"/>
    <n v="26.253384"/>
    <n v="72.976571000000007"/>
    <x v="4"/>
    <n v="4"/>
    <n v="37"/>
    <n v="10"/>
  </r>
  <r>
    <s v="India"/>
    <x v="19"/>
    <x v="154"/>
    <s v="Satyawati Vihar, Karauli - RSPCB"/>
    <x v="0"/>
    <n v="26.506177000000001"/>
    <n v="77.025988999999996"/>
    <x v="6"/>
    <n v="16"/>
    <n v="75"/>
    <n v="31"/>
  </r>
  <r>
    <s v="India"/>
    <x v="19"/>
    <x v="154"/>
    <s v="Satyawati Vihar, Karauli - RSPCB"/>
    <x v="0"/>
    <n v="26.506177000000001"/>
    <n v="77.025988999999996"/>
    <x v="0"/>
    <n v="3"/>
    <n v="152"/>
    <n v="102"/>
  </r>
  <r>
    <s v="India"/>
    <x v="19"/>
    <x v="155"/>
    <s v="Dhanmandi, Kota - RSPCB"/>
    <x v="0"/>
    <n v="25.164090000000002"/>
    <n v="75.858136999999999"/>
    <x v="5"/>
    <n v="14"/>
    <n v="136"/>
    <n v="47"/>
  </r>
  <r>
    <s v="India"/>
    <x v="19"/>
    <x v="155"/>
    <s v="Dhanmandi, Kota - RSPCB"/>
    <x v="0"/>
    <n v="25.164090000000002"/>
    <n v="75.858136999999999"/>
    <x v="6"/>
    <n v="12"/>
    <n v="109"/>
    <n v="40"/>
  </r>
  <r>
    <s v="India"/>
    <x v="19"/>
    <x v="149"/>
    <s v="Radhakishan Pura, Sikar - RSPCB"/>
    <x v="0"/>
    <n v="27.608912"/>
    <n v="75.153301999999996"/>
    <x v="3"/>
    <n v="5"/>
    <n v="13"/>
    <n v="9"/>
  </r>
  <r>
    <s v="India"/>
    <x v="19"/>
    <x v="235"/>
    <s v="Vedhaynath Colony, Sirohi - RSPCB"/>
    <x v="0"/>
    <n v="24.885261"/>
    <n v="72.857549000000006"/>
    <x v="1"/>
    <n v="38"/>
    <n v="260"/>
    <n v="85"/>
  </r>
  <r>
    <s v="India"/>
    <x v="19"/>
    <x v="235"/>
    <s v="Vedhaynath Colony, Sirohi - RSPCB"/>
    <x v="0"/>
    <n v="24.885261"/>
    <n v="72.857549000000006"/>
    <x v="2"/>
    <n v="6"/>
    <n v="72"/>
    <n v="20"/>
  </r>
  <r>
    <s v="India"/>
    <x v="19"/>
    <x v="235"/>
    <s v="Vedhaynath Colony, Sirohi - RSPCB"/>
    <x v="0"/>
    <n v="24.885261"/>
    <n v="72.857549000000006"/>
    <x v="4"/>
    <n v="3"/>
    <n v="7"/>
    <n v="5"/>
  </r>
  <r>
    <s v="India"/>
    <x v="19"/>
    <x v="235"/>
    <s v="Vedhaynath Colony, Sirohi - RSPCB"/>
    <x v="0"/>
    <n v="24.885261"/>
    <n v="72.857549000000006"/>
    <x v="0"/>
    <n v="26"/>
    <n v="63"/>
    <n v="52"/>
  </r>
  <r>
    <s v="India"/>
    <x v="19"/>
    <x v="166"/>
    <s v="Old City, Sri Ganganagar - RSPCB"/>
    <x v="0"/>
    <n v="29.931623999999999"/>
    <n v="73.864510999999993"/>
    <x v="5"/>
    <n v="32"/>
    <n v="422"/>
    <n v="139"/>
  </r>
  <r>
    <s v="India"/>
    <x v="19"/>
    <x v="166"/>
    <s v="Old City, Sri Ganganagar - RSPCB"/>
    <x v="0"/>
    <n v="29.931623999999999"/>
    <n v="73.864510999999993"/>
    <x v="4"/>
    <n v="7"/>
    <n v="82"/>
    <n v="22"/>
  </r>
  <r>
    <s v="India"/>
    <x v="19"/>
    <x v="166"/>
    <s v="Old City, Sri Ganganagar - RSPCB"/>
    <x v="0"/>
    <n v="29.931623999999999"/>
    <n v="73.864510999999993"/>
    <x v="6"/>
    <n v="30"/>
    <n v="100"/>
    <n v="42"/>
  </r>
  <r>
    <s v="India"/>
    <x v="19"/>
    <x v="167"/>
    <s v="Shastri Nagar, Tonk - RSPCB"/>
    <x v="0"/>
    <n v="26.159932999999999"/>
    <n v="75.780517000000003"/>
    <x v="3"/>
    <n v="5"/>
    <n v="10"/>
    <n v="7"/>
  </r>
  <r>
    <s v="India"/>
    <x v="19"/>
    <x v="167"/>
    <s v="Shastri Nagar, Tonk - RSPCB"/>
    <x v="0"/>
    <n v="26.159932999999999"/>
    <n v="75.780517000000003"/>
    <x v="4"/>
    <n v="5"/>
    <n v="14"/>
    <n v="8"/>
  </r>
  <r>
    <s v="India"/>
    <x v="19"/>
    <x v="236"/>
    <s v="Ashok Nagar, Udaipur - RSPCB"/>
    <x v="0"/>
    <n v="24.588616600000002"/>
    <n v="73.632139699999996"/>
    <x v="2"/>
    <n v="31"/>
    <n v="37"/>
    <n v="34"/>
  </r>
  <r>
    <s v="India"/>
    <x v="19"/>
    <x v="142"/>
    <s v="Rajlaxmi Nagar, Jhalawar - RSPCB"/>
    <x v="0"/>
    <n v="24.588397000000001"/>
    <n v="76.172781999999998"/>
    <x v="5"/>
    <n v="33"/>
    <n v="301"/>
    <n v="102"/>
  </r>
  <r>
    <s v="India"/>
    <x v="19"/>
    <x v="142"/>
    <s v="Rajlaxmi Nagar, Jhalawar - RSPCB"/>
    <x v="0"/>
    <n v="24.588397000000001"/>
    <n v="76.172781999999998"/>
    <x v="2"/>
    <n v="17"/>
    <n v="108"/>
    <n v="51"/>
  </r>
  <r>
    <s v="India"/>
    <x v="19"/>
    <x v="144"/>
    <s v="Collectorate, Jodhpur - RSPCB"/>
    <x v="0"/>
    <n v="26.268249000000001"/>
    <n v="73.019385299999996"/>
    <x v="5"/>
    <n v="10"/>
    <n v="290"/>
    <n v="110"/>
  </r>
  <r>
    <s v="India"/>
    <x v="19"/>
    <x v="144"/>
    <s v="Digari Kalan, Jodhpur - RSPCB"/>
    <x v="0"/>
    <n v="26.295809999999999"/>
    <n v="73.082283000000004"/>
    <x v="2"/>
    <n v="4"/>
    <n v="98"/>
    <n v="43"/>
  </r>
  <r>
    <s v="India"/>
    <x v="19"/>
    <x v="144"/>
    <s v="Digari Kalan, Jodhpur - RSPCB"/>
    <x v="0"/>
    <n v="26.295809999999999"/>
    <n v="73.082283000000004"/>
    <x v="6"/>
    <n v="10"/>
    <n v="84"/>
    <n v="18"/>
  </r>
  <r>
    <s v="India"/>
    <x v="22"/>
    <x v="162"/>
    <s v="Zero Point GICI, Gangtok - SSPCB"/>
    <x v="0"/>
    <n v="27.338529999999999"/>
    <n v="88.614098999999996"/>
    <x v="5"/>
    <n v="97"/>
    <n v="196"/>
    <n v="147"/>
  </r>
  <r>
    <s v="India"/>
    <x v="21"/>
    <x v="163"/>
    <s v="Keelapalur, Ariyalur - TNPCB"/>
    <x v="0"/>
    <n v="11.068250000000001"/>
    <n v="79.070329999999998"/>
    <x v="1"/>
    <n v="24"/>
    <n v="54"/>
    <n v="43"/>
  </r>
  <r>
    <s v="India"/>
    <x v="21"/>
    <x v="163"/>
    <s v="Keelapalur, Ariyalur - TNPCB"/>
    <x v="0"/>
    <n v="11.068250000000001"/>
    <n v="79.070329999999998"/>
    <x v="4"/>
    <n v="9"/>
    <n v="10"/>
    <n v="10"/>
  </r>
  <r>
    <s v="India"/>
    <x v="21"/>
    <x v="237"/>
    <s v="Crescent University, Chengalpattu - TNPCB"/>
    <x v="0"/>
    <n v="12.877731600000001"/>
    <n v="80.083480699999996"/>
    <x v="1"/>
    <m/>
    <m/>
    <m/>
  </r>
  <r>
    <s v="India"/>
    <x v="21"/>
    <x v="157"/>
    <s v="Alandur Bus Depot, Chennai - CPCB"/>
    <x v="0"/>
    <n v="12.9099161"/>
    <n v="80.107653799999994"/>
    <x v="5"/>
    <n v="13"/>
    <n v="17"/>
    <n v="14"/>
  </r>
  <r>
    <s v="India"/>
    <x v="21"/>
    <x v="157"/>
    <s v="Alandur Bus Depot, Chennai - CPCB"/>
    <x v="0"/>
    <n v="12.9099161"/>
    <n v="80.107653799999994"/>
    <x v="1"/>
    <n v="16"/>
    <n v="22"/>
    <n v="17"/>
  </r>
  <r>
    <s v="India"/>
    <x v="19"/>
    <x v="147"/>
    <s v="Dhoinda, Rajsamand - RSPCB"/>
    <x v="0"/>
    <n v="25.036359999999998"/>
    <n v="73.883501999999993"/>
    <x v="2"/>
    <n v="4"/>
    <n v="43"/>
    <n v="14"/>
  </r>
  <r>
    <s v="India"/>
    <x v="19"/>
    <x v="148"/>
    <s v="Sahu Nagar, Sawai Madhopur - RSPCB"/>
    <x v="0"/>
    <n v="26.031442999999999"/>
    <n v="76.359326999999993"/>
    <x v="2"/>
    <n v="11"/>
    <n v="34"/>
    <n v="19"/>
  </r>
  <r>
    <s v="India"/>
    <x v="21"/>
    <x v="157"/>
    <s v="Manali Village, Chennai - TNPCB"/>
    <x v="0"/>
    <n v="13.1662"/>
    <n v="80.258399999999995"/>
    <x v="5"/>
    <n v="1"/>
    <n v="71"/>
    <n v="27"/>
  </r>
  <r>
    <s v="India"/>
    <x v="21"/>
    <x v="157"/>
    <s v="Perungudi, Chennai - TNPCB"/>
    <x v="0"/>
    <n v="12.9533"/>
    <n v="80.235699999999994"/>
    <x v="3"/>
    <n v="4"/>
    <n v="4"/>
    <n v="4"/>
  </r>
  <r>
    <s v="India"/>
    <x v="21"/>
    <x v="157"/>
    <s v="Perungudi, Chennai - TNPCB"/>
    <x v="0"/>
    <n v="12.9533"/>
    <n v="80.235699999999994"/>
    <x v="6"/>
    <n v="28"/>
    <n v="38"/>
    <n v="32"/>
  </r>
  <r>
    <s v="India"/>
    <x v="21"/>
    <x v="157"/>
    <s v="Royapuram, Chennai - TNPCB"/>
    <x v="0"/>
    <n v="13.1036"/>
    <n v="80.290899999999993"/>
    <x v="5"/>
    <n v="6"/>
    <n v="71"/>
    <n v="25"/>
  </r>
  <r>
    <s v="India"/>
    <x v="21"/>
    <x v="157"/>
    <s v="Royapuram, Chennai - TNPCB"/>
    <x v="0"/>
    <n v="13.1036"/>
    <n v="80.290899999999993"/>
    <x v="1"/>
    <n v="9"/>
    <n v="94"/>
    <n v="28"/>
  </r>
  <r>
    <s v="India"/>
    <x v="21"/>
    <x v="157"/>
    <s v="Velachery Res. Area, Chennai - CPCB"/>
    <x v="0"/>
    <n v="13.005218899999999"/>
    <n v="80.239812499999999"/>
    <x v="0"/>
    <n v="43"/>
    <n v="52"/>
    <n v="48"/>
  </r>
  <r>
    <s v="India"/>
    <x v="21"/>
    <x v="158"/>
    <s v="PSG College of Arts and Science, Coimbatore - TNPCB"/>
    <x v="0"/>
    <n v="11.0328"/>
    <n v="77.034899999999993"/>
    <x v="4"/>
    <n v="5"/>
    <n v="7"/>
    <n v="6"/>
  </r>
  <r>
    <s v="India"/>
    <x v="21"/>
    <x v="158"/>
    <s v="SIDCO Kurichi, Coimbatore - TNPCB"/>
    <x v="0"/>
    <n v="10.942451"/>
    <n v="76.978995999999995"/>
    <x v="3"/>
    <n v="1"/>
    <n v="1"/>
    <n v="1"/>
  </r>
  <r>
    <s v="India"/>
    <x v="21"/>
    <x v="164"/>
    <s v="Mendonsa Colony, Dindigul - TNPCB"/>
    <x v="0"/>
    <n v="10.358535"/>
    <n v="77.984320999999994"/>
    <x v="3"/>
    <n v="1"/>
    <n v="1"/>
    <n v="1"/>
  </r>
  <r>
    <s v="India"/>
    <x v="21"/>
    <x v="238"/>
    <s v="Anthoni Pillai Nagar, Gummidipoondi - TNPCB"/>
    <x v="0"/>
    <n v="13.412699999999999"/>
    <n v="80.108099999999993"/>
    <x v="1"/>
    <n v="20"/>
    <n v="127"/>
    <n v="61"/>
  </r>
  <r>
    <s v="India"/>
    <x v="21"/>
    <x v="165"/>
    <s v="SIPCOT Phase-1, Hosur - TNPCB"/>
    <x v="0"/>
    <n v="12.746998"/>
    <n v="77.813811000000001"/>
    <x v="2"/>
    <n v="2"/>
    <n v="2"/>
    <n v="2"/>
  </r>
  <r>
    <s v="India"/>
    <x v="21"/>
    <x v="165"/>
    <s v="SIPCOT Phase-1, Hosur - TNPCB"/>
    <x v="0"/>
    <n v="12.746998"/>
    <n v="77.813811000000001"/>
    <x v="3"/>
    <n v="1"/>
    <n v="1"/>
    <n v="1"/>
  </r>
  <r>
    <s v="India"/>
    <x v="21"/>
    <x v="239"/>
    <s v="Kilambi, Kanchipuram - TNPCB"/>
    <x v="0"/>
    <n v="12.864618"/>
    <n v="79.659968000000006"/>
    <x v="2"/>
    <n v="1"/>
    <n v="12"/>
    <n v="4"/>
  </r>
  <r>
    <s v="India"/>
    <x v="21"/>
    <x v="177"/>
    <s v="Chalai Bazaar, Ramanathapuram - TNPCB"/>
    <x v="0"/>
    <n v="9.3639899999999994"/>
    <n v="78.831976999999995"/>
    <x v="4"/>
    <n v="13"/>
    <n v="14"/>
    <n v="13"/>
  </r>
  <r>
    <s v="India"/>
    <x v="21"/>
    <x v="174"/>
    <s v="VOC Nagar_SIPCOT, Ranipet - TNPCB"/>
    <x v="0"/>
    <n v="12.952707"/>
    <n v="79.303939999999997"/>
    <x v="4"/>
    <n v="15"/>
    <n v="16"/>
    <n v="16"/>
  </r>
  <r>
    <s v="India"/>
    <x v="21"/>
    <x v="240"/>
    <s v="Sona College of Technology, Salem - TNPCB"/>
    <x v="0"/>
    <n v="11.679111000000001"/>
    <n v="78.125051999999997"/>
    <x v="0"/>
    <n v="16"/>
    <n v="17"/>
    <n v="16"/>
  </r>
  <r>
    <s v="India"/>
    <x v="21"/>
    <x v="241"/>
    <s v="Parisutham Nagar, Thanjavur - TNPCB"/>
    <x v="0"/>
    <n v="10.7654824"/>
    <n v="79.138996800000001"/>
    <x v="3"/>
    <n v="2"/>
    <n v="2"/>
    <n v="2"/>
  </r>
  <r>
    <s v="India"/>
    <x v="21"/>
    <x v="239"/>
    <s v="Kilambi, Kanchipuram - TNPCB"/>
    <x v="0"/>
    <n v="12.864618"/>
    <n v="79.659968000000006"/>
    <x v="3"/>
    <n v="4"/>
    <n v="4"/>
    <n v="4"/>
  </r>
  <r>
    <s v="India"/>
    <x v="21"/>
    <x v="239"/>
    <s v="Kilambi, Kanchipuram - TNPCB"/>
    <x v="0"/>
    <n v="12.864618"/>
    <n v="79.659968000000006"/>
    <x v="6"/>
    <n v="20"/>
    <n v="23"/>
    <n v="21"/>
  </r>
  <r>
    <s v="India"/>
    <x v="21"/>
    <x v="242"/>
    <s v="Uchapatti, Madurai - TNPCB"/>
    <x v="0"/>
    <n v="9.8659350000000003"/>
    <n v="78.022668999999993"/>
    <x v="6"/>
    <n v="22"/>
    <n v="28"/>
    <n v="26"/>
  </r>
  <r>
    <s v="India"/>
    <x v="21"/>
    <x v="242"/>
    <s v="Uchapatti, Madurai - TNPCB"/>
    <x v="0"/>
    <n v="9.8659350000000003"/>
    <n v="78.022668999999993"/>
    <x v="0"/>
    <n v="6"/>
    <n v="6"/>
    <n v="6"/>
  </r>
  <r>
    <s v="India"/>
    <x v="21"/>
    <x v="161"/>
    <s v="Ponnusamy Nagar, Namakkal - TNPCB"/>
    <x v="0"/>
    <n v="11.273992"/>
    <n v="78.163544999999999"/>
    <x v="2"/>
    <n v="8"/>
    <n v="8"/>
    <n v="8"/>
  </r>
  <r>
    <s v="India"/>
    <x v="21"/>
    <x v="161"/>
    <s v="Ponnusamy Nagar, Namakkal - TNPCB"/>
    <x v="0"/>
    <n v="11.273992"/>
    <n v="78.163544999999999"/>
    <x v="0"/>
    <n v="10"/>
    <n v="11"/>
    <n v="10"/>
  </r>
  <r>
    <s v="India"/>
    <x v="21"/>
    <x v="243"/>
    <s v="Bharathidasan University, Palkalaiperur - TNPCB"/>
    <x v="0"/>
    <n v="10.681158"/>
    <n v="78.741746000000006"/>
    <x v="3"/>
    <n v="3"/>
    <n v="3"/>
    <n v="3"/>
  </r>
  <r>
    <s v="India"/>
    <x v="21"/>
    <x v="244"/>
    <s v="SIPCOT Nathampannai, Pudukottai - TNPCB"/>
    <x v="0"/>
    <n v="10.423417000000001"/>
    <n v="78.784889000000007"/>
    <x v="2"/>
    <n v="13"/>
    <n v="17"/>
    <n v="15"/>
  </r>
  <r>
    <s v="India"/>
    <x v="21"/>
    <x v="244"/>
    <s v="SIPCOT Nathampannai, Pudukottai - TNPCB"/>
    <x v="0"/>
    <n v="10.423417000000001"/>
    <n v="78.784889000000007"/>
    <x v="4"/>
    <n v="12"/>
    <n v="13"/>
    <n v="13"/>
  </r>
  <r>
    <s v="India"/>
    <x v="21"/>
    <x v="158"/>
    <s v="SIDCO Kurichi, Coimbatore - TNPCB"/>
    <x v="0"/>
    <n v="10.942451"/>
    <n v="76.978995999999995"/>
    <x v="0"/>
    <n v="3"/>
    <n v="85"/>
    <n v="61"/>
  </r>
  <r>
    <s v="India"/>
    <x v="21"/>
    <x v="168"/>
    <s v="Kudikadu, Cuddalore - TNPCB"/>
    <x v="0"/>
    <n v="11.6829898"/>
    <n v="79.753209900000002"/>
    <x v="5"/>
    <m/>
    <m/>
    <m/>
  </r>
  <r>
    <s v="India"/>
    <x v="21"/>
    <x v="168"/>
    <s v="Semmandalam, Cuddalore - TNPCB"/>
    <x v="0"/>
    <n v="11.763768300000001"/>
    <n v="79.749983499999999"/>
    <x v="5"/>
    <n v="10"/>
    <n v="65"/>
    <n v="30"/>
  </r>
  <r>
    <s v="India"/>
    <x v="21"/>
    <x v="157"/>
    <s v="Manali Village, Chennai - TNPCB"/>
    <x v="0"/>
    <n v="13.1662"/>
    <n v="80.258399999999995"/>
    <x v="0"/>
    <n v="30"/>
    <n v="39"/>
    <n v="32"/>
  </r>
  <r>
    <s v="India"/>
    <x v="21"/>
    <x v="161"/>
    <s v="Ponnusamy Nagar, Namakkal - TNPCB"/>
    <x v="0"/>
    <n v="11.273992"/>
    <n v="78.163544999999999"/>
    <x v="3"/>
    <n v="2"/>
    <n v="2"/>
    <n v="2"/>
  </r>
  <r>
    <s v="India"/>
    <x v="21"/>
    <x v="175"/>
    <s v="Meelavittan, Thoothukudi - TNPCB"/>
    <x v="0"/>
    <n v="8.8164280000000002"/>
    <n v="78.099039000000005"/>
    <x v="4"/>
    <n v="4"/>
    <n v="21"/>
    <n v="14"/>
  </r>
  <r>
    <s v="India"/>
    <x v="21"/>
    <x v="175"/>
    <s v="Meelavittan, Thoothukudi - TNPCB"/>
    <x v="0"/>
    <n v="8.8164280000000002"/>
    <n v="78.099039000000005"/>
    <x v="0"/>
    <n v="15"/>
    <n v="21"/>
    <n v="16"/>
  </r>
  <r>
    <s v="India"/>
    <x v="21"/>
    <x v="169"/>
    <s v="St Joseph College, Tiruchirappalli - TNPCB"/>
    <x v="0"/>
    <n v="10.830158000000001"/>
    <n v="78.691849000000005"/>
    <x v="6"/>
    <m/>
    <m/>
    <m/>
  </r>
  <r>
    <s v="India"/>
    <x v="21"/>
    <x v="171"/>
    <s v="Kumaran College, Tirupur - TNPCB"/>
    <x v="0"/>
    <n v="11.0973603"/>
    <n v="77.322867299999999"/>
    <x v="6"/>
    <n v="52"/>
    <n v="61"/>
    <n v="55"/>
  </r>
  <r>
    <s v="India"/>
    <x v="21"/>
    <x v="245"/>
    <s v="Vasanthapuram, Vellore - TNPCB"/>
    <x v="0"/>
    <n v="12.909494"/>
    <n v="79.131861000000001"/>
    <x v="1"/>
    <n v="22"/>
    <n v="79"/>
    <n v="54"/>
  </r>
  <r>
    <s v="India"/>
    <x v="21"/>
    <x v="245"/>
    <s v="Vasanthapuram, Vellore - TNPCB"/>
    <x v="0"/>
    <n v="12.909494"/>
    <n v="79.131861000000001"/>
    <x v="3"/>
    <n v="1"/>
    <n v="4"/>
    <n v="2"/>
  </r>
  <r>
    <s v="India"/>
    <x v="21"/>
    <x v="245"/>
    <s v="Vasanthapuram, Vellore - TNPCB"/>
    <x v="0"/>
    <n v="12.909494"/>
    <n v="79.131861000000001"/>
    <x v="6"/>
    <n v="15"/>
    <n v="16"/>
    <n v="16"/>
  </r>
  <r>
    <s v="India"/>
    <x v="23"/>
    <x v="173"/>
    <s v="Bollaram Industrial Area, Hyderabad - TSPCB"/>
    <x v="0"/>
    <n v="17.540890999999998"/>
    <n v="78.358528000000007"/>
    <x v="3"/>
    <n v="3"/>
    <n v="8"/>
    <n v="4"/>
  </r>
  <r>
    <s v="India"/>
    <x v="23"/>
    <x v="173"/>
    <s v="Bollaram Industrial Area, Hyderabad - TSPCB"/>
    <x v="0"/>
    <n v="17.540890999999998"/>
    <n v="78.358528000000007"/>
    <x v="6"/>
    <n v="20"/>
    <n v="125"/>
    <n v="40"/>
  </r>
  <r>
    <s v="India"/>
    <x v="23"/>
    <x v="173"/>
    <s v="Central University, Hyderabad - TSPCB"/>
    <x v="0"/>
    <n v="17.460103"/>
    <n v="78.334361000000001"/>
    <x v="6"/>
    <m/>
    <m/>
    <m/>
  </r>
  <r>
    <s v="India"/>
    <x v="23"/>
    <x v="173"/>
    <s v="Central University, Hyderabad - TSPCB"/>
    <x v="0"/>
    <n v="17.460103"/>
    <n v="78.334361000000001"/>
    <x v="0"/>
    <m/>
    <m/>
    <m/>
  </r>
  <r>
    <s v="India"/>
    <x v="23"/>
    <x v="173"/>
    <s v="ICRISAT Patancheru, Hyderabad - TSPCB"/>
    <x v="0"/>
    <n v="17.5184"/>
    <n v="78.278777000000005"/>
    <x v="3"/>
    <n v="1"/>
    <n v="15"/>
    <n v="2"/>
  </r>
  <r>
    <s v="India"/>
    <x v="24"/>
    <x v="176"/>
    <s v="Sanjay Palace, Agra - UPPCB"/>
    <x v="0"/>
    <n v="27.198658330000001"/>
    <n v="78.005980559999998"/>
    <x v="4"/>
    <n v="12"/>
    <n v="47"/>
    <n v="24"/>
  </r>
  <r>
    <s v="India"/>
    <x v="24"/>
    <x v="176"/>
    <s v="Sanjay Palace, Agra - UPPCB"/>
    <x v="0"/>
    <n v="27.198658330000001"/>
    <n v="78.005980559999998"/>
    <x v="6"/>
    <n v="24"/>
    <n v="52"/>
    <n v="27"/>
  </r>
  <r>
    <s v="India"/>
    <x v="24"/>
    <x v="176"/>
    <s v="Shahjahan Garden, Agra - UPPCB"/>
    <x v="0"/>
    <n v="27.169338"/>
    <n v="78.035820000000001"/>
    <x v="2"/>
    <m/>
    <m/>
    <m/>
  </r>
  <r>
    <s v="India"/>
    <x v="24"/>
    <x v="176"/>
    <s v="Shastripuram, Agra - UPPCB"/>
    <x v="0"/>
    <n v="27.198619999999998"/>
    <n v="77.920659999999998"/>
    <x v="1"/>
    <n v="65"/>
    <n v="183"/>
    <n v="111"/>
  </r>
  <r>
    <s v="India"/>
    <x v="24"/>
    <x v="176"/>
    <s v="Shastripuram, Agra - UPPCB"/>
    <x v="0"/>
    <n v="27.198619999999998"/>
    <n v="77.920659999999998"/>
    <x v="3"/>
    <m/>
    <m/>
    <m/>
  </r>
  <r>
    <s v="India"/>
    <x v="23"/>
    <x v="173"/>
    <s v="IDA Pashamylaram, Hyderabad - TSPCB"/>
    <x v="0"/>
    <n v="17.531689499999999"/>
    <n v="78.218939000000006"/>
    <x v="4"/>
    <n v="2"/>
    <n v="20"/>
    <n v="9"/>
  </r>
  <r>
    <s v="India"/>
    <x v="23"/>
    <x v="173"/>
    <s v="IITH Kandi, Hyderabad - TSPCB"/>
    <x v="0"/>
    <n v="17.585705000000001"/>
    <n v="78.126199"/>
    <x v="6"/>
    <m/>
    <m/>
    <m/>
  </r>
  <r>
    <s v="India"/>
    <x v="23"/>
    <x v="173"/>
    <s v="New Malakpet, Hyderabad - TSPCB"/>
    <x v="0"/>
    <n v="17.372060000000001"/>
    <n v="78.50864"/>
    <x v="5"/>
    <n v="27"/>
    <n v="56"/>
    <n v="39"/>
  </r>
  <r>
    <s v="India"/>
    <x v="23"/>
    <x v="173"/>
    <s v="Somajiguda, Hyderabad - TSPCB"/>
    <x v="0"/>
    <n v="17.417093999999999"/>
    <n v="78.457436999999999"/>
    <x v="2"/>
    <n v="6"/>
    <n v="7"/>
    <n v="7"/>
  </r>
  <r>
    <s v="India"/>
    <x v="23"/>
    <x v="173"/>
    <s v="Zoo Park, Hyderabad - TSPCB"/>
    <x v="0"/>
    <n v="17.349694"/>
    <n v="78.451436999999999"/>
    <x v="1"/>
    <n v="53"/>
    <n v="152"/>
    <n v="95"/>
  </r>
  <r>
    <s v="India"/>
    <x v="23"/>
    <x v="173"/>
    <s v="Zoo Park, Hyderabad - TSPCB"/>
    <x v="0"/>
    <n v="17.349694"/>
    <n v="78.451436999999999"/>
    <x v="2"/>
    <n v="71"/>
    <n v="142"/>
    <n v="92"/>
  </r>
  <r>
    <s v="India"/>
    <x v="23"/>
    <x v="173"/>
    <s v="Zoo Park, Hyderabad - TSPCB"/>
    <x v="0"/>
    <n v="17.349694"/>
    <n v="78.451436999999999"/>
    <x v="0"/>
    <n v="22"/>
    <n v="25"/>
    <n v="23"/>
  </r>
  <r>
    <s v="India"/>
    <x v="23"/>
    <x v="173"/>
    <s v="Ramachandrapuram, Hyderabad - TSPCB"/>
    <x v="0"/>
    <n v="17.528544"/>
    <n v="78.286195000000006"/>
    <x v="0"/>
    <n v="6"/>
    <n v="48"/>
    <n v="40"/>
  </r>
  <r>
    <s v="India"/>
    <x v="23"/>
    <x v="173"/>
    <s v="Sanathnagar, Hyderabad - TSPCB"/>
    <x v="0"/>
    <n v="17.455945799999999"/>
    <n v="78.433215200000006"/>
    <x v="4"/>
    <n v="2"/>
    <n v="18"/>
    <n v="7"/>
  </r>
  <r>
    <s v="India"/>
    <x v="23"/>
    <x v="173"/>
    <s v="Sanathnagar, Hyderabad - TSPCB"/>
    <x v="0"/>
    <n v="17.455945799999999"/>
    <n v="78.433215200000006"/>
    <x v="6"/>
    <n v="2"/>
    <n v="110"/>
    <n v="27"/>
  </r>
  <r>
    <s v="India"/>
    <x v="30"/>
    <x v="246"/>
    <s v="Bardowali, Agartala - Tripura SPCB"/>
    <x v="0"/>
    <n v="23.817549700000001"/>
    <n v="91.272697399999998"/>
    <x v="0"/>
    <n v="39"/>
    <n v="164"/>
    <n v="69"/>
  </r>
  <r>
    <s v="India"/>
    <x v="24"/>
    <x v="176"/>
    <s v="Manoharpur, Agra - UPPCB"/>
    <x v="0"/>
    <n v="27.237110000000001"/>
    <n v="78.019360000000006"/>
    <x v="3"/>
    <n v="1"/>
    <n v="2"/>
    <n v="1"/>
  </r>
  <r>
    <s v="India"/>
    <x v="24"/>
    <x v="176"/>
    <s v="Rohta, Agra - UPPCB"/>
    <x v="0"/>
    <n v="27.106971999999999"/>
    <n v="78.000111000000004"/>
    <x v="4"/>
    <n v="13"/>
    <n v="28"/>
    <n v="17"/>
  </r>
  <r>
    <s v="India"/>
    <x v="24"/>
    <x v="176"/>
    <s v="Sanjay Palace, Agra - UPPCB"/>
    <x v="0"/>
    <n v="27.198658330000001"/>
    <n v="78.005980559999998"/>
    <x v="5"/>
    <n v="41"/>
    <n v="320"/>
    <n v="152"/>
  </r>
  <r>
    <s v="India"/>
    <x v="30"/>
    <x v="246"/>
    <s v="Bardowali, Agartala - Tripura SPCB"/>
    <x v="0"/>
    <n v="23.817549700000001"/>
    <n v="91.272697399999998"/>
    <x v="3"/>
    <n v="3"/>
    <n v="12"/>
    <n v="4"/>
  </r>
  <r>
    <s v="India"/>
    <x v="24"/>
    <x v="189"/>
    <s v="Kukrail Picnic Spot-1, Lucknow - UPPCB"/>
    <x v="0"/>
    <n v="26.907229999999998"/>
    <n v="80.985789999999994"/>
    <x v="4"/>
    <n v="21"/>
    <n v="25"/>
    <n v="23"/>
  </r>
  <r>
    <s v="India"/>
    <x v="24"/>
    <x v="189"/>
    <s v="Lalbagh, Lucknow - CPCB"/>
    <x v="0"/>
    <n v="26.8458805"/>
    <n v="80.936554099999995"/>
    <x v="6"/>
    <m/>
    <m/>
    <m/>
  </r>
  <r>
    <s v="India"/>
    <x v="24"/>
    <x v="189"/>
    <s v="Lalbagh, Lucknow - CPCB"/>
    <x v="0"/>
    <n v="26.8458805"/>
    <n v="80.936554099999995"/>
    <x v="0"/>
    <m/>
    <m/>
    <m/>
  </r>
  <r>
    <s v="India"/>
    <x v="24"/>
    <x v="189"/>
    <s v="Talkatora District Industries Center, Lucknow - CPCB"/>
    <x v="0"/>
    <n v="26.833997220000001"/>
    <n v="80.891736100000003"/>
    <x v="1"/>
    <n v="140"/>
    <n v="364"/>
    <n v="234"/>
  </r>
  <r>
    <s v="India"/>
    <x v="24"/>
    <x v="189"/>
    <s v="Talkatora District Industries Center, Lucknow - CPCB"/>
    <x v="0"/>
    <n v="26.833997220000001"/>
    <n v="80.891736100000003"/>
    <x v="3"/>
    <n v="9"/>
    <n v="18"/>
    <n v="12"/>
  </r>
  <r>
    <s v="India"/>
    <x v="24"/>
    <x v="189"/>
    <s v="Talkatora District Industries Center, Lucknow - CPCB"/>
    <x v="0"/>
    <n v="26.833997220000001"/>
    <n v="80.891736100000003"/>
    <x v="6"/>
    <n v="14"/>
    <n v="57"/>
    <n v="28"/>
  </r>
  <r>
    <s v="India"/>
    <x v="24"/>
    <x v="190"/>
    <s v="Ganga Nagar, Meerut - UPPCB"/>
    <x v="0"/>
    <n v="28.999264"/>
    <n v="77.759035400000002"/>
    <x v="5"/>
    <n v="75"/>
    <n v="328"/>
    <n v="182"/>
  </r>
  <r>
    <s v="India"/>
    <x v="24"/>
    <x v="190"/>
    <s v="Ganga Nagar, Meerut - UPPCB"/>
    <x v="0"/>
    <n v="28.999264"/>
    <n v="77.759035400000002"/>
    <x v="2"/>
    <n v="15"/>
    <n v="124"/>
    <n v="43"/>
  </r>
  <r>
    <s v="India"/>
    <x v="24"/>
    <x v="190"/>
    <s v="Jai Bhim Nagar, Meerut - UPPCB"/>
    <x v="0"/>
    <n v="28.953588199999999"/>
    <n v="77.762294100000005"/>
    <x v="5"/>
    <n v="18"/>
    <n v="122"/>
    <n v="60"/>
  </r>
  <r>
    <s v="India"/>
    <x v="24"/>
    <x v="190"/>
    <s v="Jai Bhim Nagar, Meerut - UPPCB"/>
    <x v="0"/>
    <n v="28.953588199999999"/>
    <n v="77.762294100000005"/>
    <x v="1"/>
    <n v="66"/>
    <n v="238"/>
    <n v="121"/>
  </r>
  <r>
    <s v="India"/>
    <x v="24"/>
    <x v="178"/>
    <s v="Rajendra Nagar, Bareilly - UPPCB"/>
    <x v="0"/>
    <n v="28.389109359999999"/>
    <n v="79.429637080000006"/>
    <x v="5"/>
    <n v="29"/>
    <n v="106"/>
    <n v="66"/>
  </r>
  <r>
    <s v="India"/>
    <x v="24"/>
    <x v="178"/>
    <s v="Rajendra Nagar, Bareilly - UPPCB"/>
    <x v="0"/>
    <n v="28.389109359999999"/>
    <n v="79.429637080000006"/>
    <x v="3"/>
    <n v="1"/>
    <n v="1"/>
    <n v="1"/>
  </r>
  <r>
    <s v="India"/>
    <x v="24"/>
    <x v="179"/>
    <s v="Yamunapuram, Bulandshahr - UPPCB"/>
    <x v="0"/>
    <n v="28.406963000000001"/>
    <n v="77.849830999999995"/>
    <x v="4"/>
    <n v="18"/>
    <n v="49"/>
    <n v="30"/>
  </r>
  <r>
    <s v="India"/>
    <x v="24"/>
    <x v="180"/>
    <s v="Nagla Bhau, Firozabad - UPPCB"/>
    <x v="0"/>
    <n v="27.168897000000001"/>
    <n v="78.376959999999997"/>
    <x v="1"/>
    <n v="48"/>
    <n v="144"/>
    <n v="89"/>
  </r>
  <r>
    <s v="India"/>
    <x v="24"/>
    <x v="180"/>
    <s v="Nagla Bhau, Firozabad - UPPCB"/>
    <x v="0"/>
    <n v="27.168897000000001"/>
    <n v="78.376959999999997"/>
    <x v="6"/>
    <n v="23"/>
    <n v="36"/>
    <n v="28"/>
  </r>
  <r>
    <s v="India"/>
    <x v="24"/>
    <x v="180"/>
    <s v="Vibhab Nagar, Firozabad - UPPCB"/>
    <x v="0"/>
    <n v="27.159400000000002"/>
    <n v="78.395300000000006"/>
    <x v="2"/>
    <n v="15"/>
    <n v="15"/>
    <n v="15"/>
  </r>
  <r>
    <s v="India"/>
    <x v="24"/>
    <x v="184"/>
    <s v="Anand Vihar, Hapur - UPPCB"/>
    <x v="0"/>
    <n v="28.725645"/>
    <n v="77.749674999999996"/>
    <x v="5"/>
    <n v="29"/>
    <n v="209"/>
    <n v="104"/>
  </r>
  <r>
    <s v="India"/>
    <x v="24"/>
    <x v="185"/>
    <s v="Shivaji Nagar, Jhansi - UPPCB"/>
    <x v="0"/>
    <n v="25.454699999999999"/>
    <n v="78.603899999999996"/>
    <x v="2"/>
    <n v="6"/>
    <n v="7"/>
    <n v="6"/>
  </r>
  <r>
    <s v="India"/>
    <x v="24"/>
    <x v="185"/>
    <s v="Shivaji Nagar, Jhansi - UPPCB"/>
    <x v="0"/>
    <n v="25.454699999999999"/>
    <n v="78.603899999999996"/>
    <x v="3"/>
    <n v="4"/>
    <n v="4"/>
    <n v="4"/>
  </r>
  <r>
    <s v="India"/>
    <x v="24"/>
    <x v="185"/>
    <s v="Shivaji Nagar, Jhansi - UPPCB"/>
    <x v="0"/>
    <n v="25.454699999999999"/>
    <n v="78.603899999999996"/>
    <x v="4"/>
    <n v="57"/>
    <n v="98"/>
    <n v="67"/>
  </r>
  <r>
    <s v="India"/>
    <x v="24"/>
    <x v="185"/>
    <s v="Shivaji Nagar, Jhansi - UPPCB"/>
    <x v="0"/>
    <n v="25.454699999999999"/>
    <n v="78.603899999999996"/>
    <x v="6"/>
    <n v="6"/>
    <n v="49"/>
    <n v="13"/>
  </r>
  <r>
    <s v="India"/>
    <x v="24"/>
    <x v="186"/>
    <s v="FTI Kidwai Nagar, Kanpur - UPPCB"/>
    <x v="0"/>
    <n v="26.428281999999999"/>
    <n v="80.327067"/>
    <x v="1"/>
    <m/>
    <m/>
    <m/>
  </r>
  <r>
    <s v="India"/>
    <x v="24"/>
    <x v="181"/>
    <s v="Indirapuram, Ghaziabad - UPPCB"/>
    <x v="0"/>
    <n v="28.646232999999999"/>
    <n v="77.358074999999999"/>
    <x v="0"/>
    <n v="4"/>
    <n v="84"/>
    <n v="46"/>
  </r>
  <r>
    <s v="India"/>
    <x v="24"/>
    <x v="181"/>
    <s v="Sanjay Nagar, Ghaziabad - UPPCB"/>
    <x v="0"/>
    <n v="28.685382000000001"/>
    <n v="77.453839000000002"/>
    <x v="5"/>
    <n v="48"/>
    <n v="372"/>
    <n v="192"/>
  </r>
  <r>
    <s v="India"/>
    <x v="24"/>
    <x v="181"/>
    <s v="Sanjay Nagar, Ghaziabad - UPPCB"/>
    <x v="0"/>
    <n v="28.685382000000001"/>
    <n v="77.453839000000002"/>
    <x v="2"/>
    <n v="18"/>
    <n v="149"/>
    <n v="68"/>
  </r>
  <r>
    <s v="India"/>
    <x v="24"/>
    <x v="181"/>
    <s v="Sanjay Nagar, Ghaziabad - UPPCB"/>
    <x v="0"/>
    <n v="28.685382000000001"/>
    <n v="77.453839000000002"/>
    <x v="0"/>
    <n v="1"/>
    <n v="130"/>
    <n v="62"/>
  </r>
  <r>
    <s v="India"/>
    <x v="24"/>
    <x v="181"/>
    <s v="Vasundhara, Ghaziabad - UPPCB"/>
    <x v="0"/>
    <n v="28.660334599999999"/>
    <n v="77.357256300000003"/>
    <x v="5"/>
    <n v="28"/>
    <n v="263"/>
    <n v="103"/>
  </r>
  <r>
    <s v="India"/>
    <x v="24"/>
    <x v="181"/>
    <s v="Vasundhara, Ghaziabad - UPPCB"/>
    <x v="0"/>
    <n v="28.660334599999999"/>
    <n v="77.357256300000003"/>
    <x v="4"/>
    <n v="16"/>
    <n v="102"/>
    <n v="33"/>
  </r>
  <r>
    <s v="India"/>
    <x v="24"/>
    <x v="183"/>
    <s v="Knowledge Park - III, Greater Noida - UPPCB"/>
    <x v="0"/>
    <n v="28.472719999999999"/>
    <n v="77.481999999999999"/>
    <x v="5"/>
    <n v="20"/>
    <n v="113"/>
    <n v="55"/>
  </r>
  <r>
    <s v="India"/>
    <x v="24"/>
    <x v="183"/>
    <s v="Knowledge Park - III, Greater Noida - UPPCB"/>
    <x v="0"/>
    <n v="28.472719999999999"/>
    <n v="77.481999999999999"/>
    <x v="3"/>
    <n v="3"/>
    <n v="16"/>
    <n v="6"/>
  </r>
  <r>
    <s v="India"/>
    <x v="24"/>
    <x v="183"/>
    <s v="Knowledge Park - III, Greater Noida - UPPCB"/>
    <x v="0"/>
    <n v="28.472719999999999"/>
    <n v="77.481999999999999"/>
    <x v="6"/>
    <n v="3"/>
    <n v="106"/>
    <n v="55"/>
  </r>
  <r>
    <s v="India"/>
    <x v="24"/>
    <x v="183"/>
    <s v="Knowledge Park - V, Greater Noida - UPPCB"/>
    <x v="0"/>
    <n v="28.557054000000001"/>
    <n v="77.453663000000006"/>
    <x v="6"/>
    <n v="20"/>
    <n v="102"/>
    <n v="52"/>
  </r>
  <r>
    <s v="India"/>
    <x v="24"/>
    <x v="189"/>
    <s v="Kendriya Vidyalaya, Lucknow - CPCB"/>
    <x v="0"/>
    <n v="26.906110999999999"/>
    <n v="80.948222000000001"/>
    <x v="6"/>
    <n v="13"/>
    <n v="117"/>
    <n v="57"/>
  </r>
  <r>
    <s v="India"/>
    <x v="24"/>
    <x v="189"/>
    <s v="Kukrail Picnic Spot-1, Lucknow - UPPCB"/>
    <x v="0"/>
    <n v="26.907229999999998"/>
    <n v="80.985789999999994"/>
    <x v="2"/>
    <n v="23"/>
    <n v="23"/>
    <n v="23"/>
  </r>
  <r>
    <s v="India"/>
    <x v="24"/>
    <x v="187"/>
    <s v="Sardar Patel Inter College, Baghpat - UPPCB"/>
    <x v="0"/>
    <n v="28.964949000000001"/>
    <n v="77.278761000000003"/>
    <x v="1"/>
    <n v="89"/>
    <n v="426"/>
    <n v="178"/>
  </r>
  <r>
    <s v="India"/>
    <x v="24"/>
    <x v="187"/>
    <s v="Sardar Patel Inter College, Baghpat - UPPCB"/>
    <x v="0"/>
    <n v="28.964949000000001"/>
    <n v="77.278761000000003"/>
    <x v="4"/>
    <n v="6"/>
    <n v="116"/>
    <n v="51"/>
  </r>
  <r>
    <s v="India"/>
    <x v="24"/>
    <x v="189"/>
    <s v="Gomti Nagar, Lucknow - UPPCB"/>
    <x v="0"/>
    <n v="26.868120000000001"/>
    <n v="81.005118999999993"/>
    <x v="5"/>
    <n v="48"/>
    <n v="240"/>
    <n v="101"/>
  </r>
  <r>
    <s v="India"/>
    <x v="24"/>
    <x v="186"/>
    <s v="NSI Kalyanpur, Kanpur - UPPCB"/>
    <x v="0"/>
    <n v="26.509954"/>
    <n v="80.249611999999999"/>
    <x v="6"/>
    <n v="28"/>
    <n v="37"/>
    <n v="29"/>
  </r>
  <r>
    <s v="India"/>
    <x v="24"/>
    <x v="193"/>
    <s v="Motilal Nehru NIT, Prayagraj - UPPCB"/>
    <x v="0"/>
    <n v="25.494"/>
    <n v="81.863"/>
    <x v="5"/>
    <n v="22"/>
    <n v="97"/>
    <n v="65"/>
  </r>
  <r>
    <s v="India"/>
    <x v="24"/>
    <x v="193"/>
    <s v="Motilal Nehru NIT, Prayagraj - UPPCB"/>
    <x v="0"/>
    <n v="25.494"/>
    <n v="81.863"/>
    <x v="2"/>
    <n v="11"/>
    <n v="12"/>
    <n v="12"/>
  </r>
  <r>
    <s v="India"/>
    <x v="24"/>
    <x v="193"/>
    <s v="Motilal Nehru NIT, Prayagraj - UPPCB"/>
    <x v="0"/>
    <n v="25.494"/>
    <n v="81.863"/>
    <x v="0"/>
    <n v="4"/>
    <n v="83"/>
    <n v="34"/>
  </r>
  <r>
    <s v="India"/>
    <x v="24"/>
    <x v="193"/>
    <s v="Nagar Nigam, Prayagraj - UPPCB"/>
    <x v="0"/>
    <n v="25.449199159999999"/>
    <n v="81.827359860000001"/>
    <x v="5"/>
    <n v="29"/>
    <n v="228"/>
    <n v="83"/>
  </r>
  <r>
    <s v="India"/>
    <x v="24"/>
    <x v="193"/>
    <s v="Nagar Nigam, Prayagraj - UPPCB"/>
    <x v="0"/>
    <n v="25.449199159999999"/>
    <n v="81.827359860000001"/>
    <x v="1"/>
    <n v="42"/>
    <n v="216"/>
    <n v="125"/>
  </r>
  <r>
    <s v="India"/>
    <x v="24"/>
    <x v="193"/>
    <s v="Nagar Nigam, Prayagraj - UPPCB"/>
    <x v="0"/>
    <n v="25.449199159999999"/>
    <n v="81.827359860000001"/>
    <x v="2"/>
    <n v="5"/>
    <n v="5"/>
    <n v="5"/>
  </r>
  <r>
    <s v="India"/>
    <x v="24"/>
    <x v="193"/>
    <s v="Nagar Nigam, Prayagraj - UPPCB"/>
    <x v="0"/>
    <n v="25.449199159999999"/>
    <n v="81.827359860000001"/>
    <x v="3"/>
    <n v="10"/>
    <n v="28"/>
    <n v="15"/>
  </r>
  <r>
    <s v="India"/>
    <x v="24"/>
    <x v="191"/>
    <s v="Buddhi Vihar, Moradabad - UPPCB"/>
    <x v="0"/>
    <n v="28.835260000000002"/>
    <n v="78.744600000000005"/>
    <x v="2"/>
    <m/>
    <m/>
    <m/>
  </r>
  <r>
    <s v="India"/>
    <x v="24"/>
    <x v="191"/>
    <s v="Employment Office, Moradabad - UPPCB"/>
    <x v="0"/>
    <n v="28.885280000000002"/>
    <n v="78.738799999999998"/>
    <x v="2"/>
    <n v="11"/>
    <n v="16"/>
    <n v="15"/>
  </r>
  <r>
    <s v="India"/>
    <x v="24"/>
    <x v="191"/>
    <s v="Employment Office, Moradabad - UPPCB"/>
    <x v="0"/>
    <n v="28.885280000000002"/>
    <n v="78.738799999999998"/>
    <x v="6"/>
    <n v="2"/>
    <n v="107"/>
    <n v="50"/>
  </r>
  <r>
    <s v="India"/>
    <x v="24"/>
    <x v="191"/>
    <s v="Jigar Colony, Moradabad - UPPCB"/>
    <x v="0"/>
    <n v="28.856663999999999"/>
    <n v="78.772638000000001"/>
    <x v="2"/>
    <n v="23"/>
    <n v="25"/>
    <n v="25"/>
  </r>
  <r>
    <s v="India"/>
    <x v="24"/>
    <x v="191"/>
    <s v="Kashiram Nagar, Moradabad - UPPCB"/>
    <x v="0"/>
    <n v="28.849398999999998"/>
    <n v="78.742362"/>
    <x v="2"/>
    <n v="25"/>
    <n v="25"/>
    <n v="25"/>
  </r>
  <r>
    <s v="India"/>
    <x v="24"/>
    <x v="191"/>
    <s v="Kashiram Nagar, Moradabad - UPPCB"/>
    <x v="0"/>
    <n v="28.849398999999998"/>
    <n v="78.742362"/>
    <x v="4"/>
    <n v="20"/>
    <n v="78"/>
    <n v="40"/>
  </r>
  <r>
    <s v="India"/>
    <x v="24"/>
    <x v="191"/>
    <s v="Kashiram Nagar, Moradabad - UPPCB"/>
    <x v="0"/>
    <n v="28.849398999999998"/>
    <n v="78.742362"/>
    <x v="6"/>
    <n v="19"/>
    <n v="98"/>
    <n v="43"/>
  </r>
  <r>
    <s v="India"/>
    <x v="24"/>
    <x v="191"/>
    <s v="Transport Nagar, Moradabad - UPPCB"/>
    <x v="0"/>
    <n v="28.802624999999999"/>
    <n v="78.753727999999995"/>
    <x v="0"/>
    <n v="16"/>
    <n v="100"/>
    <n v="69"/>
  </r>
  <r>
    <s v="India"/>
    <x v="24"/>
    <x v="247"/>
    <s v="New Mandi, Muzaffarnagar - UPPCB"/>
    <x v="0"/>
    <n v="29.472350800000001"/>
    <n v="77.719403099999994"/>
    <x v="5"/>
    <n v="43"/>
    <n v="287"/>
    <n v="98"/>
  </r>
  <r>
    <s v="India"/>
    <x v="24"/>
    <x v="247"/>
    <s v="New Mandi, Muzaffarnagar - UPPCB"/>
    <x v="0"/>
    <n v="29.472350800000001"/>
    <n v="77.719403099999994"/>
    <x v="4"/>
    <n v="13"/>
    <n v="60"/>
    <n v="39"/>
  </r>
  <r>
    <s v="India"/>
    <x v="24"/>
    <x v="247"/>
    <s v="New Mandi, Muzaffarnagar - UPPCB"/>
    <x v="0"/>
    <n v="29.472350800000001"/>
    <n v="77.719403099999994"/>
    <x v="6"/>
    <n v="14"/>
    <n v="112"/>
    <n v="50"/>
  </r>
  <r>
    <s v="India"/>
    <x v="24"/>
    <x v="194"/>
    <s v="Bhelupur, Varanasi - UPPCB"/>
    <x v="0"/>
    <n v="25.301777999999999"/>
    <n v="82.996789000000007"/>
    <x v="3"/>
    <n v="1"/>
    <n v="1"/>
    <n v="1"/>
  </r>
  <r>
    <s v="India"/>
    <x v="24"/>
    <x v="194"/>
    <s v="IESD Banaras Hindu University, Varanasi - UPPCB"/>
    <x v="0"/>
    <n v="25.262326000000002"/>
    <n v="82.995407999999998"/>
    <x v="5"/>
    <n v="21"/>
    <n v="241"/>
    <n v="90"/>
  </r>
  <r>
    <s v="India"/>
    <x v="24"/>
    <x v="194"/>
    <s v="IESD Banaras Hindu University, Varanasi - UPPCB"/>
    <x v="0"/>
    <n v="25.262326000000002"/>
    <n v="82.995407999999998"/>
    <x v="1"/>
    <n v="25"/>
    <n v="114"/>
    <n v="66"/>
  </r>
  <r>
    <s v="India"/>
    <x v="24"/>
    <x v="190"/>
    <s v="Pallavpuram Phase 2, Meerut - UPPCB"/>
    <x v="0"/>
    <n v="29.063510000000001"/>
    <n v="77.709722999999997"/>
    <x v="3"/>
    <n v="14"/>
    <n v="34"/>
    <n v="18"/>
  </r>
  <r>
    <s v="India"/>
    <x v="24"/>
    <x v="191"/>
    <s v="Buddhi Vihar, Moradabad - UPPCB"/>
    <x v="0"/>
    <n v="28.835260000000002"/>
    <n v="78.744600000000005"/>
    <x v="5"/>
    <m/>
    <m/>
    <m/>
  </r>
  <r>
    <s v="India"/>
    <x v="24"/>
    <x v="192"/>
    <s v="Sector-1, Noida - UPPCB"/>
    <x v="0"/>
    <n v="28.5898"/>
    <n v="77.310100000000006"/>
    <x v="4"/>
    <n v="10"/>
    <n v="44"/>
    <n v="25"/>
  </r>
  <r>
    <s v="India"/>
    <x v="24"/>
    <x v="192"/>
    <s v="Sector-116, Noida - UPPCB"/>
    <x v="0"/>
    <n v="28.569230000000001"/>
    <n v="77.393848000000006"/>
    <x v="4"/>
    <n v="21"/>
    <n v="57"/>
    <n v="36"/>
  </r>
  <r>
    <s v="India"/>
    <x v="24"/>
    <x v="192"/>
    <s v="Sector - 125, Noida - UPPCB"/>
    <x v="0"/>
    <n v="28.544760799999999"/>
    <n v="77.323125700000006"/>
    <x v="1"/>
    <n v="58"/>
    <n v="424"/>
    <n v="151"/>
  </r>
  <r>
    <s v="India"/>
    <x v="24"/>
    <x v="192"/>
    <s v="Sector - 125, Noida - UPPCB"/>
    <x v="0"/>
    <n v="28.544760799999999"/>
    <n v="77.323125700000006"/>
    <x v="4"/>
    <n v="17"/>
    <n v="49"/>
    <n v="31"/>
  </r>
  <r>
    <s v="India"/>
    <x v="24"/>
    <x v="194"/>
    <s v="Ardhali Bazar, Varanasi - UPPCB"/>
    <x v="0"/>
    <n v="25.350598600000001"/>
    <n v="82.908307399999998"/>
    <x v="4"/>
    <n v="11"/>
    <n v="22"/>
    <n v="16"/>
  </r>
  <r>
    <s v="India"/>
    <x v="24"/>
    <x v="192"/>
    <s v="Sector - 125, Noida - UPPCB"/>
    <x v="0"/>
    <n v="28.544760799999999"/>
    <n v="77.323125700000006"/>
    <x v="6"/>
    <n v="46"/>
    <n v="117"/>
    <n v="70"/>
  </r>
  <r>
    <s v="India"/>
    <x v="26"/>
    <x v="201"/>
    <s v="Evelyn Lodge, Asansol - WBPCB"/>
    <x v="0"/>
    <n v="23.697935999999999"/>
    <n v="86.944395"/>
    <x v="4"/>
    <n v="4"/>
    <n v="17"/>
    <n v="10"/>
  </r>
  <r>
    <s v="India"/>
    <x v="26"/>
    <x v="201"/>
    <s v="Mahabir Colliery, Asansol - WBPCB"/>
    <x v="0"/>
    <n v="23.618182999999998"/>
    <n v="87.105717999999996"/>
    <x v="4"/>
    <n v="9"/>
    <n v="59"/>
    <n v="30"/>
  </r>
  <r>
    <s v="India"/>
    <x v="26"/>
    <x v="201"/>
    <s v="Trivenidevi Bhalotia College, Asansol - WBPCB"/>
    <x v="0"/>
    <n v="23.616515"/>
    <n v="87.119133000000005"/>
    <x v="3"/>
    <n v="2"/>
    <n v="4"/>
    <n v="3"/>
  </r>
  <r>
    <s v="India"/>
    <x v="26"/>
    <x v="202"/>
    <s v="SVSPA Campus, Barrackpore - WBPCB"/>
    <x v="0"/>
    <n v="22.760558100000001"/>
    <n v="88.361758899999998"/>
    <x v="5"/>
    <n v="22"/>
    <n v="71"/>
    <n v="53"/>
  </r>
  <r>
    <s v="India"/>
    <x v="26"/>
    <x v="202"/>
    <s v="SVSPA Campus, Barrackpore - WBPCB"/>
    <x v="0"/>
    <n v="22.760558100000001"/>
    <n v="88.361758899999998"/>
    <x v="3"/>
    <n v="5"/>
    <n v="7"/>
    <n v="7"/>
  </r>
  <r>
    <s v="India"/>
    <x v="26"/>
    <x v="202"/>
    <s v="SVSPA Campus, Barrackpore - WBPCB"/>
    <x v="0"/>
    <n v="22.760558100000001"/>
    <n v="88.361758899999998"/>
    <x v="6"/>
    <n v="57"/>
    <n v="66"/>
    <n v="63"/>
  </r>
  <r>
    <s v="India"/>
    <x v="26"/>
    <x v="198"/>
    <s v="Mahishkapur Road_B-Zone, Durgapur - WBPCB"/>
    <x v="0"/>
    <n v="23.567923"/>
    <n v="87.306843000000001"/>
    <x v="5"/>
    <n v="61"/>
    <n v="170"/>
    <n v="95"/>
  </r>
  <r>
    <s v="India"/>
    <x v="26"/>
    <x v="198"/>
    <s v="Mahishkapur Road_B-Zone, Durgapur - WBPCB"/>
    <x v="0"/>
    <n v="23.567923"/>
    <n v="87.306843000000001"/>
    <x v="2"/>
    <n v="7"/>
    <n v="47"/>
    <n v="16"/>
  </r>
  <r>
    <s v="India"/>
    <x v="26"/>
    <x v="198"/>
    <s v="PCBL Residential Complex, Durgapur - WBPCB"/>
    <x v="0"/>
    <n v="23.508763999999999"/>
    <n v="87.354439999999997"/>
    <x v="5"/>
    <n v="50"/>
    <n v="119"/>
    <n v="72"/>
  </r>
  <r>
    <s v="India"/>
    <x v="26"/>
    <x v="200"/>
    <s v="Ghusuri, Howrah - WBPCB"/>
    <x v="0"/>
    <n v="22.611968000000001"/>
    <n v="88.347421999999995"/>
    <x v="0"/>
    <n v="8"/>
    <n v="12"/>
    <n v="10"/>
  </r>
  <r>
    <s v="India"/>
    <x v="26"/>
    <x v="200"/>
    <s v="Padmapukur, Howrah - WBPCB"/>
    <x v="0"/>
    <n v="22.5687319"/>
    <n v="88.279727600000001"/>
    <x v="5"/>
    <n v="50"/>
    <n v="94"/>
    <n v="71"/>
  </r>
  <r>
    <s v="India"/>
    <x v="26"/>
    <x v="200"/>
    <s v="Padmapukur, Howrah - WBPCB"/>
    <x v="0"/>
    <n v="22.5687319"/>
    <n v="88.279727600000001"/>
    <x v="1"/>
    <n v="45"/>
    <n v="99"/>
    <n v="72"/>
  </r>
  <r>
    <s v="India"/>
    <x v="26"/>
    <x v="200"/>
    <s v="Padmapukur, Howrah - WBPCB"/>
    <x v="0"/>
    <n v="22.5687319"/>
    <n v="88.279727600000001"/>
    <x v="3"/>
    <n v="2"/>
    <n v="4"/>
    <n v="3"/>
  </r>
  <r>
    <s v="India"/>
    <x v="26"/>
    <x v="200"/>
    <s v="Padmapukur, Howrah - WBPCB"/>
    <x v="0"/>
    <n v="22.5687319"/>
    <n v="88.279727600000001"/>
    <x v="4"/>
    <n v="6"/>
    <n v="61"/>
    <n v="27"/>
  </r>
  <r>
    <s v="India"/>
    <x v="26"/>
    <x v="203"/>
    <s v="Ballygunge, Kolkata - WBPCB"/>
    <x v="0"/>
    <n v="22.536750699999999"/>
    <n v="88.363802199999995"/>
    <x v="1"/>
    <n v="53"/>
    <n v="96"/>
    <n v="69"/>
  </r>
  <r>
    <s v="India"/>
    <x v="26"/>
    <x v="203"/>
    <s v="Ballygunge, Kolkata - WBPCB"/>
    <x v="0"/>
    <n v="22.536750699999999"/>
    <n v="88.363802199999995"/>
    <x v="3"/>
    <n v="5"/>
    <n v="6"/>
    <n v="6"/>
  </r>
  <r>
    <s v="India"/>
    <x v="26"/>
    <x v="203"/>
    <s v="Bidhannagar, Kolkata - WBPCB"/>
    <x v="0"/>
    <n v="22.58157048"/>
    <n v="88.410024570000004"/>
    <x v="1"/>
    <n v="40"/>
    <n v="60"/>
    <n v="48"/>
  </r>
  <r>
    <s v="India"/>
    <x v="26"/>
    <x v="203"/>
    <s v="Bidhannagar, Kolkata - WBPCB"/>
    <x v="0"/>
    <n v="22.58157048"/>
    <n v="88.410024570000004"/>
    <x v="4"/>
    <n v="6"/>
    <n v="18"/>
    <n v="10"/>
  </r>
  <r>
    <s v="India"/>
    <x v="26"/>
    <x v="203"/>
    <s v="Bidhannagar, Kolkata - WBPCB"/>
    <x v="0"/>
    <n v="22.58157048"/>
    <n v="88.410024570000004"/>
    <x v="0"/>
    <n v="16"/>
    <n v="52"/>
    <n v="28"/>
  </r>
  <r>
    <s v="India"/>
    <x v="26"/>
    <x v="203"/>
    <s v="Jadavpur, Kolkata - WBPCB"/>
    <x v="0"/>
    <n v="22.499289999999998"/>
    <n v="88.369169999999997"/>
    <x v="1"/>
    <n v="61"/>
    <n v="103"/>
    <n v="81"/>
  </r>
  <r>
    <s v="India"/>
    <x v="26"/>
    <x v="203"/>
    <s v="Jadavpur, Kolkata - WBPCB"/>
    <x v="0"/>
    <n v="22.499289999999998"/>
    <n v="88.369169999999997"/>
    <x v="2"/>
    <n v="15"/>
    <n v="39"/>
    <n v="22"/>
  </r>
  <r>
    <s v="India"/>
    <x v="26"/>
    <x v="203"/>
    <s v="Jadavpur, Kolkata - WBPCB"/>
    <x v="0"/>
    <n v="22.499289999999998"/>
    <n v="88.369169999999997"/>
    <x v="3"/>
    <n v="5"/>
    <n v="6"/>
    <n v="6"/>
  </r>
  <r>
    <s v="India"/>
    <x v="26"/>
    <x v="203"/>
    <s v="Jadavpur, Kolkata - WBPCB"/>
    <x v="0"/>
    <n v="22.499289999999998"/>
    <n v="88.369169999999997"/>
    <x v="6"/>
    <n v="18"/>
    <n v="22"/>
    <n v="20"/>
  </r>
  <r>
    <s v="India"/>
    <x v="26"/>
    <x v="203"/>
    <s v="Rabindra Bharati University, Kolkata - WBPCB"/>
    <x v="0"/>
    <n v="22.627846999999999"/>
    <n v="88.380668999999997"/>
    <x v="3"/>
    <n v="9"/>
    <n v="9"/>
    <n v="9"/>
  </r>
  <r>
    <s v="India"/>
    <x v="26"/>
    <x v="203"/>
    <s v="Rabindra Sarobar, Kolkata - WBPCB"/>
    <x v="0"/>
    <n v="22.511060000000001"/>
    <n v="88.351420000000005"/>
    <x v="3"/>
    <n v="4"/>
    <n v="6"/>
    <n v="5"/>
  </r>
  <r>
    <s v="India"/>
    <x v="26"/>
    <x v="198"/>
    <s v="PCBL Residential Complex, Durgapur - WBPCB"/>
    <x v="0"/>
    <n v="23.508763999999999"/>
    <n v="87.354439999999997"/>
    <x v="1"/>
    <n v="93"/>
    <n v="164"/>
    <n v="124"/>
  </r>
  <r>
    <s v="India"/>
    <x v="26"/>
    <x v="199"/>
    <s v="Priyambada Housing Estate, Haldia - WBPCB"/>
    <x v="0"/>
    <n v="22.060469999999999"/>
    <n v="88.109736999999996"/>
    <x v="5"/>
    <n v="6"/>
    <n v="39"/>
    <n v="23"/>
  </r>
  <r>
    <s v="India"/>
    <x v="26"/>
    <x v="199"/>
    <s v="Priyambada Housing Estate, Haldia - WBPCB"/>
    <x v="0"/>
    <n v="22.060469999999999"/>
    <n v="88.109736999999996"/>
    <x v="2"/>
    <n v="10"/>
    <n v="22"/>
    <n v="13"/>
  </r>
  <r>
    <s v="India"/>
    <x v="26"/>
    <x v="200"/>
    <s v="Belur Math, Howrah - WBPCB"/>
    <x v="0"/>
    <n v="22.629801"/>
    <n v="88.352017000000004"/>
    <x v="4"/>
    <n v="8"/>
    <n v="10"/>
    <n v="9"/>
  </r>
  <r>
    <s v="India"/>
    <x v="26"/>
    <x v="200"/>
    <s v="Belur Math, Howrah - WBPCB"/>
    <x v="0"/>
    <n v="22.629801"/>
    <n v="88.352017000000004"/>
    <x v="0"/>
    <n v="17"/>
    <n v="86"/>
    <n v="46"/>
  </r>
  <r>
    <s v="India"/>
    <x v="26"/>
    <x v="200"/>
    <s v="Dasnagar, Howrah - WBPCB"/>
    <x v="0"/>
    <n v="22.602557099999999"/>
    <n v="88.310566399999999"/>
    <x v="4"/>
    <n v="2"/>
    <n v="44"/>
    <n v="20"/>
  </r>
  <r>
    <s v="India"/>
    <x v="26"/>
    <x v="200"/>
    <s v="Dasnagar, Howrah - WBPCB"/>
    <x v="0"/>
    <n v="22.602557099999999"/>
    <n v="88.310566399999999"/>
    <x v="6"/>
    <n v="16"/>
    <n v="25"/>
    <n v="20"/>
  </r>
  <r>
    <s v="India"/>
    <x v="24"/>
    <x v="194"/>
    <s v="Maldahiya, Varanasi - UPPCB"/>
    <x v="0"/>
    <n v="25.323930000000001"/>
    <n v="82.996870000000001"/>
    <x v="4"/>
    <n v="28"/>
    <n v="28"/>
    <n v="28"/>
  </r>
  <r>
    <s v="India"/>
    <x v="24"/>
    <x v="194"/>
    <s v="Maldahiya, Varanasi - UPPCB"/>
    <x v="0"/>
    <n v="25.323930000000001"/>
    <n v="82.996870000000001"/>
    <x v="0"/>
    <n v="1"/>
    <n v="15"/>
    <n v="9"/>
  </r>
  <r>
    <s v="India"/>
    <x v="26"/>
    <x v="201"/>
    <s v="Asansol Court Area, Asansol - WBPCB"/>
    <x v="0"/>
    <n v="23.685296999999998"/>
    <n v="86.945967999999993"/>
    <x v="5"/>
    <n v="14"/>
    <n v="347"/>
    <n v="139"/>
  </r>
  <r>
    <s v="India"/>
    <x v="25"/>
    <x v="248"/>
    <s v="Shivaji Nagar, Rishikesh - UKPCB"/>
    <x v="0"/>
    <n v="30.075911000000001"/>
    <n v="78.285954700000005"/>
    <x v="1"/>
    <n v="55"/>
    <n v="112"/>
    <n v="86"/>
  </r>
  <r>
    <s v="India"/>
    <x v="26"/>
    <x v="204"/>
    <s v="Ward-32 Bapupara, Siliguri - WBPCB"/>
    <x v="0"/>
    <n v="26.6879226"/>
    <n v="88.415249500000002"/>
    <x v="1"/>
    <n v="102"/>
    <n v="261"/>
    <n v="144"/>
  </r>
  <r>
    <s v="India"/>
    <x v="2"/>
    <x v="205"/>
    <s v="Anand Kala Kshetram, Rajamahendravaram - APPCB"/>
    <x v="0"/>
    <n v="16.987286699999999"/>
    <n v="81.736317600000007"/>
    <x v="4"/>
    <n v="10"/>
    <n v="14"/>
    <n v="12"/>
  </r>
  <r>
    <s v="India"/>
    <x v="2"/>
    <x v="10"/>
    <s v="Toll Gate, Tirumala - APPCB (Formerly known as Tirumala, Tirupati - APPCB)"/>
    <x v="0"/>
    <n v="13.67"/>
    <n v="79.349999999999994"/>
    <x v="1"/>
    <n v="22"/>
    <n v="89"/>
    <n v="49"/>
  </r>
  <r>
    <s v="India"/>
    <x v="2"/>
    <x v="11"/>
    <s v="Vaikuntapuram, Tirupati - APPCB"/>
    <x v="0"/>
    <n v="13.615387"/>
    <n v="79.409229999999994"/>
    <x v="5"/>
    <n v="42"/>
    <n v="254"/>
    <n v="99"/>
  </r>
  <r>
    <s v="India"/>
    <x v="2"/>
    <x v="11"/>
    <s v="Vaikuntapuram, Tirupati - APPCB"/>
    <x v="0"/>
    <n v="13.615387"/>
    <n v="79.409229999999994"/>
    <x v="0"/>
    <n v="41"/>
    <n v="41"/>
    <n v="41"/>
  </r>
  <r>
    <s v="India"/>
    <x v="2"/>
    <x v="7"/>
    <s v="HB Colony, Vijayawada - APPCB"/>
    <x v="0"/>
    <n v="16.536107000000001"/>
    <n v="80.594233000000003"/>
    <x v="2"/>
    <n v="13"/>
    <n v="13"/>
    <n v="13"/>
  </r>
  <r>
    <s v="India"/>
    <x v="2"/>
    <x v="7"/>
    <s v="Kanuru, Vijayawada - APPCB"/>
    <x v="0"/>
    <n v="16.486692000000001"/>
    <n v="80.699436000000006"/>
    <x v="5"/>
    <n v="62"/>
    <n v="72"/>
    <n v="66"/>
  </r>
  <r>
    <s v="India"/>
    <x v="2"/>
    <x v="7"/>
    <s v="Kanuru, Vijayawada - APPCB"/>
    <x v="0"/>
    <n v="16.486692000000001"/>
    <n v="80.699436000000006"/>
    <x v="1"/>
    <n v="50"/>
    <n v="58"/>
    <n v="54"/>
  </r>
  <r>
    <s v="India"/>
    <x v="2"/>
    <x v="8"/>
    <s v="GVM Corporation, Visakhapatnam - APPCB"/>
    <x v="0"/>
    <n v="17.72"/>
    <n v="83.3"/>
    <x v="2"/>
    <n v="34"/>
    <n v="71"/>
    <n v="56"/>
  </r>
  <r>
    <s v="India"/>
    <x v="2"/>
    <x v="8"/>
    <s v="GVM Corporation, Visakhapatnam - APPCB"/>
    <x v="0"/>
    <n v="17.72"/>
    <n v="83.3"/>
    <x v="3"/>
    <n v="1"/>
    <n v="7"/>
    <n v="2"/>
  </r>
  <r>
    <s v="India"/>
    <x v="2"/>
    <x v="8"/>
    <s v="GVM Corporation, Visakhapatnam - APPCB"/>
    <x v="0"/>
    <n v="17.72"/>
    <n v="83.3"/>
    <x v="4"/>
    <n v="2"/>
    <n v="12"/>
    <n v="8"/>
  </r>
  <r>
    <s v="India"/>
    <x v="2"/>
    <x v="8"/>
    <s v="GVM Corporation, Visakhapatnam - APPCB"/>
    <x v="0"/>
    <n v="17.72"/>
    <n v="83.3"/>
    <x v="6"/>
    <n v="8"/>
    <n v="40"/>
    <n v="20"/>
  </r>
  <r>
    <s v="India"/>
    <x v="0"/>
    <x v="9"/>
    <s v="Central Academy for SFS, Byrnihat - PCBA"/>
    <x v="0"/>
    <n v="26.071318000000002"/>
    <n v="91.874880000000005"/>
    <x v="6"/>
    <n v="48"/>
    <n v="64"/>
    <n v="56"/>
  </r>
  <r>
    <s v="India"/>
    <x v="0"/>
    <x v="16"/>
    <s v="IITG, Guwahati - PCBA"/>
    <x v="0"/>
    <n v="26.202863600000001"/>
    <n v="91.700464359999998"/>
    <x v="5"/>
    <n v="69"/>
    <n v="167"/>
    <n v="102"/>
  </r>
  <r>
    <s v="India"/>
    <x v="0"/>
    <x v="16"/>
    <s v="Railway Colony, Guwahati - PCBA"/>
    <x v="0"/>
    <n v="26.181742"/>
    <n v="91.780630000000002"/>
    <x v="0"/>
    <n v="2"/>
    <n v="98"/>
    <n v="57"/>
  </r>
  <r>
    <s v="India"/>
    <x v="0"/>
    <x v="0"/>
    <s v="Christianpatty, Nagaon - PCBA"/>
    <x v="0"/>
    <n v="26.349081999999999"/>
    <n v="92.684489999999997"/>
    <x v="2"/>
    <n v="4"/>
    <n v="11"/>
    <n v="8"/>
  </r>
  <r>
    <s v="India"/>
    <x v="0"/>
    <x v="1"/>
    <s v="Bata Chowk, Nalbari - PCBA"/>
    <x v="0"/>
    <n v="26.446912000000001"/>
    <n v="91.439057000000005"/>
    <x v="4"/>
    <n v="2"/>
    <n v="6"/>
    <n v="3"/>
  </r>
  <r>
    <s v="India"/>
    <x v="0"/>
    <x v="2"/>
    <s v="Tarapur, Silchar - PCBA"/>
    <x v="0"/>
    <n v="24.82827"/>
    <n v="92.795249999999996"/>
    <x v="5"/>
    <n v="27"/>
    <n v="68"/>
    <n v="40"/>
  </r>
  <r>
    <s v="India"/>
    <x v="0"/>
    <x v="2"/>
    <s v="Tarapur, Silchar - PCBA"/>
    <x v="0"/>
    <n v="24.82827"/>
    <n v="92.795249999999996"/>
    <x v="6"/>
    <n v="20"/>
    <n v="36"/>
    <n v="25"/>
  </r>
  <r>
    <s v="India"/>
    <x v="2"/>
    <x v="208"/>
    <s v="Secretariat, Amaravati - APPCB"/>
    <x v="0"/>
    <n v="16.515083300000001"/>
    <n v="80.518166699999995"/>
    <x v="6"/>
    <n v="10"/>
    <n v="44"/>
    <n v="25"/>
  </r>
  <r>
    <s v="India"/>
    <x v="2"/>
    <x v="208"/>
    <s v="Secretariat, Amaravati - APPCB"/>
    <x v="0"/>
    <n v="16.515083300000001"/>
    <n v="80.518166699999995"/>
    <x v="0"/>
    <n v="1"/>
    <n v="64"/>
    <n v="39"/>
  </r>
  <r>
    <s v="India"/>
    <x v="2"/>
    <x v="13"/>
    <s v="Gangineni Cheruvu, Chittoor - APPCB"/>
    <x v="0"/>
    <n v="13.204879999999999"/>
    <n v="79.097888999999995"/>
    <x v="1"/>
    <n v="33"/>
    <n v="91"/>
    <n v="56"/>
  </r>
  <r>
    <s v="India"/>
    <x v="2"/>
    <x v="13"/>
    <s v="Gangineni Cheruvu, Chittoor - APPCB"/>
    <x v="0"/>
    <n v="13.204879999999999"/>
    <n v="79.097888999999995"/>
    <x v="4"/>
    <n v="5"/>
    <n v="6"/>
    <n v="5"/>
  </r>
  <r>
    <s v="India"/>
    <x v="2"/>
    <x v="207"/>
    <s v="Yerramukkapalli, Kadapa - APPCB"/>
    <x v="0"/>
    <n v="14.465052"/>
    <n v="78.824186999999995"/>
    <x v="0"/>
    <n v="32"/>
    <n v="32"/>
    <n v="32"/>
  </r>
  <r>
    <s v="India"/>
    <x v="1"/>
    <x v="4"/>
    <s v="Kharahiya Basti, Araria - BSPCB"/>
    <x v="0"/>
    <n v="26.146529000000001"/>
    <n v="87.454183999999998"/>
    <x v="1"/>
    <n v="94"/>
    <n v="125"/>
    <n v="110"/>
  </r>
  <r>
    <s v="India"/>
    <x v="1"/>
    <x v="4"/>
    <s v="Kharahiya Basti, Araria - BSPCB"/>
    <x v="0"/>
    <n v="26.146529000000001"/>
    <n v="87.454183999999998"/>
    <x v="3"/>
    <n v="10"/>
    <n v="12"/>
    <n v="11"/>
  </r>
  <r>
    <s v="India"/>
    <x v="1"/>
    <x v="5"/>
    <s v="New DM Office, Arrah - BSPCB"/>
    <x v="0"/>
    <n v="25.562609500000001"/>
    <n v="84.663263999999998"/>
    <x v="1"/>
    <m/>
    <m/>
    <m/>
  </r>
  <r>
    <s v="India"/>
    <x v="1"/>
    <x v="6"/>
    <s v="Gurdeo Nagar, Aurangabad - BSPCB"/>
    <x v="0"/>
    <n v="24.757459999999998"/>
    <n v="84.366208"/>
    <x v="1"/>
    <n v="35"/>
    <n v="467"/>
    <n v="189"/>
  </r>
  <r>
    <s v="India"/>
    <x v="1"/>
    <x v="6"/>
    <s v="Gurdeo Nagar, Aurangabad - BSPCB"/>
    <x v="0"/>
    <n v="24.757459999999998"/>
    <n v="84.366208"/>
    <x v="0"/>
    <n v="8"/>
    <n v="96"/>
    <n v="69"/>
  </r>
  <r>
    <s v="India"/>
    <x v="1"/>
    <x v="206"/>
    <s v="Lohiyanagar, Begusarai - BSPCB"/>
    <x v="0"/>
    <n v="25.427420229999999"/>
    <n v="86.138860789999995"/>
    <x v="2"/>
    <n v="83"/>
    <n v="114"/>
    <n v="97"/>
  </r>
  <r>
    <s v="India"/>
    <x v="1"/>
    <x v="14"/>
    <s v="Kamalnath Nagar, Bettiah - BSPCB"/>
    <x v="0"/>
    <n v="26.803650000000001"/>
    <n v="84.519540000000006"/>
    <x v="1"/>
    <n v="56"/>
    <n v="185"/>
    <n v="122"/>
  </r>
  <r>
    <s v="India"/>
    <x v="1"/>
    <x v="15"/>
    <s v="DM Office_Kachari Chowk, Bhagalpur - BSPCB"/>
    <x v="0"/>
    <n v="25.251013"/>
    <n v="86.989001000000002"/>
    <x v="5"/>
    <m/>
    <m/>
    <m/>
  </r>
  <r>
    <s v="India"/>
    <x v="1"/>
    <x v="15"/>
    <s v="DM Office_Kachari Chowk, Bhagalpur - BSPCB"/>
    <x v="0"/>
    <n v="25.251013"/>
    <n v="86.989001000000002"/>
    <x v="1"/>
    <m/>
    <m/>
    <m/>
  </r>
  <r>
    <s v="India"/>
    <x v="2"/>
    <x v="7"/>
    <s v="Rajiv Gandhi Park, Vijayawada - APPCB"/>
    <x v="0"/>
    <n v="16.509716999999998"/>
    <n v="80.612222000000003"/>
    <x v="1"/>
    <n v="58"/>
    <n v="86"/>
    <n v="73"/>
  </r>
  <r>
    <s v="India"/>
    <x v="2"/>
    <x v="7"/>
    <s v="Rajiv Gandhi Park, Vijayawada - APPCB"/>
    <x v="0"/>
    <n v="16.509716999999998"/>
    <n v="80.612222000000003"/>
    <x v="2"/>
    <n v="41"/>
    <n v="77"/>
    <n v="57"/>
  </r>
  <r>
    <s v="India"/>
    <x v="2"/>
    <x v="7"/>
    <s v="Rajiv Gandhi Park, Vijayawada - APPCB"/>
    <x v="0"/>
    <n v="16.509716999999998"/>
    <n v="80.612222000000003"/>
    <x v="4"/>
    <n v="8"/>
    <n v="13"/>
    <n v="9"/>
  </r>
  <r>
    <s v="India"/>
    <x v="2"/>
    <x v="7"/>
    <s v="Rajiv Gandhi Park, Vijayawada - APPCB"/>
    <x v="0"/>
    <n v="16.509716999999998"/>
    <n v="80.612222000000003"/>
    <x v="6"/>
    <n v="30"/>
    <n v="44"/>
    <n v="39"/>
  </r>
  <r>
    <s v="India"/>
    <x v="2"/>
    <x v="7"/>
    <s v="Rajiv Gandhi Park, Vijayawada - APPCB"/>
    <x v="0"/>
    <n v="16.509716999999998"/>
    <n v="80.612222000000003"/>
    <x v="0"/>
    <n v="6"/>
    <n v="27"/>
    <n v="17"/>
  </r>
  <r>
    <s v="India"/>
    <x v="0"/>
    <x v="16"/>
    <s v="IITG, Guwahati - PCBA"/>
    <x v="0"/>
    <n v="26.202863600000001"/>
    <n v="91.700464359999998"/>
    <x v="4"/>
    <n v="19"/>
    <n v="20"/>
    <n v="19"/>
  </r>
  <r>
    <s v="India"/>
    <x v="0"/>
    <x v="16"/>
    <s v="LGBI Airport, Guwahati - PCBA"/>
    <x v="0"/>
    <n v="26.10887"/>
    <n v="91.589544000000004"/>
    <x v="1"/>
    <n v="63"/>
    <n v="272"/>
    <n v="131"/>
  </r>
  <r>
    <s v="India"/>
    <x v="0"/>
    <x v="16"/>
    <s v="Pan Bazaar, Guwahati - PCBA"/>
    <x v="0"/>
    <n v="26.1875"/>
    <n v="91.744193999999993"/>
    <x v="4"/>
    <n v="25"/>
    <n v="42"/>
    <n v="32"/>
  </r>
  <r>
    <s v="India"/>
    <x v="3"/>
    <x v="17"/>
    <s v="Police Line, Sri Vijaya Puram - ANPCC"/>
    <x v="0"/>
    <n v="11.654054"/>
    <n v="92.734054999999998"/>
    <x v="6"/>
    <n v="18"/>
    <n v="100"/>
    <n v="32"/>
  </r>
  <r>
    <s v="India"/>
    <x v="2"/>
    <x v="208"/>
    <s v="Secretariat, Amaravati - APPCB"/>
    <x v="0"/>
    <n v="16.515083300000001"/>
    <n v="80.518166699999995"/>
    <x v="1"/>
    <n v="17"/>
    <n v="72"/>
    <n v="38"/>
  </r>
  <r>
    <s v="India"/>
    <x v="1"/>
    <x v="15"/>
    <s v="Mayaganj, Bhagalpur - BSPCB"/>
    <x v="0"/>
    <n v="25.265194000000001"/>
    <n v="87.012946999999997"/>
    <x v="1"/>
    <n v="100"/>
    <n v="213"/>
    <n v="146"/>
  </r>
  <r>
    <s v="India"/>
    <x v="1"/>
    <x v="28"/>
    <s v="Buddha Colony, Muzaffarpur - BSPCB"/>
    <x v="0"/>
    <n v="26.114419999999999"/>
    <n v="85.398129999999995"/>
    <x v="6"/>
    <n v="18"/>
    <n v="84"/>
    <n v="32"/>
  </r>
  <r>
    <s v="India"/>
    <x v="1"/>
    <x v="28"/>
    <s v="MIT-Daudpur Kothi, Muzaffarpur - BSPCB"/>
    <x v="0"/>
    <n v="26.140334500000002"/>
    <n v="85.365019200000006"/>
    <x v="5"/>
    <n v="37"/>
    <n v="320"/>
    <n v="156"/>
  </r>
  <r>
    <s v="India"/>
    <x v="1"/>
    <x v="28"/>
    <s v="MIT-Daudpur Kothi, Muzaffarpur - BSPCB"/>
    <x v="0"/>
    <n v="26.140334500000002"/>
    <n v="85.365019200000006"/>
    <x v="1"/>
    <m/>
    <m/>
    <m/>
  </r>
  <r>
    <s v="India"/>
    <x v="1"/>
    <x v="28"/>
    <s v="MIT-Daudpur Kothi, Muzaffarpur - BSPCB"/>
    <x v="0"/>
    <n v="26.140334500000002"/>
    <n v="85.365019200000006"/>
    <x v="3"/>
    <n v="4"/>
    <n v="4"/>
    <n v="4"/>
  </r>
  <r>
    <s v="India"/>
    <x v="1"/>
    <x v="28"/>
    <s v="MIT-Daudpur Kothi, Muzaffarpur - BSPCB"/>
    <x v="0"/>
    <n v="26.140334500000002"/>
    <n v="85.365019200000006"/>
    <x v="4"/>
    <n v="8"/>
    <n v="9"/>
    <n v="9"/>
  </r>
  <r>
    <s v="India"/>
    <x v="1"/>
    <x v="28"/>
    <s v="MIT-Daudpur Kothi, Muzaffarpur - BSPCB"/>
    <x v="0"/>
    <n v="26.140334500000002"/>
    <n v="85.365019200000006"/>
    <x v="6"/>
    <n v="47"/>
    <n v="107"/>
    <n v="71"/>
  </r>
  <r>
    <s v="India"/>
    <x v="1"/>
    <x v="28"/>
    <s v="MIT-Daudpur Kothi, Muzaffarpur - BSPCB"/>
    <x v="0"/>
    <n v="26.140334500000002"/>
    <n v="85.365019200000006"/>
    <x v="0"/>
    <n v="3"/>
    <n v="73"/>
    <n v="47"/>
  </r>
  <r>
    <s v="India"/>
    <x v="1"/>
    <x v="18"/>
    <s v="DRM Office Danapur, Patna - BSPCB"/>
    <x v="0"/>
    <n v="25.586562000000001"/>
    <n v="85.043586000000005"/>
    <x v="1"/>
    <n v="75"/>
    <n v="500"/>
    <n v="175"/>
  </r>
  <r>
    <s v="India"/>
    <x v="1"/>
    <x v="18"/>
    <s v="DRM Office Danapur, Patna - BSPCB"/>
    <x v="0"/>
    <n v="25.586562000000001"/>
    <n v="85.043586000000005"/>
    <x v="4"/>
    <n v="2"/>
    <n v="8"/>
    <n v="4"/>
  </r>
  <r>
    <s v="India"/>
    <x v="1"/>
    <x v="18"/>
    <s v="DRM Office Danapur, Patna - BSPCB"/>
    <x v="0"/>
    <n v="25.586562000000001"/>
    <n v="85.043586000000005"/>
    <x v="6"/>
    <n v="16"/>
    <n v="110"/>
    <n v="54"/>
  </r>
  <r>
    <s v="India"/>
    <x v="1"/>
    <x v="18"/>
    <s v="Govt. High School Shikarpur, Patna - BSPCB"/>
    <x v="0"/>
    <n v="25.592538999999999"/>
    <n v="85.227158000000003"/>
    <x v="5"/>
    <n v="58"/>
    <n v="233"/>
    <n v="117"/>
  </r>
  <r>
    <s v="India"/>
    <x v="1"/>
    <x v="25"/>
    <s v="Darshan Nagar, Chhapra - BSPCB"/>
    <x v="0"/>
    <n v="25.780825700000001"/>
    <n v="84.744676799999993"/>
    <x v="2"/>
    <n v="2"/>
    <n v="81"/>
    <n v="26"/>
  </r>
  <r>
    <s v="India"/>
    <x v="1"/>
    <x v="25"/>
    <s v="Darshan Nagar, Chhapra - BSPCB"/>
    <x v="0"/>
    <n v="25.780825700000001"/>
    <n v="84.744676799999993"/>
    <x v="6"/>
    <n v="8"/>
    <n v="27"/>
    <n v="11"/>
  </r>
  <r>
    <s v="India"/>
    <x v="1"/>
    <x v="26"/>
    <s v="Collectorate, Gaya - BSPCB"/>
    <x v="0"/>
    <n v="24.795500000000001"/>
    <n v="84.999399999999994"/>
    <x v="5"/>
    <n v="21"/>
    <n v="263"/>
    <n v="119"/>
  </r>
  <r>
    <s v="India"/>
    <x v="1"/>
    <x v="26"/>
    <s v="Collectorate, Gaya - BSPCB"/>
    <x v="0"/>
    <n v="24.795500000000001"/>
    <n v="84.999399999999994"/>
    <x v="6"/>
    <n v="8"/>
    <n v="92"/>
    <n v="51"/>
  </r>
  <r>
    <s v="India"/>
    <x v="1"/>
    <x v="26"/>
    <s v="Kareemganj, Gaya - BSPCB"/>
    <x v="0"/>
    <n v="24.792403"/>
    <n v="84.992416000000006"/>
    <x v="1"/>
    <n v="81"/>
    <n v="281"/>
    <n v="153"/>
  </r>
  <r>
    <s v="India"/>
    <x v="1"/>
    <x v="26"/>
    <s v="Kareemganj, Gaya - BSPCB"/>
    <x v="0"/>
    <n v="24.792403"/>
    <n v="84.992416000000006"/>
    <x v="3"/>
    <n v="4"/>
    <n v="7"/>
    <n v="5"/>
  </r>
  <r>
    <s v="India"/>
    <x v="1"/>
    <x v="26"/>
    <s v="SFTI Kusdihra, Gaya - BSPCB"/>
    <x v="0"/>
    <n v="24.762518"/>
    <n v="84.982348000000002"/>
    <x v="1"/>
    <n v="57"/>
    <n v="105"/>
    <n v="80"/>
  </r>
  <r>
    <s v="India"/>
    <x v="1"/>
    <x v="26"/>
    <s v="SFTI Kusdihra, Gaya - BSPCB"/>
    <x v="0"/>
    <n v="24.762518"/>
    <n v="84.982348000000002"/>
    <x v="4"/>
    <n v="8"/>
    <n v="9"/>
    <n v="8"/>
  </r>
  <r>
    <s v="India"/>
    <x v="1"/>
    <x v="26"/>
    <s v="SFTI Kusdihra, Gaya - BSPCB"/>
    <x v="0"/>
    <n v="24.762518"/>
    <n v="84.982348000000002"/>
    <x v="6"/>
    <n v="2"/>
    <n v="30"/>
    <n v="20"/>
  </r>
  <r>
    <s v="India"/>
    <x v="1"/>
    <x v="29"/>
    <s v="Industrial Area, Hajipur - BSPCB"/>
    <x v="0"/>
    <n v="25.697189000000002"/>
    <n v="85.245900000000006"/>
    <x v="5"/>
    <n v="125"/>
    <n v="319"/>
    <n v="227"/>
  </r>
  <r>
    <s v="India"/>
    <x v="1"/>
    <x v="209"/>
    <s v="Gandak Colony, Motihari - BSPCB"/>
    <x v="0"/>
    <n v="26.630859999999998"/>
    <n v="84.900509999999997"/>
    <x v="5"/>
    <n v="13"/>
    <n v="62"/>
    <n v="43"/>
  </r>
  <r>
    <s v="India"/>
    <x v="1"/>
    <x v="209"/>
    <s v="Gandak Colony, Motihari - BSPCB"/>
    <x v="0"/>
    <n v="26.630859999999998"/>
    <n v="84.900509999999997"/>
    <x v="3"/>
    <n v="3"/>
    <n v="3"/>
    <n v="3"/>
  </r>
  <r>
    <s v="India"/>
    <x v="1"/>
    <x v="209"/>
    <s v="Gandak Colony, Motihari - BSPCB"/>
    <x v="0"/>
    <n v="26.630859999999998"/>
    <n v="84.900509999999997"/>
    <x v="6"/>
    <n v="20"/>
    <n v="65"/>
    <n v="30"/>
  </r>
  <r>
    <s v="India"/>
    <x v="1"/>
    <x v="24"/>
    <s v="Town Hall, Munger - BSPCB"/>
    <x v="0"/>
    <n v="25.376776"/>
    <n v="86.471523000000005"/>
    <x v="4"/>
    <m/>
    <m/>
    <m/>
  </r>
  <r>
    <s v="India"/>
    <x v="1"/>
    <x v="28"/>
    <s v="Buddha Colony, Muzaffarpur - BSPCB"/>
    <x v="0"/>
    <n v="26.114419999999999"/>
    <n v="85.398129999999995"/>
    <x v="1"/>
    <n v="83"/>
    <n v="252"/>
    <n v="148"/>
  </r>
  <r>
    <s v="India"/>
    <x v="1"/>
    <x v="29"/>
    <s v="Industrial Area, Hajipur - BSPCB"/>
    <x v="0"/>
    <n v="25.697189000000002"/>
    <n v="85.245900000000006"/>
    <x v="1"/>
    <n v="77"/>
    <n v="214"/>
    <n v="142"/>
  </r>
  <r>
    <s v="India"/>
    <x v="1"/>
    <x v="30"/>
    <s v="Mirchaibari, Katihar - BSPCB"/>
    <x v="0"/>
    <n v="25.560082999999999"/>
    <n v="87.553264999999996"/>
    <x v="1"/>
    <n v="32"/>
    <n v="60"/>
    <n v="50"/>
  </r>
  <r>
    <s v="India"/>
    <x v="1"/>
    <x v="30"/>
    <s v="Mirchaibari, Katihar - BSPCB"/>
    <x v="0"/>
    <n v="25.560082999999999"/>
    <n v="87.553264999999996"/>
    <x v="2"/>
    <n v="9"/>
    <n v="15"/>
    <n v="14"/>
  </r>
  <r>
    <s v="India"/>
    <x v="1"/>
    <x v="30"/>
    <s v="Mirchaibari, Katihar - BSPCB"/>
    <x v="0"/>
    <n v="25.560082999999999"/>
    <n v="87.553264999999996"/>
    <x v="0"/>
    <n v="1"/>
    <n v="25"/>
    <n v="16"/>
  </r>
  <r>
    <s v="India"/>
    <x v="1"/>
    <x v="18"/>
    <s v="Samanpura, Patna - BSPCB"/>
    <x v="0"/>
    <n v="25.596727000000001"/>
    <n v="85.085623999999996"/>
    <x v="4"/>
    <n v="4"/>
    <n v="9"/>
    <n v="6"/>
  </r>
  <r>
    <s v="India"/>
    <x v="1"/>
    <x v="19"/>
    <s v="Mariam Nagar, Purnia - BSPCB"/>
    <x v="0"/>
    <n v="25.366336"/>
    <n v="87.117468000000002"/>
    <x v="5"/>
    <n v="88"/>
    <n v="243"/>
    <n v="165"/>
  </r>
  <r>
    <s v="India"/>
    <x v="1"/>
    <x v="21"/>
    <s v="Police Line, Saharsa - BSPCB"/>
    <x v="0"/>
    <n v="25.892357000000001"/>
    <n v="86.590325000000007"/>
    <x v="2"/>
    <n v="6"/>
    <n v="8"/>
    <n v="7"/>
  </r>
  <r>
    <s v="India"/>
    <x v="1"/>
    <x v="18"/>
    <s v="Muradpur, Patna - BSPCB"/>
    <x v="0"/>
    <n v="25.619651000000001"/>
    <n v="85.147381999999993"/>
    <x v="1"/>
    <n v="120"/>
    <n v="500"/>
    <n v="270"/>
  </r>
  <r>
    <s v="India"/>
    <x v="1"/>
    <x v="18"/>
    <s v="Rajbansi Nagar, Patna - BSPCB"/>
    <x v="0"/>
    <n v="25.599485999999999"/>
    <n v="85.113665999999995"/>
    <x v="1"/>
    <n v="78"/>
    <n v="169"/>
    <n v="119"/>
  </r>
  <r>
    <s v="India"/>
    <x v="1"/>
    <x v="18"/>
    <s v="Rajbansi Nagar, Patna - BSPCB"/>
    <x v="0"/>
    <n v="25.599485999999999"/>
    <n v="85.113665999999995"/>
    <x v="0"/>
    <n v="2"/>
    <n v="181"/>
    <n v="100"/>
  </r>
  <r>
    <s v="India"/>
    <x v="1"/>
    <x v="27"/>
    <s v="Charitra Van, Buxar - BSPCB"/>
    <x v="0"/>
    <n v="25.567519999999998"/>
    <n v="83.966379000000003"/>
    <x v="0"/>
    <n v="6"/>
    <n v="165"/>
    <n v="136"/>
  </r>
  <r>
    <s v="India"/>
    <x v="1"/>
    <x v="25"/>
    <s v="Darshan Nagar, Chhapra - BSPCB"/>
    <x v="0"/>
    <n v="25.780825700000001"/>
    <n v="84.744676799999993"/>
    <x v="5"/>
    <m/>
    <m/>
    <m/>
  </r>
  <r>
    <s v="India"/>
    <x v="1"/>
    <x v="18"/>
    <s v="Govt. High School Shikarpur, Patna - BSPCB"/>
    <x v="0"/>
    <n v="25.592538999999999"/>
    <n v="85.227158000000003"/>
    <x v="6"/>
    <n v="22"/>
    <n v="96"/>
    <n v="46"/>
  </r>
  <r>
    <s v="India"/>
    <x v="1"/>
    <x v="18"/>
    <s v="IGSC Planetarium Complex, Patna - BSPCB"/>
    <x v="0"/>
    <n v="25.610368999999999"/>
    <n v="85.132568000000006"/>
    <x v="5"/>
    <n v="58"/>
    <n v="308"/>
    <n v="161"/>
  </r>
  <r>
    <s v="India"/>
    <x v="1"/>
    <x v="22"/>
    <s v="SDM Office_Khagra, Kishanganj - BSPCB"/>
    <x v="0"/>
    <n v="26.088130499999998"/>
    <n v="87.938403359999995"/>
    <x v="1"/>
    <m/>
    <m/>
    <m/>
  </r>
  <r>
    <s v="India"/>
    <x v="1"/>
    <x v="22"/>
    <s v="SDM Office_Khagra, Kishanganj - BSPCB"/>
    <x v="0"/>
    <n v="26.088130499999998"/>
    <n v="87.938403359999995"/>
    <x v="3"/>
    <m/>
    <m/>
    <m/>
  </r>
  <r>
    <s v="India"/>
    <x v="4"/>
    <x v="35"/>
    <s v="Urja Nagar, Korba - CECB"/>
    <x v="0"/>
    <n v="22.348441000000001"/>
    <n v="82.549610999999999"/>
    <x v="3"/>
    <n v="1"/>
    <n v="7"/>
    <n v="3"/>
  </r>
  <r>
    <s v="India"/>
    <x v="4"/>
    <x v="210"/>
    <s v="OP Jindal School, Kunjemura - CECB"/>
    <x v="0"/>
    <n v="22.126650000000001"/>
    <n v="83.483211999999995"/>
    <x v="5"/>
    <n v="40"/>
    <n v="87"/>
    <n v="56"/>
  </r>
  <r>
    <s v="India"/>
    <x v="4"/>
    <x v="211"/>
    <s v="Govt. Higher Secondary School, Milupara - CECB"/>
    <x v="0"/>
    <n v="22.191017200000001"/>
    <n v="83.519700900000004"/>
    <x v="5"/>
    <n v="24"/>
    <n v="66"/>
    <n v="44"/>
  </r>
  <r>
    <s v="India"/>
    <x v="4"/>
    <x v="211"/>
    <s v="Govt. Higher Secondary School, Milupara - CECB"/>
    <x v="0"/>
    <n v="22.191017200000001"/>
    <n v="83.519700900000004"/>
    <x v="3"/>
    <n v="1"/>
    <n v="3"/>
    <n v="2"/>
  </r>
  <r>
    <s v="India"/>
    <x v="4"/>
    <x v="211"/>
    <s v="Govt. Higher Secondary School, Milupara - CECB"/>
    <x v="0"/>
    <n v="22.191017200000001"/>
    <n v="83.519700900000004"/>
    <x v="6"/>
    <n v="10"/>
    <n v="57"/>
    <n v="26"/>
  </r>
  <r>
    <s v="India"/>
    <x v="4"/>
    <x v="40"/>
    <s v="AIIMS, Raipur - CECB"/>
    <x v="0"/>
    <n v="21.258814999999998"/>
    <n v="81.578979000000004"/>
    <x v="2"/>
    <n v="34"/>
    <n v="58"/>
    <n v="45"/>
  </r>
  <r>
    <s v="India"/>
    <x v="4"/>
    <x v="40"/>
    <s v="AIIMS, Raipur - CECB"/>
    <x v="0"/>
    <n v="21.258814999999998"/>
    <n v="81.578979000000004"/>
    <x v="4"/>
    <n v="4"/>
    <n v="12"/>
    <n v="8"/>
  </r>
  <r>
    <s v="India"/>
    <x v="4"/>
    <x v="40"/>
    <s v="AIIMS, Raipur - CECB"/>
    <x v="0"/>
    <n v="21.258814999999998"/>
    <n v="81.578979000000004"/>
    <x v="6"/>
    <n v="20"/>
    <n v="40"/>
    <n v="24"/>
  </r>
  <r>
    <s v="India"/>
    <x v="6"/>
    <x v="39"/>
    <s v="Chandni Chowk, Delhi - IITM"/>
    <x v="0"/>
    <n v="28.656756000000001"/>
    <n v="77.227233999999996"/>
    <x v="3"/>
    <n v="3"/>
    <n v="13"/>
    <n v="5"/>
  </r>
  <r>
    <s v="India"/>
    <x v="6"/>
    <x v="39"/>
    <s v="DTU, Delhi - CPCB"/>
    <x v="0"/>
    <n v="28.7500499"/>
    <n v="77.111261499999998"/>
    <x v="3"/>
    <n v="11"/>
    <n v="14"/>
    <n v="12"/>
  </r>
  <r>
    <s v="India"/>
    <x v="6"/>
    <x v="39"/>
    <s v="Dr. Karni Singh Shooting Range, Delhi - DPCC"/>
    <x v="0"/>
    <n v="28.498570999999998"/>
    <n v="77.264840000000007"/>
    <x v="5"/>
    <n v="52"/>
    <n v="331"/>
    <n v="168"/>
  </r>
  <r>
    <s v="India"/>
    <x v="6"/>
    <x v="39"/>
    <s v="Dr. Karni Singh Shooting Range, Delhi - DPCC"/>
    <x v="0"/>
    <n v="28.498570999999998"/>
    <n v="77.264840000000007"/>
    <x v="2"/>
    <n v="41"/>
    <n v="101"/>
    <n v="71"/>
  </r>
  <r>
    <s v="India"/>
    <x v="6"/>
    <x v="39"/>
    <s v="Dr. Karni Singh Shooting Range, Delhi - DPCC"/>
    <x v="0"/>
    <n v="28.498570999999998"/>
    <n v="77.264840000000007"/>
    <x v="3"/>
    <n v="3"/>
    <n v="9"/>
    <n v="6"/>
  </r>
  <r>
    <s v="India"/>
    <x v="6"/>
    <x v="39"/>
    <s v="Dr. Karni Singh Shooting Range, Delhi - DPCC"/>
    <x v="0"/>
    <n v="28.498570999999998"/>
    <n v="77.264840000000007"/>
    <x v="0"/>
    <n v="4"/>
    <n v="178"/>
    <n v="100"/>
  </r>
  <r>
    <s v="India"/>
    <x v="6"/>
    <x v="39"/>
    <s v="Dwarka-Sector 8, Delhi - DPCC "/>
    <x v="0"/>
    <n v="28.571027399999998"/>
    <n v="77.071900600000006"/>
    <x v="6"/>
    <n v="25"/>
    <n v="186"/>
    <n v="172"/>
  </r>
  <r>
    <s v="India"/>
    <x v="4"/>
    <x v="32"/>
    <s v="Hathkhoj, Bhilai - CECB"/>
    <x v="0"/>
    <n v="21.224231"/>
    <n v="81.408349999999999"/>
    <x v="2"/>
    <n v="17"/>
    <n v="93"/>
    <n v="41"/>
  </r>
  <r>
    <s v="India"/>
    <x v="4"/>
    <x v="33"/>
    <s v="Mangala, Bilaspur - NTPC"/>
    <x v="0"/>
    <n v="22.088149999999999"/>
    <n v="82.137370000000004"/>
    <x v="2"/>
    <m/>
    <m/>
    <m/>
  </r>
  <r>
    <s v="India"/>
    <x v="4"/>
    <x v="33"/>
    <s v="Mangala, Bilaspur - NTPC"/>
    <x v="0"/>
    <n v="22.088149999999999"/>
    <n v="82.137370000000004"/>
    <x v="6"/>
    <m/>
    <m/>
    <m/>
  </r>
  <r>
    <s v="India"/>
    <x v="4"/>
    <x v="34"/>
    <s v="Nawapara SECL Colony, Chhal - CECB"/>
    <x v="0"/>
    <n v="22.118124999999999"/>
    <n v="83.140608"/>
    <x v="6"/>
    <n v="30"/>
    <n v="72"/>
    <n v="34"/>
  </r>
  <r>
    <s v="India"/>
    <x v="4"/>
    <x v="35"/>
    <s v="Rampur, Korba - CECB"/>
    <x v="0"/>
    <n v="22.368195"/>
    <n v="82.746431000000001"/>
    <x v="5"/>
    <m/>
    <m/>
    <m/>
  </r>
  <r>
    <s v="India"/>
    <x v="4"/>
    <x v="35"/>
    <s v="Urja Nagar, Korba - CECB"/>
    <x v="0"/>
    <n v="22.348441000000001"/>
    <n v="82.549610999999999"/>
    <x v="5"/>
    <n v="111"/>
    <n v="347"/>
    <n v="198"/>
  </r>
  <r>
    <s v="India"/>
    <x v="5"/>
    <x v="38"/>
    <s v="Sector-53, Chandigarh - CPCC"/>
    <x v="0"/>
    <n v="30.719859"/>
    <n v="76.738636999999997"/>
    <x v="4"/>
    <m/>
    <m/>
    <m/>
  </r>
  <r>
    <s v="India"/>
    <x v="4"/>
    <x v="32"/>
    <s v="32Bungalows, Bhilai - CECB"/>
    <x v="0"/>
    <n v="21.194814999999998"/>
    <n v="81.314769999999996"/>
    <x v="5"/>
    <n v="35"/>
    <n v="56"/>
    <n v="47"/>
  </r>
  <r>
    <s v="India"/>
    <x v="4"/>
    <x v="32"/>
    <s v="Civic Center, Bhilai - Bhilai Steel Plant"/>
    <x v="0"/>
    <n v="21.185570999999999"/>
    <n v="81.343175000000002"/>
    <x v="5"/>
    <n v="20"/>
    <n v="45"/>
    <n v="31"/>
  </r>
  <r>
    <s v="India"/>
    <x v="4"/>
    <x v="32"/>
    <s v="Civic Center, Bhilai - Bhilai Steel Plant"/>
    <x v="0"/>
    <n v="21.185570999999999"/>
    <n v="81.343175000000002"/>
    <x v="6"/>
    <n v="7"/>
    <n v="186"/>
    <n v="105"/>
  </r>
  <r>
    <s v="India"/>
    <x v="4"/>
    <x v="32"/>
    <s v="Civic Center, Bhilai - Bhilai Steel Plant"/>
    <x v="0"/>
    <n v="21.185570999999999"/>
    <n v="81.343175000000002"/>
    <x v="0"/>
    <n v="5"/>
    <n v="25"/>
    <n v="15"/>
  </r>
  <r>
    <s v="India"/>
    <x v="4"/>
    <x v="212"/>
    <s v="OP Jindal Industrial Park, Tumidih - CECB"/>
    <x v="0"/>
    <n v="22.06631475"/>
    <n v="83.33820077"/>
    <x v="3"/>
    <n v="1"/>
    <n v="3"/>
    <n v="2"/>
  </r>
  <r>
    <s v="India"/>
    <x v="4"/>
    <x v="212"/>
    <s v="OP Jindal Industrial Park, Tumidih - CECB"/>
    <x v="0"/>
    <n v="22.06631475"/>
    <n v="83.33820077"/>
    <x v="0"/>
    <n v="4"/>
    <n v="106"/>
    <n v="67"/>
  </r>
  <r>
    <s v="India"/>
    <x v="6"/>
    <x v="39"/>
    <s v="Alipur, Delhi - DPCC"/>
    <x v="0"/>
    <n v="28.815328999999998"/>
    <n v="77.153009999999995"/>
    <x v="1"/>
    <n v="85"/>
    <n v="428"/>
    <n v="240"/>
  </r>
  <r>
    <s v="India"/>
    <x v="6"/>
    <x v="39"/>
    <s v="Anand Vihar, Delhi - DPCC"/>
    <x v="0"/>
    <n v="28.647621999999998"/>
    <n v="77.315809000000002"/>
    <x v="2"/>
    <n v="48"/>
    <n v="126"/>
    <n v="84"/>
  </r>
  <r>
    <s v="India"/>
    <x v="6"/>
    <x v="39"/>
    <s v="Ashok Vihar, Delhi - DPCC"/>
    <x v="0"/>
    <n v="28.695381000000001"/>
    <n v="77.181664999999995"/>
    <x v="0"/>
    <n v="1"/>
    <n v="301"/>
    <n v="123"/>
  </r>
  <r>
    <s v="India"/>
    <x v="6"/>
    <x v="39"/>
    <s v="Bawana, Delhi - DPCC"/>
    <x v="0"/>
    <n v="28.776199999999999"/>
    <n v="77.051074"/>
    <x v="3"/>
    <n v="6"/>
    <n v="8"/>
    <n v="7"/>
  </r>
  <r>
    <s v="India"/>
    <x v="1"/>
    <x v="37"/>
    <s v="Chitragupta Nagar, Siwan - BSPCB"/>
    <x v="0"/>
    <n v="26.227166499999999"/>
    <n v="84.357042699999994"/>
    <x v="3"/>
    <m/>
    <m/>
    <m/>
  </r>
  <r>
    <s v="India"/>
    <x v="5"/>
    <x v="38"/>
    <s v="Sector-25, Chandigarh - CPCC"/>
    <x v="0"/>
    <n v="30.751462"/>
    <n v="76.762878999999998"/>
    <x v="3"/>
    <n v="17"/>
    <n v="32"/>
    <n v="24"/>
  </r>
  <r>
    <s v="India"/>
    <x v="4"/>
    <x v="40"/>
    <s v="Bhatagaon New ISBT, Raipur - CECB"/>
    <x v="0"/>
    <n v="21.219664999999999"/>
    <n v="81.630094"/>
    <x v="5"/>
    <n v="1"/>
    <n v="65"/>
    <n v="33"/>
  </r>
  <r>
    <s v="India"/>
    <x v="1"/>
    <x v="36"/>
    <s v="Dada Peer, Sasaram - BSPCB"/>
    <x v="0"/>
    <n v="24.952822000000001"/>
    <n v="84.002396000000005"/>
    <x v="1"/>
    <n v="69"/>
    <n v="164"/>
    <n v="105"/>
  </r>
  <r>
    <s v="India"/>
    <x v="6"/>
    <x v="39"/>
    <s v="Narela, Delhi - DPCC"/>
    <x v="0"/>
    <n v="28.822835999999999"/>
    <n v="77.101980999999995"/>
    <x v="3"/>
    <n v="7"/>
    <n v="14"/>
    <n v="9"/>
  </r>
  <r>
    <s v="India"/>
    <x v="6"/>
    <x v="39"/>
    <s v="Nehru Nagar, Delhi - DPCC"/>
    <x v="0"/>
    <n v="28.567889999999998"/>
    <n v="77.250514999999993"/>
    <x v="2"/>
    <n v="14"/>
    <n v="98"/>
    <n v="54"/>
  </r>
  <r>
    <s v="India"/>
    <x v="6"/>
    <x v="39"/>
    <s v="Nehru Nagar, Delhi - DPCC"/>
    <x v="0"/>
    <n v="28.567889999999998"/>
    <n v="77.250514999999993"/>
    <x v="6"/>
    <n v="19"/>
    <n v="120"/>
    <n v="45"/>
  </r>
  <r>
    <s v="India"/>
    <x v="6"/>
    <x v="39"/>
    <s v="North Campus, DU, Delhi - IMD"/>
    <x v="0"/>
    <n v="28.657381399999998"/>
    <n v="77.158544699999993"/>
    <x v="1"/>
    <n v="88"/>
    <n v="335"/>
    <n v="175"/>
  </r>
  <r>
    <s v="India"/>
    <x v="6"/>
    <x v="39"/>
    <s v="Okhla Phase-2, Delhi - DPCC"/>
    <x v="0"/>
    <n v="28.530785000000002"/>
    <n v="77.271254999999996"/>
    <x v="4"/>
    <n v="10"/>
    <n v="34"/>
    <n v="21"/>
  </r>
  <r>
    <s v="India"/>
    <x v="6"/>
    <x v="39"/>
    <s v="Okhla Phase-2, Delhi - DPCC"/>
    <x v="0"/>
    <n v="28.530785000000002"/>
    <n v="77.271254999999996"/>
    <x v="0"/>
    <n v="4"/>
    <n v="303"/>
    <n v="165"/>
  </r>
  <r>
    <s v="India"/>
    <x v="6"/>
    <x v="39"/>
    <s v="Patparganj, Delhi - DPCC"/>
    <x v="0"/>
    <n v="28.623763"/>
    <n v="77.287209000000004"/>
    <x v="5"/>
    <n v="32"/>
    <n v="329"/>
    <n v="137"/>
  </r>
  <r>
    <s v="India"/>
    <x v="6"/>
    <x v="39"/>
    <s v="Patparganj, Delhi - DPCC"/>
    <x v="0"/>
    <n v="28.623763"/>
    <n v="77.287209000000004"/>
    <x v="6"/>
    <n v="15"/>
    <n v="112"/>
    <n v="35"/>
  </r>
  <r>
    <s v="India"/>
    <x v="6"/>
    <x v="39"/>
    <s v="Punjabi Bagh, Delhi - DPCC"/>
    <x v="0"/>
    <n v="28.674045"/>
    <n v="77.131022999999999"/>
    <x v="6"/>
    <n v="32"/>
    <n v="127"/>
    <n v="53"/>
  </r>
  <r>
    <s v="India"/>
    <x v="6"/>
    <x v="39"/>
    <s v="Pusa, Delhi - DPCC"/>
    <x v="0"/>
    <n v="28.639652000000002"/>
    <n v="77.146275000000003"/>
    <x v="3"/>
    <n v="6"/>
    <n v="15"/>
    <n v="11"/>
  </r>
  <r>
    <s v="India"/>
    <x v="6"/>
    <x v="39"/>
    <s v="R K Puram, Delhi - DPCC"/>
    <x v="0"/>
    <n v="28.563262000000002"/>
    <n v="77.186937"/>
    <x v="2"/>
    <n v="10"/>
    <n v="102"/>
    <n v="55"/>
  </r>
  <r>
    <s v="India"/>
    <x v="6"/>
    <x v="39"/>
    <s v="Major Dhyan Chand National Stadium, Delhi - DPCC"/>
    <x v="0"/>
    <n v="28.611281000000002"/>
    <n v="77.237737999999993"/>
    <x v="4"/>
    <n v="12"/>
    <n v="53"/>
    <n v="24"/>
  </r>
  <r>
    <s v="India"/>
    <x v="6"/>
    <x v="39"/>
    <s v="Mandir Marg, Delhi - DPCC"/>
    <x v="0"/>
    <n v="28.636429"/>
    <n v="77.201066999999995"/>
    <x v="6"/>
    <n v="8"/>
    <n v="47"/>
    <n v="20"/>
  </r>
  <r>
    <s v="India"/>
    <x v="6"/>
    <x v="39"/>
    <s v="Mundka, Delhi - DPCC"/>
    <x v="0"/>
    <n v="28.684678000000002"/>
    <n v="77.076573999999994"/>
    <x v="3"/>
    <n v="6"/>
    <n v="12"/>
    <n v="8"/>
  </r>
  <r>
    <s v="India"/>
    <x v="6"/>
    <x v="39"/>
    <s v="Mundka, Delhi - DPCC"/>
    <x v="0"/>
    <n v="28.684678000000002"/>
    <n v="77.076573999999994"/>
    <x v="0"/>
    <n v="4"/>
    <n v="94"/>
    <n v="56"/>
  </r>
  <r>
    <s v="India"/>
    <x v="6"/>
    <x v="39"/>
    <s v="Rohini, Delhi - DPCC"/>
    <x v="0"/>
    <n v="28.732527999999999"/>
    <n v="77.119919999999993"/>
    <x v="3"/>
    <n v="8"/>
    <n v="19"/>
    <n v="12"/>
  </r>
  <r>
    <s v="India"/>
    <x v="6"/>
    <x v="39"/>
    <s v="Rohini, Delhi - DPCC"/>
    <x v="0"/>
    <n v="28.732527999999999"/>
    <n v="77.119919999999993"/>
    <x v="6"/>
    <n v="14"/>
    <n v="163"/>
    <n v="150"/>
  </r>
  <r>
    <s v="India"/>
    <x v="6"/>
    <x v="39"/>
    <s v="Shadipur, Delhi - CPCB"/>
    <x v="0"/>
    <n v="28.651478099999999"/>
    <n v="77.147310500000003"/>
    <x v="2"/>
    <n v="56"/>
    <n v="104"/>
    <n v="74"/>
  </r>
  <r>
    <s v="India"/>
    <x v="6"/>
    <x v="39"/>
    <s v="Sirifort, Delhi - CPCB"/>
    <x v="0"/>
    <n v="28.550424899999999"/>
    <n v="77.215937699999998"/>
    <x v="3"/>
    <n v="8"/>
    <n v="27"/>
    <n v="15"/>
  </r>
  <r>
    <s v="India"/>
    <x v="6"/>
    <x v="39"/>
    <s v="Lodhi Road, Delhi - IITM"/>
    <x v="0"/>
    <n v="28.588332999999999"/>
    <n v="77.221666999999997"/>
    <x v="1"/>
    <n v="71"/>
    <n v="192"/>
    <n v="134"/>
  </r>
  <r>
    <s v="India"/>
    <x v="6"/>
    <x v="39"/>
    <s v="Lodhi Road, Delhi - IMD"/>
    <x v="0"/>
    <n v="28.591824500000001"/>
    <n v="77.227307400000001"/>
    <x v="0"/>
    <n v="81"/>
    <n v="110"/>
    <n v="89"/>
  </r>
  <r>
    <s v="India"/>
    <x v="6"/>
    <x v="39"/>
    <s v="ITO, Delhi - CPCB"/>
    <x v="0"/>
    <n v="28.628623999999999"/>
    <n v="77.241060000000004"/>
    <x v="4"/>
    <n v="11"/>
    <n v="28"/>
    <n v="19"/>
  </r>
  <r>
    <s v="India"/>
    <x v="6"/>
    <x v="39"/>
    <s v="Jahangirpuri, Delhi - DPCC"/>
    <x v="0"/>
    <n v="28.73282"/>
    <n v="77.170632999999995"/>
    <x v="4"/>
    <n v="20"/>
    <n v="116"/>
    <n v="56"/>
  </r>
  <r>
    <s v="India"/>
    <x v="6"/>
    <x v="39"/>
    <s v="Jawaharlal Nehru Stadium, Delhi - DPCC"/>
    <x v="0"/>
    <n v="28.580279999999998"/>
    <n v="77.233829"/>
    <x v="0"/>
    <n v="2"/>
    <n v="93"/>
    <n v="60"/>
  </r>
  <r>
    <s v="India"/>
    <x v="6"/>
    <x v="39"/>
    <s v="Jawaharlal Nehru Stadium, Delhi - DPCC"/>
    <x v="0"/>
    <n v="28.580279999999998"/>
    <n v="77.233829"/>
    <x v="6"/>
    <n v="40"/>
    <n v="128"/>
    <n v="63"/>
  </r>
  <r>
    <s v="India"/>
    <x v="6"/>
    <x v="39"/>
    <s v="Sri Aurobindo Marg, Delhi - DPCC"/>
    <x v="0"/>
    <n v="28.531345999999999"/>
    <n v="77.190156000000002"/>
    <x v="3"/>
    <n v="8"/>
    <n v="12"/>
    <n v="10"/>
  </r>
  <r>
    <s v="India"/>
    <x v="8"/>
    <x v="42"/>
    <s v="HIMUDA Complex Phase-1, Baddi - HPPCB"/>
    <x v="0"/>
    <n v="30.943887"/>
    <n v="76.801991000000001"/>
    <x v="0"/>
    <n v="31"/>
    <n v="136"/>
    <n v="105"/>
  </r>
  <r>
    <s v="India"/>
    <x v="9"/>
    <x v="43"/>
    <s v="Rajbagh, Srinagar - JKSPCB"/>
    <x v="0"/>
    <n v="34.066206000000001"/>
    <n v="74.819820000000007"/>
    <x v="3"/>
    <n v="2"/>
    <n v="2"/>
    <n v="2"/>
  </r>
  <r>
    <s v="India"/>
    <x v="27"/>
    <x v="216"/>
    <s v="Sardar Patel Nagar, Dhanbad - JSPCB"/>
    <x v="0"/>
    <n v="23.805689999999998"/>
    <n v="86.442679999999996"/>
    <x v="5"/>
    <n v="76"/>
    <n v="337"/>
    <n v="163"/>
  </r>
  <r>
    <s v="India"/>
    <x v="27"/>
    <x v="216"/>
    <s v="Sardar Patel Nagar, Dhanbad - JSPCB"/>
    <x v="0"/>
    <n v="23.805689999999998"/>
    <n v="86.442679999999996"/>
    <x v="6"/>
    <n v="2"/>
    <n v="2"/>
    <n v="2"/>
  </r>
  <r>
    <s v="India"/>
    <x v="27"/>
    <x v="216"/>
    <s v="Sardar Patel Nagar, Dhanbad - JSPCB"/>
    <x v="0"/>
    <n v="23.805689999999998"/>
    <n v="86.442679999999996"/>
    <x v="0"/>
    <n v="15"/>
    <n v="57"/>
    <n v="41"/>
  </r>
  <r>
    <s v="India"/>
    <x v="10"/>
    <x v="44"/>
    <s v="Vidayagiri, Bagalkot - KSPCB"/>
    <x v="0"/>
    <n v="16.172806000000001"/>
    <n v="75.659694000000002"/>
    <x v="1"/>
    <n v="45"/>
    <n v="46"/>
    <n v="46"/>
  </r>
  <r>
    <s v="India"/>
    <x v="10"/>
    <x v="44"/>
    <s v="Vidayagiri, Bagalkot - KSPCB"/>
    <x v="0"/>
    <n v="16.172806000000001"/>
    <n v="75.659694000000002"/>
    <x v="3"/>
    <n v="1"/>
    <n v="2"/>
    <n v="1"/>
  </r>
  <r>
    <s v="India"/>
    <x v="7"/>
    <x v="49"/>
    <s v="IIPHG Lekawada, Gandhinagar - IITM"/>
    <x v="0"/>
    <n v="23.243639000000002"/>
    <n v="72.689940000000007"/>
    <x v="1"/>
    <n v="60"/>
    <n v="142"/>
    <n v="97"/>
  </r>
  <r>
    <s v="India"/>
    <x v="7"/>
    <x v="49"/>
    <s v="IIPHG Lekawada, Gandhinagar - IITM"/>
    <x v="0"/>
    <n v="23.243639000000002"/>
    <n v="72.689940000000007"/>
    <x v="0"/>
    <n v="2"/>
    <n v="49"/>
    <n v="26"/>
  </r>
  <r>
    <s v="India"/>
    <x v="7"/>
    <x v="49"/>
    <s v="Sector-10, Gandhinagar - GPCB"/>
    <x v="0"/>
    <n v="23.221713999999999"/>
    <n v="72.654328000000007"/>
    <x v="5"/>
    <n v="18"/>
    <n v="67"/>
    <n v="37"/>
  </r>
  <r>
    <s v="India"/>
    <x v="7"/>
    <x v="49"/>
    <s v="Sector-10, Gandhinagar - GPCB"/>
    <x v="0"/>
    <n v="23.221713999999999"/>
    <n v="72.654328000000007"/>
    <x v="2"/>
    <n v="23"/>
    <n v="25"/>
    <n v="24"/>
  </r>
  <r>
    <s v="India"/>
    <x v="7"/>
    <x v="217"/>
    <s v="GIDC, Nandesari - Nandesari Ind. Association"/>
    <x v="0"/>
    <n v="22.410802"/>
    <n v="73.097922999999994"/>
    <x v="2"/>
    <n v="4"/>
    <n v="27"/>
    <n v="14"/>
  </r>
  <r>
    <s v="India"/>
    <x v="7"/>
    <x v="50"/>
    <s v="Science Center, Surat - SMC"/>
    <x v="0"/>
    <n v="21.170045999999999"/>
    <n v="72.795405000000002"/>
    <x v="6"/>
    <m/>
    <m/>
    <m/>
  </r>
  <r>
    <s v="India"/>
    <x v="7"/>
    <x v="213"/>
    <s v="Phase-1 GIDC, Vapi - GPCB"/>
    <x v="0"/>
    <n v="20.362421000000001"/>
    <n v="72.918013000000002"/>
    <x v="5"/>
    <n v="42"/>
    <n v="309"/>
    <n v="122"/>
  </r>
  <r>
    <s v="India"/>
    <x v="7"/>
    <x v="214"/>
    <s v="Phase-4 GIDC, Vatva - GPCB"/>
    <x v="0"/>
    <n v="22.969611"/>
    <n v="72.643500000000003"/>
    <x v="4"/>
    <n v="17"/>
    <n v="34"/>
    <n v="24"/>
  </r>
  <r>
    <s v="India"/>
    <x v="7"/>
    <x v="214"/>
    <s v="Phase-4 GIDC, Vatva - GPCB"/>
    <x v="0"/>
    <n v="22.969611"/>
    <n v="72.643500000000003"/>
    <x v="0"/>
    <n v="1"/>
    <n v="2"/>
    <n v="1"/>
  </r>
  <r>
    <s v="India"/>
    <x v="11"/>
    <x v="46"/>
    <s v="NISE Gwal Pahari, Gurugram - IMD"/>
    <x v="0"/>
    <n v="28.422681000000001"/>
    <n v="77.148944"/>
    <x v="5"/>
    <n v="42"/>
    <n v="304"/>
    <n v="141"/>
  </r>
  <r>
    <s v="India"/>
    <x v="11"/>
    <x v="46"/>
    <s v="NISE Gwal Pahari, Gurugram - IMD"/>
    <x v="0"/>
    <n v="28.422681000000001"/>
    <n v="77.148944"/>
    <x v="1"/>
    <n v="33"/>
    <n v="162"/>
    <n v="108"/>
  </r>
  <r>
    <s v="India"/>
    <x v="11"/>
    <x v="47"/>
    <s v="Amity University, Panchgaon - IITM"/>
    <x v="0"/>
    <n v="28.315300000000001"/>
    <n v="76.914299999999997"/>
    <x v="5"/>
    <n v="23"/>
    <n v="46"/>
    <n v="37"/>
  </r>
  <r>
    <s v="India"/>
    <x v="7"/>
    <x v="41"/>
    <s v="Rakhial, Ahmedabad - IITM"/>
    <x v="0"/>
    <n v="23.016833999999999"/>
    <n v="72.625775000000004"/>
    <x v="5"/>
    <n v="21"/>
    <n v="309"/>
    <n v="99"/>
  </r>
  <r>
    <s v="India"/>
    <x v="7"/>
    <x v="41"/>
    <s v="Rakhial, Ahmedabad - IITM"/>
    <x v="0"/>
    <n v="23.016833999999999"/>
    <n v="72.625775000000004"/>
    <x v="3"/>
    <n v="6"/>
    <n v="15"/>
    <n v="9"/>
  </r>
  <r>
    <s v="India"/>
    <x v="7"/>
    <x v="41"/>
    <s v="SVPI Airport Hansol, Ahmedabad - IITM"/>
    <x v="0"/>
    <n v="23.076792999999999"/>
    <n v="72.627874000000006"/>
    <x v="1"/>
    <n v="40"/>
    <n v="185"/>
    <n v="85"/>
  </r>
  <r>
    <s v="India"/>
    <x v="7"/>
    <x v="41"/>
    <s v="SVPI Airport Hansol, Ahmedabad - IITM"/>
    <x v="0"/>
    <n v="23.076792999999999"/>
    <n v="72.627874000000006"/>
    <x v="4"/>
    <n v="1"/>
    <n v="12"/>
    <n v="4"/>
  </r>
  <r>
    <s v="India"/>
    <x v="7"/>
    <x v="41"/>
    <s v="SVPI Airport Hansol, Ahmedabad - IITM"/>
    <x v="0"/>
    <n v="23.076792999999999"/>
    <n v="72.627874000000006"/>
    <x v="0"/>
    <n v="1"/>
    <n v="55"/>
    <n v="26"/>
  </r>
  <r>
    <s v="India"/>
    <x v="6"/>
    <x v="39"/>
    <s v="Vivek Vihar, Delhi - DPCC"/>
    <x v="0"/>
    <n v="28.672342"/>
    <n v="77.315259999999995"/>
    <x v="5"/>
    <n v="45"/>
    <n v="361"/>
    <n v="158"/>
  </r>
  <r>
    <s v="India"/>
    <x v="6"/>
    <x v="39"/>
    <s v="Vivek Vihar, Delhi - DPCC"/>
    <x v="0"/>
    <n v="28.672342"/>
    <n v="77.315259999999995"/>
    <x v="1"/>
    <n v="84"/>
    <n v="308"/>
    <n v="170"/>
  </r>
  <r>
    <s v="India"/>
    <x v="6"/>
    <x v="39"/>
    <s v="Vivek Vihar, Delhi - DPCC"/>
    <x v="0"/>
    <n v="28.672342"/>
    <n v="77.315259999999995"/>
    <x v="6"/>
    <n v="30"/>
    <n v="111"/>
    <n v="53"/>
  </r>
  <r>
    <s v="India"/>
    <x v="6"/>
    <x v="39"/>
    <s v="Vivek Vihar, Delhi - DPCC"/>
    <x v="0"/>
    <n v="28.672342"/>
    <n v="77.315259999999995"/>
    <x v="0"/>
    <n v="2"/>
    <n v="238"/>
    <n v="100"/>
  </r>
  <r>
    <s v="India"/>
    <x v="6"/>
    <x v="39"/>
    <s v="Wazirpur, Delhi - DPCC"/>
    <x v="0"/>
    <n v="28.699793"/>
    <n v="77.165452999999999"/>
    <x v="4"/>
    <n v="27"/>
    <n v="102"/>
    <n v="55"/>
  </r>
  <r>
    <s v="India"/>
    <x v="7"/>
    <x v="41"/>
    <s v="Sardar Vallabhbhai Patel Stadium, Ahmedabad - IITM"/>
    <x v="0"/>
    <n v="23.04307"/>
    <n v="72.562967999999998"/>
    <x v="4"/>
    <n v="7"/>
    <n v="42"/>
    <n v="18"/>
  </r>
  <r>
    <s v="India"/>
    <x v="7"/>
    <x v="48"/>
    <s v="GIDC, Ankleshwar - GPCB"/>
    <x v="0"/>
    <n v="21.613267"/>
    <n v="73.010554999999997"/>
    <x v="1"/>
    <n v="45"/>
    <n v="129"/>
    <n v="74"/>
  </r>
  <r>
    <s v="India"/>
    <x v="7"/>
    <x v="48"/>
    <s v="GIDC, Ankleshwar - GPCB"/>
    <x v="0"/>
    <n v="21.613267"/>
    <n v="73.010554999999997"/>
    <x v="2"/>
    <n v="70"/>
    <n v="106"/>
    <n v="88"/>
  </r>
  <r>
    <s v="India"/>
    <x v="7"/>
    <x v="48"/>
    <s v="GIDC, Ankleshwar - GPCB"/>
    <x v="0"/>
    <n v="21.613267"/>
    <n v="73.010554999999997"/>
    <x v="4"/>
    <n v="45"/>
    <n v="45"/>
    <n v="45"/>
  </r>
  <r>
    <s v="India"/>
    <x v="10"/>
    <x v="215"/>
    <s v="Ramteerth Nagar, Belgaum - KSPCB"/>
    <x v="0"/>
    <n v="15.888653"/>
    <n v="74.541751000000005"/>
    <x v="2"/>
    <n v="65"/>
    <n v="122"/>
    <n v="92"/>
  </r>
  <r>
    <s v="India"/>
    <x v="10"/>
    <x v="45"/>
    <s v="Bapuji Nagar, Bengaluru - KSPCB"/>
    <x v="0"/>
    <n v="12.951912999999999"/>
    <n v="77.539783999999997"/>
    <x v="6"/>
    <n v="18"/>
    <n v="100"/>
    <n v="72"/>
  </r>
  <r>
    <s v="India"/>
    <x v="10"/>
    <x v="45"/>
    <s v="City Railway Station, Bengaluru - KSPCB"/>
    <x v="0"/>
    <n v="12.975684299999999"/>
    <n v="77.566074900000004"/>
    <x v="1"/>
    <n v="84"/>
    <n v="100"/>
    <n v="92"/>
  </r>
  <r>
    <s v="India"/>
    <x v="7"/>
    <x v="41"/>
    <s v="Maninagar, Ahmedabad - GPCB"/>
    <x v="0"/>
    <n v="23.002656999999999"/>
    <n v="72.591911999999994"/>
    <x v="2"/>
    <n v="30"/>
    <n v="31"/>
    <n v="30"/>
  </r>
  <r>
    <s v="India"/>
    <x v="7"/>
    <x v="41"/>
    <s v="Raikhad, Ahmedabad - IITM"/>
    <x v="0"/>
    <n v="23.020509000000001"/>
    <n v="72.579261000000002"/>
    <x v="2"/>
    <n v="8"/>
    <n v="106"/>
    <n v="27"/>
  </r>
  <r>
    <s v="India"/>
    <x v="7"/>
    <x v="41"/>
    <s v="Chandkheda, Ahmedabad - IITM"/>
    <x v="0"/>
    <n v="23.107969000000001"/>
    <n v="72.574647999999996"/>
    <x v="5"/>
    <n v="30"/>
    <n v="328"/>
    <n v="104"/>
  </r>
  <r>
    <s v="India"/>
    <x v="7"/>
    <x v="41"/>
    <s v="Chandkheda, Ahmedabad - IITM"/>
    <x v="0"/>
    <n v="23.107969000000001"/>
    <n v="72.574647999999996"/>
    <x v="0"/>
    <n v="1"/>
    <n v="105"/>
    <n v="48"/>
  </r>
  <r>
    <s v="India"/>
    <x v="10"/>
    <x v="45"/>
    <s v="Sanegurava Halli, Bengaluru - KSPCB"/>
    <x v="0"/>
    <n v="12.990328"/>
    <n v="77.543138499999998"/>
    <x v="1"/>
    <n v="38"/>
    <n v="46"/>
    <n v="39"/>
  </r>
  <r>
    <s v="India"/>
    <x v="10"/>
    <x v="45"/>
    <s v="Sanegurava Halli, Bengaluru - KSPCB"/>
    <x v="0"/>
    <n v="12.990328"/>
    <n v="77.543138499999998"/>
    <x v="2"/>
    <n v="21"/>
    <n v="29"/>
    <n v="23"/>
  </r>
  <r>
    <s v="India"/>
    <x v="10"/>
    <x v="45"/>
    <s v="Sanegurava Halli, Bengaluru - KSPCB"/>
    <x v="0"/>
    <n v="12.990328"/>
    <n v="77.543138499999998"/>
    <x v="6"/>
    <n v="26"/>
    <n v="40"/>
    <n v="33"/>
  </r>
  <r>
    <s v="India"/>
    <x v="10"/>
    <x v="45"/>
    <s v="Shivapura_Peenya, Bengaluru - KSPCB"/>
    <x v="0"/>
    <n v="13.024634199999999"/>
    <n v="77.508011499999995"/>
    <x v="5"/>
    <n v="36"/>
    <n v="46"/>
    <n v="42"/>
  </r>
  <r>
    <s v="India"/>
    <x v="10"/>
    <x v="45"/>
    <s v="Shivapura_Peenya, Bengaluru - KSPCB"/>
    <x v="0"/>
    <n v="13.024634199999999"/>
    <n v="77.508011499999995"/>
    <x v="4"/>
    <n v="6"/>
    <n v="10"/>
    <n v="8"/>
  </r>
  <r>
    <s v="India"/>
    <x v="10"/>
    <x v="45"/>
    <s v="Silk Board, Bengaluru - KSPCB"/>
    <x v="0"/>
    <n v="12.917348"/>
    <n v="77.622812999999994"/>
    <x v="1"/>
    <n v="41"/>
    <n v="131"/>
    <n v="94"/>
  </r>
  <r>
    <s v="India"/>
    <x v="10"/>
    <x v="45"/>
    <s v="Silk Board, Bengaluru - KSPCB"/>
    <x v="0"/>
    <n v="12.917348"/>
    <n v="77.622812999999994"/>
    <x v="6"/>
    <n v="5"/>
    <n v="32"/>
    <n v="13"/>
  </r>
  <r>
    <s v="India"/>
    <x v="10"/>
    <x v="61"/>
    <s v="Urban, Chamarajanagar - KSPCB"/>
    <x v="0"/>
    <n v="11.55358"/>
    <n v="76.555210000000002"/>
    <x v="5"/>
    <n v="20"/>
    <n v="31"/>
    <n v="29"/>
  </r>
  <r>
    <s v="India"/>
    <x v="10"/>
    <x v="54"/>
    <s v="Mahatma Basaveswar Colony, Kalaburgi - KSPCB"/>
    <x v="0"/>
    <n v="17.336317999999999"/>
    <n v="76.847397000000001"/>
    <x v="2"/>
    <n v="8"/>
    <n v="18"/>
    <n v="14"/>
  </r>
  <r>
    <s v="India"/>
    <x v="10"/>
    <x v="54"/>
    <s v="Mahatma Basaveswar Colony, Kalaburgi - KSPCB"/>
    <x v="0"/>
    <n v="17.336317999999999"/>
    <n v="76.847397000000001"/>
    <x v="3"/>
    <n v="2"/>
    <n v="3"/>
    <n v="3"/>
  </r>
  <r>
    <s v="India"/>
    <x v="10"/>
    <x v="64"/>
    <s v="Stuart Hill, Madikeri - KSPCB"/>
    <x v="0"/>
    <n v="12.415910999999999"/>
    <n v="75.735050000000001"/>
    <x v="1"/>
    <n v="6"/>
    <n v="48"/>
    <n v="18"/>
  </r>
  <r>
    <s v="India"/>
    <x v="10"/>
    <x v="64"/>
    <s v="Stuart Hill, Madikeri - KSPCB"/>
    <x v="0"/>
    <n v="12.415910999999999"/>
    <n v="75.735050000000001"/>
    <x v="6"/>
    <n v="10"/>
    <n v="19"/>
    <n v="15"/>
  </r>
  <r>
    <s v="India"/>
    <x v="10"/>
    <x v="64"/>
    <s v="Stuart Hill, Madikeri - KSPCB"/>
    <x v="0"/>
    <n v="12.415910999999999"/>
    <n v="75.735050000000001"/>
    <x v="0"/>
    <n v="3"/>
    <n v="7"/>
    <n v="5"/>
  </r>
  <r>
    <s v="India"/>
    <x v="10"/>
    <x v="219"/>
    <s v="Kadri, Mangalore - KSPCB"/>
    <x v="0"/>
    <n v="12.889250000000001"/>
    <n v="74.852999999999994"/>
    <x v="4"/>
    <n v="6"/>
    <n v="7"/>
    <n v="6"/>
  </r>
  <r>
    <s v="India"/>
    <x v="10"/>
    <x v="62"/>
    <s v="Hebbal 1st Stage, Mysuru - KSPCB"/>
    <x v="0"/>
    <n v="12.21041"/>
    <n v="76.373760000000004"/>
    <x v="6"/>
    <n v="6"/>
    <n v="34"/>
    <n v="18"/>
  </r>
  <r>
    <s v="India"/>
    <x v="10"/>
    <x v="220"/>
    <s v="Vinoba Nagara, Shivamogga - KSPCB"/>
    <x v="0"/>
    <n v="13.94"/>
    <n v="75.555916999999994"/>
    <x v="5"/>
    <n v="24"/>
    <n v="45"/>
    <n v="34"/>
  </r>
  <r>
    <s v="India"/>
    <x v="10"/>
    <x v="220"/>
    <s v="Vinoba Nagara, Shivamogga - KSPCB"/>
    <x v="0"/>
    <n v="13.94"/>
    <n v="75.555916999999994"/>
    <x v="1"/>
    <n v="38"/>
    <n v="61"/>
    <n v="49"/>
  </r>
  <r>
    <s v="India"/>
    <x v="10"/>
    <x v="55"/>
    <s v="Chikkaballapur Rural, Chikkaballapur - KSPCB"/>
    <x v="0"/>
    <n v="13.428827999999999"/>
    <n v="77.731418000000005"/>
    <x v="4"/>
    <n v="16"/>
    <n v="26"/>
    <n v="20"/>
  </r>
  <r>
    <s v="India"/>
    <x v="10"/>
    <x v="57"/>
    <s v="Devaraj Urs Badavane, Davanagere - KSPCB"/>
    <x v="0"/>
    <n v="14.4758"/>
    <n v="75.905199999999994"/>
    <x v="0"/>
    <n v="19"/>
    <n v="20"/>
    <n v="19"/>
  </r>
  <r>
    <s v="India"/>
    <x v="10"/>
    <x v="58"/>
    <s v="Kalabhavan, Dharwad - KSPCB"/>
    <x v="0"/>
    <n v="15.459706000000001"/>
    <n v="75.008381"/>
    <x v="4"/>
    <n v="2"/>
    <n v="5"/>
    <n v="3"/>
  </r>
  <r>
    <s v="India"/>
    <x v="10"/>
    <x v="51"/>
    <s v="Panchal Nagar, Gadag - KSPCB"/>
    <x v="0"/>
    <n v="15.411455999999999"/>
    <n v="75.638132999999996"/>
    <x v="5"/>
    <n v="4"/>
    <n v="19"/>
    <n v="10"/>
  </r>
  <r>
    <s v="India"/>
    <x v="10"/>
    <x v="52"/>
    <s v="Ashwini Nagar, Haveri - KSPCB"/>
    <x v="0"/>
    <n v="14.7918"/>
    <n v="75.389600000000002"/>
    <x v="0"/>
    <m/>
    <m/>
    <m/>
  </r>
  <r>
    <s v="India"/>
    <x v="10"/>
    <x v="54"/>
    <s v="Mahatma Basaveswar Colony, Kalaburgi - KSPCB"/>
    <x v="0"/>
    <n v="17.336317999999999"/>
    <n v="76.847397000000001"/>
    <x v="5"/>
    <n v="11"/>
    <n v="42"/>
    <n v="20"/>
  </r>
  <r>
    <s v="India"/>
    <x v="10"/>
    <x v="45"/>
    <s v="Kasturi Nagar, Bengaluru - KSPCB"/>
    <x v="0"/>
    <n v="13.003871999999999"/>
    <n v="77.664216999999994"/>
    <x v="6"/>
    <n v="18"/>
    <n v="62"/>
    <n v="38"/>
  </r>
  <r>
    <s v="India"/>
    <x v="10"/>
    <x v="45"/>
    <s v="Peenya, Bengaluru - CPCB"/>
    <x v="0"/>
    <n v="13.027019900000001"/>
    <n v="77.494094000000004"/>
    <x v="5"/>
    <n v="4"/>
    <n v="81"/>
    <n v="36"/>
  </r>
  <r>
    <s v="India"/>
    <x v="10"/>
    <x v="45"/>
    <s v="RVCE-Mailasandra, Bengaluru - KSPCB"/>
    <x v="0"/>
    <n v="12.921417999999999"/>
    <n v="77.502465999999998"/>
    <x v="0"/>
    <n v="21"/>
    <n v="22"/>
    <n v="21"/>
  </r>
  <r>
    <s v="India"/>
    <x v="10"/>
    <x v="45"/>
    <s v="Hombegowda Nagar, Bengaluru - KSPCB"/>
    <x v="0"/>
    <n v="12.938539"/>
    <n v="77.590100000000007"/>
    <x v="1"/>
    <n v="24"/>
    <n v="44"/>
    <n v="35"/>
  </r>
  <r>
    <s v="India"/>
    <x v="10"/>
    <x v="45"/>
    <s v="Jayanagar 5th Block, Bengaluru - KSPCB"/>
    <x v="0"/>
    <n v="12.920984000000001"/>
    <n v="77.584907999999999"/>
    <x v="6"/>
    <n v="2"/>
    <n v="36"/>
    <n v="18"/>
  </r>
  <r>
    <s v="India"/>
    <x v="10"/>
    <x v="45"/>
    <s v="Jayanagar 5th Block, Bengaluru - KSPCB"/>
    <x v="0"/>
    <n v="12.920984000000001"/>
    <n v="77.584907999999999"/>
    <x v="0"/>
    <n v="4"/>
    <n v="21"/>
    <n v="7"/>
  </r>
  <r>
    <s v="India"/>
    <x v="10"/>
    <x v="63"/>
    <s v="Thimmalapura, Tumakuru - KSPCB"/>
    <x v="0"/>
    <n v="13.377516"/>
    <n v="77.099072000000007"/>
    <x v="6"/>
    <n v="56"/>
    <n v="60"/>
    <n v="57"/>
  </r>
  <r>
    <s v="India"/>
    <x v="10"/>
    <x v="59"/>
    <s v="Collector Office, Yadgir - KSPCB"/>
    <x v="0"/>
    <n v="16.760200000000001"/>
    <n v="77.142799999999994"/>
    <x v="4"/>
    <n v="13"/>
    <n v="19"/>
    <n v="15"/>
  </r>
  <r>
    <s v="India"/>
    <x v="12"/>
    <x v="65"/>
    <s v="Plammoodu, Thiruvananthapuram - Kerala PCB"/>
    <x v="0"/>
    <n v="8.5149092999999993"/>
    <n v="76.943587899999997"/>
    <x v="6"/>
    <n v="9"/>
    <n v="16"/>
    <n v="11"/>
  </r>
  <r>
    <s v="India"/>
    <x v="12"/>
    <x v="66"/>
    <s v="Corporation Ground, Thrissur - Kerala PCB"/>
    <x v="0"/>
    <n v="10.532400000000001"/>
    <n v="76.215900000000005"/>
    <x v="1"/>
    <n v="55"/>
    <n v="62"/>
    <n v="59"/>
  </r>
  <r>
    <s v="India"/>
    <x v="12"/>
    <x v="66"/>
    <s v="Corporation Ground, Thrissur - Kerala PCB"/>
    <x v="0"/>
    <n v="10.532400000000001"/>
    <n v="76.215900000000005"/>
    <x v="4"/>
    <n v="1"/>
    <n v="1"/>
    <n v="1"/>
  </r>
  <r>
    <s v="India"/>
    <x v="12"/>
    <x v="66"/>
    <s v="Corporation Ground, Thrissur - Kerala PCB"/>
    <x v="0"/>
    <n v="10.532400000000001"/>
    <n v="76.215900000000005"/>
    <x v="6"/>
    <n v="24"/>
    <n v="28"/>
    <n v="26"/>
  </r>
  <r>
    <s v="India"/>
    <x v="13"/>
    <x v="67"/>
    <s v="Idgah Hills, Bhopal - MPPCB"/>
    <x v="0"/>
    <n v="23.264759000000002"/>
    <n v="77.381568000000001"/>
    <x v="1"/>
    <n v="73"/>
    <n v="119"/>
    <n v="89"/>
  </r>
  <r>
    <s v="India"/>
    <x v="13"/>
    <x v="67"/>
    <s v="Idgah Hills, Bhopal - MPPCB"/>
    <x v="0"/>
    <n v="23.264759000000002"/>
    <n v="77.381568000000001"/>
    <x v="2"/>
    <n v="14"/>
    <n v="90"/>
    <n v="29"/>
  </r>
  <r>
    <s v="India"/>
    <x v="13"/>
    <x v="67"/>
    <s v="Paryavaran Parisar, Bhopal - MPPCB"/>
    <x v="0"/>
    <n v="23.210494000000001"/>
    <n v="77.425409000000002"/>
    <x v="5"/>
    <n v="15"/>
    <n v="233"/>
    <n v="63"/>
  </r>
  <r>
    <s v="India"/>
    <x v="13"/>
    <x v="67"/>
    <s v="Paryavaran Parisar, Bhopal - MPPCB"/>
    <x v="0"/>
    <n v="23.210494000000001"/>
    <n v="77.425409000000002"/>
    <x v="0"/>
    <n v="10"/>
    <n v="63"/>
    <n v="42"/>
  </r>
  <r>
    <s v="India"/>
    <x v="13"/>
    <x v="67"/>
    <s v="T T Nagar, Bhopal - MPPCB"/>
    <x v="0"/>
    <n v="23.233584"/>
    <n v="77.400574000000006"/>
    <x v="4"/>
    <n v="16"/>
    <n v="28"/>
    <n v="21"/>
  </r>
  <r>
    <s v="India"/>
    <x v="13"/>
    <x v="74"/>
    <s v="Shrivastav Colony, Damoh - MPPCB"/>
    <x v="0"/>
    <n v="23.817486779999999"/>
    <n v="79.446246000000002"/>
    <x v="5"/>
    <n v="12"/>
    <n v="79"/>
    <n v="46"/>
  </r>
  <r>
    <s v="India"/>
    <x v="13"/>
    <x v="223"/>
    <s v="Bhopal Chauraha, Dewas - MPPCB"/>
    <x v="0"/>
    <n v="22.968259100000001"/>
    <n v="76.064117999999993"/>
    <x v="3"/>
    <n v="5"/>
    <n v="10"/>
    <n v="7"/>
  </r>
  <r>
    <s v="India"/>
    <x v="13"/>
    <x v="223"/>
    <s v="Bhopal Chauraha, Dewas - MPPCB"/>
    <x v="0"/>
    <n v="22.968259100000001"/>
    <n v="76.064117999999993"/>
    <x v="6"/>
    <n v="16"/>
    <n v="109"/>
    <n v="34"/>
  </r>
  <r>
    <s v="India"/>
    <x v="13"/>
    <x v="223"/>
    <s v="Bhopal Chauraha, Dewas - MPPCB"/>
    <x v="0"/>
    <n v="22.968259100000001"/>
    <n v="76.064117999999993"/>
    <x v="0"/>
    <n v="59"/>
    <n v="82"/>
    <n v="65"/>
  </r>
  <r>
    <s v="India"/>
    <x v="13"/>
    <x v="75"/>
    <s v="City Center, Gwalior - MPPCB"/>
    <x v="0"/>
    <n v="26.203441999999999"/>
    <n v="78.193251000000004"/>
    <x v="2"/>
    <n v="7"/>
    <n v="88"/>
    <n v="28"/>
  </r>
  <r>
    <s v="India"/>
    <x v="13"/>
    <x v="75"/>
    <s v="Deen Dayal Nagar, Gwalior - MPPCB"/>
    <x v="0"/>
    <n v="26.259242"/>
    <n v="78.216431999999998"/>
    <x v="2"/>
    <n v="5"/>
    <n v="118"/>
    <n v="51"/>
  </r>
  <r>
    <s v="India"/>
    <x v="13"/>
    <x v="75"/>
    <s v="Maharaj Bada, Gwalior - MPPCB"/>
    <x v="0"/>
    <n v="26.200388"/>
    <n v="78.147713999999993"/>
    <x v="5"/>
    <n v="37"/>
    <n v="301"/>
    <n v="81"/>
  </r>
  <r>
    <s v="India"/>
    <x v="13"/>
    <x v="75"/>
    <s v="Maharaj Bada, Gwalior - MPPCB"/>
    <x v="0"/>
    <n v="26.200388"/>
    <n v="78.147713999999993"/>
    <x v="1"/>
    <n v="72"/>
    <n v="368"/>
    <n v="132"/>
  </r>
  <r>
    <s v="India"/>
    <x v="13"/>
    <x v="75"/>
    <s v="Maharaj Bada, Gwalior - MPPCB"/>
    <x v="0"/>
    <n v="26.200388"/>
    <n v="78.147713999999993"/>
    <x v="2"/>
    <n v="1"/>
    <n v="5"/>
    <n v="3"/>
  </r>
  <r>
    <s v="India"/>
    <x v="13"/>
    <x v="75"/>
    <s v="Maharaj Bada, Gwalior - MPPCB"/>
    <x v="0"/>
    <n v="26.200388"/>
    <n v="78.147713999999993"/>
    <x v="3"/>
    <n v="2"/>
    <n v="2"/>
    <n v="2"/>
  </r>
  <r>
    <s v="India"/>
    <x v="13"/>
    <x v="249"/>
    <s v="Mahakaleshwar Temple, Ujjain - MPPCB"/>
    <x v="0"/>
    <n v="23.182718999999999"/>
    <n v="75.768218000000005"/>
    <x v="0"/>
    <n v="46"/>
    <n v="72"/>
    <n v="51"/>
  </r>
  <r>
    <s v="India"/>
    <x v="14"/>
    <x v="87"/>
    <s v="Tarakpur, Ahmednagar - MPCB"/>
    <x v="0"/>
    <n v="19.101220000000001"/>
    <n v="74.73339"/>
    <x v="2"/>
    <n v="15"/>
    <n v="122"/>
    <n v="55"/>
  </r>
  <r>
    <s v="India"/>
    <x v="14"/>
    <x v="87"/>
    <s v="Tarakpur, Ahmednagar - MPCB"/>
    <x v="0"/>
    <n v="19.101220000000001"/>
    <n v="74.73339"/>
    <x v="0"/>
    <n v="6"/>
    <n v="115"/>
    <n v="69"/>
  </r>
  <r>
    <s v="India"/>
    <x v="14"/>
    <x v="89"/>
    <s v="Shivneri Colony, Amravati - MPCB"/>
    <x v="0"/>
    <n v="20.940235900000001"/>
    <n v="77.789524799999995"/>
    <x v="1"/>
    <n v="79"/>
    <n v="121"/>
    <n v="96"/>
  </r>
  <r>
    <s v="India"/>
    <x v="14"/>
    <x v="89"/>
    <s v="Shivneri Colony, Amravati - MPCB"/>
    <x v="0"/>
    <n v="20.940235900000001"/>
    <n v="77.789524799999995"/>
    <x v="2"/>
    <n v="7"/>
    <n v="51"/>
    <n v="25"/>
  </r>
  <r>
    <s v="India"/>
    <x v="14"/>
    <x v="89"/>
    <s v="Shri Shivaji Science College, Amaravati - MPCB"/>
    <x v="0"/>
    <n v="20.939198000000001"/>
    <n v="77.765701000000007"/>
    <x v="0"/>
    <n v="2"/>
    <n v="79"/>
    <n v="49"/>
  </r>
  <r>
    <s v="India"/>
    <x v="12"/>
    <x v="222"/>
    <s v="Thavakkara, Kannur - Kerala PCB"/>
    <x v="0"/>
    <n v="11.875"/>
    <n v="75.373199999999997"/>
    <x v="2"/>
    <n v="15"/>
    <n v="17"/>
    <n v="16"/>
  </r>
  <r>
    <s v="India"/>
    <x v="12"/>
    <x v="222"/>
    <s v="Thavakkara, Kannur - Kerala PCB"/>
    <x v="0"/>
    <n v="11.875"/>
    <n v="75.373199999999997"/>
    <x v="0"/>
    <n v="26"/>
    <n v="32"/>
    <n v="28"/>
  </r>
  <r>
    <s v="India"/>
    <x v="12"/>
    <x v="79"/>
    <s v="Polayathode, Kollam - Kerala PCB"/>
    <x v="0"/>
    <n v="8.8787000000000003"/>
    <n v="76.607299999999995"/>
    <x v="0"/>
    <n v="29"/>
    <n v="37"/>
    <n v="34"/>
  </r>
  <r>
    <s v="India"/>
    <x v="12"/>
    <x v="65"/>
    <s v="Kariavattom, Thiruvananthapuram - Kerala PCB"/>
    <x v="0"/>
    <n v="8.5637000000000008"/>
    <n v="76.886499999999998"/>
    <x v="5"/>
    <n v="40"/>
    <n v="45"/>
    <n v="42"/>
  </r>
  <r>
    <s v="India"/>
    <x v="12"/>
    <x v="65"/>
    <s v="Kariavattom, Thiruvananthapuram - Kerala PCB"/>
    <x v="0"/>
    <n v="8.5637000000000008"/>
    <n v="76.886499999999998"/>
    <x v="1"/>
    <n v="56"/>
    <n v="63"/>
    <n v="60"/>
  </r>
  <r>
    <s v="India"/>
    <x v="13"/>
    <x v="68"/>
    <s v="Suhagi, Jabalpur - JMC"/>
    <x v="0"/>
    <n v="23.218135"/>
    <n v="79.957769999999996"/>
    <x v="1"/>
    <n v="40"/>
    <n v="129"/>
    <n v="92"/>
  </r>
  <r>
    <s v="India"/>
    <x v="13"/>
    <x v="69"/>
    <s v="Gole Bazar, Katni - MPPCB"/>
    <x v="0"/>
    <n v="23.500160000000001"/>
    <n v="80.232839999999996"/>
    <x v="0"/>
    <n v="6"/>
    <n v="145"/>
    <n v="72"/>
  </r>
  <r>
    <s v="India"/>
    <x v="13"/>
    <x v="72"/>
    <s v="Sector-2 Industrial Area, Pithampur - MPPCB"/>
    <x v="0"/>
    <n v="22.624758"/>
    <n v="75.675237999999993"/>
    <x v="1"/>
    <n v="53"/>
    <n v="254"/>
    <n v="111"/>
  </r>
  <r>
    <s v="India"/>
    <x v="13"/>
    <x v="72"/>
    <s v="Sector-2 Industrial Area, Pithampur - MPPCB"/>
    <x v="0"/>
    <n v="22.624758"/>
    <n v="75.675237999999993"/>
    <x v="4"/>
    <n v="10"/>
    <n v="49"/>
    <n v="21"/>
  </r>
  <r>
    <s v="India"/>
    <x v="13"/>
    <x v="221"/>
    <s v="Shasthri Nagar, Ratlam - IPCA Lab"/>
    <x v="0"/>
    <n v="23.331731000000001"/>
    <n v="75.045980999999998"/>
    <x v="2"/>
    <n v="40"/>
    <n v="42"/>
    <n v="41"/>
  </r>
  <r>
    <s v="India"/>
    <x v="13"/>
    <x v="221"/>
    <s v="Shasthri Nagar, Ratlam - IPCA Lab"/>
    <x v="0"/>
    <n v="23.331731000000001"/>
    <n v="75.045980999999998"/>
    <x v="4"/>
    <n v="40"/>
    <n v="46"/>
    <n v="42"/>
  </r>
  <r>
    <s v="India"/>
    <x v="13"/>
    <x v="76"/>
    <s v="Civil Lines, Sagar - MPPCB"/>
    <x v="0"/>
    <n v="23.838585999999999"/>
    <n v="78.759431000000006"/>
    <x v="6"/>
    <n v="49"/>
    <n v="76"/>
    <n v="56"/>
  </r>
  <r>
    <s v="India"/>
    <x v="13"/>
    <x v="76"/>
    <s v="Civil Lines, Sagar - MPPCB"/>
    <x v="0"/>
    <n v="23.838585999999999"/>
    <n v="78.759431000000006"/>
    <x v="0"/>
    <n v="9"/>
    <n v="48"/>
    <n v="37"/>
  </r>
  <r>
    <s v="India"/>
    <x v="13"/>
    <x v="73"/>
    <s v="Chhoti Gwaltoli, Indore - MPPCB"/>
    <x v="0"/>
    <n v="22.431000000000001"/>
    <n v="75.521299999999997"/>
    <x v="1"/>
    <n v="104"/>
    <n v="236"/>
    <n v="149"/>
  </r>
  <r>
    <s v="India"/>
    <x v="13"/>
    <x v="73"/>
    <s v="Chhoti Gwaltoli, Indore - MPPCB"/>
    <x v="0"/>
    <n v="22.431000000000001"/>
    <n v="75.521299999999997"/>
    <x v="3"/>
    <n v="4"/>
    <n v="23"/>
    <n v="16"/>
  </r>
  <r>
    <s v="India"/>
    <x v="13"/>
    <x v="73"/>
    <s v="Chhoti Gwaltoli, Indore - MPPCB"/>
    <x v="0"/>
    <n v="22.431000000000001"/>
    <n v="75.521299999999997"/>
    <x v="4"/>
    <n v="7"/>
    <n v="21"/>
    <n v="12"/>
  </r>
  <r>
    <s v="India"/>
    <x v="13"/>
    <x v="73"/>
    <s v="Regional Park, Indore - IMC"/>
    <x v="0"/>
    <n v="22.678000000000001"/>
    <n v="75.855900000000005"/>
    <x v="1"/>
    <n v="35"/>
    <n v="130"/>
    <n v="67"/>
  </r>
  <r>
    <s v="India"/>
    <x v="13"/>
    <x v="68"/>
    <s v="Govindh Bhavan Colony, Jabalpur - JMC"/>
    <x v="0"/>
    <n v="23.163174000000001"/>
    <n v="79.973061000000001"/>
    <x v="0"/>
    <n v="11"/>
    <n v="99"/>
    <n v="63"/>
  </r>
  <r>
    <s v="India"/>
    <x v="13"/>
    <x v="68"/>
    <s v="Gupteshwar, Jabalpur - JMC"/>
    <x v="0"/>
    <n v="23.142887999999999"/>
    <n v="79.916146999999995"/>
    <x v="3"/>
    <m/>
    <m/>
    <m/>
  </r>
  <r>
    <s v="India"/>
    <x v="13"/>
    <x v="68"/>
    <s v="Marhatal, Jabalpur - MPPCB"/>
    <x v="0"/>
    <n v="23.168606"/>
    <n v="79.932247000000004"/>
    <x v="3"/>
    <n v="2"/>
    <n v="3"/>
    <n v="3"/>
  </r>
  <r>
    <s v="India"/>
    <x v="13"/>
    <x v="78"/>
    <s v="Suryakiran Bhawan NCL, Singrauli - MPPCB"/>
    <x v="0"/>
    <n v="24.108969999999999"/>
    <n v="82.645579999999995"/>
    <x v="6"/>
    <n v="39"/>
    <n v="108"/>
    <n v="48"/>
  </r>
  <r>
    <s v="India"/>
    <x v="14"/>
    <x v="225"/>
    <s v="Sawe Wadi, Latur - MPCB"/>
    <x v="0"/>
    <n v="18.399629999999998"/>
    <n v="76.574520000000007"/>
    <x v="4"/>
    <n v="4"/>
    <n v="18"/>
    <n v="9"/>
  </r>
  <r>
    <s v="India"/>
    <x v="14"/>
    <x v="225"/>
    <s v="Sawe Wadi, Latur - MPCB"/>
    <x v="0"/>
    <n v="18.399629999999998"/>
    <n v="76.574520000000007"/>
    <x v="0"/>
    <n v="1"/>
    <n v="126"/>
    <n v="72"/>
  </r>
  <r>
    <s v="India"/>
    <x v="14"/>
    <x v="81"/>
    <s v="Kamble Tarf Birwadi, Mahad - MPCB"/>
    <x v="0"/>
    <n v="18.1023399"/>
    <n v="73.478368700000004"/>
    <x v="3"/>
    <n v="7"/>
    <n v="8"/>
    <n v="7"/>
  </r>
  <r>
    <s v="India"/>
    <x v="14"/>
    <x v="82"/>
    <s v="Mahesh Nagar, Malegaon - MPCB"/>
    <x v="0"/>
    <n v="20.555712"/>
    <n v="74.529235999999997"/>
    <x v="2"/>
    <n v="9"/>
    <n v="54"/>
    <n v="25"/>
  </r>
  <r>
    <s v="India"/>
    <x v="14"/>
    <x v="83"/>
    <s v="Bhayandar West, Mira-Bhayandar - MPCB"/>
    <x v="0"/>
    <n v="19.296481"/>
    <n v="72.840923000000004"/>
    <x v="5"/>
    <n v="33"/>
    <n v="58"/>
    <n v="43"/>
  </r>
  <r>
    <s v="India"/>
    <x v="14"/>
    <x v="85"/>
    <s v="Chauhan Colony, Chandrapur - MPCB"/>
    <x v="0"/>
    <n v="19.962900000000001"/>
    <n v="79.298714000000004"/>
    <x v="4"/>
    <n v="19"/>
    <n v="48"/>
    <n v="23"/>
  </r>
  <r>
    <s v="India"/>
    <x v="14"/>
    <x v="85"/>
    <s v="MIDC Khutala, Chandrapur - MPCB"/>
    <x v="0"/>
    <n v="19.9775302"/>
    <n v="79.2337086"/>
    <x v="5"/>
    <n v="36"/>
    <n v="95"/>
    <n v="70"/>
  </r>
  <r>
    <s v="India"/>
    <x v="14"/>
    <x v="85"/>
    <s v="MIDC Khutala, Chandrapur - MPCB"/>
    <x v="0"/>
    <n v="19.9775302"/>
    <n v="79.2337086"/>
    <x v="1"/>
    <n v="99"/>
    <n v="194"/>
    <n v="144"/>
  </r>
  <r>
    <s v="India"/>
    <x v="14"/>
    <x v="85"/>
    <s v="MIDC Khutala, Chandrapur - MPCB"/>
    <x v="0"/>
    <n v="19.9775302"/>
    <n v="79.2337086"/>
    <x v="6"/>
    <n v="4"/>
    <n v="16"/>
    <n v="9"/>
  </r>
  <r>
    <s v="India"/>
    <x v="14"/>
    <x v="86"/>
    <s v="Deopur, Dhule - MPCB"/>
    <x v="0"/>
    <n v="20.918945999999998"/>
    <n v="74.776387999999997"/>
    <x v="5"/>
    <n v="38"/>
    <n v="54"/>
    <n v="48"/>
  </r>
  <r>
    <s v="India"/>
    <x v="14"/>
    <x v="86"/>
    <s v="Deopur, Dhule - MPCB"/>
    <x v="0"/>
    <n v="20.918945999999998"/>
    <n v="74.776387999999997"/>
    <x v="2"/>
    <n v="8"/>
    <n v="45"/>
    <n v="18"/>
  </r>
  <r>
    <s v="India"/>
    <x v="14"/>
    <x v="224"/>
    <s v="Prabhat Colony, Jalgaon - MPCB"/>
    <x v="0"/>
    <n v="21.001263999999999"/>
    <n v="75.565601999999998"/>
    <x v="3"/>
    <m/>
    <m/>
    <m/>
  </r>
  <r>
    <s v="India"/>
    <x v="14"/>
    <x v="90"/>
    <s v="Old MIDC, Jalna - MPCB"/>
    <x v="0"/>
    <n v="19.854616"/>
    <n v="75.905894000000004"/>
    <x v="4"/>
    <n v="3"/>
    <n v="4"/>
    <n v="3"/>
  </r>
  <r>
    <s v="India"/>
    <x v="14"/>
    <x v="91"/>
    <s v="Khadakpada, Kalyan - MPCB"/>
    <x v="0"/>
    <n v="19.25292"/>
    <n v="73.142019000000005"/>
    <x v="5"/>
    <n v="50"/>
    <n v="97"/>
    <n v="72"/>
  </r>
  <r>
    <s v="India"/>
    <x v="14"/>
    <x v="91"/>
    <s v="Pimpleshwar Mandir, Kalyan - MPCB"/>
    <x v="0"/>
    <n v="19.192056000000001"/>
    <n v="72.958518799999993"/>
    <x v="4"/>
    <n v="3"/>
    <n v="16"/>
    <n v="8"/>
  </r>
  <r>
    <s v="India"/>
    <x v="14"/>
    <x v="94"/>
    <s v="Chakala-Andheri East, Mumbai - IITM"/>
    <x v="0"/>
    <n v="19.11074"/>
    <n v="72.860839999999996"/>
    <x v="1"/>
    <n v="62"/>
    <n v="193"/>
    <n v="118"/>
  </r>
  <r>
    <s v="India"/>
    <x v="14"/>
    <x v="94"/>
    <s v="Chembur, Mumbai - MPCB"/>
    <x v="0"/>
    <n v="19.036458499999998"/>
    <n v="72.895437099999995"/>
    <x v="6"/>
    <n v="23"/>
    <n v="74"/>
    <n v="28"/>
  </r>
  <r>
    <s v="India"/>
    <x v="14"/>
    <x v="94"/>
    <s v="Chhatrapati Shivaji Intl. Airport (T2), Mumbai - MPCB"/>
    <x v="0"/>
    <n v="19.10078"/>
    <n v="72.874619999999993"/>
    <x v="5"/>
    <n v="40"/>
    <n v="60"/>
    <n v="48"/>
  </r>
  <r>
    <s v="India"/>
    <x v="14"/>
    <x v="226"/>
    <s v="Katrap, Badlapur - MPCB"/>
    <x v="0"/>
    <n v="19.164850000000001"/>
    <n v="73.234089999999995"/>
    <x v="5"/>
    <n v="61"/>
    <n v="143"/>
    <n v="91"/>
  </r>
  <r>
    <s v="India"/>
    <x v="14"/>
    <x v="226"/>
    <s v="Katrap, Badlapur - MPCB"/>
    <x v="0"/>
    <n v="19.164850000000001"/>
    <n v="73.234089999999995"/>
    <x v="3"/>
    <n v="2"/>
    <n v="6"/>
    <n v="4"/>
  </r>
  <r>
    <s v="India"/>
    <x v="14"/>
    <x v="92"/>
    <s v="CBD Belapur, Belapur - MPCB"/>
    <x v="0"/>
    <n v="19.024390199999999"/>
    <n v="73.040672099999995"/>
    <x v="3"/>
    <n v="5"/>
    <n v="17"/>
    <n v="10"/>
  </r>
  <r>
    <s v="India"/>
    <x v="14"/>
    <x v="94"/>
    <s v="Borivali East, Mumbai - MPCB"/>
    <x v="0"/>
    <n v="19.224333300000001"/>
    <n v="72.865811300000004"/>
    <x v="1"/>
    <n v="45"/>
    <n v="119"/>
    <n v="67"/>
  </r>
  <r>
    <s v="India"/>
    <x v="14"/>
    <x v="94"/>
    <s v="Borivali East, Mumbai - MPCB"/>
    <x v="0"/>
    <n v="19.224333300000001"/>
    <n v="72.865811300000004"/>
    <x v="4"/>
    <n v="6"/>
    <n v="31"/>
    <n v="17"/>
  </r>
  <r>
    <s v="India"/>
    <x v="14"/>
    <x v="94"/>
    <s v="Byculla, Mumbai - BMC"/>
    <x v="0"/>
    <n v="18.976700000000001"/>
    <n v="72.837999999999994"/>
    <x v="5"/>
    <n v="29"/>
    <n v="58"/>
    <n v="40"/>
  </r>
  <r>
    <s v="India"/>
    <x v="14"/>
    <x v="6"/>
    <s v="MIDC Chilkalthana, Aurangabad - MPCB"/>
    <x v="0"/>
    <n v="19.875620000000001"/>
    <n v="75.387309999999999"/>
    <x v="2"/>
    <n v="7"/>
    <n v="105"/>
    <n v="31"/>
  </r>
  <r>
    <s v="India"/>
    <x v="14"/>
    <x v="6"/>
    <s v="MIDC Chilkalthana, Aurangabad - MPCB"/>
    <x v="0"/>
    <n v="19.875620000000001"/>
    <n v="75.387309999999999"/>
    <x v="0"/>
    <n v="7"/>
    <n v="88"/>
    <n v="63"/>
  </r>
  <r>
    <s v="India"/>
    <x v="14"/>
    <x v="80"/>
    <s v="Sinchan Bhavan, Kolhapur - MPCB"/>
    <x v="0"/>
    <n v="16.714374500000002"/>
    <n v="74.242639800000006"/>
    <x v="5"/>
    <n v="34"/>
    <n v="69"/>
    <n v="45"/>
  </r>
  <r>
    <s v="India"/>
    <x v="14"/>
    <x v="80"/>
    <s v="Sinchan Bhavan, Kolhapur - MPCB"/>
    <x v="0"/>
    <n v="16.714374500000002"/>
    <n v="74.242639800000006"/>
    <x v="3"/>
    <m/>
    <m/>
    <m/>
  </r>
  <r>
    <s v="India"/>
    <x v="14"/>
    <x v="93"/>
    <s v="Gokul Nagar, Bhiwandi - MPCB"/>
    <x v="0"/>
    <n v="19.309073000000001"/>
    <n v="73.057222999999993"/>
    <x v="1"/>
    <n v="62"/>
    <n v="159"/>
    <n v="110"/>
  </r>
  <r>
    <s v="India"/>
    <x v="14"/>
    <x v="97"/>
    <s v="Opp GPO Civil Lines, Nagpur - MPCB"/>
    <x v="0"/>
    <n v="21.152875000000002"/>
    <n v="79.051753099999999"/>
    <x v="2"/>
    <n v="5"/>
    <n v="68"/>
    <n v="31"/>
  </r>
  <r>
    <s v="India"/>
    <x v="14"/>
    <x v="97"/>
    <s v="Opp GPO Civil Lines, Nagpur - MPCB"/>
    <x v="0"/>
    <n v="21.152875000000002"/>
    <n v="79.051753099999999"/>
    <x v="3"/>
    <n v="2"/>
    <n v="9"/>
    <n v="4"/>
  </r>
  <r>
    <s v="India"/>
    <x v="14"/>
    <x v="97"/>
    <s v="Opp GPO Civil Lines, Nagpur - MPCB"/>
    <x v="0"/>
    <n v="21.152875000000002"/>
    <n v="79.051753099999999"/>
    <x v="4"/>
    <n v="5"/>
    <n v="60"/>
    <n v="22"/>
  </r>
  <r>
    <s v="India"/>
    <x v="14"/>
    <x v="97"/>
    <s v="Ram Nagar, Nagpur - MPCB"/>
    <x v="0"/>
    <n v="21.143383"/>
    <n v="79.048912000000001"/>
    <x v="3"/>
    <n v="3"/>
    <n v="11"/>
    <n v="6"/>
  </r>
  <r>
    <s v="India"/>
    <x v="14"/>
    <x v="97"/>
    <s v="Ram Nagar, Nagpur - MPCB"/>
    <x v="0"/>
    <n v="21.143383"/>
    <n v="79.048912000000001"/>
    <x v="4"/>
    <n v="1"/>
    <n v="43"/>
    <n v="17"/>
  </r>
  <r>
    <s v="India"/>
    <x v="14"/>
    <x v="98"/>
    <s v="Sneh Nagar, Nanded - MPCB"/>
    <x v="0"/>
    <n v="19.173852"/>
    <n v="77.296290999999997"/>
    <x v="6"/>
    <n v="6"/>
    <n v="67"/>
    <n v="19"/>
  </r>
  <r>
    <s v="India"/>
    <x v="14"/>
    <x v="99"/>
    <s v="Gangapur Road, Nashik - MPCB"/>
    <x v="0"/>
    <n v="20.0073285"/>
    <n v="73.776242699999997"/>
    <x v="5"/>
    <n v="119"/>
    <n v="219"/>
    <n v="165"/>
  </r>
  <r>
    <s v="India"/>
    <x v="14"/>
    <x v="99"/>
    <s v="Gangapur Road, Nashik - MPCB"/>
    <x v="0"/>
    <n v="20.0073285"/>
    <n v="73.776242699999997"/>
    <x v="6"/>
    <n v="28"/>
    <n v="36"/>
    <n v="31"/>
  </r>
  <r>
    <s v="India"/>
    <x v="14"/>
    <x v="94"/>
    <s v="Ghatkopar, Mumbai - BMC"/>
    <x v="0"/>
    <n v="19.083694000000001"/>
    <n v="72.920967000000005"/>
    <x v="5"/>
    <n v="28"/>
    <n v="100"/>
    <n v="59"/>
  </r>
  <r>
    <s v="India"/>
    <x v="14"/>
    <x v="94"/>
    <s v="Ghatkopar, Mumbai - BMC"/>
    <x v="0"/>
    <n v="19.083694000000001"/>
    <n v="72.920967000000005"/>
    <x v="3"/>
    <n v="2"/>
    <n v="30"/>
    <n v="10"/>
  </r>
  <r>
    <s v="India"/>
    <x v="14"/>
    <x v="94"/>
    <s v="Ghatkopar, Mumbai - BMC"/>
    <x v="0"/>
    <n v="19.083694000000001"/>
    <n v="72.920967000000005"/>
    <x v="4"/>
    <n v="1"/>
    <n v="10"/>
    <n v="3"/>
  </r>
  <r>
    <s v="India"/>
    <x v="14"/>
    <x v="94"/>
    <s v="Ghatkopar, Mumbai - BMC"/>
    <x v="0"/>
    <n v="19.083694000000001"/>
    <n v="72.920967000000005"/>
    <x v="0"/>
    <n v="2"/>
    <n v="46"/>
    <n v="26"/>
  </r>
  <r>
    <s v="India"/>
    <x v="14"/>
    <x v="94"/>
    <s v="Kandivali East, Mumbai - MPCB"/>
    <x v="0"/>
    <n v="19.2058"/>
    <n v="72.868200000000002"/>
    <x v="5"/>
    <n v="78"/>
    <n v="90"/>
    <n v="82"/>
  </r>
  <r>
    <s v="India"/>
    <x v="14"/>
    <x v="94"/>
    <s v="Kandivali East, Mumbai - MPCB"/>
    <x v="0"/>
    <n v="19.2058"/>
    <n v="72.868200000000002"/>
    <x v="2"/>
    <n v="1"/>
    <n v="1"/>
    <n v="1"/>
  </r>
  <r>
    <s v="India"/>
    <x v="14"/>
    <x v="94"/>
    <s v="Kandivali East, Mumbai - MPCB"/>
    <x v="0"/>
    <n v="19.2058"/>
    <n v="72.868200000000002"/>
    <x v="4"/>
    <m/>
    <m/>
    <m/>
  </r>
  <r>
    <s v="India"/>
    <x v="14"/>
    <x v="94"/>
    <s v="Kherwadi_Bandra East, Mumbai - MPCB"/>
    <x v="0"/>
    <n v="19.063214299999999"/>
    <n v="72.8456324"/>
    <x v="1"/>
    <n v="19"/>
    <n v="121"/>
    <n v="58"/>
  </r>
  <r>
    <s v="India"/>
    <x v="14"/>
    <x v="94"/>
    <s v="Kherwadi_Bandra East, Mumbai - MPCB"/>
    <x v="0"/>
    <n v="19.063214299999999"/>
    <n v="72.8456324"/>
    <x v="2"/>
    <n v="9"/>
    <n v="97"/>
    <n v="39"/>
  </r>
  <r>
    <s v="India"/>
    <x v="14"/>
    <x v="94"/>
    <s v="Kherwadi_Bandra East, Mumbai - MPCB"/>
    <x v="0"/>
    <n v="19.063214299999999"/>
    <n v="72.8456324"/>
    <x v="0"/>
    <n v="2"/>
    <n v="49"/>
    <n v="40"/>
  </r>
  <r>
    <s v="India"/>
    <x v="14"/>
    <x v="94"/>
    <s v="Khindipada-Bhandup West, Mumbai - IITM"/>
    <x v="0"/>
    <n v="19.165332299999999"/>
    <n v="72.922099000000003"/>
    <x v="2"/>
    <n v="16"/>
    <n v="71"/>
    <n v="33"/>
  </r>
  <r>
    <s v="India"/>
    <x v="14"/>
    <x v="94"/>
    <s v="Khindipada-Bhandup West, Mumbai - IITM"/>
    <x v="0"/>
    <n v="19.165332299999999"/>
    <n v="72.922099000000003"/>
    <x v="0"/>
    <n v="4"/>
    <n v="99"/>
    <n v="60"/>
  </r>
  <r>
    <s v="India"/>
    <x v="14"/>
    <x v="94"/>
    <s v="Kurla, Mumbai - MPCB"/>
    <x v="0"/>
    <n v="19.086300000000001"/>
    <n v="72.888800000000003"/>
    <x v="3"/>
    <m/>
    <m/>
    <m/>
  </r>
  <r>
    <s v="India"/>
    <x v="14"/>
    <x v="94"/>
    <s v="Kurla, Mumbai - MPCB"/>
    <x v="0"/>
    <n v="19.086300000000001"/>
    <n v="72.888800000000003"/>
    <x v="0"/>
    <n v="28"/>
    <n v="29"/>
    <n v="28"/>
  </r>
  <r>
    <s v="India"/>
    <x v="14"/>
    <x v="99"/>
    <s v="MIDC Ambad, Nashik - MPCB"/>
    <x v="0"/>
    <n v="19.950220000000002"/>
    <n v="73.731480000000005"/>
    <x v="6"/>
    <n v="5"/>
    <n v="52"/>
    <n v="19"/>
  </r>
  <r>
    <s v="India"/>
    <x v="14"/>
    <x v="99"/>
    <s v="MIDC Ambad, Nashik - MPCB"/>
    <x v="0"/>
    <n v="19.950220000000002"/>
    <n v="73.731480000000005"/>
    <x v="0"/>
    <n v="20"/>
    <n v="100"/>
    <n v="78"/>
  </r>
  <r>
    <s v="India"/>
    <x v="14"/>
    <x v="99"/>
    <s v="Pandav Nagari, Nashik - MPCB"/>
    <x v="0"/>
    <n v="19.959134599999999"/>
    <n v="73.778800799999999"/>
    <x v="3"/>
    <n v="3"/>
    <n v="4"/>
    <n v="4"/>
  </r>
  <r>
    <s v="India"/>
    <x v="14"/>
    <x v="96"/>
    <s v="Kopripada-Vashi, Navi Mumbai - MPCB"/>
    <x v="0"/>
    <n v="19.090337000000002"/>
    <n v="73.014232000000007"/>
    <x v="5"/>
    <n v="38"/>
    <n v="335"/>
    <n v="141"/>
  </r>
  <r>
    <s v="India"/>
    <x v="14"/>
    <x v="94"/>
    <s v="Vasai West, Mumbai - MPCB"/>
    <x v="0"/>
    <n v="19.383199999999999"/>
    <n v="72.820400000000006"/>
    <x v="2"/>
    <n v="47"/>
    <n v="80"/>
    <n v="58"/>
  </r>
  <r>
    <s v="India"/>
    <x v="14"/>
    <x v="94"/>
    <s v="Vasai West, Mumbai - MPCB"/>
    <x v="0"/>
    <n v="19.383199999999999"/>
    <n v="72.820400000000006"/>
    <x v="4"/>
    <n v="32"/>
    <n v="33"/>
    <n v="32"/>
  </r>
  <r>
    <s v="India"/>
    <x v="14"/>
    <x v="97"/>
    <s v="Ambazari, Nagpur - MPCB"/>
    <x v="0"/>
    <n v="21.121801000000001"/>
    <n v="79.049520000000001"/>
    <x v="5"/>
    <n v="44"/>
    <n v="268"/>
    <n v="137"/>
  </r>
  <r>
    <s v="India"/>
    <x v="14"/>
    <x v="97"/>
    <s v="Ambazari, Nagpur - MPCB"/>
    <x v="0"/>
    <n v="21.121801000000001"/>
    <n v="79.049520000000001"/>
    <x v="3"/>
    <n v="2"/>
    <n v="20"/>
    <n v="7"/>
  </r>
  <r>
    <s v="India"/>
    <x v="14"/>
    <x v="97"/>
    <s v="Ambazari, Nagpur - MPCB"/>
    <x v="0"/>
    <n v="21.121801000000001"/>
    <n v="79.049520000000001"/>
    <x v="6"/>
    <n v="2"/>
    <n v="104"/>
    <n v="37"/>
  </r>
  <r>
    <s v="India"/>
    <x v="14"/>
    <x v="94"/>
    <s v="Mazgaon, Mumbai - IITM"/>
    <x v="0"/>
    <n v="18.967020000000002"/>
    <n v="72.842140000000001"/>
    <x v="4"/>
    <n v="1"/>
    <n v="30"/>
    <n v="6"/>
  </r>
  <r>
    <s v="India"/>
    <x v="14"/>
    <x v="94"/>
    <s v="Navy Nagar-Colaba, Mumbai - IITM"/>
    <x v="0"/>
    <n v="18.897756000000001"/>
    <n v="72.813320000000004"/>
    <x v="2"/>
    <n v="11"/>
    <n v="65"/>
    <n v="27"/>
  </r>
  <r>
    <s v="India"/>
    <x v="14"/>
    <x v="94"/>
    <s v="Navy Nagar-Colaba, Mumbai - IITM"/>
    <x v="0"/>
    <n v="18.897756000000001"/>
    <n v="72.813320000000004"/>
    <x v="3"/>
    <n v="4"/>
    <n v="4"/>
    <n v="4"/>
  </r>
  <r>
    <s v="India"/>
    <x v="14"/>
    <x v="94"/>
    <s v="Powai, Mumbai - MPCB"/>
    <x v="0"/>
    <n v="19.137499999999999"/>
    <n v="72.915056000000007"/>
    <x v="1"/>
    <n v="63"/>
    <n v="122"/>
    <n v="82"/>
  </r>
  <r>
    <s v="India"/>
    <x v="14"/>
    <x v="94"/>
    <s v="Shivaji Nagar, Mumbai - BMC"/>
    <x v="0"/>
    <n v="19.060497999999999"/>
    <n v="72.923355999999998"/>
    <x v="1"/>
    <n v="55"/>
    <n v="142"/>
    <n v="101"/>
  </r>
  <r>
    <s v="India"/>
    <x v="14"/>
    <x v="94"/>
    <s v="Siddharth Nagar-Worli, Mumbai - IITM"/>
    <x v="0"/>
    <n v="19.000083"/>
    <n v="72.813992999999996"/>
    <x v="2"/>
    <n v="17"/>
    <n v="77"/>
    <n v="32"/>
  </r>
  <r>
    <s v="India"/>
    <x v="14"/>
    <x v="94"/>
    <s v="Siddharth Nagar-Worli, Mumbai - IITM"/>
    <x v="0"/>
    <n v="19.000083"/>
    <n v="72.813992999999996"/>
    <x v="6"/>
    <n v="49"/>
    <n v="83"/>
    <n v="61"/>
  </r>
  <r>
    <s v="India"/>
    <x v="14"/>
    <x v="94"/>
    <s v="Colaba, Mumbai - MPCB"/>
    <x v="0"/>
    <n v="18.91"/>
    <n v="72.819999999999993"/>
    <x v="5"/>
    <n v="10"/>
    <n v="22"/>
    <n v="15"/>
  </r>
  <r>
    <s v="India"/>
    <x v="14"/>
    <x v="94"/>
    <s v="Colaba, Mumbai - MPCB"/>
    <x v="0"/>
    <n v="18.91"/>
    <n v="72.819999999999993"/>
    <x v="2"/>
    <n v="26"/>
    <n v="30"/>
    <n v="27"/>
  </r>
  <r>
    <s v="India"/>
    <x v="14"/>
    <x v="94"/>
    <s v="Colaba, Mumbai - MPCB"/>
    <x v="0"/>
    <n v="18.91"/>
    <n v="72.819999999999993"/>
    <x v="0"/>
    <n v="10"/>
    <n v="11"/>
    <n v="11"/>
  </r>
  <r>
    <s v="India"/>
    <x v="14"/>
    <x v="99"/>
    <s v="Hirawadi, Nashik - MPCB"/>
    <x v="0"/>
    <n v="20.021502999999999"/>
    <n v="73.813844000000003"/>
    <x v="2"/>
    <n v="2"/>
    <n v="32"/>
    <n v="12"/>
  </r>
  <r>
    <s v="India"/>
    <x v="14"/>
    <x v="99"/>
    <s v="Hirawadi, Nashik - MPCB"/>
    <x v="0"/>
    <n v="20.021502999999999"/>
    <n v="73.813844000000003"/>
    <x v="0"/>
    <n v="1"/>
    <n v="68"/>
    <n v="60"/>
  </r>
  <r>
    <s v="India"/>
    <x v="29"/>
    <x v="233"/>
    <s v="JN Stadium, Shillong - Meghalaya PCB"/>
    <x v="0"/>
    <n v="25.580341900000001"/>
    <n v="91.894257100000004"/>
    <x v="0"/>
    <n v="1"/>
    <n v="9"/>
    <n v="7"/>
  </r>
  <r>
    <s v="India"/>
    <x v="29"/>
    <x v="233"/>
    <s v="Lumpyngngad, Shillong - Meghalaya PCB"/>
    <x v="0"/>
    <n v="25.558599999999998"/>
    <n v="91.898499999999999"/>
    <x v="6"/>
    <n v="10"/>
    <n v="24"/>
    <n v="19"/>
  </r>
  <r>
    <s v="India"/>
    <x v="29"/>
    <x v="233"/>
    <s v="Lumpyngngad, Shillong - Meghalaya PCB"/>
    <x v="0"/>
    <n v="25.558599999999998"/>
    <n v="91.898499999999999"/>
    <x v="0"/>
    <n v="89"/>
    <n v="190"/>
    <n v="107"/>
  </r>
  <r>
    <s v="India"/>
    <x v="17"/>
    <x v="118"/>
    <s v="Sikulpuikawn, Aizawl - Mizoram PCB"/>
    <x v="0"/>
    <n v="23.717634199999999"/>
    <n v="92.719284099999996"/>
    <x v="4"/>
    <n v="2"/>
    <n v="2"/>
    <n v="2"/>
  </r>
  <r>
    <s v="India"/>
    <x v="17"/>
    <x v="118"/>
    <s v="Sikulpuikawn, Aizawl - Mizoram PCB"/>
    <x v="0"/>
    <n v="23.717634199999999"/>
    <n v="92.719284099999996"/>
    <x v="0"/>
    <n v="1"/>
    <n v="7"/>
    <n v="3"/>
  </r>
  <r>
    <s v="India"/>
    <x v="15"/>
    <x v="232"/>
    <s v="Hakimapada, Angul - OSPCB"/>
    <x v="0"/>
    <n v="20.832874"/>
    <n v="85.104082000000005"/>
    <x v="3"/>
    <n v="3"/>
    <n v="5"/>
    <n v="4"/>
  </r>
  <r>
    <s v="India"/>
    <x v="15"/>
    <x v="232"/>
    <s v="Hakimapada, Angul - OSPCB"/>
    <x v="0"/>
    <n v="20.832874"/>
    <n v="85.104082000000005"/>
    <x v="4"/>
    <n v="15"/>
    <n v="123"/>
    <n v="43"/>
  </r>
  <r>
    <s v="India"/>
    <x v="14"/>
    <x v="250"/>
    <s v="Vijay Nagar, Sangli - MPCB"/>
    <x v="0"/>
    <n v="16.503799999999998"/>
    <n v="74.362300000000005"/>
    <x v="1"/>
    <n v="58"/>
    <n v="152"/>
    <n v="88"/>
  </r>
  <r>
    <s v="India"/>
    <x v="14"/>
    <x v="250"/>
    <s v="Vijay Nagar, Sangli - MPCB"/>
    <x v="0"/>
    <n v="16.503799999999998"/>
    <n v="74.362300000000005"/>
    <x v="2"/>
    <n v="12"/>
    <n v="142"/>
    <n v="40"/>
  </r>
  <r>
    <s v="India"/>
    <x v="14"/>
    <x v="250"/>
    <s v="Vijay Nagar, Sangli - MPCB"/>
    <x v="0"/>
    <n v="16.503799999999998"/>
    <n v="74.362300000000005"/>
    <x v="3"/>
    <n v="2"/>
    <n v="7"/>
    <n v="3"/>
  </r>
  <r>
    <s v="India"/>
    <x v="14"/>
    <x v="116"/>
    <s v="Dnyaneshwar Nagar, Solapur - MPCB"/>
    <x v="0"/>
    <n v="17.633626400000001"/>
    <n v="75.913249500000006"/>
    <x v="4"/>
    <n v="3"/>
    <n v="8"/>
    <n v="5"/>
  </r>
  <r>
    <s v="India"/>
    <x v="14"/>
    <x v="116"/>
    <s v="Ratandeep Housing Society, Solapur - MPCB"/>
    <x v="0"/>
    <n v="17.654389999999999"/>
    <n v="75.906490000000005"/>
    <x v="5"/>
    <n v="40"/>
    <n v="133"/>
    <n v="69"/>
  </r>
  <r>
    <s v="India"/>
    <x v="14"/>
    <x v="116"/>
    <s v="Ratandeep Housing Society, Solapur - MPCB"/>
    <x v="0"/>
    <n v="17.654389999999999"/>
    <n v="75.906490000000005"/>
    <x v="2"/>
    <n v="12"/>
    <n v="97"/>
    <n v="38"/>
  </r>
  <r>
    <s v="India"/>
    <x v="14"/>
    <x v="116"/>
    <s v="Ratandeep Housing Society, Solapur - MPCB"/>
    <x v="0"/>
    <n v="17.654389999999999"/>
    <n v="75.906490000000005"/>
    <x v="4"/>
    <n v="1"/>
    <n v="19"/>
    <n v="6"/>
  </r>
  <r>
    <s v="India"/>
    <x v="14"/>
    <x v="114"/>
    <s v="Sidhi Vinayak Nagar, Ulhasnagar - MPCB"/>
    <x v="0"/>
    <n v="19.235581"/>
    <n v="73.159120999999999"/>
    <x v="1"/>
    <n v="74"/>
    <n v="205"/>
    <n v="127"/>
  </r>
  <r>
    <s v="India"/>
    <x v="14"/>
    <x v="227"/>
    <s v="Bolinj, Virar - MPCB"/>
    <x v="0"/>
    <n v="19.445820999999999"/>
    <n v="72.798823100000007"/>
    <x v="2"/>
    <n v="9"/>
    <n v="73"/>
    <n v="31"/>
  </r>
  <r>
    <s v="India"/>
    <x v="14"/>
    <x v="227"/>
    <s v="Bolinj, Virar - MPCB"/>
    <x v="0"/>
    <n v="19.445820999999999"/>
    <n v="72.798823100000007"/>
    <x v="3"/>
    <n v="1"/>
    <n v="3"/>
    <n v="3"/>
  </r>
  <r>
    <s v="India"/>
    <x v="14"/>
    <x v="227"/>
    <s v="Bolinj, Virar - MPCB"/>
    <x v="0"/>
    <n v="19.445820999999999"/>
    <n v="72.798823100000007"/>
    <x v="6"/>
    <n v="12"/>
    <n v="120"/>
    <n v="36"/>
  </r>
  <r>
    <s v="India"/>
    <x v="16"/>
    <x v="115"/>
    <s v="DM College of Science, Imphal - Manipur PCB"/>
    <x v="0"/>
    <n v="24.820738899999998"/>
    <n v="93.942308499999996"/>
    <x v="5"/>
    <m/>
    <m/>
    <m/>
  </r>
  <r>
    <s v="India"/>
    <x v="16"/>
    <x v="115"/>
    <s v="DM College of Science, Imphal - Manipur PCB"/>
    <x v="0"/>
    <n v="24.820738899999998"/>
    <n v="93.942308499999996"/>
    <x v="4"/>
    <m/>
    <m/>
    <m/>
  </r>
  <r>
    <s v="India"/>
    <x v="14"/>
    <x v="96"/>
    <s v="Mahape, Navi Mumbai - MPCB"/>
    <x v="0"/>
    <n v="19.113505100000001"/>
    <n v="73.008977999999999"/>
    <x v="5"/>
    <m/>
    <m/>
    <m/>
  </r>
  <r>
    <s v="India"/>
    <x v="14"/>
    <x v="96"/>
    <s v="Mahape, Navi Mumbai - MPCB"/>
    <x v="0"/>
    <n v="19.113505100000001"/>
    <n v="73.008977999999999"/>
    <x v="6"/>
    <n v="36"/>
    <n v="57"/>
    <n v="38"/>
  </r>
  <r>
    <s v="India"/>
    <x v="14"/>
    <x v="96"/>
    <s v="Sector-2E Kalamboli, Navi Mumbai - MPCB"/>
    <x v="0"/>
    <n v="19.025790000000001"/>
    <n v="73.102969999999999"/>
    <x v="2"/>
    <n v="20"/>
    <n v="78"/>
    <n v="48"/>
  </r>
  <r>
    <s v="India"/>
    <x v="14"/>
    <x v="96"/>
    <s v="Tondare-Taloja, Navi Mumbai - MPCB"/>
    <x v="0"/>
    <n v="19.062999999999999"/>
    <n v="73.120900000000006"/>
    <x v="4"/>
    <n v="1"/>
    <n v="2"/>
    <n v="1"/>
  </r>
  <r>
    <s v="India"/>
    <x v="14"/>
    <x v="101"/>
    <s v="Masoom Colony, Parbhani - MPCB"/>
    <x v="0"/>
    <n v="19.265594"/>
    <n v="76.761463000000006"/>
    <x v="2"/>
    <n v="13"/>
    <n v="77"/>
    <n v="29"/>
  </r>
  <r>
    <s v="India"/>
    <x v="14"/>
    <x v="100"/>
    <s v="Gavalinagar, Pimpri Chinchwad - MPCB"/>
    <x v="0"/>
    <n v="18.63673"/>
    <n v="73.824870000000004"/>
    <x v="0"/>
    <n v="1"/>
    <n v="86"/>
    <n v="68"/>
  </r>
  <r>
    <s v="India"/>
    <x v="14"/>
    <x v="100"/>
    <s v="Park Street Wakad, Pimpri Chinchwad - MPCB"/>
    <x v="0"/>
    <n v="18.590509999999998"/>
    <n v="73.77946"/>
    <x v="5"/>
    <n v="14"/>
    <n v="125"/>
    <n v="78"/>
  </r>
  <r>
    <s v="India"/>
    <x v="14"/>
    <x v="100"/>
    <s v="Savta Mali Nagar, Pimpri-Chinchwad - IITM"/>
    <x v="0"/>
    <n v="18.614767000000001"/>
    <n v="73.799515999999997"/>
    <x v="0"/>
    <n v="1"/>
    <n v="86"/>
    <n v="61"/>
  </r>
  <r>
    <s v="India"/>
    <x v="14"/>
    <x v="100"/>
    <s v="Thergaon, Pimpri Chinchwad - MPCB"/>
    <x v="0"/>
    <n v="18.616318"/>
    <n v="73.765797000000006"/>
    <x v="5"/>
    <n v="43"/>
    <n v="181"/>
    <n v="89"/>
  </r>
  <r>
    <s v="India"/>
    <x v="14"/>
    <x v="117"/>
    <s v="Kasarvadavali, Thane - MPCB"/>
    <x v="0"/>
    <n v="19.267769999999999"/>
    <n v="72.971819999999994"/>
    <x v="4"/>
    <n v="2"/>
    <n v="31"/>
    <n v="8"/>
  </r>
  <r>
    <s v="India"/>
    <x v="14"/>
    <x v="117"/>
    <s v="Upvan Fort, Thane - MPCB"/>
    <x v="0"/>
    <n v="19.222279"/>
    <n v="72.957978999999995"/>
    <x v="5"/>
    <n v="22"/>
    <n v="134"/>
    <n v="58"/>
  </r>
  <r>
    <s v="India"/>
    <x v="14"/>
    <x v="117"/>
    <s v="Upvan Fort, Thane - MPCB"/>
    <x v="0"/>
    <n v="19.222279"/>
    <n v="72.957978999999995"/>
    <x v="3"/>
    <n v="4"/>
    <n v="8"/>
    <n v="6"/>
  </r>
  <r>
    <s v="India"/>
    <x v="14"/>
    <x v="117"/>
    <s v="Upvan Fort, Thane - MPCB"/>
    <x v="0"/>
    <n v="19.222279"/>
    <n v="72.957978999999995"/>
    <x v="0"/>
    <n v="2"/>
    <n v="190"/>
    <n v="75"/>
  </r>
  <r>
    <s v="India"/>
    <x v="14"/>
    <x v="95"/>
    <s v="Katraj Dairy, Pune - MPCB"/>
    <x v="0"/>
    <n v="18.454450000000001"/>
    <n v="73.854155000000006"/>
    <x v="4"/>
    <n v="2"/>
    <n v="8"/>
    <n v="7"/>
  </r>
  <r>
    <s v="India"/>
    <x v="14"/>
    <x v="95"/>
    <s v="Katraj Dairy, Pune - MPCB"/>
    <x v="0"/>
    <n v="18.454450000000001"/>
    <n v="73.854155000000006"/>
    <x v="6"/>
    <n v="18"/>
    <n v="74"/>
    <n v="48"/>
  </r>
  <r>
    <s v="India"/>
    <x v="14"/>
    <x v="95"/>
    <s v="Katraj Dairy, Pune - MPCB"/>
    <x v="0"/>
    <n v="18.454450000000001"/>
    <n v="73.854155000000006"/>
    <x v="0"/>
    <n v="44"/>
    <n v="87"/>
    <n v="70"/>
  </r>
  <r>
    <s v="India"/>
    <x v="14"/>
    <x v="95"/>
    <s v="Panchawati_Pashan, Pune - IITM"/>
    <x v="0"/>
    <n v="18.536456999999999"/>
    <n v="73.805453999999997"/>
    <x v="6"/>
    <n v="14"/>
    <n v="35"/>
    <n v="22"/>
  </r>
  <r>
    <s v="India"/>
    <x v="14"/>
    <x v="95"/>
    <s v="Karve Road, Pune - MPCB"/>
    <x v="0"/>
    <n v="18.501174299999999"/>
    <n v="73.816552700000003"/>
    <x v="6"/>
    <n v="17"/>
    <n v="17"/>
    <n v="17"/>
  </r>
  <r>
    <s v="India"/>
    <x v="14"/>
    <x v="95"/>
    <s v="Katraj Dairy, Pune - MPCB"/>
    <x v="0"/>
    <n v="18.454450000000001"/>
    <n v="73.854155000000006"/>
    <x v="1"/>
    <n v="48"/>
    <n v="170"/>
    <n v="149"/>
  </r>
  <r>
    <s v="India"/>
    <x v="14"/>
    <x v="95"/>
    <s v="Revenue Colony-Shivajinagar, Pune - IITM"/>
    <x v="0"/>
    <n v="18.530085"/>
    <n v="73.849598"/>
    <x v="4"/>
    <n v="2"/>
    <n v="28"/>
    <n v="14"/>
  </r>
  <r>
    <s v="India"/>
    <x v="15"/>
    <x v="107"/>
    <s v="Kalidaspur, Balasore - OSPCB"/>
    <x v="0"/>
    <n v="21.511610000000001"/>
    <n v="86.890879999999996"/>
    <x v="2"/>
    <n v="3"/>
    <n v="19"/>
    <n v="11"/>
  </r>
  <r>
    <s v="India"/>
    <x v="15"/>
    <x v="107"/>
    <s v="Kalidaspur, Balasore - OSPCB"/>
    <x v="0"/>
    <n v="21.511610000000001"/>
    <n v="86.890879999999996"/>
    <x v="3"/>
    <n v="3"/>
    <n v="6"/>
    <n v="4"/>
  </r>
  <r>
    <s v="India"/>
    <x v="15"/>
    <x v="108"/>
    <s v="Forest Office, Barbil - OSPCB"/>
    <x v="0"/>
    <n v="22.116605400000001"/>
    <n v="85.394554600000006"/>
    <x v="3"/>
    <n v="3"/>
    <n v="8"/>
    <n v="4"/>
  </r>
  <r>
    <s v="India"/>
    <x v="15"/>
    <x v="109"/>
    <s v="Meher Colony, Baripada - OSPCB"/>
    <x v="0"/>
    <n v="21.941841"/>
    <n v="86.728318000000002"/>
    <x v="5"/>
    <n v="41"/>
    <n v="112"/>
    <n v="81"/>
  </r>
  <r>
    <s v="India"/>
    <x v="15"/>
    <x v="109"/>
    <s v="Meher Colony, Baripada - OSPCB"/>
    <x v="0"/>
    <n v="21.941841"/>
    <n v="86.728318000000002"/>
    <x v="0"/>
    <n v="10"/>
    <n v="103"/>
    <n v="48"/>
  </r>
  <r>
    <s v="India"/>
    <x v="15"/>
    <x v="110"/>
    <s v="Lingraj Mandir, Bhubaneswar - OSPCB"/>
    <x v="0"/>
    <n v="20.240790000000001"/>
    <n v="85.836783999999994"/>
    <x v="1"/>
    <n v="27"/>
    <n v="96"/>
    <n v="63"/>
  </r>
  <r>
    <s v="India"/>
    <x v="15"/>
    <x v="110"/>
    <s v="Lingraj Mandir, Bhubaneswar - OSPCB"/>
    <x v="0"/>
    <n v="20.240790000000001"/>
    <n v="85.836783999999994"/>
    <x v="2"/>
    <n v="4"/>
    <n v="43"/>
    <n v="13"/>
  </r>
  <r>
    <s v="India"/>
    <x v="18"/>
    <x v="120"/>
    <s v="RIMT University, Mandi Gobindgarh - PPCB"/>
    <x v="0"/>
    <n v="30.649961000000001"/>
    <n v="76.331441999999996"/>
    <x v="5"/>
    <n v="52"/>
    <n v="319"/>
    <n v="140"/>
  </r>
  <r>
    <s v="India"/>
    <x v="18"/>
    <x v="120"/>
    <s v="RIMT University, Mandi Gobindgarh - PPCB"/>
    <x v="0"/>
    <n v="30.649961000000001"/>
    <n v="76.331441999999996"/>
    <x v="2"/>
    <n v="21"/>
    <n v="32"/>
    <n v="26"/>
  </r>
  <r>
    <s v="India"/>
    <x v="18"/>
    <x v="120"/>
    <s v="RIMT University, Mandi Gobindgarh - PPCB"/>
    <x v="0"/>
    <n v="30.649961000000001"/>
    <n v="76.331441999999996"/>
    <x v="6"/>
    <n v="70"/>
    <n v="101"/>
    <n v="82"/>
  </r>
  <r>
    <s v="India"/>
    <x v="18"/>
    <x v="121"/>
    <s v="Model Town, Patiala - PPCB"/>
    <x v="0"/>
    <n v="30.349388000000001"/>
    <n v="76.366641999999999"/>
    <x v="1"/>
    <n v="46"/>
    <n v="118"/>
    <n v="93"/>
  </r>
  <r>
    <s v="India"/>
    <x v="19"/>
    <x v="123"/>
    <s v="Civil Lines,  Ajmer - RSPCB"/>
    <x v="0"/>
    <n v="26.470859000000001"/>
    <n v="74.646593999999993"/>
    <x v="3"/>
    <n v="7"/>
    <n v="9"/>
    <n v="8"/>
  </r>
  <r>
    <s v="India"/>
    <x v="18"/>
    <x v="128"/>
    <s v="Golden Temple, Amritsar - PPCB"/>
    <x v="0"/>
    <n v="31.62"/>
    <n v="74.876512000000005"/>
    <x v="2"/>
    <n v="21"/>
    <n v="127"/>
    <n v="45"/>
  </r>
  <r>
    <s v="India"/>
    <x v="18"/>
    <x v="128"/>
    <s v="Golden Temple, Amritsar - PPCB"/>
    <x v="0"/>
    <n v="31.62"/>
    <n v="74.876512000000005"/>
    <x v="3"/>
    <n v="6"/>
    <n v="13"/>
    <n v="8"/>
  </r>
  <r>
    <s v="India"/>
    <x v="18"/>
    <x v="129"/>
    <s v="Kalal Majra, Khanna - PPCB"/>
    <x v="0"/>
    <n v="30.736056000000001"/>
    <n v="76.209693999999999"/>
    <x v="6"/>
    <n v="50"/>
    <n v="66"/>
    <n v="56"/>
  </r>
  <r>
    <s v="India"/>
    <x v="18"/>
    <x v="129"/>
    <s v="Kalal Majra, Khanna - PPCB"/>
    <x v="0"/>
    <n v="30.736056000000001"/>
    <n v="76.209693999999999"/>
    <x v="0"/>
    <n v="28"/>
    <n v="57"/>
    <n v="40"/>
  </r>
  <r>
    <s v="India"/>
    <x v="18"/>
    <x v="119"/>
    <s v="Punjab Agricultural University, Ludhiana - PPCB"/>
    <x v="0"/>
    <n v="30.902799999999999"/>
    <n v="75.808599999999998"/>
    <x v="6"/>
    <n v="2"/>
    <n v="113"/>
    <n v="32"/>
  </r>
  <r>
    <s v="India"/>
    <x v="15"/>
    <x v="106"/>
    <s v="Raghunathpali, Rourkela - OSPCB"/>
    <x v="0"/>
    <n v="22.220832999999999"/>
    <n v="84.809443999999999"/>
    <x v="1"/>
    <n v="139"/>
    <n v="337"/>
    <n v="207"/>
  </r>
  <r>
    <s v="India"/>
    <x v="15"/>
    <x v="125"/>
    <s v="OMC Colony, Suakati - OSPCB"/>
    <x v="0"/>
    <n v="21.606864999999999"/>
    <n v="85.510537999999997"/>
    <x v="1"/>
    <n v="91"/>
    <n v="106"/>
    <n v="99"/>
  </r>
  <r>
    <s v="India"/>
    <x v="15"/>
    <x v="125"/>
    <s v="OMC Colony, Suakati - OSPCB"/>
    <x v="0"/>
    <n v="21.606864999999999"/>
    <n v="85.510537999999997"/>
    <x v="4"/>
    <n v="6"/>
    <n v="60"/>
    <n v="21"/>
  </r>
  <r>
    <s v="India"/>
    <x v="15"/>
    <x v="228"/>
    <s v="Barsua Iron Ore Mines, Tensa - OSPCB"/>
    <x v="0"/>
    <n v="21.869985"/>
    <n v="85.167016000000004"/>
    <x v="5"/>
    <n v="74"/>
    <n v="114"/>
    <n v="89"/>
  </r>
  <r>
    <s v="India"/>
    <x v="15"/>
    <x v="228"/>
    <s v="Barsua Iron Ore Mines, Tensa - OSPCB"/>
    <x v="0"/>
    <n v="21.869985"/>
    <n v="85.167016000000004"/>
    <x v="2"/>
    <n v="45"/>
    <n v="60"/>
    <n v="52"/>
  </r>
  <r>
    <s v="India"/>
    <x v="15"/>
    <x v="102"/>
    <s v="CDA Area, Cuttack - OSPCB"/>
    <x v="0"/>
    <n v="20.488910000000001"/>
    <n v="85.847679999999997"/>
    <x v="2"/>
    <n v="9"/>
    <n v="33"/>
    <n v="17"/>
  </r>
  <r>
    <s v="India"/>
    <x v="15"/>
    <x v="102"/>
    <s v="CDA Area, Cuttack - OSPCB"/>
    <x v="0"/>
    <n v="20.488910000000001"/>
    <n v="85.847679999999997"/>
    <x v="3"/>
    <n v="1"/>
    <n v="2"/>
    <n v="2"/>
  </r>
  <r>
    <s v="India"/>
    <x v="15"/>
    <x v="102"/>
    <s v="CDA Area, Cuttack - OSPCB"/>
    <x v="0"/>
    <n v="20.488910000000001"/>
    <n v="85.847679999999997"/>
    <x v="0"/>
    <n v="11"/>
    <n v="142"/>
    <n v="78"/>
  </r>
  <r>
    <s v="India"/>
    <x v="15"/>
    <x v="104"/>
    <s v="Dabuna, Nayagarh - OSPCB"/>
    <x v="0"/>
    <n v="21.847279"/>
    <n v="85.416905"/>
    <x v="5"/>
    <m/>
    <m/>
    <m/>
  </r>
  <r>
    <s v="India"/>
    <x v="15"/>
    <x v="104"/>
    <s v="Dabuna, Nayagarh - OSPCB"/>
    <x v="0"/>
    <n v="21.847279"/>
    <n v="85.416905"/>
    <x v="4"/>
    <m/>
    <m/>
    <m/>
  </r>
  <r>
    <s v="India"/>
    <x v="15"/>
    <x v="104"/>
    <s v="Dabuna, Nayagarh - OSPCB"/>
    <x v="0"/>
    <n v="21.847279"/>
    <n v="85.416905"/>
    <x v="0"/>
    <m/>
    <m/>
    <m/>
  </r>
  <r>
    <s v="India"/>
    <x v="15"/>
    <x v="112"/>
    <s v="GM Office, Brajrajnagar - OSPCB"/>
    <x v="0"/>
    <n v="21.800499599999998"/>
    <n v="83.839697700000002"/>
    <x v="0"/>
    <n v="2"/>
    <n v="56"/>
    <n v="36"/>
  </r>
  <r>
    <s v="India"/>
    <x v="15"/>
    <x v="113"/>
    <s v="Ferro Chrome Colony, Byasanagar - OSPCB"/>
    <x v="0"/>
    <n v="20.941849999999999"/>
    <n v="86.115099999999998"/>
    <x v="1"/>
    <n v="37"/>
    <n v="142"/>
    <n v="85"/>
  </r>
  <r>
    <s v="India"/>
    <x v="15"/>
    <x v="113"/>
    <s v="Ferro Chrome Colony, Byasanagar - OSPCB"/>
    <x v="0"/>
    <n v="20.941849999999999"/>
    <n v="86.115099999999998"/>
    <x v="2"/>
    <n v="1"/>
    <n v="12"/>
    <n v="3"/>
  </r>
  <r>
    <s v="India"/>
    <x v="19"/>
    <x v="136"/>
    <s v="Railway Colony, Barmer - RSPCB"/>
    <x v="0"/>
    <n v="25.747299000000002"/>
    <n v="71.393989000000005"/>
    <x v="5"/>
    <n v="13"/>
    <n v="72"/>
    <n v="31"/>
  </r>
  <r>
    <s v="India"/>
    <x v="19"/>
    <x v="136"/>
    <s v="Railway Colony, Barmer - RSPCB"/>
    <x v="0"/>
    <n v="25.747299000000002"/>
    <n v="71.393989000000005"/>
    <x v="4"/>
    <n v="5"/>
    <n v="9"/>
    <n v="7"/>
  </r>
  <r>
    <s v="India"/>
    <x v="19"/>
    <x v="124"/>
    <s v="Moti Doongri, Alwar - RSPCB"/>
    <x v="0"/>
    <n v="27.554793"/>
    <n v="76.611536000000001"/>
    <x v="1"/>
    <n v="50"/>
    <n v="107"/>
    <n v="74"/>
  </r>
  <r>
    <s v="India"/>
    <x v="19"/>
    <x v="124"/>
    <s v="Moti Doongri, Alwar - RSPCB"/>
    <x v="0"/>
    <n v="27.554793"/>
    <n v="76.611536000000001"/>
    <x v="3"/>
    <n v="13"/>
    <n v="23"/>
    <n v="19"/>
  </r>
  <r>
    <s v="India"/>
    <x v="19"/>
    <x v="132"/>
    <s v="Krishna Nagar, Bharatpur - RSPCB"/>
    <x v="0"/>
    <n v="27.215415"/>
    <n v="77.50873"/>
    <x v="0"/>
    <n v="56"/>
    <n v="133"/>
    <n v="92"/>
  </r>
  <r>
    <s v="India"/>
    <x v="19"/>
    <x v="139"/>
    <s v="Adarsh Nagar, Jaipur - RSPCB"/>
    <x v="0"/>
    <n v="26.902909000000001"/>
    <n v="75.836858000000007"/>
    <x v="4"/>
    <n v="12"/>
    <n v="33"/>
    <n v="20"/>
  </r>
  <r>
    <s v="India"/>
    <x v="19"/>
    <x v="139"/>
    <s v="Adarsh Nagar, Jaipur - RSPCB"/>
    <x v="0"/>
    <n v="26.902909000000001"/>
    <n v="75.836858000000007"/>
    <x v="0"/>
    <n v="28"/>
    <n v="68"/>
    <n v="51"/>
  </r>
  <r>
    <s v="India"/>
    <x v="19"/>
    <x v="139"/>
    <s v="Mansarovar Sector-12, Jaipur - RSPCB"/>
    <x v="0"/>
    <n v="26.843698"/>
    <n v="75.766893999999994"/>
    <x v="5"/>
    <n v="23"/>
    <n v="318"/>
    <n v="75"/>
  </r>
  <r>
    <s v="India"/>
    <x v="19"/>
    <x v="139"/>
    <s v="Mansarovar Sector-12, Jaipur - RSPCB"/>
    <x v="0"/>
    <n v="26.843698"/>
    <n v="75.766893999999994"/>
    <x v="0"/>
    <n v="9"/>
    <n v="86"/>
    <n v="43"/>
  </r>
  <r>
    <s v="India"/>
    <x v="19"/>
    <x v="139"/>
    <s v="Police Commissionerate, Jaipur - RSPCB"/>
    <x v="0"/>
    <n v="26.9164092"/>
    <n v="75.7994901"/>
    <x v="5"/>
    <n v="69"/>
    <n v="164"/>
    <n v="102"/>
  </r>
  <r>
    <s v="India"/>
    <x v="19"/>
    <x v="139"/>
    <s v="Police Commissionerate, Jaipur - RSPCB"/>
    <x v="0"/>
    <n v="26.9164092"/>
    <n v="75.7994901"/>
    <x v="4"/>
    <n v="15"/>
    <n v="15"/>
    <n v="15"/>
  </r>
  <r>
    <s v="India"/>
    <x v="19"/>
    <x v="139"/>
    <s v="RIICO Sitapura, Jaipur - RSPCB"/>
    <x v="0"/>
    <n v="26.786681999999999"/>
    <n v="75.827928"/>
    <x v="0"/>
    <n v="4"/>
    <n v="193"/>
    <n v="101"/>
  </r>
  <r>
    <s v="India"/>
    <x v="19"/>
    <x v="139"/>
    <s v="Sector-2 Murlipura, Jaipur - RSPCB"/>
    <x v="0"/>
    <n v="26.960668999999999"/>
    <n v="75.771816999999999"/>
    <x v="3"/>
    <n v="3"/>
    <n v="9"/>
    <n v="5"/>
  </r>
  <r>
    <s v="India"/>
    <x v="19"/>
    <x v="139"/>
    <s v="Sector-2 Murlipura, Jaipur - RSPCB"/>
    <x v="0"/>
    <n v="26.960668999999999"/>
    <n v="75.771816999999999"/>
    <x v="4"/>
    <n v="4"/>
    <n v="93"/>
    <n v="20"/>
  </r>
  <r>
    <s v="India"/>
    <x v="19"/>
    <x v="139"/>
    <s v="Sector-2 Murlipura, Jaipur - RSPCB"/>
    <x v="0"/>
    <n v="26.960668999999999"/>
    <n v="75.771816999999999"/>
    <x v="6"/>
    <n v="16"/>
    <n v="164"/>
    <n v="45"/>
  </r>
  <r>
    <s v="India"/>
    <x v="19"/>
    <x v="139"/>
    <s v="Sector-2 Murlipura, Jaipur - RSPCB"/>
    <x v="0"/>
    <n v="26.960668999999999"/>
    <n v="75.771816999999999"/>
    <x v="0"/>
    <n v="2"/>
    <n v="105"/>
    <n v="57"/>
  </r>
  <r>
    <s v="India"/>
    <x v="19"/>
    <x v="139"/>
    <s v="Shastri Nagar, Jaipur - RSPCB"/>
    <x v="0"/>
    <n v="26.950292900000001"/>
    <n v="75.730942999999996"/>
    <x v="4"/>
    <n v="14"/>
    <n v="30"/>
    <n v="20"/>
  </r>
  <r>
    <s v="India"/>
    <x v="19"/>
    <x v="139"/>
    <s v="Shastri Nagar, Jaipur - RSPCB"/>
    <x v="0"/>
    <n v="26.950292900000001"/>
    <n v="75.730942999999996"/>
    <x v="6"/>
    <n v="32"/>
    <n v="75"/>
    <n v="55"/>
  </r>
  <r>
    <s v="India"/>
    <x v="19"/>
    <x v="140"/>
    <s v="Sadar Bazar, Jaisalmer - RSPCB"/>
    <x v="0"/>
    <n v="26.912329"/>
    <n v="70.909167999999994"/>
    <x v="1"/>
    <n v="50"/>
    <n v="173"/>
    <n v="95"/>
  </r>
  <r>
    <s v="India"/>
    <x v="19"/>
    <x v="140"/>
    <s v="Sadar Bazar, Jaisalmer - RSPCB"/>
    <x v="0"/>
    <n v="26.912329"/>
    <n v="70.909167999999994"/>
    <x v="2"/>
    <n v="2"/>
    <n v="89"/>
    <n v="19"/>
  </r>
  <r>
    <s v="India"/>
    <x v="19"/>
    <x v="141"/>
    <s v="Mudtra Sili, Jalore - RSPCB"/>
    <x v="0"/>
    <n v="25.344694"/>
    <n v="72.626208000000005"/>
    <x v="6"/>
    <n v="4"/>
    <n v="31"/>
    <n v="10"/>
  </r>
  <r>
    <s v="India"/>
    <x v="19"/>
    <x v="142"/>
    <s v="Rajlaxmi Nagar, Jhalawar - RSPCB"/>
    <x v="0"/>
    <n v="24.588397000000001"/>
    <n v="76.172781999999998"/>
    <x v="6"/>
    <n v="32"/>
    <n v="115"/>
    <n v="61"/>
  </r>
  <r>
    <s v="India"/>
    <x v="19"/>
    <x v="144"/>
    <s v="Samrat Ashok Udhyan, Jodhpur - RSPCB"/>
    <x v="0"/>
    <n v="26.253384"/>
    <n v="72.976571000000007"/>
    <x v="2"/>
    <n v="3"/>
    <n v="98"/>
    <n v="35"/>
  </r>
  <r>
    <s v="India"/>
    <x v="19"/>
    <x v="144"/>
    <s v="Samrat Ashok Udhyan, Jodhpur - RSPCB"/>
    <x v="0"/>
    <n v="26.253384"/>
    <n v="72.976571000000007"/>
    <x v="3"/>
    <n v="9"/>
    <n v="11"/>
    <n v="10"/>
  </r>
  <r>
    <s v="India"/>
    <x v="19"/>
    <x v="154"/>
    <s v="Satyawati Vihar, Karauli - RSPCB"/>
    <x v="0"/>
    <n v="26.506177000000001"/>
    <n v="77.025988999999996"/>
    <x v="1"/>
    <n v="86"/>
    <n v="197"/>
    <n v="124"/>
  </r>
  <r>
    <s v="India"/>
    <x v="19"/>
    <x v="154"/>
    <s v="Satyawati Vihar, Karauli - RSPCB"/>
    <x v="0"/>
    <n v="26.506177000000001"/>
    <n v="77.025988999999996"/>
    <x v="3"/>
    <n v="1"/>
    <n v="3"/>
    <n v="2"/>
  </r>
  <r>
    <s v="India"/>
    <x v="19"/>
    <x v="154"/>
    <s v="Satyawati Vihar, Karauli - RSPCB"/>
    <x v="0"/>
    <n v="26.506177000000001"/>
    <n v="77.025988999999996"/>
    <x v="4"/>
    <n v="9"/>
    <n v="18"/>
    <n v="13"/>
  </r>
  <r>
    <s v="India"/>
    <x v="19"/>
    <x v="155"/>
    <s v="Dhanmandi, Kota - RSPCB"/>
    <x v="0"/>
    <n v="25.164090000000002"/>
    <n v="75.858136999999999"/>
    <x v="1"/>
    <n v="76"/>
    <n v="172"/>
    <n v="109"/>
  </r>
  <r>
    <s v="India"/>
    <x v="19"/>
    <x v="155"/>
    <s v="Dhanmandi, Kota - RSPCB"/>
    <x v="0"/>
    <n v="25.164090000000002"/>
    <n v="75.858136999999999"/>
    <x v="4"/>
    <n v="6"/>
    <n v="17"/>
    <n v="9"/>
  </r>
  <r>
    <s v="India"/>
    <x v="19"/>
    <x v="155"/>
    <s v="Shrinath Puram, Kota - RSPCB"/>
    <x v="0"/>
    <n v="25.143889999999999"/>
    <n v="75.821256000000005"/>
    <x v="5"/>
    <n v="62"/>
    <n v="219"/>
    <n v="117"/>
  </r>
  <r>
    <s v="India"/>
    <x v="19"/>
    <x v="143"/>
    <s v="Indra Nagar, Jhunjhunu - RSPCB"/>
    <x v="0"/>
    <n v="28.108988"/>
    <n v="75.386577000000003"/>
    <x v="5"/>
    <n v="26"/>
    <n v="96"/>
    <n v="57"/>
  </r>
  <r>
    <s v="India"/>
    <x v="19"/>
    <x v="143"/>
    <s v="Indra Nagar, Jhunjhunu - RSPCB"/>
    <x v="0"/>
    <n v="28.108988"/>
    <n v="75.386577000000003"/>
    <x v="0"/>
    <n v="10"/>
    <n v="126"/>
    <n v="79"/>
  </r>
  <r>
    <s v="India"/>
    <x v="19"/>
    <x v="144"/>
    <s v="Collectorate, Jodhpur - RSPCB"/>
    <x v="0"/>
    <n v="26.268249000000001"/>
    <n v="73.019385299999996"/>
    <x v="4"/>
    <n v="2"/>
    <n v="31"/>
    <n v="12"/>
  </r>
  <r>
    <s v="India"/>
    <x v="19"/>
    <x v="144"/>
    <s v="Collectorate, Jodhpur - RSPCB"/>
    <x v="0"/>
    <n v="26.268249000000001"/>
    <n v="73.019385299999996"/>
    <x v="6"/>
    <n v="4"/>
    <n v="116"/>
    <n v="69"/>
  </r>
  <r>
    <s v="India"/>
    <x v="19"/>
    <x v="144"/>
    <s v="Digari Kalan, Jodhpur - RSPCB"/>
    <x v="0"/>
    <n v="26.295809999999999"/>
    <n v="73.082283000000004"/>
    <x v="0"/>
    <n v="1"/>
    <n v="63"/>
    <n v="38"/>
  </r>
  <r>
    <s v="India"/>
    <x v="19"/>
    <x v="130"/>
    <s v="Vasundhara Nagar_UIT, Bhiwadi - RSPCB"/>
    <x v="0"/>
    <n v="28.207266000000001"/>
    <n v="76.829265000000007"/>
    <x v="1"/>
    <n v="79"/>
    <n v="256"/>
    <n v="150"/>
  </r>
  <r>
    <s v="India"/>
    <x v="19"/>
    <x v="130"/>
    <s v="Vasundhara Nagar_UIT, Bhiwadi - RSPCB"/>
    <x v="0"/>
    <n v="28.207266000000001"/>
    <n v="76.829265000000007"/>
    <x v="4"/>
    <n v="19"/>
    <n v="53"/>
    <n v="24"/>
  </r>
  <r>
    <s v="India"/>
    <x v="19"/>
    <x v="131"/>
    <s v="MM Ground, Bikaner - RSPCB"/>
    <x v="0"/>
    <n v="28.018792000000001"/>
    <n v="73.292658000000003"/>
    <x v="5"/>
    <n v="25"/>
    <n v="258"/>
    <n v="74"/>
  </r>
  <r>
    <s v="India"/>
    <x v="19"/>
    <x v="152"/>
    <s v="Khatikan Mohalla, Dausa - RSPCB"/>
    <x v="0"/>
    <n v="26.895551999999999"/>
    <n v="76.334753000000006"/>
    <x v="2"/>
    <n v="11"/>
    <n v="104"/>
    <n v="57"/>
  </r>
  <r>
    <s v="India"/>
    <x v="19"/>
    <x v="153"/>
    <s v="Raja Ganj, Dholpur - RSPCB"/>
    <x v="0"/>
    <n v="26.699556999999999"/>
    <n v="77.898881000000003"/>
    <x v="2"/>
    <n v="9"/>
    <n v="59"/>
    <n v="29"/>
  </r>
  <r>
    <s v="India"/>
    <x v="19"/>
    <x v="153"/>
    <s v="Raja Ganj, Dholpur - RSPCB"/>
    <x v="0"/>
    <n v="26.699556999999999"/>
    <n v="77.898881000000003"/>
    <x v="0"/>
    <n v="17"/>
    <n v="98"/>
    <n v="67"/>
  </r>
  <r>
    <s v="India"/>
    <x v="19"/>
    <x v="138"/>
    <s v="New Colony, Bundi - RSPCB"/>
    <x v="0"/>
    <n v="25.435773999999999"/>
    <n v="75.644272000000001"/>
    <x v="0"/>
    <n v="5"/>
    <n v="102"/>
    <n v="70"/>
  </r>
  <r>
    <s v="India"/>
    <x v="19"/>
    <x v="156"/>
    <s v="Subash Chowk, Churu - RSPCB"/>
    <x v="0"/>
    <n v="28.296139"/>
    <n v="74.961696000000003"/>
    <x v="5"/>
    <n v="28"/>
    <n v="131"/>
    <n v="58"/>
  </r>
  <r>
    <s v="India"/>
    <x v="19"/>
    <x v="156"/>
    <s v="Subash Chowk, Churu - RSPCB"/>
    <x v="0"/>
    <n v="28.296139"/>
    <n v="74.961696000000003"/>
    <x v="2"/>
    <n v="6"/>
    <n v="50"/>
    <n v="25"/>
  </r>
  <r>
    <s v="India"/>
    <x v="19"/>
    <x v="150"/>
    <s v="Bhoiwada, Dungarpur - RSPCB"/>
    <x v="0"/>
    <n v="23.837789000000001"/>
    <n v="73.714926000000006"/>
    <x v="1"/>
    <n v="62"/>
    <n v="130"/>
    <n v="93"/>
  </r>
  <r>
    <s v="India"/>
    <x v="19"/>
    <x v="139"/>
    <s v="Adarsh Nagar, Jaipur - RSPCB"/>
    <x v="0"/>
    <n v="26.902909000000001"/>
    <n v="75.836858000000007"/>
    <x v="1"/>
    <n v="74"/>
    <n v="119"/>
    <n v="95"/>
  </r>
  <r>
    <s v="India"/>
    <x v="19"/>
    <x v="130"/>
    <s v="RIICO Ind. Area III, Bhiwadi - RSPCB"/>
    <x v="0"/>
    <n v="28.194908999999999"/>
    <n v="76.862296000000001"/>
    <x v="5"/>
    <m/>
    <m/>
    <m/>
  </r>
  <r>
    <s v="India"/>
    <x v="19"/>
    <x v="130"/>
    <s v="RIICO Ind. Area III, Bhiwadi - RSPCB"/>
    <x v="0"/>
    <n v="28.194908999999999"/>
    <n v="76.862296000000001"/>
    <x v="2"/>
    <m/>
    <m/>
    <m/>
  </r>
  <r>
    <s v="India"/>
    <x v="19"/>
    <x v="235"/>
    <s v="Vedhaynath Colony, Sirohi - RSPCB"/>
    <x v="0"/>
    <n v="24.885261"/>
    <n v="72.857549000000006"/>
    <x v="5"/>
    <n v="25"/>
    <n v="126"/>
    <n v="42"/>
  </r>
  <r>
    <s v="India"/>
    <x v="19"/>
    <x v="235"/>
    <s v="Vedhaynath Colony, Sirohi - RSPCB"/>
    <x v="0"/>
    <n v="24.885261"/>
    <n v="72.857549000000006"/>
    <x v="3"/>
    <n v="1"/>
    <n v="3"/>
    <n v="2"/>
  </r>
  <r>
    <s v="India"/>
    <x v="19"/>
    <x v="166"/>
    <s v="Old City, Sri Ganganagar - RSPCB"/>
    <x v="0"/>
    <n v="29.931623999999999"/>
    <n v="73.864510999999993"/>
    <x v="1"/>
    <n v="117"/>
    <n v="446"/>
    <n v="188"/>
  </r>
  <r>
    <s v="India"/>
    <x v="19"/>
    <x v="167"/>
    <s v="Shastri Nagar, Tonk - RSPCB"/>
    <x v="0"/>
    <n v="26.159932999999999"/>
    <n v="75.780517000000003"/>
    <x v="5"/>
    <n v="32"/>
    <n v="311"/>
    <n v="85"/>
  </r>
  <r>
    <s v="India"/>
    <x v="19"/>
    <x v="167"/>
    <s v="Shastri Nagar, Tonk - RSPCB"/>
    <x v="0"/>
    <n v="26.159932999999999"/>
    <n v="75.780517000000003"/>
    <x v="1"/>
    <n v="74"/>
    <n v="500"/>
    <n v="194"/>
  </r>
  <r>
    <s v="India"/>
    <x v="19"/>
    <x v="167"/>
    <s v="Shastri Nagar, Tonk - RSPCB"/>
    <x v="0"/>
    <n v="26.159932999999999"/>
    <n v="75.780517000000003"/>
    <x v="2"/>
    <n v="9"/>
    <n v="124"/>
    <n v="43"/>
  </r>
  <r>
    <s v="India"/>
    <x v="21"/>
    <x v="164"/>
    <s v="Mendonsa Colony, Dindigul - TNPCB"/>
    <x v="0"/>
    <n v="10.358535"/>
    <n v="77.984320999999994"/>
    <x v="4"/>
    <n v="19"/>
    <n v="23"/>
    <n v="21"/>
  </r>
  <r>
    <s v="India"/>
    <x v="21"/>
    <x v="238"/>
    <s v="Anthoni Pillai Nagar, Gummidipoondi - TNPCB"/>
    <x v="0"/>
    <n v="13.412699999999999"/>
    <n v="80.108099999999993"/>
    <x v="3"/>
    <n v="3"/>
    <n v="7"/>
    <n v="5"/>
  </r>
  <r>
    <s v="India"/>
    <x v="21"/>
    <x v="165"/>
    <s v="SIPCOT Phase-1, Hosur - TNPCB"/>
    <x v="0"/>
    <n v="12.746998"/>
    <n v="77.813811000000001"/>
    <x v="6"/>
    <n v="17"/>
    <n v="21"/>
    <n v="20"/>
  </r>
  <r>
    <s v="India"/>
    <x v="21"/>
    <x v="157"/>
    <s v="Perungudi, Chennai - TNPCB"/>
    <x v="0"/>
    <n v="12.9533"/>
    <n v="80.235699999999994"/>
    <x v="4"/>
    <n v="4"/>
    <n v="8"/>
    <n v="5"/>
  </r>
  <r>
    <s v="India"/>
    <x v="21"/>
    <x v="157"/>
    <s v="Perungudi, Chennai - TNPCB"/>
    <x v="0"/>
    <n v="12.9533"/>
    <n v="80.235699999999994"/>
    <x v="0"/>
    <n v="15"/>
    <n v="19"/>
    <n v="17"/>
  </r>
  <r>
    <s v="India"/>
    <x v="21"/>
    <x v="157"/>
    <s v="Velachery Res. Area, Chennai - CPCB"/>
    <x v="0"/>
    <n v="13.005218899999999"/>
    <n v="80.239812499999999"/>
    <x v="5"/>
    <n v="21"/>
    <n v="50"/>
    <n v="33"/>
  </r>
  <r>
    <s v="India"/>
    <x v="21"/>
    <x v="157"/>
    <s v="Velachery Res. Area, Chennai - CPCB"/>
    <x v="0"/>
    <n v="13.005218899999999"/>
    <n v="80.239812499999999"/>
    <x v="4"/>
    <n v="8"/>
    <n v="10"/>
    <n v="9"/>
  </r>
  <r>
    <s v="India"/>
    <x v="19"/>
    <x v="155"/>
    <s v="Shrinath Puram, Kota - RSPCB"/>
    <x v="0"/>
    <n v="25.143889999999999"/>
    <n v="75.821256000000005"/>
    <x v="4"/>
    <n v="8"/>
    <n v="31"/>
    <n v="12"/>
  </r>
  <r>
    <s v="India"/>
    <x v="19"/>
    <x v="155"/>
    <s v="Shrinath Puram, Kota - RSPCB"/>
    <x v="0"/>
    <n v="25.143889999999999"/>
    <n v="75.821256000000005"/>
    <x v="6"/>
    <n v="20"/>
    <n v="102"/>
    <n v="70"/>
  </r>
  <r>
    <s v="India"/>
    <x v="19"/>
    <x v="155"/>
    <s v="Shrinath Puram, Kota - RSPCB"/>
    <x v="0"/>
    <n v="25.143889999999999"/>
    <n v="75.821256000000005"/>
    <x v="0"/>
    <n v="13"/>
    <n v="67"/>
    <n v="41"/>
  </r>
  <r>
    <s v="India"/>
    <x v="19"/>
    <x v="147"/>
    <s v="Dhoinda, Rajsamand - RSPCB"/>
    <x v="0"/>
    <n v="25.036359999999998"/>
    <n v="73.883501999999993"/>
    <x v="1"/>
    <n v="35"/>
    <n v="117"/>
    <n v="63"/>
  </r>
  <r>
    <s v="India"/>
    <x v="19"/>
    <x v="148"/>
    <s v="Sahu Nagar, Sawai Madhopur - RSPCB"/>
    <x v="0"/>
    <n v="26.031442999999999"/>
    <n v="76.359326999999993"/>
    <x v="4"/>
    <n v="6"/>
    <n v="20"/>
    <n v="9"/>
  </r>
  <r>
    <s v="India"/>
    <x v="19"/>
    <x v="148"/>
    <s v="Sahu Nagar, Sawai Madhopur - RSPCB"/>
    <x v="0"/>
    <n v="26.031442999999999"/>
    <n v="76.359326999999993"/>
    <x v="6"/>
    <n v="44"/>
    <n v="117"/>
    <n v="70"/>
  </r>
  <r>
    <s v="India"/>
    <x v="19"/>
    <x v="149"/>
    <s v="Radhakishan Pura, Sikar - RSPCB"/>
    <x v="0"/>
    <n v="27.608912"/>
    <n v="75.153301999999996"/>
    <x v="1"/>
    <n v="94"/>
    <n v="429"/>
    <n v="199"/>
  </r>
  <r>
    <s v="India"/>
    <x v="21"/>
    <x v="157"/>
    <s v="Manali, Chennai - CPCB"/>
    <x v="0"/>
    <n v="13.164543999999999"/>
    <n v="80.26285"/>
    <x v="3"/>
    <n v="6"/>
    <n v="7"/>
    <n v="7"/>
  </r>
  <r>
    <s v="India"/>
    <x v="21"/>
    <x v="157"/>
    <s v="Perungudi, Chennai - TNPCB"/>
    <x v="0"/>
    <n v="12.9533"/>
    <n v="80.235699999999994"/>
    <x v="1"/>
    <n v="30"/>
    <n v="146"/>
    <n v="58"/>
  </r>
  <r>
    <s v="India"/>
    <x v="21"/>
    <x v="157"/>
    <s v="Kodungaiyur, Chennai - TNPCB"/>
    <x v="0"/>
    <n v="13.127800000000001"/>
    <n v="80.264200000000002"/>
    <x v="0"/>
    <n v="6"/>
    <n v="29"/>
    <n v="13"/>
  </r>
  <r>
    <s v="India"/>
    <x v="21"/>
    <x v="157"/>
    <s v="Manali Village, Chennai - TNPCB"/>
    <x v="0"/>
    <n v="13.1662"/>
    <n v="80.258399999999995"/>
    <x v="3"/>
    <n v="1"/>
    <n v="1"/>
    <n v="1"/>
  </r>
  <r>
    <s v="India"/>
    <x v="21"/>
    <x v="237"/>
    <s v="Crescent University, Chengalpattu - TNPCB"/>
    <x v="0"/>
    <n v="12.877731600000001"/>
    <n v="80.083480699999996"/>
    <x v="5"/>
    <m/>
    <m/>
    <m/>
  </r>
  <r>
    <s v="India"/>
    <x v="21"/>
    <x v="237"/>
    <s v="Crescent University, Chengalpattu - TNPCB"/>
    <x v="0"/>
    <n v="12.877731600000001"/>
    <n v="80.083480699999996"/>
    <x v="4"/>
    <m/>
    <m/>
    <m/>
  </r>
  <r>
    <s v="India"/>
    <x v="21"/>
    <x v="168"/>
    <s v="Semmandalam, Cuddalore - TNPCB"/>
    <x v="0"/>
    <n v="11.763768300000001"/>
    <n v="79.749983499999999"/>
    <x v="2"/>
    <n v="9"/>
    <n v="15"/>
    <n v="12"/>
  </r>
  <r>
    <s v="India"/>
    <x v="21"/>
    <x v="251"/>
    <s v="Bombay Castel, Ooty - TNPCB"/>
    <x v="0"/>
    <n v="11.4068288"/>
    <n v="76.713897299999999"/>
    <x v="1"/>
    <n v="40"/>
    <n v="155"/>
    <n v="74"/>
  </r>
  <r>
    <s v="India"/>
    <x v="21"/>
    <x v="251"/>
    <s v="Bombay Castel, Ooty - TNPCB"/>
    <x v="0"/>
    <n v="11.4068288"/>
    <n v="76.713897299999999"/>
    <x v="4"/>
    <n v="23"/>
    <n v="24"/>
    <n v="23"/>
  </r>
  <r>
    <s v="India"/>
    <x v="21"/>
    <x v="251"/>
    <s v="Bombay Castel, Ooty - TNPCB"/>
    <x v="0"/>
    <n v="11.4068288"/>
    <n v="76.713897299999999"/>
    <x v="0"/>
    <n v="5"/>
    <n v="6"/>
    <n v="5"/>
  </r>
  <r>
    <s v="India"/>
    <x v="21"/>
    <x v="243"/>
    <s v="Bharathidasan University, Palkalaiperur - TNPCB"/>
    <x v="0"/>
    <n v="10.681158"/>
    <n v="78.741746000000006"/>
    <x v="1"/>
    <n v="12"/>
    <n v="37"/>
    <n v="24"/>
  </r>
  <r>
    <s v="India"/>
    <x v="21"/>
    <x v="243"/>
    <s v="Bharathidasan University, Palkalaiperur - TNPCB"/>
    <x v="0"/>
    <n v="10.681158"/>
    <n v="78.741746000000006"/>
    <x v="2"/>
    <n v="10"/>
    <n v="10"/>
    <n v="10"/>
  </r>
  <r>
    <s v="India"/>
    <x v="21"/>
    <x v="243"/>
    <s v="Bharathidasan University, Palkalaiperur - TNPCB"/>
    <x v="0"/>
    <n v="10.681158"/>
    <n v="78.741746000000006"/>
    <x v="4"/>
    <n v="9"/>
    <n v="9"/>
    <n v="9"/>
  </r>
  <r>
    <s v="India"/>
    <x v="21"/>
    <x v="244"/>
    <s v="SIPCOT Nathampannai, Pudukottai - TNPCB"/>
    <x v="0"/>
    <n v="10.423417000000001"/>
    <n v="78.784889000000007"/>
    <x v="5"/>
    <n v="8"/>
    <n v="35"/>
    <n v="19"/>
  </r>
  <r>
    <s v="India"/>
    <x v="21"/>
    <x v="244"/>
    <s v="SIPCOT Nathampannai, Pudukottai - TNPCB"/>
    <x v="0"/>
    <n v="10.423417000000001"/>
    <n v="78.784889000000007"/>
    <x v="1"/>
    <n v="13"/>
    <n v="45"/>
    <n v="26"/>
  </r>
  <r>
    <s v="India"/>
    <x v="21"/>
    <x v="177"/>
    <s v="Chalai Bazaar, Ramanathapuram - TNPCB"/>
    <x v="0"/>
    <n v="9.3639899999999994"/>
    <n v="78.831976999999995"/>
    <x v="0"/>
    <n v="10"/>
    <n v="16"/>
    <n v="13"/>
  </r>
  <r>
    <s v="India"/>
    <x v="21"/>
    <x v="169"/>
    <s v="St Joseph College, Tiruchirappalli - TNPCB"/>
    <x v="0"/>
    <n v="10.830158000000001"/>
    <n v="78.691849000000005"/>
    <x v="2"/>
    <n v="10"/>
    <n v="10"/>
    <n v="10"/>
  </r>
  <r>
    <s v="India"/>
    <x v="21"/>
    <x v="170"/>
    <s v="Municipal Corporation Office, Tirunelveli - TNPCB"/>
    <x v="0"/>
    <n v="8.7284419999999994"/>
    <n v="77.696200000000005"/>
    <x v="5"/>
    <n v="18"/>
    <n v="33"/>
    <n v="26"/>
  </r>
  <r>
    <s v="India"/>
    <x v="21"/>
    <x v="170"/>
    <s v="Municipal Corporation Office, Tirunelveli - TNPCB"/>
    <x v="0"/>
    <n v="8.7284419999999994"/>
    <n v="77.696200000000005"/>
    <x v="6"/>
    <n v="29"/>
    <n v="42"/>
    <n v="34"/>
  </r>
  <r>
    <s v="India"/>
    <x v="21"/>
    <x v="245"/>
    <s v="Vasanthapuram, Vellore - TNPCB"/>
    <x v="0"/>
    <n v="12.909494"/>
    <n v="79.131861000000001"/>
    <x v="5"/>
    <n v="17"/>
    <n v="64"/>
    <n v="43"/>
  </r>
  <r>
    <s v="India"/>
    <x v="21"/>
    <x v="245"/>
    <s v="Vasanthapuram, Vellore - TNPCB"/>
    <x v="0"/>
    <n v="12.909494"/>
    <n v="79.131861000000001"/>
    <x v="2"/>
    <n v="1"/>
    <n v="15"/>
    <n v="7"/>
  </r>
  <r>
    <s v="India"/>
    <x v="21"/>
    <x v="245"/>
    <s v="Vasanthapuram, Vellore - TNPCB"/>
    <x v="0"/>
    <n v="12.909494"/>
    <n v="79.131861000000001"/>
    <x v="4"/>
    <n v="16"/>
    <n v="16"/>
    <n v="16"/>
  </r>
  <r>
    <s v="India"/>
    <x v="21"/>
    <x v="245"/>
    <s v="Vasanthapuram, Vellore - TNPCB"/>
    <x v="0"/>
    <n v="12.909494"/>
    <n v="79.131861000000001"/>
    <x v="0"/>
    <n v="4"/>
    <n v="58"/>
    <n v="17"/>
  </r>
  <r>
    <s v="India"/>
    <x v="21"/>
    <x v="172"/>
    <s v="Collectorate Office, Virudhunagar - TNPCB"/>
    <x v="0"/>
    <n v="9.5593819999999994"/>
    <n v="77.948828000000006"/>
    <x v="4"/>
    <n v="18"/>
    <n v="20"/>
    <n v="18"/>
  </r>
  <r>
    <s v="India"/>
    <x v="21"/>
    <x v="172"/>
    <s v="Collectorate Office, Virudhunagar - TNPCB"/>
    <x v="0"/>
    <n v="9.5593819999999994"/>
    <n v="77.948828000000006"/>
    <x v="0"/>
    <n v="2"/>
    <n v="3"/>
    <n v="3"/>
  </r>
  <r>
    <s v="India"/>
    <x v="23"/>
    <x v="173"/>
    <s v="Central University, Hyderabad - TSPCB"/>
    <x v="0"/>
    <n v="17.460103"/>
    <n v="78.334361000000001"/>
    <x v="2"/>
    <m/>
    <m/>
    <m/>
  </r>
  <r>
    <s v="India"/>
    <x v="23"/>
    <x v="173"/>
    <s v="Central University, Hyderabad - TSPCB"/>
    <x v="0"/>
    <n v="17.460103"/>
    <n v="78.334361000000001"/>
    <x v="3"/>
    <m/>
    <m/>
    <m/>
  </r>
  <r>
    <s v="India"/>
    <x v="23"/>
    <x v="173"/>
    <s v="ECIL Kapra, Hyderabad - TSPCB"/>
    <x v="0"/>
    <n v="17.470431000000001"/>
    <n v="78.566958999999997"/>
    <x v="6"/>
    <n v="29"/>
    <n v="52"/>
    <n v="37"/>
  </r>
  <r>
    <s v="India"/>
    <x v="23"/>
    <x v="173"/>
    <s v="ICRISAT Patancheru, Hyderabad - TSPCB"/>
    <x v="0"/>
    <n v="17.5184"/>
    <n v="78.278777000000005"/>
    <x v="6"/>
    <n v="10"/>
    <n v="50"/>
    <n v="19"/>
  </r>
  <r>
    <s v="India"/>
    <x v="23"/>
    <x v="173"/>
    <s v="IDA Pashamylaram, Hyderabad - TSPCB"/>
    <x v="0"/>
    <n v="17.531689499999999"/>
    <n v="78.218939000000006"/>
    <x v="5"/>
    <n v="51"/>
    <n v="130"/>
    <n v="82"/>
  </r>
  <r>
    <s v="India"/>
    <x v="23"/>
    <x v="173"/>
    <s v="IDA Pashamylaram, Hyderabad - TSPCB"/>
    <x v="0"/>
    <n v="17.531689499999999"/>
    <n v="78.218939000000006"/>
    <x v="0"/>
    <n v="9"/>
    <n v="28"/>
    <n v="20"/>
  </r>
  <r>
    <s v="India"/>
    <x v="23"/>
    <x v="173"/>
    <s v="IITH Kandi, Hyderabad - TSPCB"/>
    <x v="0"/>
    <n v="17.585705000000001"/>
    <n v="78.126199"/>
    <x v="4"/>
    <n v="11"/>
    <n v="11"/>
    <n v="11"/>
  </r>
  <r>
    <s v="India"/>
    <x v="23"/>
    <x v="173"/>
    <s v="IITH Kandi, Hyderabad - TSPCB"/>
    <x v="0"/>
    <n v="17.585705000000001"/>
    <n v="78.126199"/>
    <x v="0"/>
    <n v="24"/>
    <n v="26"/>
    <n v="25"/>
  </r>
  <r>
    <s v="India"/>
    <x v="23"/>
    <x v="173"/>
    <s v="Kompally Municipal Office, Hyderabad - TSPCB"/>
    <x v="0"/>
    <n v="17.544899000000001"/>
    <n v="78.486948999999996"/>
    <x v="1"/>
    <n v="76"/>
    <n v="90"/>
    <n v="82"/>
  </r>
  <r>
    <s v="India"/>
    <x v="23"/>
    <x v="173"/>
    <s v="New Malakpet, Hyderabad - TSPCB"/>
    <x v="0"/>
    <n v="17.372060000000001"/>
    <n v="78.50864"/>
    <x v="3"/>
    <n v="2"/>
    <n v="3"/>
    <n v="2"/>
  </r>
  <r>
    <s v="India"/>
    <x v="21"/>
    <x v="159"/>
    <s v="Kamadenu Nagar, Karur - TNPCB"/>
    <x v="0"/>
    <n v="10.96782"/>
    <n v="78.080882000000003"/>
    <x v="3"/>
    <n v="1"/>
    <n v="4"/>
    <n v="3"/>
  </r>
  <r>
    <s v="India"/>
    <x v="21"/>
    <x v="159"/>
    <s v="Kamadenu Nagar, Karur - TNPCB"/>
    <x v="0"/>
    <n v="10.96782"/>
    <n v="78.080882000000003"/>
    <x v="6"/>
    <n v="12"/>
    <n v="26"/>
    <n v="19"/>
  </r>
  <r>
    <s v="India"/>
    <x v="21"/>
    <x v="242"/>
    <s v="Uchapatti, Madurai - TNPCB"/>
    <x v="0"/>
    <n v="9.8659350000000003"/>
    <n v="78.022668999999993"/>
    <x v="1"/>
    <n v="11"/>
    <n v="33"/>
    <n v="23"/>
  </r>
  <r>
    <s v="India"/>
    <x v="21"/>
    <x v="160"/>
    <s v="Velippalayam, Nagapattinam - TNPCB"/>
    <x v="0"/>
    <n v="10.798548"/>
    <n v="79.838211999999999"/>
    <x v="3"/>
    <n v="2"/>
    <n v="2"/>
    <n v="2"/>
  </r>
  <r>
    <s v="India"/>
    <x v="21"/>
    <x v="160"/>
    <s v="Velippalayam, Nagapattinam - TNPCB"/>
    <x v="0"/>
    <n v="10.798548"/>
    <n v="79.838211999999999"/>
    <x v="6"/>
    <n v="12"/>
    <n v="24"/>
    <n v="16"/>
  </r>
  <r>
    <s v="India"/>
    <x v="23"/>
    <x v="173"/>
    <s v="Somajiguda, Hyderabad - TSPCB"/>
    <x v="0"/>
    <n v="17.417093999999999"/>
    <n v="78.457436999999999"/>
    <x v="1"/>
    <n v="72"/>
    <n v="88"/>
    <n v="76"/>
  </r>
  <r>
    <s v="India"/>
    <x v="23"/>
    <x v="173"/>
    <s v="Somajiguda, Hyderabad - TSPCB"/>
    <x v="0"/>
    <n v="17.417093999999999"/>
    <n v="78.457436999999999"/>
    <x v="3"/>
    <n v="5"/>
    <n v="5"/>
    <n v="5"/>
  </r>
  <r>
    <s v="India"/>
    <x v="23"/>
    <x v="173"/>
    <s v="Somajiguda, Hyderabad - TSPCB"/>
    <x v="0"/>
    <n v="17.417093999999999"/>
    <n v="78.457436999999999"/>
    <x v="4"/>
    <n v="17"/>
    <n v="23"/>
    <n v="20"/>
  </r>
  <r>
    <s v="India"/>
    <x v="23"/>
    <x v="173"/>
    <s v="Zoo Park, Hyderabad - TSPCB"/>
    <x v="0"/>
    <n v="17.349694"/>
    <n v="78.451436999999999"/>
    <x v="5"/>
    <n v="59"/>
    <n v="161"/>
    <n v="89"/>
  </r>
  <r>
    <s v="India"/>
    <x v="23"/>
    <x v="173"/>
    <s v="Zoo Park, Hyderabad - TSPCB"/>
    <x v="0"/>
    <n v="17.349694"/>
    <n v="78.451436999999999"/>
    <x v="4"/>
    <n v="3"/>
    <n v="7"/>
    <n v="5"/>
  </r>
  <r>
    <s v="India"/>
    <x v="23"/>
    <x v="173"/>
    <s v="Zoo Park, Hyderabad - TSPCB"/>
    <x v="0"/>
    <n v="17.349694"/>
    <n v="78.451436999999999"/>
    <x v="6"/>
    <n v="5"/>
    <n v="14"/>
    <n v="8"/>
  </r>
  <r>
    <s v="India"/>
    <x v="21"/>
    <x v="174"/>
    <s v="VOC Nagar_SIPCOT, Ranipet - TNPCB"/>
    <x v="0"/>
    <n v="12.952707"/>
    <n v="79.303939999999997"/>
    <x v="1"/>
    <n v="19"/>
    <n v="64"/>
    <n v="39"/>
  </r>
  <r>
    <s v="India"/>
    <x v="21"/>
    <x v="174"/>
    <s v="VOC Nagar_SIPCOT, Ranipet - TNPCB"/>
    <x v="0"/>
    <n v="12.952707"/>
    <n v="79.303939999999997"/>
    <x v="3"/>
    <n v="8"/>
    <n v="9"/>
    <n v="8"/>
  </r>
  <r>
    <s v="India"/>
    <x v="21"/>
    <x v="240"/>
    <s v="Sona College of Technology, Salem - TNPCB"/>
    <x v="0"/>
    <n v="11.679111000000001"/>
    <n v="78.125051999999997"/>
    <x v="5"/>
    <n v="17"/>
    <n v="47"/>
    <n v="33"/>
  </r>
  <r>
    <s v="India"/>
    <x v="21"/>
    <x v="240"/>
    <s v="Sona College of Technology, Salem - TNPCB"/>
    <x v="0"/>
    <n v="11.679111000000001"/>
    <n v="78.125051999999997"/>
    <x v="2"/>
    <n v="12"/>
    <n v="12"/>
    <n v="12"/>
  </r>
  <r>
    <s v="India"/>
    <x v="24"/>
    <x v="176"/>
    <s v="Rohta, Agra - UPPCB"/>
    <x v="0"/>
    <n v="27.106971999999999"/>
    <n v="78.000111000000004"/>
    <x v="2"/>
    <n v="12"/>
    <n v="12"/>
    <n v="12"/>
  </r>
  <r>
    <s v="India"/>
    <x v="24"/>
    <x v="176"/>
    <s v="Rohta, Agra - UPPCB"/>
    <x v="0"/>
    <n v="27.106971999999999"/>
    <n v="78.000111000000004"/>
    <x v="3"/>
    <n v="4"/>
    <n v="5"/>
    <n v="4"/>
  </r>
  <r>
    <s v="India"/>
    <x v="24"/>
    <x v="176"/>
    <s v="Rohta, Agra - UPPCB"/>
    <x v="0"/>
    <n v="27.106971999999999"/>
    <n v="78.000111000000004"/>
    <x v="0"/>
    <n v="12"/>
    <n v="15"/>
    <n v="14"/>
  </r>
  <r>
    <s v="India"/>
    <x v="23"/>
    <x v="173"/>
    <s v="Ramachandrapuram, Hyderabad - TSPCB"/>
    <x v="0"/>
    <n v="17.528544"/>
    <n v="78.286195000000006"/>
    <x v="4"/>
    <n v="22"/>
    <n v="43"/>
    <n v="30"/>
  </r>
  <r>
    <s v="India"/>
    <x v="23"/>
    <x v="173"/>
    <s v="Somajiguda, Hyderabad - TSPCB"/>
    <x v="0"/>
    <n v="17.417093999999999"/>
    <n v="78.457436999999999"/>
    <x v="5"/>
    <n v="52"/>
    <n v="98"/>
    <n v="72"/>
  </r>
  <r>
    <s v="India"/>
    <x v="24"/>
    <x v="178"/>
    <s v="Civil Lines, Bareilly - UPPCB"/>
    <x v="0"/>
    <n v="28.359580999999999"/>
    <n v="79.414455000000004"/>
    <x v="6"/>
    <n v="5"/>
    <n v="92"/>
    <n v="40"/>
  </r>
  <r>
    <s v="India"/>
    <x v="24"/>
    <x v="178"/>
    <s v="Rajendra Nagar, Bareilly - UPPCB"/>
    <x v="0"/>
    <n v="28.389109359999999"/>
    <n v="79.429637080000006"/>
    <x v="1"/>
    <n v="45"/>
    <n v="146"/>
    <n v="99"/>
  </r>
  <r>
    <s v="India"/>
    <x v="24"/>
    <x v="178"/>
    <s v="Rajendra Nagar, Bareilly - UPPCB"/>
    <x v="0"/>
    <n v="28.389109359999999"/>
    <n v="79.429637080000006"/>
    <x v="2"/>
    <n v="2"/>
    <n v="5"/>
    <n v="2"/>
  </r>
  <r>
    <s v="India"/>
    <x v="24"/>
    <x v="178"/>
    <s v="Rajendra Nagar, Bareilly - UPPCB"/>
    <x v="0"/>
    <n v="28.389109359999999"/>
    <n v="79.429637080000006"/>
    <x v="0"/>
    <n v="1"/>
    <n v="69"/>
    <n v="29"/>
  </r>
  <r>
    <s v="India"/>
    <x v="24"/>
    <x v="179"/>
    <s v="Yamunapuram, Bulandshahr - UPPCB"/>
    <x v="0"/>
    <n v="28.406963000000001"/>
    <n v="77.849830999999995"/>
    <x v="2"/>
    <n v="12"/>
    <n v="165"/>
    <n v="73"/>
  </r>
  <r>
    <s v="India"/>
    <x v="24"/>
    <x v="180"/>
    <s v="Nagla Bhau, Firozabad - UPPCB"/>
    <x v="0"/>
    <n v="27.168897000000001"/>
    <n v="78.376959999999997"/>
    <x v="3"/>
    <n v="2"/>
    <n v="2"/>
    <n v="2"/>
  </r>
  <r>
    <s v="India"/>
    <x v="24"/>
    <x v="180"/>
    <s v="Vibhab Nagar, Firozabad - UPPCB"/>
    <x v="0"/>
    <n v="27.159400000000002"/>
    <n v="78.395300000000006"/>
    <x v="1"/>
    <n v="49"/>
    <n v="145"/>
    <n v="87"/>
  </r>
  <r>
    <s v="India"/>
    <x v="24"/>
    <x v="181"/>
    <s v="Indirapuram, Ghaziabad - UPPCB"/>
    <x v="0"/>
    <n v="28.646232999999999"/>
    <n v="77.358074999999999"/>
    <x v="5"/>
    <n v="54"/>
    <n v="350"/>
    <n v="154"/>
  </r>
  <r>
    <s v="India"/>
    <x v="24"/>
    <x v="184"/>
    <s v="Anand Vihar, Hapur - UPPCB"/>
    <x v="0"/>
    <n v="28.725645"/>
    <n v="77.749674999999996"/>
    <x v="2"/>
    <n v="27"/>
    <n v="202"/>
    <n v="79"/>
  </r>
  <r>
    <s v="India"/>
    <x v="24"/>
    <x v="185"/>
    <s v="Shivaji Nagar, Jhansi - UPPCB"/>
    <x v="0"/>
    <n v="25.454699999999999"/>
    <n v="78.603899999999996"/>
    <x v="5"/>
    <n v="38"/>
    <n v="500"/>
    <n v="143"/>
  </r>
  <r>
    <s v="India"/>
    <x v="24"/>
    <x v="186"/>
    <s v="FTI Kidwai Nagar, Kanpur - UPPCB"/>
    <x v="0"/>
    <n v="26.428281999999999"/>
    <n v="80.327067"/>
    <x v="2"/>
    <m/>
    <m/>
    <m/>
  </r>
  <r>
    <s v="India"/>
    <x v="24"/>
    <x v="186"/>
    <s v="FTI Kidwai Nagar, Kanpur - UPPCB"/>
    <x v="0"/>
    <n v="26.428281999999999"/>
    <n v="80.327067"/>
    <x v="3"/>
    <m/>
    <m/>
    <m/>
  </r>
  <r>
    <s v="India"/>
    <x v="24"/>
    <x v="186"/>
    <s v="FTI Kidwai Nagar, Kanpur - UPPCB"/>
    <x v="0"/>
    <n v="26.428281999999999"/>
    <n v="80.327067"/>
    <x v="4"/>
    <m/>
    <m/>
    <m/>
  </r>
  <r>
    <s v="India"/>
    <x v="24"/>
    <x v="176"/>
    <s v="Sector-3B Avas Vikas Colony, Agra - UPPCB"/>
    <x v="0"/>
    <n v="27.194120000000002"/>
    <n v="77.962370000000007"/>
    <x v="2"/>
    <n v="35"/>
    <n v="36"/>
    <n v="36"/>
  </r>
  <r>
    <s v="India"/>
    <x v="24"/>
    <x v="176"/>
    <s v="Shahjahan Garden, Agra - UPPCB"/>
    <x v="0"/>
    <n v="27.169338"/>
    <n v="78.035820000000001"/>
    <x v="5"/>
    <m/>
    <m/>
    <m/>
  </r>
  <r>
    <s v="India"/>
    <x v="24"/>
    <x v="187"/>
    <s v="Sardar Patel Inter College, Baghpat - UPPCB"/>
    <x v="0"/>
    <n v="28.964949000000001"/>
    <n v="77.278761000000003"/>
    <x v="5"/>
    <n v="42"/>
    <n v="351"/>
    <n v="148"/>
  </r>
  <r>
    <s v="India"/>
    <x v="24"/>
    <x v="181"/>
    <s v="Indirapuram, Ghaziabad - UPPCB"/>
    <x v="0"/>
    <n v="28.646232999999999"/>
    <n v="77.358074999999999"/>
    <x v="4"/>
    <n v="1"/>
    <n v="37"/>
    <n v="13"/>
  </r>
  <r>
    <s v="India"/>
    <x v="24"/>
    <x v="181"/>
    <s v="Loni, Ghaziabad - UPPCB"/>
    <x v="0"/>
    <n v="28.757294000000002"/>
    <n v="77.278791999999996"/>
    <x v="5"/>
    <n v="74"/>
    <n v="500"/>
    <n v="337"/>
  </r>
  <r>
    <s v="India"/>
    <x v="24"/>
    <x v="181"/>
    <s v="Loni, Ghaziabad - UPPCB"/>
    <x v="0"/>
    <n v="28.757294000000002"/>
    <n v="77.278791999999996"/>
    <x v="2"/>
    <n v="106"/>
    <n v="149"/>
    <n v="126"/>
  </r>
  <r>
    <s v="India"/>
    <x v="24"/>
    <x v="188"/>
    <s v="Kalindi Kunj, Khurja - UPPCB"/>
    <x v="0"/>
    <n v="28.2348927"/>
    <n v="77.868300199999993"/>
    <x v="6"/>
    <n v="37"/>
    <n v="65"/>
    <n v="41"/>
  </r>
  <r>
    <s v="India"/>
    <x v="24"/>
    <x v="189"/>
    <s v="B R Ambedkar University, Lucknow - UPPCB"/>
    <x v="0"/>
    <n v="26.766432999999999"/>
    <n v="80.927299000000005"/>
    <x v="1"/>
    <n v="53"/>
    <n v="231"/>
    <n v="113"/>
  </r>
  <r>
    <s v="India"/>
    <x v="24"/>
    <x v="183"/>
    <s v="Knowledge Park - V, Greater Noida - UPPCB"/>
    <x v="0"/>
    <n v="28.557054000000001"/>
    <n v="77.453663000000006"/>
    <x v="1"/>
    <m/>
    <m/>
    <m/>
  </r>
  <r>
    <s v="India"/>
    <x v="24"/>
    <x v="183"/>
    <s v="Knowledge Park - V, Greater Noida - UPPCB"/>
    <x v="0"/>
    <n v="28.557054000000001"/>
    <n v="77.453663000000006"/>
    <x v="3"/>
    <n v="7"/>
    <n v="13"/>
    <n v="10"/>
  </r>
  <r>
    <s v="India"/>
    <x v="24"/>
    <x v="183"/>
    <s v="Knowledge Park - V, Greater Noida - UPPCB"/>
    <x v="0"/>
    <n v="28.557054000000001"/>
    <n v="77.453663000000006"/>
    <x v="4"/>
    <n v="12"/>
    <n v="41"/>
    <n v="27"/>
  </r>
  <r>
    <s v="India"/>
    <x v="24"/>
    <x v="189"/>
    <s v="B R Ambedkar University, Lucknow - UPPCB"/>
    <x v="0"/>
    <n v="26.766432999999999"/>
    <n v="80.927299000000005"/>
    <x v="4"/>
    <n v="24"/>
    <n v="35"/>
    <n v="29"/>
  </r>
  <r>
    <s v="India"/>
    <x v="24"/>
    <x v="189"/>
    <s v="B R Ambedkar University, Lucknow - UPPCB"/>
    <x v="0"/>
    <n v="26.766432999999999"/>
    <n v="80.927299000000005"/>
    <x v="2"/>
    <n v="12"/>
    <n v="13"/>
    <n v="12"/>
  </r>
  <r>
    <s v="India"/>
    <x v="24"/>
    <x v="178"/>
    <s v="Civil Lines, Bareilly - UPPCB"/>
    <x v="0"/>
    <n v="28.359580999999999"/>
    <n v="79.414455000000004"/>
    <x v="3"/>
    <n v="1"/>
    <n v="2"/>
    <n v="1"/>
  </r>
  <r>
    <s v="India"/>
    <x v="24"/>
    <x v="191"/>
    <s v="Buddhi Vihar, Moradabad - UPPCB"/>
    <x v="0"/>
    <n v="28.835260000000002"/>
    <n v="78.744600000000005"/>
    <x v="6"/>
    <n v="42"/>
    <n v="79"/>
    <n v="76"/>
  </r>
  <r>
    <s v="India"/>
    <x v="24"/>
    <x v="191"/>
    <s v="Eco Herbal Park, Moradabad - UPPCB"/>
    <x v="0"/>
    <n v="28.840738999999999"/>
    <n v="78.697530999999998"/>
    <x v="1"/>
    <n v="40"/>
    <n v="208"/>
    <n v="93"/>
  </r>
  <r>
    <s v="India"/>
    <x v="24"/>
    <x v="191"/>
    <s v="Employment Office, Moradabad - UPPCB"/>
    <x v="0"/>
    <n v="28.885280000000002"/>
    <n v="78.738799999999998"/>
    <x v="5"/>
    <n v="27"/>
    <n v="343"/>
    <n v="80"/>
  </r>
  <r>
    <s v="India"/>
    <x v="24"/>
    <x v="191"/>
    <s v="Employment Office, Moradabad - UPPCB"/>
    <x v="0"/>
    <n v="28.885280000000002"/>
    <n v="78.738799999999998"/>
    <x v="3"/>
    <n v="3"/>
    <n v="4"/>
    <n v="4"/>
  </r>
  <r>
    <s v="India"/>
    <x v="24"/>
    <x v="191"/>
    <s v="Jigar Colony, Moradabad - UPPCB"/>
    <x v="0"/>
    <n v="28.856663999999999"/>
    <n v="78.772638000000001"/>
    <x v="6"/>
    <n v="25"/>
    <n v="46"/>
    <n v="38"/>
  </r>
  <r>
    <s v="India"/>
    <x v="24"/>
    <x v="191"/>
    <s v="Kashiram Nagar, Moradabad - UPPCB"/>
    <x v="0"/>
    <n v="28.849398999999998"/>
    <n v="78.742362"/>
    <x v="0"/>
    <n v="19"/>
    <n v="122"/>
    <n v="55"/>
  </r>
  <r>
    <s v="India"/>
    <x v="24"/>
    <x v="189"/>
    <s v="Kukrail Picnic Spot-1, Lucknow - UPPCB"/>
    <x v="0"/>
    <n v="26.907229999999998"/>
    <n v="80.985789999999994"/>
    <x v="1"/>
    <n v="41"/>
    <n v="220"/>
    <n v="70"/>
  </r>
  <r>
    <s v="India"/>
    <x v="24"/>
    <x v="189"/>
    <s v="Kukrail Picnic Spot-1, Lucknow - UPPCB"/>
    <x v="0"/>
    <n v="26.907229999999998"/>
    <n v="80.985789999999994"/>
    <x v="6"/>
    <n v="8"/>
    <n v="26"/>
    <n v="16"/>
  </r>
  <r>
    <s v="India"/>
    <x v="24"/>
    <x v="189"/>
    <s v="Talkatora District Industries Center, Lucknow - CPCB"/>
    <x v="0"/>
    <n v="26.833997220000001"/>
    <n v="80.891736100000003"/>
    <x v="5"/>
    <n v="72"/>
    <n v="238"/>
    <n v="136"/>
  </r>
  <r>
    <s v="India"/>
    <x v="24"/>
    <x v="190"/>
    <s v="Ganga Nagar, Meerut - UPPCB"/>
    <x v="0"/>
    <n v="28.999264"/>
    <n v="77.759035400000002"/>
    <x v="3"/>
    <n v="9"/>
    <n v="13"/>
    <n v="10"/>
  </r>
  <r>
    <s v="India"/>
    <x v="24"/>
    <x v="190"/>
    <s v="Ganga Nagar, Meerut - UPPCB"/>
    <x v="0"/>
    <n v="28.999264"/>
    <n v="77.759035400000002"/>
    <x v="4"/>
    <n v="8"/>
    <n v="50"/>
    <n v="27"/>
  </r>
  <r>
    <s v="India"/>
    <x v="24"/>
    <x v="189"/>
    <s v="Gomti Nagar, Lucknow - UPPCB"/>
    <x v="0"/>
    <n v="26.868120000000001"/>
    <n v="81.005118999999993"/>
    <x v="2"/>
    <n v="9"/>
    <n v="12"/>
    <n v="10"/>
  </r>
  <r>
    <s v="India"/>
    <x v="24"/>
    <x v="189"/>
    <s v="Kendriya Vidyalaya, Lucknow - CPCB"/>
    <x v="0"/>
    <n v="26.906110999999999"/>
    <n v="80.948222000000001"/>
    <x v="5"/>
    <n v="51"/>
    <n v="335"/>
    <n v="165"/>
  </r>
  <r>
    <s v="India"/>
    <x v="24"/>
    <x v="189"/>
    <s v="Kendriya Vidyalaya, Lucknow - CPCB"/>
    <x v="0"/>
    <n v="26.906110999999999"/>
    <n v="80.948222000000001"/>
    <x v="3"/>
    <n v="3"/>
    <n v="20"/>
    <n v="14"/>
  </r>
  <r>
    <s v="India"/>
    <x v="24"/>
    <x v="193"/>
    <s v="Motilal Nehru NIT, Prayagraj - UPPCB"/>
    <x v="0"/>
    <n v="25.494"/>
    <n v="81.863"/>
    <x v="4"/>
    <n v="17"/>
    <n v="105"/>
    <n v="36"/>
  </r>
  <r>
    <s v="India"/>
    <x v="24"/>
    <x v="193"/>
    <s v="Motilal Nehru NIT, Prayagraj - UPPCB"/>
    <x v="0"/>
    <n v="25.494"/>
    <n v="81.863"/>
    <x v="6"/>
    <n v="12"/>
    <n v="42"/>
    <n v="19"/>
  </r>
  <r>
    <s v="India"/>
    <x v="24"/>
    <x v="193"/>
    <s v="Nagar Nigam, Prayagraj - UPPCB"/>
    <x v="0"/>
    <n v="25.449199159999999"/>
    <n v="81.827359860000001"/>
    <x v="4"/>
    <n v="45"/>
    <n v="78"/>
    <n v="54"/>
  </r>
  <r>
    <s v="India"/>
    <x v="24"/>
    <x v="193"/>
    <s v="Nagar Nigam, Prayagraj - UPPCB"/>
    <x v="0"/>
    <n v="25.449199159999999"/>
    <n v="81.827359860000001"/>
    <x v="0"/>
    <n v="11"/>
    <n v="27"/>
    <n v="12"/>
  </r>
  <r>
    <s v="India"/>
    <x v="24"/>
    <x v="194"/>
    <s v="Ardhali Bazar, Varanasi - UPPCB"/>
    <x v="0"/>
    <n v="25.350598600000001"/>
    <n v="82.908307399999998"/>
    <x v="2"/>
    <n v="14"/>
    <n v="46"/>
    <n v="27"/>
  </r>
  <r>
    <s v="India"/>
    <x v="24"/>
    <x v="189"/>
    <s v="B R Ambedkar University, Lucknow - UPPCB"/>
    <x v="0"/>
    <n v="26.766432999999999"/>
    <n v="80.927299000000005"/>
    <x v="6"/>
    <n v="9"/>
    <n v="44"/>
    <n v="16"/>
  </r>
  <r>
    <s v="India"/>
    <x v="24"/>
    <x v="189"/>
    <s v="Gomti Nagar, Lucknow - UPPCB"/>
    <x v="0"/>
    <n v="26.868120000000001"/>
    <n v="81.005118999999993"/>
    <x v="1"/>
    <n v="34"/>
    <n v="111"/>
    <n v="64"/>
  </r>
  <r>
    <s v="India"/>
    <x v="24"/>
    <x v="190"/>
    <s v="Pallavpuram Phase 2, Meerut - UPPCB"/>
    <x v="0"/>
    <n v="29.063510000000001"/>
    <n v="77.709722999999997"/>
    <x v="1"/>
    <n v="74"/>
    <n v="275"/>
    <n v="144"/>
  </r>
  <r>
    <s v="India"/>
    <x v="24"/>
    <x v="190"/>
    <s v="Pallavpuram Phase 2, Meerut - UPPCB"/>
    <x v="0"/>
    <n v="29.063510000000001"/>
    <n v="77.709722999999997"/>
    <x v="2"/>
    <n v="14"/>
    <n v="78"/>
    <n v="31"/>
  </r>
  <r>
    <s v="India"/>
    <x v="24"/>
    <x v="191"/>
    <s v="Transport Nagar, Moradabad - UPPCB"/>
    <x v="0"/>
    <n v="28.802624999999999"/>
    <n v="78.753727999999995"/>
    <x v="6"/>
    <n v="2"/>
    <n v="100"/>
    <n v="65"/>
  </r>
  <r>
    <s v="India"/>
    <x v="24"/>
    <x v="192"/>
    <s v="Sector-116, Noida - UPPCB"/>
    <x v="0"/>
    <n v="28.569230000000001"/>
    <n v="77.393848000000006"/>
    <x v="2"/>
    <n v="28"/>
    <n v="196"/>
    <n v="109"/>
  </r>
  <r>
    <s v="India"/>
    <x v="26"/>
    <x v="201"/>
    <s v="Evelyn Lodge, Asansol - WBPCB"/>
    <x v="0"/>
    <n v="23.697935999999999"/>
    <n v="86.944395"/>
    <x v="1"/>
    <n v="92"/>
    <n v="254"/>
    <n v="152"/>
  </r>
  <r>
    <s v="India"/>
    <x v="26"/>
    <x v="201"/>
    <s v="Mahabir Colliery, Asansol - WBPCB"/>
    <x v="0"/>
    <n v="23.618182999999998"/>
    <n v="87.105717999999996"/>
    <x v="1"/>
    <n v="39"/>
    <n v="117"/>
    <n v="93"/>
  </r>
  <r>
    <s v="India"/>
    <x v="26"/>
    <x v="201"/>
    <s v="Trivenidevi Bhalotia College, Asansol - WBPCB"/>
    <x v="0"/>
    <n v="23.616515"/>
    <n v="87.119133000000005"/>
    <x v="4"/>
    <n v="10"/>
    <n v="73"/>
    <n v="32"/>
  </r>
  <r>
    <s v="India"/>
    <x v="26"/>
    <x v="201"/>
    <s v="Trivenidevi Bhalotia College, Asansol - WBPCB"/>
    <x v="0"/>
    <n v="23.616515"/>
    <n v="87.119133000000005"/>
    <x v="0"/>
    <n v="20"/>
    <n v="125"/>
    <n v="85"/>
  </r>
  <r>
    <s v="India"/>
    <x v="26"/>
    <x v="202"/>
    <s v="SVSPA Campus, Barrackpore - WBPCB"/>
    <x v="0"/>
    <n v="22.760558100000001"/>
    <n v="88.361758899999998"/>
    <x v="2"/>
    <n v="8"/>
    <n v="23"/>
    <n v="16"/>
  </r>
  <r>
    <s v="India"/>
    <x v="26"/>
    <x v="198"/>
    <s v="Mahishkapur Road_B-Zone, Durgapur - WBPCB"/>
    <x v="0"/>
    <n v="23.567923"/>
    <n v="87.306843000000001"/>
    <x v="3"/>
    <n v="3"/>
    <n v="4"/>
    <n v="3"/>
  </r>
  <r>
    <s v="India"/>
    <x v="26"/>
    <x v="198"/>
    <s v="Mahishkapur Road_B-Zone, Durgapur - WBPCB"/>
    <x v="0"/>
    <n v="23.567923"/>
    <n v="87.306843000000001"/>
    <x v="4"/>
    <n v="7"/>
    <n v="51"/>
    <n v="21"/>
  </r>
  <r>
    <s v="India"/>
    <x v="26"/>
    <x v="200"/>
    <s v="Belur Math, Howrah - WBPCB"/>
    <x v="0"/>
    <n v="22.629801"/>
    <n v="88.352017000000004"/>
    <x v="6"/>
    <n v="2"/>
    <n v="8"/>
    <n v="2"/>
  </r>
  <r>
    <s v="India"/>
    <x v="26"/>
    <x v="200"/>
    <s v="Botanical Garden, Howrah - WBPCB"/>
    <x v="0"/>
    <n v="22.554953999999999"/>
    <n v="88.292568000000003"/>
    <x v="5"/>
    <n v="24"/>
    <n v="67"/>
    <n v="52"/>
  </r>
  <r>
    <s v="India"/>
    <x v="26"/>
    <x v="200"/>
    <s v="Dasnagar, Howrah - WBPCB"/>
    <x v="0"/>
    <n v="22.602557099999999"/>
    <n v="88.310566399999999"/>
    <x v="2"/>
    <n v="6"/>
    <n v="39"/>
    <n v="18"/>
  </r>
  <r>
    <s v="India"/>
    <x v="26"/>
    <x v="200"/>
    <s v="Ghusuri, Howrah - WBPCB"/>
    <x v="0"/>
    <n v="22.611968000000001"/>
    <n v="88.347421999999995"/>
    <x v="5"/>
    <n v="29"/>
    <n v="122"/>
    <n v="69"/>
  </r>
  <r>
    <s v="India"/>
    <x v="26"/>
    <x v="200"/>
    <s v="Ghusuri, Howrah - WBPCB"/>
    <x v="0"/>
    <n v="22.611968000000001"/>
    <n v="88.347421999999995"/>
    <x v="4"/>
    <n v="10"/>
    <n v="12"/>
    <n v="10"/>
  </r>
  <r>
    <s v="India"/>
    <x v="24"/>
    <x v="195"/>
    <s v="Omex Eternity, Vrindavan - UPPCB"/>
    <x v="0"/>
    <n v="27.571408999999999"/>
    <n v="77.655756999999994"/>
    <x v="1"/>
    <n v="28"/>
    <n v="128"/>
    <n v="72"/>
  </r>
  <r>
    <s v="India"/>
    <x v="25"/>
    <x v="196"/>
    <s v="Doon University, Dehradun - UKPCB"/>
    <x v="0"/>
    <n v="30.269444"/>
    <n v="78.044167000000002"/>
    <x v="5"/>
    <n v="48"/>
    <n v="127"/>
    <n v="79"/>
  </r>
  <r>
    <s v="India"/>
    <x v="25"/>
    <x v="196"/>
    <s v="Doon University, Dehradun - UKPCB"/>
    <x v="0"/>
    <n v="30.269444"/>
    <n v="78.044167000000002"/>
    <x v="4"/>
    <n v="1"/>
    <n v="7"/>
    <n v="2"/>
  </r>
  <r>
    <s v="India"/>
    <x v="25"/>
    <x v="197"/>
    <s v="Govt. Girls Inter College, Kashipur - UKPCB"/>
    <x v="0"/>
    <n v="29.212411400000001"/>
    <n v="78.961175299999994"/>
    <x v="2"/>
    <n v="6"/>
    <n v="35"/>
    <n v="14"/>
  </r>
  <r>
    <s v="India"/>
    <x v="25"/>
    <x v="248"/>
    <s v="Shivaji Nagar, Rishikesh - UKPCB"/>
    <x v="0"/>
    <n v="30.075911000000001"/>
    <n v="78.285954700000005"/>
    <x v="3"/>
    <n v="9"/>
    <n v="12"/>
    <n v="10"/>
  </r>
  <r>
    <s v="India"/>
    <x v="26"/>
    <x v="199"/>
    <s v="Priyambada Housing Estate, Haldia - WBPCB"/>
    <x v="0"/>
    <n v="22.060469999999999"/>
    <n v="88.109736999999996"/>
    <x v="0"/>
    <n v="23"/>
    <n v="25"/>
    <n v="24"/>
  </r>
  <r>
    <s v="India"/>
    <x v="26"/>
    <x v="200"/>
    <s v="Belur Math, Howrah - WBPCB"/>
    <x v="0"/>
    <n v="22.629801"/>
    <n v="88.352017000000004"/>
    <x v="2"/>
    <n v="34"/>
    <n v="36"/>
    <n v="35"/>
  </r>
  <r>
    <s v="India"/>
    <x v="26"/>
    <x v="201"/>
    <s v="Asansol Court Area, Asansol - WBPCB"/>
    <x v="0"/>
    <n v="23.685296999999998"/>
    <n v="86.945967999999993"/>
    <x v="2"/>
    <n v="27"/>
    <n v="85"/>
    <n v="43"/>
  </r>
  <r>
    <s v="India"/>
    <x v="26"/>
    <x v="201"/>
    <s v="Asansol Court Area, Asansol - WBPCB"/>
    <x v="0"/>
    <n v="23.685296999999998"/>
    <n v="86.945967999999993"/>
    <x v="3"/>
    <n v="7"/>
    <n v="16"/>
    <n v="10"/>
  </r>
  <r>
    <s v="India"/>
    <x v="25"/>
    <x v="248"/>
    <s v="Shivaji Nagar, Rishikesh - UKPCB"/>
    <x v="0"/>
    <n v="30.075911000000001"/>
    <n v="78.285954700000005"/>
    <x v="0"/>
    <n v="18"/>
    <n v="161"/>
    <n v="103"/>
  </r>
  <r>
    <s v="India"/>
    <x v="26"/>
    <x v="201"/>
    <s v="Asansol Court Area, Asansol - WBPCB"/>
    <x v="0"/>
    <n v="23.685296999999998"/>
    <n v="86.945967999999993"/>
    <x v="1"/>
    <n v="92"/>
    <n v="312"/>
    <n v="134"/>
  </r>
  <r>
    <s v="India"/>
    <x v="24"/>
    <x v="194"/>
    <s v="Bhelupur, Varanasi - UPPCB"/>
    <x v="0"/>
    <n v="25.301777999999999"/>
    <n v="82.996789000000007"/>
    <x v="2"/>
    <n v="7"/>
    <n v="8"/>
    <n v="8"/>
  </r>
  <r>
    <s v="India"/>
    <x v="26"/>
    <x v="200"/>
    <s v="Padmapukur, Howrah - WBPCB"/>
    <x v="0"/>
    <n v="22.5687319"/>
    <n v="88.279727600000001"/>
    <x v="0"/>
    <n v="15"/>
    <n v="66"/>
    <n v="39"/>
  </r>
  <r>
    <s v="India"/>
    <x v="26"/>
    <x v="203"/>
    <s v="Ballygunge, Kolkata - WBPCB"/>
    <x v="0"/>
    <n v="22.536750699999999"/>
    <n v="88.363802199999995"/>
    <x v="5"/>
    <n v="36"/>
    <n v="81"/>
    <n v="58"/>
  </r>
  <r>
    <s v="India"/>
    <x v="26"/>
    <x v="203"/>
    <s v="Ballygunge, Kolkata - WBPCB"/>
    <x v="0"/>
    <n v="22.536750699999999"/>
    <n v="88.363802199999995"/>
    <x v="4"/>
    <n v="3"/>
    <n v="34"/>
    <n v="14"/>
  </r>
  <r>
    <s v="India"/>
    <x v="26"/>
    <x v="203"/>
    <s v="Rabindra Bharati University, Kolkata - WBPCB"/>
    <x v="0"/>
    <n v="22.627846999999999"/>
    <n v="88.380668999999997"/>
    <x v="5"/>
    <n v="34"/>
    <n v="68"/>
    <n v="53"/>
  </r>
  <r>
    <s v="India"/>
    <x v="26"/>
    <x v="203"/>
    <s v="Rabindra Sarobar, Kolkata - WBPCB"/>
    <x v="0"/>
    <n v="22.511060000000001"/>
    <n v="88.351420000000005"/>
    <x v="5"/>
    <n v="27"/>
    <n v="63"/>
    <n v="47"/>
  </r>
  <r>
    <s v="India"/>
    <x v="26"/>
    <x v="203"/>
    <s v="Rabindra Sarobar, Kolkata - WBPCB"/>
    <x v="0"/>
    <n v="22.511060000000001"/>
    <n v="88.351420000000005"/>
    <x v="2"/>
    <n v="31"/>
    <n v="56"/>
    <n v="41"/>
  </r>
  <r>
    <s v="India"/>
    <x v="26"/>
    <x v="203"/>
    <s v="Rabindra Sarobar, Kolkata - WBPCB"/>
    <x v="0"/>
    <n v="22.511060000000001"/>
    <n v="88.351420000000005"/>
    <x v="6"/>
    <n v="14"/>
    <n v="21"/>
    <n v="15"/>
  </r>
  <r>
    <s v="India"/>
    <x v="26"/>
    <x v="203"/>
    <s v="Victoria, Kolkata - WBPCB"/>
    <x v="0"/>
    <n v="22.544808199999999"/>
    <n v="88.340369100000004"/>
    <x v="5"/>
    <n v="46"/>
    <n v="104"/>
    <n v="72"/>
  </r>
  <r>
    <s v="India"/>
    <x v="26"/>
    <x v="203"/>
    <s v="Victoria, Kolkata - WBPCB"/>
    <x v="0"/>
    <n v="22.544808199999999"/>
    <n v="88.340369100000004"/>
    <x v="1"/>
    <n v="54"/>
    <n v="100"/>
    <n v="77"/>
  </r>
  <r>
    <s v="India"/>
    <x v="26"/>
    <x v="203"/>
    <s v="Victoria, Kolkata - WBPCB"/>
    <x v="0"/>
    <n v="22.544808199999999"/>
    <n v="88.340369100000004"/>
    <x v="3"/>
    <n v="4"/>
    <n v="5"/>
    <n v="5"/>
  </r>
  <r>
    <s v="India"/>
    <x v="26"/>
    <x v="203"/>
    <s v="Victoria, Kolkata - WBPCB"/>
    <x v="0"/>
    <n v="22.544808199999999"/>
    <n v="88.340369100000004"/>
    <x v="4"/>
    <n v="6"/>
    <n v="10"/>
    <n v="8"/>
  </r>
  <r>
    <s v="India"/>
    <x v="26"/>
    <x v="204"/>
    <s v="Ward-32 Bapupara, Siliguri - WBPCB"/>
    <x v="0"/>
    <n v="26.6879226"/>
    <n v="88.415249500000002"/>
    <x v="5"/>
    <n v="90"/>
    <n v="315"/>
    <n v="186"/>
  </r>
  <r>
    <s v="India"/>
    <x v="26"/>
    <x v="204"/>
    <s v="Ward-32 Bapupara, Siliguri - WBPCB"/>
    <x v="0"/>
    <n v="26.6879226"/>
    <n v="88.415249500000002"/>
    <x v="3"/>
    <n v="12"/>
    <n v="21"/>
    <n v="15"/>
  </r>
  <r>
    <s v="India"/>
    <x v="2"/>
    <x v="205"/>
    <s v="Anand Kala Kshetram, Rajamahendravaram - APPCB"/>
    <x v="0"/>
    <n v="16.987286699999999"/>
    <n v="81.736317600000007"/>
    <x v="2"/>
    <n v="14"/>
    <n v="82"/>
    <n v="35"/>
  </r>
  <r>
    <s v="India"/>
    <x v="2"/>
    <x v="205"/>
    <s v="Anand Kala Kshetram, Rajamahendravaram - APPCB"/>
    <x v="0"/>
    <n v="16.987286699999999"/>
    <n v="81.736317600000007"/>
    <x v="3"/>
    <n v="2"/>
    <n v="13"/>
    <n v="6"/>
  </r>
  <r>
    <s v="India"/>
    <x v="2"/>
    <x v="10"/>
    <s v="Toll Gate, Tirumala - APPCB (Formerly known as Tirumala, Tirupati - APPCB)"/>
    <x v="0"/>
    <n v="13.67"/>
    <n v="79.349999999999994"/>
    <x v="6"/>
    <n v="4"/>
    <n v="147"/>
    <n v="98"/>
  </r>
  <r>
    <s v="India"/>
    <x v="2"/>
    <x v="11"/>
    <s v="Vaikuntapuram, Tirupati - APPCB"/>
    <x v="0"/>
    <n v="13.615387"/>
    <n v="79.409229999999994"/>
    <x v="1"/>
    <n v="35"/>
    <n v="140"/>
    <n v="72"/>
  </r>
  <r>
    <s v="India"/>
    <x v="2"/>
    <x v="7"/>
    <s v="HB Colony, Vijayawada - APPCB"/>
    <x v="0"/>
    <n v="16.536107000000001"/>
    <n v="80.594233000000003"/>
    <x v="1"/>
    <n v="41"/>
    <n v="60"/>
    <n v="49"/>
  </r>
  <r>
    <s v="India"/>
    <x v="2"/>
    <x v="7"/>
    <s v="HB Colony, Vijayawada - APPCB"/>
    <x v="0"/>
    <n v="16.536107000000001"/>
    <n v="80.594233000000003"/>
    <x v="0"/>
    <n v="1"/>
    <n v="44"/>
    <n v="22"/>
  </r>
  <r>
    <s v="India"/>
    <x v="2"/>
    <x v="7"/>
    <s v="Kanuru, Vijayawada - APPCB"/>
    <x v="0"/>
    <n v="16.486692000000001"/>
    <n v="80.699436000000006"/>
    <x v="3"/>
    <n v="4"/>
    <n v="7"/>
    <n v="6"/>
  </r>
  <r>
    <s v="India"/>
    <x v="0"/>
    <x v="16"/>
    <s v="IITG, Guwahati - PCBA"/>
    <x v="0"/>
    <n v="26.202863600000001"/>
    <n v="91.700464359999998"/>
    <x v="2"/>
    <n v="1"/>
    <n v="6"/>
    <n v="1"/>
  </r>
  <r>
    <s v="India"/>
    <x v="0"/>
    <x v="16"/>
    <s v="IITG, Guwahati - PCBA"/>
    <x v="0"/>
    <n v="26.202863600000001"/>
    <n v="91.700464359999998"/>
    <x v="6"/>
    <n v="10"/>
    <n v="19"/>
    <n v="13"/>
  </r>
  <r>
    <s v="India"/>
    <x v="0"/>
    <x v="16"/>
    <s v="LGBI Airport, Guwahati - PCBA"/>
    <x v="0"/>
    <n v="26.10887"/>
    <n v="91.589544000000004"/>
    <x v="5"/>
    <n v="38"/>
    <n v="133"/>
    <n v="91"/>
  </r>
  <r>
    <s v="India"/>
    <x v="0"/>
    <x v="16"/>
    <s v="LGBI Airport, Guwahati - PCBA"/>
    <x v="0"/>
    <n v="26.10887"/>
    <n v="91.589544000000004"/>
    <x v="0"/>
    <n v="15"/>
    <n v="22"/>
    <n v="18"/>
  </r>
  <r>
    <s v="India"/>
    <x v="0"/>
    <x v="16"/>
    <s v="Pan Bazaar, Guwahati - PCBA"/>
    <x v="0"/>
    <n v="26.1875"/>
    <n v="91.744193999999993"/>
    <x v="6"/>
    <n v="25"/>
    <n v="51"/>
    <n v="30"/>
  </r>
  <r>
    <s v="India"/>
    <x v="0"/>
    <x v="16"/>
    <s v="Pan Bazaar, Guwahati - PCBA"/>
    <x v="0"/>
    <n v="26.1875"/>
    <n v="91.744193999999993"/>
    <x v="0"/>
    <n v="17"/>
    <n v="17"/>
    <n v="17"/>
  </r>
  <r>
    <s v="India"/>
    <x v="0"/>
    <x v="16"/>
    <s v="Railway Colony, Guwahati - PCBA"/>
    <x v="0"/>
    <n v="26.181742"/>
    <n v="91.780630000000002"/>
    <x v="1"/>
    <n v="96"/>
    <n v="207"/>
    <n v="130"/>
  </r>
  <r>
    <s v="India"/>
    <x v="0"/>
    <x v="16"/>
    <s v="Railway Colony, Guwahati - PCBA"/>
    <x v="0"/>
    <n v="26.181742"/>
    <n v="91.780630000000002"/>
    <x v="6"/>
    <n v="30"/>
    <n v="76"/>
    <n v="42"/>
  </r>
  <r>
    <s v="India"/>
    <x v="2"/>
    <x v="208"/>
    <s v="Secretariat, Amaravati - APPCB"/>
    <x v="0"/>
    <n v="16.515083300000001"/>
    <n v="80.518166699999995"/>
    <x v="4"/>
    <n v="8"/>
    <n v="17"/>
    <n v="11"/>
  </r>
  <r>
    <s v="India"/>
    <x v="2"/>
    <x v="12"/>
    <s v="Gulzarpet, Anantapur - APPCB"/>
    <x v="0"/>
    <n v="14.675886"/>
    <n v="77.593027000000006"/>
    <x v="4"/>
    <n v="8"/>
    <n v="11"/>
    <n v="10"/>
  </r>
  <r>
    <s v="India"/>
    <x v="2"/>
    <x v="207"/>
    <s v="Yerramukkapalli, Kadapa - APPCB"/>
    <x v="0"/>
    <n v="14.465052"/>
    <n v="78.824186999999995"/>
    <x v="1"/>
    <n v="43"/>
    <n v="59"/>
    <n v="49"/>
  </r>
  <r>
    <s v="India"/>
    <x v="2"/>
    <x v="207"/>
    <s v="Yerramukkapalli, Kadapa - APPCB"/>
    <x v="0"/>
    <n v="14.465052"/>
    <n v="78.824186999999995"/>
    <x v="2"/>
    <n v="10"/>
    <n v="23"/>
    <n v="15"/>
  </r>
  <r>
    <s v="India"/>
    <x v="2"/>
    <x v="207"/>
    <s v="Yerramukkapalli, Kadapa - APPCB"/>
    <x v="0"/>
    <n v="14.465052"/>
    <n v="78.824186999999995"/>
    <x v="6"/>
    <n v="34"/>
    <n v="36"/>
    <n v="35"/>
  </r>
  <r>
    <s v="India"/>
    <x v="2"/>
    <x v="205"/>
    <s v="Anand Kala Kshetram, Rajamahendravaram - APPCB"/>
    <x v="0"/>
    <n v="16.987286699999999"/>
    <n v="81.736317600000007"/>
    <x v="1"/>
    <n v="28"/>
    <n v="305"/>
    <n v="73"/>
  </r>
  <r>
    <s v="India"/>
    <x v="2"/>
    <x v="7"/>
    <s v="Rajiv Nagar, Vijayawada - APPCB"/>
    <x v="0"/>
    <n v="16.554731"/>
    <n v="80.649109999999993"/>
    <x v="3"/>
    <n v="2"/>
    <n v="3"/>
    <n v="3"/>
  </r>
  <r>
    <s v="India"/>
    <x v="2"/>
    <x v="7"/>
    <s v="Rajiv Nagar, Vijayawada - APPCB"/>
    <x v="0"/>
    <n v="16.554731"/>
    <n v="80.649109999999993"/>
    <x v="6"/>
    <n v="39"/>
    <n v="62"/>
    <n v="40"/>
  </r>
  <r>
    <s v="India"/>
    <x v="2"/>
    <x v="8"/>
    <s v="GVM Corporation, Visakhapatnam - APPCB"/>
    <x v="0"/>
    <n v="17.72"/>
    <n v="83.3"/>
    <x v="5"/>
    <n v="10"/>
    <n v="55"/>
    <n v="32"/>
  </r>
  <r>
    <s v="India"/>
    <x v="0"/>
    <x v="9"/>
    <s v="Central Academy for SFS, Byrnihat - PCBA"/>
    <x v="0"/>
    <n v="26.071318000000002"/>
    <n v="91.874880000000005"/>
    <x v="5"/>
    <m/>
    <m/>
    <m/>
  </r>
  <r>
    <s v="India"/>
    <x v="0"/>
    <x v="16"/>
    <s v="IITG, Guwahati - PCBA"/>
    <x v="0"/>
    <n v="26.202863600000001"/>
    <n v="91.700464359999998"/>
    <x v="1"/>
    <n v="108"/>
    <n v="442"/>
    <n v="164"/>
  </r>
  <r>
    <s v="India"/>
    <x v="0"/>
    <x v="3"/>
    <s v="Girls College, Sivasagar - PCBA"/>
    <x v="0"/>
    <n v="26.987634"/>
    <n v="94.636573999999996"/>
    <x v="2"/>
    <n v="28"/>
    <n v="53"/>
    <n v="39"/>
  </r>
  <r>
    <s v="India"/>
    <x v="0"/>
    <x v="3"/>
    <s v="Girls College, Sivasagar - PCBA"/>
    <x v="0"/>
    <n v="26.987634"/>
    <n v="94.636573999999996"/>
    <x v="3"/>
    <n v="3"/>
    <n v="6"/>
    <n v="4"/>
  </r>
  <r>
    <s v="India"/>
    <x v="1"/>
    <x v="4"/>
    <s v="Kharahiya Basti, Araria - BSPCB"/>
    <x v="0"/>
    <n v="26.146529000000001"/>
    <n v="87.454183999999998"/>
    <x v="2"/>
    <n v="5"/>
    <n v="7"/>
    <n v="7"/>
  </r>
  <r>
    <s v="India"/>
    <x v="1"/>
    <x v="4"/>
    <s v="Kharahiya Basti, Araria - BSPCB"/>
    <x v="0"/>
    <n v="26.146529000000001"/>
    <n v="87.454183999999998"/>
    <x v="6"/>
    <n v="22"/>
    <n v="66"/>
    <n v="53"/>
  </r>
  <r>
    <s v="India"/>
    <x v="1"/>
    <x v="4"/>
    <s v="Kharahiya Basti, Araria - BSPCB"/>
    <x v="0"/>
    <n v="26.146529000000001"/>
    <n v="87.454183999999998"/>
    <x v="0"/>
    <n v="10"/>
    <n v="11"/>
    <n v="10"/>
  </r>
  <r>
    <s v="India"/>
    <x v="1"/>
    <x v="5"/>
    <s v="New DM Office, Arrah - BSPCB"/>
    <x v="0"/>
    <n v="25.562609500000001"/>
    <n v="84.663263999999998"/>
    <x v="5"/>
    <m/>
    <m/>
    <m/>
  </r>
  <r>
    <s v="India"/>
    <x v="3"/>
    <x v="17"/>
    <s v="Police Line, Sri Vijaya Puram - ANPCC"/>
    <x v="0"/>
    <n v="11.654054"/>
    <n v="92.734054999999998"/>
    <x v="5"/>
    <n v="4"/>
    <n v="5"/>
    <n v="4"/>
  </r>
  <r>
    <s v="India"/>
    <x v="3"/>
    <x v="17"/>
    <s v="Police Line, Sri Vijaya Puram - ANPCC"/>
    <x v="0"/>
    <n v="11.654054"/>
    <n v="92.734054999999998"/>
    <x v="2"/>
    <n v="14"/>
    <n v="39"/>
    <n v="28"/>
  </r>
  <r>
    <s v="India"/>
    <x v="3"/>
    <x v="17"/>
    <s v="Police Line, Sri Vijaya Puram - ANPCC"/>
    <x v="0"/>
    <n v="11.654054"/>
    <n v="92.734054999999998"/>
    <x v="0"/>
    <n v="3"/>
    <n v="9"/>
    <n v="6"/>
  </r>
  <r>
    <s v="India"/>
    <x v="2"/>
    <x v="208"/>
    <s v="Secretariat, Amaravati - APPCB"/>
    <x v="0"/>
    <n v="16.515083300000001"/>
    <n v="80.518166699999995"/>
    <x v="2"/>
    <n v="23"/>
    <n v="38"/>
    <n v="30"/>
  </r>
  <r>
    <s v="India"/>
    <x v="0"/>
    <x v="1"/>
    <s v="Bata Chowk, Nalbari - PCBA"/>
    <x v="0"/>
    <n v="26.446912000000001"/>
    <n v="91.439057000000005"/>
    <x v="6"/>
    <n v="12"/>
    <n v="51"/>
    <n v="23"/>
  </r>
  <r>
    <s v="India"/>
    <x v="0"/>
    <x v="2"/>
    <s v="Tarapur, Silchar - PCBA"/>
    <x v="0"/>
    <n v="24.82827"/>
    <n v="92.795249999999996"/>
    <x v="2"/>
    <n v="2"/>
    <n v="16"/>
    <n v="11"/>
  </r>
  <r>
    <s v="India"/>
    <x v="0"/>
    <x v="2"/>
    <s v="Tarapur, Silchar - PCBA"/>
    <x v="0"/>
    <n v="24.82827"/>
    <n v="92.795249999999996"/>
    <x v="3"/>
    <n v="1"/>
    <n v="2"/>
    <n v="1"/>
  </r>
  <r>
    <s v="India"/>
    <x v="0"/>
    <x v="2"/>
    <s v="Tarapur, Silchar - PCBA"/>
    <x v="0"/>
    <n v="24.82827"/>
    <n v="92.795249999999996"/>
    <x v="0"/>
    <n v="1"/>
    <n v="15"/>
    <n v="5"/>
  </r>
  <r>
    <s v="India"/>
    <x v="1"/>
    <x v="206"/>
    <s v="Lohiyanagar, Begusarai - BSPCB"/>
    <x v="0"/>
    <n v="25.427420229999999"/>
    <n v="86.138860789999995"/>
    <x v="5"/>
    <n v="77"/>
    <n v="315"/>
    <n v="187"/>
  </r>
  <r>
    <s v="India"/>
    <x v="1"/>
    <x v="14"/>
    <s v="Kamalnath Nagar, Bettiah - BSPCB"/>
    <x v="0"/>
    <n v="26.803650000000001"/>
    <n v="84.519540000000006"/>
    <x v="3"/>
    <n v="2"/>
    <n v="5"/>
    <n v="4"/>
  </r>
  <r>
    <s v="India"/>
    <x v="2"/>
    <x v="7"/>
    <s v="Kanuru, Vijayawada - APPCB"/>
    <x v="0"/>
    <n v="16.486692000000001"/>
    <n v="80.699436000000006"/>
    <x v="6"/>
    <n v="14"/>
    <n v="30"/>
    <n v="16"/>
  </r>
  <r>
    <s v="India"/>
    <x v="0"/>
    <x v="0"/>
    <s v="Christianpatty, Nagaon - PCBA"/>
    <x v="0"/>
    <n v="26.349081999999999"/>
    <n v="92.684489999999997"/>
    <x v="6"/>
    <n v="22"/>
    <n v="52"/>
    <n v="50"/>
  </r>
  <r>
    <s v="India"/>
    <x v="1"/>
    <x v="19"/>
    <s v="Mariam Nagar, Purnia - BSPCB"/>
    <x v="0"/>
    <n v="25.366336"/>
    <n v="87.117468000000002"/>
    <x v="3"/>
    <n v="3"/>
    <n v="3"/>
    <n v="3"/>
  </r>
  <r>
    <s v="India"/>
    <x v="1"/>
    <x v="19"/>
    <s v="Mariam Nagar, Purnia - BSPCB"/>
    <x v="0"/>
    <n v="25.366336"/>
    <n v="87.117468000000002"/>
    <x v="4"/>
    <n v="16"/>
    <n v="17"/>
    <n v="16"/>
  </r>
  <r>
    <s v="India"/>
    <x v="1"/>
    <x v="20"/>
    <s v="Dangi Tola, Rajgir - BSPCB"/>
    <x v="0"/>
    <n v="25.032800000000002"/>
    <n v="85.419479999999993"/>
    <x v="5"/>
    <m/>
    <m/>
    <m/>
  </r>
  <r>
    <s v="India"/>
    <x v="1"/>
    <x v="21"/>
    <s v="Police Line, Saharsa - BSPCB"/>
    <x v="0"/>
    <n v="25.892357000000001"/>
    <n v="86.590325000000007"/>
    <x v="4"/>
    <n v="5"/>
    <n v="17"/>
    <n v="15"/>
  </r>
  <r>
    <s v="India"/>
    <x v="1"/>
    <x v="31"/>
    <s v="DM Office_Kasipur, Samastipur - BSPCB"/>
    <x v="0"/>
    <n v="25.859655"/>
    <n v="85.779439999999994"/>
    <x v="4"/>
    <n v="8"/>
    <n v="32"/>
    <n v="29"/>
  </r>
  <r>
    <s v="India"/>
    <x v="1"/>
    <x v="26"/>
    <s v="Kareemganj, Gaya - BSPCB"/>
    <x v="0"/>
    <n v="24.792403"/>
    <n v="84.992416000000006"/>
    <x v="6"/>
    <n v="10"/>
    <n v="70"/>
    <n v="37"/>
  </r>
  <r>
    <s v="India"/>
    <x v="1"/>
    <x v="26"/>
    <s v="SFTI Kusdihra, Gaya - BSPCB"/>
    <x v="0"/>
    <n v="24.762518"/>
    <n v="84.982348000000002"/>
    <x v="5"/>
    <n v="19"/>
    <n v="78"/>
    <n v="48"/>
  </r>
  <r>
    <s v="India"/>
    <x v="1"/>
    <x v="26"/>
    <s v="SFTI Kusdihra, Gaya - BSPCB"/>
    <x v="0"/>
    <n v="24.762518"/>
    <n v="84.982348000000002"/>
    <x v="2"/>
    <n v="17"/>
    <n v="25"/>
    <n v="22"/>
  </r>
  <r>
    <s v="India"/>
    <x v="1"/>
    <x v="29"/>
    <s v="Industrial Area, Hajipur - BSPCB"/>
    <x v="0"/>
    <n v="25.697189000000002"/>
    <n v="85.245900000000006"/>
    <x v="2"/>
    <n v="14"/>
    <n v="42"/>
    <n v="28"/>
  </r>
  <r>
    <s v="India"/>
    <x v="1"/>
    <x v="30"/>
    <s v="Mirchaibari, Katihar - BSPCB"/>
    <x v="0"/>
    <n v="25.560082999999999"/>
    <n v="87.553264999999996"/>
    <x v="4"/>
    <n v="13"/>
    <n v="26"/>
    <n v="21"/>
  </r>
  <r>
    <s v="India"/>
    <x v="1"/>
    <x v="22"/>
    <s v="SDM Office_Khagra, Kishanganj - BSPCB"/>
    <x v="0"/>
    <n v="26.088130499999998"/>
    <n v="87.938403359999995"/>
    <x v="5"/>
    <m/>
    <m/>
    <m/>
  </r>
  <r>
    <s v="India"/>
    <x v="1"/>
    <x v="22"/>
    <s v="SDM Office_Khagra, Kishanganj - BSPCB"/>
    <x v="0"/>
    <n v="26.088130499999998"/>
    <n v="87.938403359999995"/>
    <x v="2"/>
    <m/>
    <m/>
    <m/>
  </r>
  <r>
    <s v="India"/>
    <x v="1"/>
    <x v="22"/>
    <s v="SDM Office_Khagra, Kishanganj - BSPCB"/>
    <x v="0"/>
    <n v="26.088130499999998"/>
    <n v="87.938403359999995"/>
    <x v="6"/>
    <m/>
    <m/>
    <m/>
  </r>
  <r>
    <s v="India"/>
    <x v="1"/>
    <x v="23"/>
    <s v="Forest Rest House, Manguraha - BSPCB"/>
    <x v="0"/>
    <n v="27.308327999999999"/>
    <n v="84.531741999999994"/>
    <x v="6"/>
    <n v="2"/>
    <n v="104"/>
    <n v="7"/>
  </r>
  <r>
    <s v="India"/>
    <x v="1"/>
    <x v="18"/>
    <s v="IGSC Planetarium Complex, Patna - BSPCB"/>
    <x v="0"/>
    <n v="25.610368999999999"/>
    <n v="85.132568000000006"/>
    <x v="6"/>
    <n v="74"/>
    <n v="88"/>
    <n v="78"/>
  </r>
  <r>
    <s v="India"/>
    <x v="1"/>
    <x v="18"/>
    <s v="Muradpur, Patna - BSPCB"/>
    <x v="0"/>
    <n v="25.619651000000001"/>
    <n v="85.147381999999993"/>
    <x v="4"/>
    <n v="6"/>
    <n v="8"/>
    <n v="7"/>
  </r>
  <r>
    <s v="India"/>
    <x v="1"/>
    <x v="18"/>
    <s v="Samanpura, Patna - BSPCB"/>
    <x v="0"/>
    <n v="25.596727000000001"/>
    <n v="85.085623999999996"/>
    <x v="1"/>
    <m/>
    <m/>
    <m/>
  </r>
  <r>
    <s v="India"/>
    <x v="1"/>
    <x v="24"/>
    <s v="Town Hall, Munger - BSPCB"/>
    <x v="0"/>
    <n v="25.376776"/>
    <n v="86.471523000000005"/>
    <x v="3"/>
    <n v="6"/>
    <n v="8"/>
    <n v="7"/>
  </r>
  <r>
    <s v="India"/>
    <x v="1"/>
    <x v="28"/>
    <s v="Buddha Colony, Muzaffarpur - BSPCB"/>
    <x v="0"/>
    <n v="26.114419999999999"/>
    <n v="85.398129999999995"/>
    <x v="5"/>
    <n v="80"/>
    <n v="266"/>
    <n v="184"/>
  </r>
  <r>
    <s v="India"/>
    <x v="1"/>
    <x v="15"/>
    <s v="Mayaganj, Bhagalpur - BSPCB"/>
    <x v="0"/>
    <n v="25.265194000000001"/>
    <n v="87.012946999999997"/>
    <x v="0"/>
    <n v="3"/>
    <n v="26"/>
    <n v="13"/>
  </r>
  <r>
    <s v="India"/>
    <x v="1"/>
    <x v="27"/>
    <s v="Charitra Van, Buxar - BSPCB"/>
    <x v="0"/>
    <n v="25.567519999999998"/>
    <n v="83.966379000000003"/>
    <x v="1"/>
    <n v="44"/>
    <n v="189"/>
    <n v="117"/>
  </r>
  <r>
    <s v="India"/>
    <x v="1"/>
    <x v="26"/>
    <s v="Collectorate, Gaya - BSPCB"/>
    <x v="0"/>
    <n v="24.795500000000001"/>
    <n v="84.999399999999994"/>
    <x v="2"/>
    <n v="1"/>
    <n v="12"/>
    <n v="6"/>
  </r>
  <r>
    <s v="India"/>
    <x v="1"/>
    <x v="26"/>
    <s v="Collectorate, Gaya - BSPCB"/>
    <x v="0"/>
    <n v="24.795500000000001"/>
    <n v="84.999399999999994"/>
    <x v="4"/>
    <n v="13"/>
    <n v="15"/>
    <n v="14"/>
  </r>
  <r>
    <s v="India"/>
    <x v="1"/>
    <x v="26"/>
    <s v="Collectorate, Gaya - BSPCB"/>
    <x v="0"/>
    <n v="24.795500000000001"/>
    <n v="84.999399999999994"/>
    <x v="0"/>
    <n v="19"/>
    <n v="21"/>
    <n v="20"/>
  </r>
  <r>
    <s v="India"/>
    <x v="1"/>
    <x v="18"/>
    <s v="Govt. High School Shikarpur, Patna - BSPCB"/>
    <x v="0"/>
    <n v="25.592538999999999"/>
    <n v="85.227158000000003"/>
    <x v="3"/>
    <n v="10"/>
    <n v="14"/>
    <n v="12"/>
  </r>
  <r>
    <s v="India"/>
    <x v="1"/>
    <x v="28"/>
    <s v="Buddha Colony, Muzaffarpur - BSPCB"/>
    <x v="0"/>
    <n v="26.114419999999999"/>
    <n v="85.398129999999995"/>
    <x v="0"/>
    <n v="1"/>
    <n v="84"/>
    <n v="60"/>
  </r>
  <r>
    <s v="India"/>
    <x v="4"/>
    <x v="35"/>
    <s v="Rampur, Korba - CECB"/>
    <x v="0"/>
    <n v="22.368195"/>
    <n v="82.746431000000001"/>
    <x v="3"/>
    <m/>
    <m/>
    <m/>
  </r>
  <r>
    <s v="India"/>
    <x v="4"/>
    <x v="35"/>
    <s v="Urja Nagar, Korba - CECB"/>
    <x v="0"/>
    <n v="22.348441000000001"/>
    <n v="82.549610999999999"/>
    <x v="4"/>
    <n v="7"/>
    <n v="10"/>
    <n v="8"/>
  </r>
  <r>
    <s v="India"/>
    <x v="4"/>
    <x v="210"/>
    <s v="OP Jindal School, Kunjemura - CECB"/>
    <x v="0"/>
    <n v="22.126650000000001"/>
    <n v="83.483211999999995"/>
    <x v="4"/>
    <n v="1"/>
    <n v="6"/>
    <n v="4"/>
  </r>
  <r>
    <s v="India"/>
    <x v="4"/>
    <x v="210"/>
    <s v="OP Jindal School, Kunjemura - CECB"/>
    <x v="0"/>
    <n v="22.126650000000001"/>
    <n v="83.483211999999995"/>
    <x v="6"/>
    <n v="20"/>
    <n v="57"/>
    <n v="25"/>
  </r>
  <r>
    <s v="India"/>
    <x v="4"/>
    <x v="210"/>
    <s v="OP Jindal School, Kunjemura - CECB"/>
    <x v="0"/>
    <n v="22.126650000000001"/>
    <n v="83.483211999999995"/>
    <x v="0"/>
    <n v="8"/>
    <n v="9"/>
    <n v="8"/>
  </r>
  <r>
    <s v="India"/>
    <x v="4"/>
    <x v="211"/>
    <s v="Govt. Higher Secondary School, Milupara - CECB"/>
    <x v="0"/>
    <n v="22.191017200000001"/>
    <n v="83.519700900000004"/>
    <x v="4"/>
    <n v="5"/>
    <n v="36"/>
    <n v="15"/>
  </r>
  <r>
    <s v="India"/>
    <x v="4"/>
    <x v="40"/>
    <s v="Siltara Phase-II, Raipur - CECB"/>
    <x v="0"/>
    <n v="21.371751"/>
    <n v="81.664929000000001"/>
    <x v="6"/>
    <n v="10"/>
    <n v="62"/>
    <n v="18"/>
  </r>
  <r>
    <s v="India"/>
    <x v="4"/>
    <x v="40"/>
    <s v="Siltara Phase-II, Raipur - CECB"/>
    <x v="0"/>
    <n v="21.371751"/>
    <n v="81.664929000000001"/>
    <x v="0"/>
    <n v="4"/>
    <n v="37"/>
    <n v="19"/>
  </r>
  <r>
    <s v="India"/>
    <x v="4"/>
    <x v="212"/>
    <s v="OP Jindal Industrial Park, Tumidih - CECB"/>
    <x v="0"/>
    <n v="22.06631475"/>
    <n v="83.33820077"/>
    <x v="5"/>
    <n v="18"/>
    <n v="322"/>
    <n v="102"/>
  </r>
  <r>
    <s v="India"/>
    <x v="6"/>
    <x v="39"/>
    <s v="Alipur, Delhi - DPCC"/>
    <x v="0"/>
    <n v="28.815328999999998"/>
    <n v="77.153009999999995"/>
    <x v="5"/>
    <n v="23"/>
    <n v="419"/>
    <n v="190"/>
  </r>
  <r>
    <s v="India"/>
    <x v="5"/>
    <x v="38"/>
    <s v="Sector 22, Chandigarh - CPCC"/>
    <x v="0"/>
    <n v="30.735567"/>
    <n v="76.775713999999994"/>
    <x v="0"/>
    <n v="4"/>
    <n v="188"/>
    <n v="104"/>
  </r>
  <r>
    <s v="India"/>
    <x v="5"/>
    <x v="38"/>
    <s v="Sector-53, Chandigarh - CPCC"/>
    <x v="0"/>
    <n v="30.719859"/>
    <n v="76.738636999999997"/>
    <x v="5"/>
    <m/>
    <m/>
    <m/>
  </r>
  <r>
    <s v="India"/>
    <x v="4"/>
    <x v="32"/>
    <s v="32Bungalows, Bhilai - CECB"/>
    <x v="0"/>
    <n v="21.194814999999998"/>
    <n v="81.314769999999996"/>
    <x v="1"/>
    <n v="31"/>
    <n v="70"/>
    <n v="54"/>
  </r>
  <r>
    <s v="India"/>
    <x v="4"/>
    <x v="32"/>
    <s v="32Bungalows, Bhilai - CECB"/>
    <x v="0"/>
    <n v="21.194814999999998"/>
    <n v="81.314769999999996"/>
    <x v="0"/>
    <n v="15"/>
    <n v="35"/>
    <n v="25"/>
  </r>
  <r>
    <s v="India"/>
    <x v="4"/>
    <x v="33"/>
    <s v="Mangala, Bilaspur - NTPC"/>
    <x v="0"/>
    <n v="22.088149999999999"/>
    <n v="82.137370000000004"/>
    <x v="4"/>
    <m/>
    <m/>
    <m/>
  </r>
  <r>
    <s v="India"/>
    <x v="4"/>
    <x v="34"/>
    <s v="Nawapara SECL Colony, Chhal - CECB"/>
    <x v="0"/>
    <n v="22.118124999999999"/>
    <n v="83.140608"/>
    <x v="5"/>
    <n v="36"/>
    <n v="404"/>
    <n v="94"/>
  </r>
  <r>
    <s v="India"/>
    <x v="4"/>
    <x v="34"/>
    <s v="Nawapara SECL Colony, Chhal - CECB"/>
    <x v="0"/>
    <n v="22.118124999999999"/>
    <n v="83.140608"/>
    <x v="2"/>
    <n v="13"/>
    <n v="31"/>
    <n v="19"/>
  </r>
  <r>
    <s v="India"/>
    <x v="4"/>
    <x v="34"/>
    <s v="Nawapara SECL Colony, Chhal - CECB"/>
    <x v="0"/>
    <n v="22.118124999999999"/>
    <n v="83.140608"/>
    <x v="4"/>
    <n v="6"/>
    <n v="7"/>
    <n v="6"/>
  </r>
  <r>
    <s v="India"/>
    <x v="4"/>
    <x v="40"/>
    <s v="Bhatagaon New ISBT, Raipur - CECB"/>
    <x v="0"/>
    <n v="21.219664999999999"/>
    <n v="81.630094"/>
    <x v="0"/>
    <n v="6"/>
    <n v="34"/>
    <n v="22"/>
  </r>
  <r>
    <s v="India"/>
    <x v="4"/>
    <x v="40"/>
    <s v="Krishak Nagar, Raipur - CECB"/>
    <x v="0"/>
    <n v="21.237755"/>
    <n v="81.705301000000006"/>
    <x v="5"/>
    <n v="1"/>
    <n v="6"/>
    <n v="3"/>
  </r>
  <r>
    <s v="India"/>
    <x v="4"/>
    <x v="40"/>
    <s v="Krishak Nagar, Raipur - CECB"/>
    <x v="0"/>
    <n v="21.237755"/>
    <n v="81.705301000000006"/>
    <x v="3"/>
    <n v="7"/>
    <n v="7"/>
    <n v="7"/>
  </r>
  <r>
    <s v="India"/>
    <x v="4"/>
    <x v="40"/>
    <s v="AIIMS, Raipur - CECB"/>
    <x v="0"/>
    <n v="21.258814999999998"/>
    <n v="81.578979000000004"/>
    <x v="1"/>
    <n v="39"/>
    <n v="89"/>
    <n v="55"/>
  </r>
  <r>
    <s v="India"/>
    <x v="4"/>
    <x v="40"/>
    <s v="Bhatagaon New ISBT, Raipur - CECB"/>
    <x v="0"/>
    <n v="21.219664999999999"/>
    <n v="81.630094"/>
    <x v="4"/>
    <n v="3"/>
    <n v="15"/>
    <n v="8"/>
  </r>
  <r>
    <s v="India"/>
    <x v="4"/>
    <x v="40"/>
    <s v="Siltara Phase-II, Raipur - CECB"/>
    <x v="0"/>
    <n v="21.371751"/>
    <n v="81.664929000000001"/>
    <x v="1"/>
    <n v="75"/>
    <n v="156"/>
    <n v="124"/>
  </r>
  <r>
    <s v="India"/>
    <x v="1"/>
    <x v="36"/>
    <s v="Dada Peer, Sasaram - BSPCB"/>
    <x v="0"/>
    <n v="24.952822000000001"/>
    <n v="84.002396000000005"/>
    <x v="5"/>
    <n v="88"/>
    <n v="324"/>
    <n v="183"/>
  </r>
  <r>
    <s v="India"/>
    <x v="1"/>
    <x v="36"/>
    <s v="Dada Peer, Sasaram - BSPCB"/>
    <x v="0"/>
    <n v="24.952822000000001"/>
    <n v="84.002396000000005"/>
    <x v="6"/>
    <n v="30"/>
    <n v="55"/>
    <n v="49"/>
  </r>
  <r>
    <s v="India"/>
    <x v="6"/>
    <x v="39"/>
    <s v="Lodhi Road, Delhi - IMD"/>
    <x v="0"/>
    <n v="28.591824500000001"/>
    <n v="77.227307400000001"/>
    <x v="1"/>
    <m/>
    <m/>
    <m/>
  </r>
  <r>
    <s v="India"/>
    <x v="6"/>
    <x v="39"/>
    <s v="Major Dhyan Chand National Stadium, Delhi - DPCC"/>
    <x v="0"/>
    <n v="28.611281000000002"/>
    <n v="77.237737999999993"/>
    <x v="1"/>
    <n v="70"/>
    <n v="230"/>
    <n v="142"/>
  </r>
  <r>
    <s v="India"/>
    <x v="6"/>
    <x v="39"/>
    <s v="Major Dhyan Chand National Stadium, Delhi - DPCC"/>
    <x v="0"/>
    <n v="28.611281000000002"/>
    <n v="77.237737999999993"/>
    <x v="3"/>
    <n v="14"/>
    <n v="20"/>
    <n v="17"/>
  </r>
  <r>
    <s v="India"/>
    <x v="6"/>
    <x v="39"/>
    <s v="Major Dhyan Chand National Stadium, Delhi - DPCC"/>
    <x v="0"/>
    <n v="28.611281000000002"/>
    <n v="77.237737999999993"/>
    <x v="6"/>
    <n v="2"/>
    <n v="125"/>
    <n v="50"/>
  </r>
  <r>
    <s v="India"/>
    <x v="6"/>
    <x v="39"/>
    <s v="Mandir Marg, Delhi - DPCC"/>
    <x v="0"/>
    <n v="28.636429"/>
    <n v="77.201066999999995"/>
    <x v="4"/>
    <n v="6"/>
    <n v="37"/>
    <n v="19"/>
  </r>
  <r>
    <s v="India"/>
    <x v="6"/>
    <x v="39"/>
    <s v="Mandir Marg, Delhi - DPCC"/>
    <x v="0"/>
    <n v="28.636429"/>
    <n v="77.201066999999995"/>
    <x v="0"/>
    <n v="6"/>
    <n v="22"/>
    <n v="13"/>
  </r>
  <r>
    <s v="India"/>
    <x v="6"/>
    <x v="39"/>
    <s v="R K Puram, Delhi - DPCC"/>
    <x v="0"/>
    <n v="28.563262000000002"/>
    <n v="77.186937"/>
    <x v="5"/>
    <n v="57"/>
    <n v="385"/>
    <n v="224"/>
  </r>
  <r>
    <s v="India"/>
    <x v="6"/>
    <x v="39"/>
    <s v="R K Puram, Delhi - DPCC"/>
    <x v="0"/>
    <n v="28.563262000000002"/>
    <n v="77.186937"/>
    <x v="3"/>
    <n v="4"/>
    <n v="7"/>
    <n v="5"/>
  </r>
  <r>
    <s v="India"/>
    <x v="6"/>
    <x v="39"/>
    <s v="R K Puram, Delhi - DPCC"/>
    <x v="0"/>
    <n v="28.563262000000002"/>
    <n v="77.186937"/>
    <x v="0"/>
    <n v="10"/>
    <n v="17"/>
    <n v="12"/>
  </r>
  <r>
    <s v="India"/>
    <x v="6"/>
    <x v="39"/>
    <s v="Rohini, Delhi - DPCC"/>
    <x v="0"/>
    <n v="28.732527999999999"/>
    <n v="77.119919999999993"/>
    <x v="1"/>
    <n v="86"/>
    <n v="500"/>
    <n v="289"/>
  </r>
  <r>
    <s v="India"/>
    <x v="6"/>
    <x v="39"/>
    <s v="Rohini, Delhi - DPCC"/>
    <x v="0"/>
    <n v="28.732527999999999"/>
    <n v="77.119919999999993"/>
    <x v="4"/>
    <n v="8"/>
    <n v="95"/>
    <n v="38"/>
  </r>
  <r>
    <s v="India"/>
    <x v="6"/>
    <x v="39"/>
    <s v="Shadipur, Delhi - CPCB"/>
    <x v="0"/>
    <n v="28.651478099999999"/>
    <n v="77.147310500000003"/>
    <x v="0"/>
    <n v="15"/>
    <n v="53"/>
    <n v="32"/>
  </r>
  <r>
    <s v="India"/>
    <x v="6"/>
    <x v="39"/>
    <s v="CRRI Mathura Road, Delhi - IMD"/>
    <x v="0"/>
    <n v="28.5512005"/>
    <n v="77.2735737"/>
    <x v="5"/>
    <n v="43"/>
    <n v="338"/>
    <n v="178"/>
  </r>
  <r>
    <s v="India"/>
    <x v="6"/>
    <x v="39"/>
    <s v="CRRI Mathura Road, Delhi - IMD"/>
    <x v="0"/>
    <n v="28.5512005"/>
    <n v="77.2735737"/>
    <x v="6"/>
    <n v="26"/>
    <n v="154"/>
    <n v="66"/>
  </r>
  <r>
    <s v="India"/>
    <x v="6"/>
    <x v="39"/>
    <s v="Dwarka-Sector 8, Delhi - DPCC "/>
    <x v="0"/>
    <n v="28.571027399999998"/>
    <n v="77.071900600000006"/>
    <x v="5"/>
    <n v="45"/>
    <n v="378"/>
    <n v="207"/>
  </r>
  <r>
    <s v="India"/>
    <x v="6"/>
    <x v="39"/>
    <s v="Dwarka-Sector 8, Delhi - DPCC "/>
    <x v="0"/>
    <n v="28.571027399999998"/>
    <n v="77.071900600000006"/>
    <x v="4"/>
    <n v="19"/>
    <n v="42"/>
    <n v="30"/>
  </r>
  <r>
    <s v="India"/>
    <x v="6"/>
    <x v="39"/>
    <s v="ITO, Delhi - CPCB"/>
    <x v="0"/>
    <n v="28.628623999999999"/>
    <n v="77.241060000000004"/>
    <x v="1"/>
    <n v="67"/>
    <n v="208"/>
    <n v="132"/>
  </r>
  <r>
    <s v="India"/>
    <x v="6"/>
    <x v="39"/>
    <s v="ITO, Delhi - CPCB"/>
    <x v="0"/>
    <n v="28.628623999999999"/>
    <n v="77.241060000000004"/>
    <x v="6"/>
    <n v="17"/>
    <n v="145"/>
    <n v="49"/>
  </r>
  <r>
    <s v="India"/>
    <x v="6"/>
    <x v="39"/>
    <s v="ITO, Delhi - CPCB"/>
    <x v="0"/>
    <n v="28.628623999999999"/>
    <n v="77.241060000000004"/>
    <x v="0"/>
    <n v="1"/>
    <n v="43"/>
    <n v="20"/>
  </r>
  <r>
    <s v="India"/>
    <x v="6"/>
    <x v="39"/>
    <s v="Jahangirpuri, Delhi - DPCC"/>
    <x v="0"/>
    <n v="28.73282"/>
    <n v="77.170632999999995"/>
    <x v="6"/>
    <n v="40"/>
    <n v="123"/>
    <n v="66"/>
  </r>
  <r>
    <s v="India"/>
    <x v="6"/>
    <x v="39"/>
    <s v="NSIT Dwarka, Delhi - CPCB"/>
    <x v="0"/>
    <n v="28.609089999999998"/>
    <n v="77.032541300000005"/>
    <x v="4"/>
    <n v="6"/>
    <n v="15"/>
    <n v="11"/>
  </r>
  <r>
    <s v="India"/>
    <x v="6"/>
    <x v="39"/>
    <s v="Najafgarh, Delhi - DPCC"/>
    <x v="0"/>
    <n v="28.570173"/>
    <n v="76.933762000000002"/>
    <x v="6"/>
    <n v="18"/>
    <n v="62"/>
    <n v="36"/>
  </r>
  <r>
    <s v="India"/>
    <x v="6"/>
    <x v="39"/>
    <s v="Narela, Delhi - DPCC"/>
    <x v="0"/>
    <n v="28.822835999999999"/>
    <n v="77.101980999999995"/>
    <x v="0"/>
    <n v="5"/>
    <n v="58"/>
    <n v="36"/>
  </r>
  <r>
    <s v="India"/>
    <x v="6"/>
    <x v="39"/>
    <s v="Nehru Nagar, Delhi - DPCC"/>
    <x v="0"/>
    <n v="28.567889999999998"/>
    <n v="77.250514999999993"/>
    <x v="4"/>
    <n v="11"/>
    <n v="45"/>
    <n v="25"/>
  </r>
  <r>
    <s v="India"/>
    <x v="6"/>
    <x v="39"/>
    <s v="Nehru Nagar, Delhi - DPCC"/>
    <x v="0"/>
    <n v="28.567889999999998"/>
    <n v="77.250514999999993"/>
    <x v="0"/>
    <n v="2"/>
    <n v="306"/>
    <n v="166"/>
  </r>
  <r>
    <s v="India"/>
    <x v="6"/>
    <x v="39"/>
    <s v="Okhla Phase-2, Delhi - DPCC"/>
    <x v="0"/>
    <n v="28.530785000000002"/>
    <n v="77.271254999999996"/>
    <x v="3"/>
    <n v="8"/>
    <n v="11"/>
    <n v="9"/>
  </r>
  <r>
    <s v="India"/>
    <x v="6"/>
    <x v="39"/>
    <s v="Sirifort, Delhi - CPCB"/>
    <x v="0"/>
    <n v="28.550424899999999"/>
    <n v="77.215937699999998"/>
    <x v="4"/>
    <n v="24"/>
    <n v="80"/>
    <n v="48"/>
  </r>
  <r>
    <s v="India"/>
    <x v="6"/>
    <x v="39"/>
    <s v="Sirifort, Delhi - CPCB"/>
    <x v="0"/>
    <n v="28.550424899999999"/>
    <n v="77.215937699999998"/>
    <x v="0"/>
    <n v="11"/>
    <n v="53"/>
    <n v="28"/>
  </r>
  <r>
    <s v="India"/>
    <x v="6"/>
    <x v="39"/>
    <s v="Sonia Vihar, Delhi - DPCC"/>
    <x v="0"/>
    <n v="28.710508000000001"/>
    <n v="77.249485000000007"/>
    <x v="2"/>
    <n v="12"/>
    <n v="100"/>
    <n v="54"/>
  </r>
  <r>
    <s v="India"/>
    <x v="6"/>
    <x v="39"/>
    <s v="Anand Vihar, Delhi - DPCC"/>
    <x v="0"/>
    <n v="28.647621999999998"/>
    <n v="77.315809000000002"/>
    <x v="5"/>
    <n v="13"/>
    <n v="392"/>
    <n v="173"/>
  </r>
  <r>
    <s v="India"/>
    <x v="6"/>
    <x v="39"/>
    <s v="Anand Vihar, Delhi - DPCC"/>
    <x v="0"/>
    <n v="28.647621999999998"/>
    <n v="77.315809000000002"/>
    <x v="1"/>
    <n v="83"/>
    <n v="418"/>
    <n v="214"/>
  </r>
  <r>
    <s v="India"/>
    <x v="6"/>
    <x v="39"/>
    <s v="Burari Crossing, Delhi - IMD"/>
    <x v="0"/>
    <n v="28.725650399999999"/>
    <n v="77.201157300000006"/>
    <x v="5"/>
    <n v="16"/>
    <n v="398"/>
    <n v="185"/>
  </r>
  <r>
    <s v="India"/>
    <x v="6"/>
    <x v="39"/>
    <s v="Jawaharlal Nehru Stadium, Delhi - DPCC"/>
    <x v="0"/>
    <n v="28.580279999999998"/>
    <n v="77.233829"/>
    <x v="5"/>
    <n v="28"/>
    <n v="303"/>
    <n v="106"/>
  </r>
  <r>
    <s v="India"/>
    <x v="6"/>
    <x v="39"/>
    <s v="Jawaharlal Nehru Stadium, Delhi - DPCC"/>
    <x v="0"/>
    <n v="28.580279999999998"/>
    <n v="77.233829"/>
    <x v="4"/>
    <n v="4"/>
    <n v="27"/>
    <n v="13"/>
  </r>
  <r>
    <s v="India"/>
    <x v="10"/>
    <x v="44"/>
    <s v="Vidayagiri, Bagalkot - KSPCB"/>
    <x v="0"/>
    <n v="16.172806000000001"/>
    <n v="75.659694000000002"/>
    <x v="0"/>
    <n v="12"/>
    <n v="16"/>
    <n v="16"/>
  </r>
  <r>
    <s v="India"/>
    <x v="10"/>
    <x v="215"/>
    <s v="Ramteerth Nagar, Belgaum - KSPCB"/>
    <x v="0"/>
    <n v="15.888653"/>
    <n v="74.541751000000005"/>
    <x v="1"/>
    <n v="30"/>
    <n v="44"/>
    <n v="35"/>
  </r>
  <r>
    <s v="India"/>
    <x v="10"/>
    <x v="45"/>
    <s v="BTM Layout, Bengaluru - CPCB"/>
    <x v="0"/>
    <n v="12.9135218"/>
    <n v="77.595080400000001"/>
    <x v="5"/>
    <n v="23"/>
    <n v="51"/>
    <n v="36"/>
  </r>
  <r>
    <s v="India"/>
    <x v="10"/>
    <x v="45"/>
    <s v="BTM Layout, Bengaluru - CPCB"/>
    <x v="0"/>
    <n v="12.9135218"/>
    <n v="77.595080400000001"/>
    <x v="3"/>
    <m/>
    <m/>
    <m/>
  </r>
  <r>
    <s v="India"/>
    <x v="10"/>
    <x v="45"/>
    <s v="BTM Layout, Bengaluru - CPCB"/>
    <x v="0"/>
    <n v="12.9135218"/>
    <n v="77.595080400000001"/>
    <x v="6"/>
    <n v="26"/>
    <n v="36"/>
    <n v="35"/>
  </r>
  <r>
    <s v="India"/>
    <x v="10"/>
    <x v="45"/>
    <s v="Bapuji Nagar, Bengaluru - KSPCB"/>
    <x v="0"/>
    <n v="12.951912999999999"/>
    <n v="77.539783999999997"/>
    <x v="1"/>
    <n v="44"/>
    <n v="117"/>
    <n v="76"/>
  </r>
  <r>
    <s v="India"/>
    <x v="10"/>
    <x v="45"/>
    <s v="Bapuji Nagar, Bengaluru - KSPCB"/>
    <x v="0"/>
    <n v="12.951912999999999"/>
    <n v="77.539783999999997"/>
    <x v="4"/>
    <n v="19"/>
    <n v="38"/>
    <n v="29"/>
  </r>
  <r>
    <s v="India"/>
    <x v="10"/>
    <x v="45"/>
    <s v="Hebbal, Bengaluru - KSPCB"/>
    <x v="0"/>
    <n v="13.029152"/>
    <n v="77.585901000000007"/>
    <x v="5"/>
    <n v="23"/>
    <n v="61"/>
    <n v="40"/>
  </r>
  <r>
    <s v="India"/>
    <x v="10"/>
    <x v="45"/>
    <s v="Hebbal, Bengaluru - KSPCB"/>
    <x v="0"/>
    <n v="13.029152"/>
    <n v="77.585901000000007"/>
    <x v="4"/>
    <n v="1"/>
    <n v="5"/>
    <n v="3"/>
  </r>
  <r>
    <s v="India"/>
    <x v="7"/>
    <x v="49"/>
    <s v="GIFT City, Gandhinagar - IITM"/>
    <x v="0"/>
    <n v="23.163798"/>
    <n v="72.677768"/>
    <x v="3"/>
    <n v="5"/>
    <n v="20"/>
    <n v="10"/>
  </r>
  <r>
    <s v="India"/>
    <x v="7"/>
    <x v="49"/>
    <s v="GIFT City, Gandhinagar - IITM"/>
    <x v="0"/>
    <n v="23.163798"/>
    <n v="72.677768"/>
    <x v="4"/>
    <n v="5"/>
    <n v="34"/>
    <n v="10"/>
  </r>
  <r>
    <s v="India"/>
    <x v="7"/>
    <x v="49"/>
    <s v="GIFT City, Gandhinagar - IITM"/>
    <x v="0"/>
    <n v="23.163798"/>
    <n v="72.677768"/>
    <x v="6"/>
    <n v="1"/>
    <n v="60"/>
    <n v="10"/>
  </r>
  <r>
    <s v="India"/>
    <x v="7"/>
    <x v="49"/>
    <s v="IIPHG Lekawada, Gandhinagar - IITM"/>
    <x v="0"/>
    <n v="23.243639000000002"/>
    <n v="72.689940000000007"/>
    <x v="2"/>
    <n v="24"/>
    <n v="133"/>
    <n v="64"/>
  </r>
  <r>
    <s v="India"/>
    <x v="7"/>
    <x v="49"/>
    <s v="IIPHG Lekawada, Gandhinagar - IITM"/>
    <x v="0"/>
    <n v="23.243639000000002"/>
    <n v="72.689940000000007"/>
    <x v="6"/>
    <n v="2"/>
    <n v="105"/>
    <n v="55"/>
  </r>
  <r>
    <s v="India"/>
    <x v="7"/>
    <x v="217"/>
    <s v="GIDC, Nandesari - Nandesari Ind. Association"/>
    <x v="0"/>
    <n v="22.410802"/>
    <n v="73.097922999999994"/>
    <x v="1"/>
    <n v="1"/>
    <n v="9"/>
    <n v="3"/>
  </r>
  <r>
    <s v="India"/>
    <x v="7"/>
    <x v="217"/>
    <s v="GIDC, Nandesari - Nandesari Ind. Association"/>
    <x v="0"/>
    <n v="22.410802"/>
    <n v="73.097922999999994"/>
    <x v="4"/>
    <n v="2"/>
    <n v="22"/>
    <n v="12"/>
  </r>
  <r>
    <s v="India"/>
    <x v="8"/>
    <x v="42"/>
    <s v="HIMUDA Complex Phase-1, Baddi - HPPCB"/>
    <x v="0"/>
    <n v="30.943887"/>
    <n v="76.801991000000001"/>
    <x v="6"/>
    <n v="50"/>
    <n v="105"/>
    <n v="71"/>
  </r>
  <r>
    <s v="India"/>
    <x v="9"/>
    <x v="43"/>
    <s v="Rajbagh, Srinagar - JKSPCB"/>
    <x v="0"/>
    <n v="34.066206000000001"/>
    <n v="74.819820000000007"/>
    <x v="4"/>
    <n v="3"/>
    <n v="6"/>
    <n v="3"/>
  </r>
  <r>
    <s v="India"/>
    <x v="9"/>
    <x v="43"/>
    <s v="Rajbagh, Srinagar - JKSPCB"/>
    <x v="0"/>
    <n v="34.066206000000001"/>
    <n v="74.819820000000007"/>
    <x v="6"/>
    <n v="12"/>
    <n v="20"/>
    <n v="15"/>
  </r>
  <r>
    <s v="India"/>
    <x v="27"/>
    <x v="216"/>
    <s v="Sardar Patel Nagar, Dhanbad - JSPCB"/>
    <x v="0"/>
    <n v="23.805689999999998"/>
    <n v="86.442679999999996"/>
    <x v="2"/>
    <n v="127"/>
    <n v="129"/>
    <n v="127"/>
  </r>
  <r>
    <s v="India"/>
    <x v="27"/>
    <x v="216"/>
    <s v="Sardar Patel Nagar, Dhanbad - JSPCB"/>
    <x v="0"/>
    <n v="23.805689999999998"/>
    <n v="86.442679999999996"/>
    <x v="4"/>
    <m/>
    <m/>
    <m/>
  </r>
  <r>
    <s v="India"/>
    <x v="7"/>
    <x v="41"/>
    <s v="Raikhad, Ahmedabad - IITM"/>
    <x v="0"/>
    <n v="23.020509000000001"/>
    <n v="72.579261000000002"/>
    <x v="4"/>
    <n v="10"/>
    <n v="27"/>
    <n v="17"/>
  </r>
  <r>
    <s v="India"/>
    <x v="7"/>
    <x v="41"/>
    <s v="Raikhad, Ahmedabad - IITM"/>
    <x v="0"/>
    <n v="23.020509000000001"/>
    <n v="72.579261000000002"/>
    <x v="6"/>
    <n v="1"/>
    <n v="125"/>
    <n v="61"/>
  </r>
  <r>
    <s v="India"/>
    <x v="7"/>
    <x v="41"/>
    <s v="Rakhial, Ahmedabad - IITM"/>
    <x v="0"/>
    <n v="23.016833999999999"/>
    <n v="72.625775000000004"/>
    <x v="1"/>
    <n v="27"/>
    <n v="241"/>
    <n v="93"/>
  </r>
  <r>
    <s v="India"/>
    <x v="7"/>
    <x v="41"/>
    <s v="Rakhial, Ahmedabad - IITM"/>
    <x v="0"/>
    <n v="23.016833999999999"/>
    <n v="72.625775000000004"/>
    <x v="2"/>
    <n v="1"/>
    <n v="11"/>
    <n v="8"/>
  </r>
  <r>
    <s v="India"/>
    <x v="7"/>
    <x v="41"/>
    <s v="SAC ISRO Bopal, Ahmedabad - IITM"/>
    <x v="0"/>
    <n v="23.041136999999999"/>
    <n v="72.456691000000006"/>
    <x v="3"/>
    <m/>
    <m/>
    <m/>
  </r>
  <r>
    <s v="India"/>
    <x v="7"/>
    <x v="41"/>
    <s v="SAC ISRO Bopal, Ahmedabad - IITM"/>
    <x v="0"/>
    <n v="23.041136999999999"/>
    <n v="72.456691000000006"/>
    <x v="6"/>
    <n v="20"/>
    <n v="72"/>
    <n v="28"/>
  </r>
  <r>
    <s v="India"/>
    <x v="7"/>
    <x v="41"/>
    <s v="Chandkheda, Ahmedabad - IITM"/>
    <x v="0"/>
    <n v="23.107969000000001"/>
    <n v="72.574647999999996"/>
    <x v="1"/>
    <n v="36"/>
    <n v="236"/>
    <n v="99"/>
  </r>
  <r>
    <s v="India"/>
    <x v="7"/>
    <x v="41"/>
    <s v="Chandkheda, Ahmedabad - IITM"/>
    <x v="0"/>
    <n v="23.107969000000001"/>
    <n v="72.574647999999996"/>
    <x v="2"/>
    <n v="32"/>
    <n v="102"/>
    <n v="55"/>
  </r>
  <r>
    <s v="India"/>
    <x v="7"/>
    <x v="41"/>
    <s v="Chandkheda, Ahmedabad - IITM"/>
    <x v="0"/>
    <n v="23.107969000000001"/>
    <n v="72.574647999999996"/>
    <x v="4"/>
    <n v="9"/>
    <n v="42"/>
    <n v="20"/>
  </r>
  <r>
    <s v="India"/>
    <x v="7"/>
    <x v="41"/>
    <s v="Gyaspur, Ahmedabad - IITM"/>
    <x v="0"/>
    <n v="22.977134"/>
    <n v="72.553023999999994"/>
    <x v="3"/>
    <n v="1"/>
    <n v="23"/>
    <n v="8"/>
  </r>
  <r>
    <s v="India"/>
    <x v="7"/>
    <x v="41"/>
    <s v="Sardar Vallabhbhai Patel Stadium, Ahmedabad - IITM"/>
    <x v="0"/>
    <n v="23.04307"/>
    <n v="72.562967999999998"/>
    <x v="5"/>
    <n v="45"/>
    <n v="167"/>
    <n v="73"/>
  </r>
  <r>
    <s v="India"/>
    <x v="7"/>
    <x v="41"/>
    <s v="Sardar Vallabhbhai Patel Stadium, Ahmedabad - IITM"/>
    <x v="0"/>
    <n v="23.04307"/>
    <n v="72.562967999999998"/>
    <x v="2"/>
    <n v="10"/>
    <n v="81"/>
    <n v="32"/>
  </r>
  <r>
    <s v="India"/>
    <x v="7"/>
    <x v="49"/>
    <s v="GIFT City, Gandhinagar - IITM"/>
    <x v="0"/>
    <n v="23.163798"/>
    <n v="72.677768"/>
    <x v="2"/>
    <n v="5"/>
    <n v="47"/>
    <n v="24"/>
  </r>
  <r>
    <s v="India"/>
    <x v="7"/>
    <x v="214"/>
    <s v="Phase-4 GIDC, Vatva - GPCB"/>
    <x v="0"/>
    <n v="22.969611"/>
    <n v="72.643500000000003"/>
    <x v="1"/>
    <n v="43"/>
    <n v="260"/>
    <n v="92"/>
  </r>
  <r>
    <s v="India"/>
    <x v="11"/>
    <x v="47"/>
    <s v="Amity University, Panchgaon - IITM"/>
    <x v="0"/>
    <n v="28.315300000000001"/>
    <n v="76.914299999999997"/>
    <x v="3"/>
    <n v="4"/>
    <n v="9"/>
    <n v="6"/>
  </r>
  <r>
    <s v="India"/>
    <x v="6"/>
    <x v="39"/>
    <s v="Sri Aurobindo Marg, Delhi - DPCC"/>
    <x v="0"/>
    <n v="28.531345999999999"/>
    <n v="77.190156000000002"/>
    <x v="6"/>
    <n v="15"/>
    <n v="62"/>
    <n v="25"/>
  </r>
  <r>
    <s v="India"/>
    <x v="6"/>
    <x v="39"/>
    <s v="Sri Aurobindo Marg, Delhi - DPCC"/>
    <x v="0"/>
    <n v="28.531345999999999"/>
    <n v="77.190156000000002"/>
    <x v="0"/>
    <n v="8"/>
    <n v="210"/>
    <n v="111"/>
  </r>
  <r>
    <s v="India"/>
    <x v="7"/>
    <x v="41"/>
    <s v="Gyaspur, Ahmedabad - IITM"/>
    <x v="0"/>
    <n v="22.977134"/>
    <n v="72.553023999999994"/>
    <x v="4"/>
    <n v="22"/>
    <n v="108"/>
    <n v="64"/>
  </r>
  <r>
    <s v="India"/>
    <x v="7"/>
    <x v="41"/>
    <s v="Gyaspur, Ahmedabad - IITM"/>
    <x v="0"/>
    <n v="22.977134"/>
    <n v="72.553023999999994"/>
    <x v="6"/>
    <n v="1"/>
    <n v="52"/>
    <n v="18"/>
  </r>
  <r>
    <s v="India"/>
    <x v="10"/>
    <x v="52"/>
    <s v="Ashwini Nagar, Haveri - KSPCB"/>
    <x v="0"/>
    <n v="14.7918"/>
    <n v="75.389600000000002"/>
    <x v="4"/>
    <m/>
    <m/>
    <m/>
  </r>
  <r>
    <s v="India"/>
    <x v="10"/>
    <x v="53"/>
    <s v="Lingaraj Nagar, Hubballi - KSPCB"/>
    <x v="0"/>
    <n v="15.3714823"/>
    <n v="75.116016799999997"/>
    <x v="2"/>
    <n v="11"/>
    <n v="11"/>
    <n v="11"/>
  </r>
  <r>
    <s v="India"/>
    <x v="10"/>
    <x v="54"/>
    <s v="Lal Bahadur Shastri Nagar, Kalaburagi - KSPCB"/>
    <x v="0"/>
    <n v="17.321992999999999"/>
    <n v="76.822627999999995"/>
    <x v="5"/>
    <n v="35"/>
    <n v="92"/>
    <n v="61"/>
  </r>
  <r>
    <s v="India"/>
    <x v="10"/>
    <x v="54"/>
    <s v="Mahatma Basaveswar Colony, Kalaburgi - KSPCB"/>
    <x v="0"/>
    <n v="17.336317999999999"/>
    <n v="76.847397000000001"/>
    <x v="0"/>
    <n v="2"/>
    <n v="20"/>
    <n v="14"/>
  </r>
  <r>
    <s v="India"/>
    <x v="10"/>
    <x v="218"/>
    <s v="Diwator Nagar, Koppal - KSPCB"/>
    <x v="0"/>
    <n v="15.347630000000001"/>
    <n v="76.181766999999994"/>
    <x v="1"/>
    <n v="16"/>
    <n v="59"/>
    <n v="31"/>
  </r>
  <r>
    <s v="India"/>
    <x v="10"/>
    <x v="45"/>
    <s v="Kasturi Nagar, Bengaluru - KSPCB"/>
    <x v="0"/>
    <n v="13.003871999999999"/>
    <n v="77.664216999999994"/>
    <x v="1"/>
    <n v="82"/>
    <n v="147"/>
    <n v="107"/>
  </r>
  <r>
    <s v="India"/>
    <x v="10"/>
    <x v="45"/>
    <s v="Kasturi Nagar, Bengaluru - KSPCB"/>
    <x v="0"/>
    <n v="13.003871999999999"/>
    <n v="77.664216999999994"/>
    <x v="0"/>
    <n v="28"/>
    <n v="29"/>
    <n v="28"/>
  </r>
  <r>
    <s v="India"/>
    <x v="10"/>
    <x v="45"/>
    <s v="Peenya, Bengaluru - CPCB"/>
    <x v="0"/>
    <n v="13.027019900000001"/>
    <n v="77.494094000000004"/>
    <x v="2"/>
    <n v="16"/>
    <n v="23"/>
    <n v="20"/>
  </r>
  <r>
    <s v="India"/>
    <x v="10"/>
    <x v="45"/>
    <s v="Peenya, Bengaluru - CPCB"/>
    <x v="0"/>
    <n v="13.027019900000001"/>
    <n v="77.494094000000004"/>
    <x v="3"/>
    <n v="4"/>
    <n v="5"/>
    <n v="5"/>
  </r>
  <r>
    <s v="India"/>
    <x v="10"/>
    <x v="45"/>
    <s v="RVCE-Mailasandra, Bengaluru - KSPCB"/>
    <x v="0"/>
    <n v="12.921417999999999"/>
    <n v="77.502465999999998"/>
    <x v="6"/>
    <n v="24"/>
    <n v="49"/>
    <n v="33"/>
  </r>
  <r>
    <s v="India"/>
    <x v="10"/>
    <x v="45"/>
    <s v="Shivapura_Peenya, Bengaluru - KSPCB"/>
    <x v="0"/>
    <n v="13.024634199999999"/>
    <n v="77.508011499999995"/>
    <x v="6"/>
    <n v="34"/>
    <n v="42"/>
    <n v="37"/>
  </r>
  <r>
    <s v="India"/>
    <x v="10"/>
    <x v="45"/>
    <s v="Silk Board, Bengaluru - KSPCB"/>
    <x v="0"/>
    <n v="12.917348"/>
    <n v="77.622812999999994"/>
    <x v="5"/>
    <n v="29"/>
    <n v="60"/>
    <n v="42"/>
  </r>
  <r>
    <s v="India"/>
    <x v="10"/>
    <x v="45"/>
    <s v="Silk Board, Bengaluru - KSPCB"/>
    <x v="0"/>
    <n v="12.917348"/>
    <n v="77.622812999999994"/>
    <x v="2"/>
    <n v="26"/>
    <n v="69"/>
    <n v="49"/>
  </r>
  <r>
    <s v="India"/>
    <x v="10"/>
    <x v="61"/>
    <s v="Urban, Chamarajanagar - KSPCB"/>
    <x v="0"/>
    <n v="11.55358"/>
    <n v="76.555210000000002"/>
    <x v="2"/>
    <n v="15"/>
    <n v="29"/>
    <n v="28"/>
  </r>
  <r>
    <s v="India"/>
    <x v="10"/>
    <x v="56"/>
    <s v="Kalyana Nagara, Chikkamagaluru - KSPCB"/>
    <x v="0"/>
    <n v="13.328028"/>
    <n v="75.797055999999998"/>
    <x v="1"/>
    <m/>
    <m/>
    <m/>
  </r>
  <r>
    <s v="India"/>
    <x v="10"/>
    <x v="56"/>
    <s v="Kalyana Nagara, Chikkamagaluru - KSPCB"/>
    <x v="0"/>
    <n v="13.328028"/>
    <n v="75.797055999999998"/>
    <x v="2"/>
    <m/>
    <m/>
    <m/>
  </r>
  <r>
    <s v="India"/>
    <x v="10"/>
    <x v="218"/>
    <s v="Diwator Nagar, Koppal - KSPCB"/>
    <x v="0"/>
    <n v="15.347630000000001"/>
    <n v="76.181766999999994"/>
    <x v="3"/>
    <n v="1"/>
    <n v="3"/>
    <n v="2"/>
  </r>
  <r>
    <s v="India"/>
    <x v="10"/>
    <x v="64"/>
    <s v="Stuart Hill, Madikeri - KSPCB"/>
    <x v="0"/>
    <n v="12.415910999999999"/>
    <n v="75.735050000000001"/>
    <x v="3"/>
    <n v="1"/>
    <n v="2"/>
    <n v="1"/>
  </r>
  <r>
    <s v="India"/>
    <x v="10"/>
    <x v="219"/>
    <s v="Kadri, Mangalore - KSPCB"/>
    <x v="0"/>
    <n v="12.889250000000001"/>
    <n v="74.852999999999994"/>
    <x v="5"/>
    <n v="33"/>
    <n v="41"/>
    <n v="38"/>
  </r>
  <r>
    <s v="India"/>
    <x v="10"/>
    <x v="219"/>
    <s v="Kadri, Mangalore - KSPCB"/>
    <x v="0"/>
    <n v="12.889250000000001"/>
    <n v="74.852999999999994"/>
    <x v="1"/>
    <n v="38"/>
    <n v="48"/>
    <n v="45"/>
  </r>
  <r>
    <s v="India"/>
    <x v="10"/>
    <x v="57"/>
    <s v="Devaraj Urs Badavane, Davanagere - KSPCB"/>
    <x v="0"/>
    <n v="14.4758"/>
    <n v="75.905199999999994"/>
    <x v="5"/>
    <n v="27"/>
    <n v="94"/>
    <n v="50"/>
  </r>
  <r>
    <s v="India"/>
    <x v="10"/>
    <x v="51"/>
    <s v="Panchal Nagar, Gadag - KSPCB"/>
    <x v="0"/>
    <n v="15.411455999999999"/>
    <n v="75.638132999999996"/>
    <x v="4"/>
    <n v="16"/>
    <n v="23"/>
    <n v="19"/>
  </r>
  <r>
    <s v="India"/>
    <x v="10"/>
    <x v="220"/>
    <s v="Vinoba Nagara, Shivamogga - KSPCB"/>
    <x v="0"/>
    <n v="13.94"/>
    <n v="75.555916999999994"/>
    <x v="2"/>
    <n v="12"/>
    <n v="25"/>
    <n v="18"/>
  </r>
  <r>
    <s v="India"/>
    <x v="10"/>
    <x v="220"/>
    <s v="Vinoba Nagara, Shivamogga - KSPCB"/>
    <x v="0"/>
    <n v="13.94"/>
    <n v="75.555916999999994"/>
    <x v="4"/>
    <n v="2"/>
    <n v="8"/>
    <n v="4"/>
  </r>
  <r>
    <s v="India"/>
    <x v="10"/>
    <x v="220"/>
    <s v="Vinoba Nagara, Shivamogga - KSPCB"/>
    <x v="0"/>
    <n v="13.94"/>
    <n v="75.555916999999994"/>
    <x v="6"/>
    <n v="2"/>
    <n v="30"/>
    <n v="14"/>
  </r>
  <r>
    <s v="India"/>
    <x v="10"/>
    <x v="45"/>
    <s v="Hombegowda Nagar, Bengaluru - KSPCB"/>
    <x v="0"/>
    <n v="12.938539"/>
    <n v="77.590100000000007"/>
    <x v="5"/>
    <n v="15"/>
    <n v="37"/>
    <n v="28"/>
  </r>
  <r>
    <s v="India"/>
    <x v="10"/>
    <x v="45"/>
    <s v="Hombegowda Nagar, Bengaluru - KSPCB"/>
    <x v="0"/>
    <n v="12.938539"/>
    <n v="77.590100000000007"/>
    <x v="3"/>
    <n v="2"/>
    <n v="2"/>
    <n v="2"/>
  </r>
  <r>
    <s v="India"/>
    <x v="10"/>
    <x v="63"/>
    <s v="Thimmalapura, Tumakuru - KSPCB"/>
    <x v="0"/>
    <n v="13.377516"/>
    <n v="77.099072000000007"/>
    <x v="1"/>
    <n v="74"/>
    <n v="179"/>
    <n v="125"/>
  </r>
  <r>
    <s v="India"/>
    <x v="10"/>
    <x v="219"/>
    <s v="Kadri, Mangalore - KSPCB"/>
    <x v="0"/>
    <n v="12.889250000000001"/>
    <n v="74.852999999999994"/>
    <x v="0"/>
    <n v="18"/>
    <n v="19"/>
    <n v="18"/>
  </r>
  <r>
    <s v="India"/>
    <x v="13"/>
    <x v="73"/>
    <s v="Chhoti Gwaltoli, Indore - MPPCB"/>
    <x v="0"/>
    <n v="22.431000000000001"/>
    <n v="75.521299999999997"/>
    <x v="0"/>
    <n v="16"/>
    <n v="80"/>
    <n v="53"/>
  </r>
  <r>
    <s v="India"/>
    <x v="13"/>
    <x v="73"/>
    <s v="Regional Park, Indore - IMC"/>
    <x v="0"/>
    <n v="22.678000000000001"/>
    <n v="75.855900000000005"/>
    <x v="5"/>
    <n v="52"/>
    <n v="180"/>
    <n v="94"/>
  </r>
  <r>
    <s v="India"/>
    <x v="13"/>
    <x v="73"/>
    <s v="Regional Park, Indore - IMC"/>
    <x v="0"/>
    <n v="22.678000000000001"/>
    <n v="75.855900000000005"/>
    <x v="2"/>
    <n v="35"/>
    <n v="60"/>
    <n v="44"/>
  </r>
  <r>
    <s v="India"/>
    <x v="13"/>
    <x v="73"/>
    <s v="Regional Park, Indore - IMC"/>
    <x v="0"/>
    <n v="22.678000000000001"/>
    <n v="75.855900000000005"/>
    <x v="4"/>
    <n v="57"/>
    <n v="63"/>
    <n v="60"/>
  </r>
  <r>
    <s v="India"/>
    <x v="13"/>
    <x v="73"/>
    <s v="Regional Park, Indore - IMC"/>
    <x v="0"/>
    <n v="22.678000000000001"/>
    <n v="75.855900000000005"/>
    <x v="0"/>
    <n v="5"/>
    <n v="14"/>
    <n v="11"/>
  </r>
  <r>
    <s v="India"/>
    <x v="13"/>
    <x v="73"/>
    <s v="Residency Area, Indore - IMC"/>
    <x v="0"/>
    <n v="22.708400000000001"/>
    <n v="75.881500000000003"/>
    <x v="5"/>
    <n v="40"/>
    <n v="229"/>
    <n v="87"/>
  </r>
  <r>
    <s v="India"/>
    <x v="13"/>
    <x v="73"/>
    <s v="Residency Area, Indore - IMC"/>
    <x v="0"/>
    <n v="22.708400000000001"/>
    <n v="75.881500000000003"/>
    <x v="6"/>
    <n v="16"/>
    <n v="28"/>
    <n v="18"/>
  </r>
  <r>
    <s v="India"/>
    <x v="13"/>
    <x v="68"/>
    <s v="Govindh Bhavan Colony, Jabalpur - JMC"/>
    <x v="0"/>
    <n v="23.163174000000001"/>
    <n v="79.973061000000001"/>
    <x v="5"/>
    <n v="15"/>
    <n v="90"/>
    <n v="55"/>
  </r>
  <r>
    <s v="India"/>
    <x v="13"/>
    <x v="68"/>
    <s v="Govindh Bhavan Colony, Jabalpur - JMC"/>
    <x v="0"/>
    <n v="23.163174000000001"/>
    <n v="79.973061000000001"/>
    <x v="2"/>
    <n v="34"/>
    <n v="65"/>
    <n v="49"/>
  </r>
  <r>
    <s v="India"/>
    <x v="13"/>
    <x v="68"/>
    <s v="Govindh Bhavan Colony, Jabalpur - JMC"/>
    <x v="0"/>
    <n v="23.163174000000001"/>
    <n v="79.973061000000001"/>
    <x v="4"/>
    <n v="9"/>
    <n v="111"/>
    <n v="35"/>
  </r>
  <r>
    <s v="India"/>
    <x v="13"/>
    <x v="78"/>
    <s v="Suryakiran Bhawan NCL, Singrauli - MPPCB"/>
    <x v="0"/>
    <n v="24.108969999999999"/>
    <n v="82.645579999999995"/>
    <x v="4"/>
    <n v="34"/>
    <n v="117"/>
    <n v="49"/>
  </r>
  <r>
    <s v="India"/>
    <x v="13"/>
    <x v="78"/>
    <s v="Suryakiran Bhawan NCL, Singrauli - MPPCB"/>
    <x v="0"/>
    <n v="24.108969999999999"/>
    <n v="82.645579999999995"/>
    <x v="0"/>
    <n v="3"/>
    <n v="105"/>
    <n v="84"/>
  </r>
  <r>
    <s v="India"/>
    <x v="13"/>
    <x v="249"/>
    <s v="Mahakaleshwar Temple, Ujjain - MPPCB"/>
    <x v="0"/>
    <n v="23.182718999999999"/>
    <n v="75.768218000000005"/>
    <x v="5"/>
    <n v="33"/>
    <n v="118"/>
    <n v="61"/>
  </r>
  <r>
    <s v="India"/>
    <x v="13"/>
    <x v="249"/>
    <s v="Mahakaleshwar Temple, Ujjain - MPPCB"/>
    <x v="0"/>
    <n v="23.182718999999999"/>
    <n v="75.768218000000005"/>
    <x v="3"/>
    <n v="2"/>
    <n v="4"/>
    <n v="3"/>
  </r>
  <r>
    <s v="India"/>
    <x v="14"/>
    <x v="88"/>
    <s v="Ramdaspeth, Akola - MPCB"/>
    <x v="0"/>
    <n v="20.719515999999999"/>
    <n v="77.000253000000001"/>
    <x v="1"/>
    <n v="52"/>
    <n v="192"/>
    <n v="90"/>
  </r>
  <r>
    <s v="India"/>
    <x v="14"/>
    <x v="88"/>
    <s v="Ramdaspeth, Akola - MPCB"/>
    <x v="0"/>
    <n v="20.719515999999999"/>
    <n v="77.000253000000001"/>
    <x v="6"/>
    <n v="32"/>
    <n v="100"/>
    <n v="51"/>
  </r>
  <r>
    <s v="India"/>
    <x v="13"/>
    <x v="74"/>
    <s v="Shrivastav Colony, Damoh - MPPCB"/>
    <x v="0"/>
    <n v="23.817486779999999"/>
    <n v="79.446246000000002"/>
    <x v="6"/>
    <n v="19"/>
    <n v="25"/>
    <n v="22"/>
  </r>
  <r>
    <s v="India"/>
    <x v="13"/>
    <x v="75"/>
    <s v="City Center, Gwalior - MPPCB"/>
    <x v="0"/>
    <n v="26.203441999999999"/>
    <n v="78.193251000000004"/>
    <x v="5"/>
    <n v="24"/>
    <n v="329"/>
    <n v="138"/>
  </r>
  <r>
    <s v="India"/>
    <x v="13"/>
    <x v="75"/>
    <s v="City Center, Gwalior - MPPCB"/>
    <x v="0"/>
    <n v="26.203441999999999"/>
    <n v="78.193251000000004"/>
    <x v="4"/>
    <n v="5"/>
    <n v="25"/>
    <n v="14"/>
  </r>
  <r>
    <s v="India"/>
    <x v="13"/>
    <x v="75"/>
    <s v="Deen Dayal Nagar, Gwalior - MPPCB"/>
    <x v="0"/>
    <n v="26.259242"/>
    <n v="78.216431999999998"/>
    <x v="6"/>
    <n v="26"/>
    <n v="110"/>
    <n v="57"/>
  </r>
  <r>
    <s v="India"/>
    <x v="13"/>
    <x v="75"/>
    <s v="Maharaj Bada, Gwalior - MPPCB"/>
    <x v="0"/>
    <n v="26.200388"/>
    <n v="78.147713999999993"/>
    <x v="0"/>
    <n v="4"/>
    <n v="124"/>
    <n v="80"/>
  </r>
  <r>
    <s v="India"/>
    <x v="12"/>
    <x v="65"/>
    <s v="Plammoodu, Thiruvananthapuram - Kerala PCB"/>
    <x v="0"/>
    <n v="8.5149092999999993"/>
    <n v="76.943587899999997"/>
    <x v="3"/>
    <n v="2"/>
    <n v="4"/>
    <n v="3"/>
  </r>
  <r>
    <s v="India"/>
    <x v="12"/>
    <x v="65"/>
    <s v="Plammoodu, Thiruvananthapuram - Kerala PCB"/>
    <x v="0"/>
    <n v="8.5149092999999993"/>
    <n v="76.943587899999997"/>
    <x v="4"/>
    <n v="4"/>
    <n v="24"/>
    <n v="17"/>
  </r>
  <r>
    <s v="India"/>
    <x v="13"/>
    <x v="67"/>
    <s v="Idgah Hills, Bhopal - MPPCB"/>
    <x v="0"/>
    <n v="23.264759000000002"/>
    <n v="77.381568000000001"/>
    <x v="0"/>
    <n v="30"/>
    <n v="104"/>
    <n v="85"/>
  </r>
  <r>
    <s v="India"/>
    <x v="13"/>
    <x v="67"/>
    <s v="Paryavaran Parisar, Bhopal - MPPCB"/>
    <x v="0"/>
    <n v="23.210494000000001"/>
    <n v="77.425409000000002"/>
    <x v="2"/>
    <n v="13"/>
    <n v="109"/>
    <n v="45"/>
  </r>
  <r>
    <s v="India"/>
    <x v="13"/>
    <x v="67"/>
    <s v="Paryavaran Parisar, Bhopal - MPPCB"/>
    <x v="0"/>
    <n v="23.210494000000001"/>
    <n v="77.425409000000002"/>
    <x v="6"/>
    <n v="8"/>
    <n v="80"/>
    <n v="22"/>
  </r>
  <r>
    <s v="India"/>
    <x v="13"/>
    <x v="68"/>
    <s v="Gupteshwar, Jabalpur - JMC"/>
    <x v="0"/>
    <n v="23.142887999999999"/>
    <n v="79.916146999999995"/>
    <x v="0"/>
    <n v="3"/>
    <n v="103"/>
    <n v="59"/>
  </r>
  <r>
    <s v="India"/>
    <x v="13"/>
    <x v="68"/>
    <s v="Marhatal, Jabalpur - MPPCB"/>
    <x v="0"/>
    <n v="23.168606"/>
    <n v="79.932247000000004"/>
    <x v="1"/>
    <n v="71"/>
    <n v="346"/>
    <n v="145"/>
  </r>
  <r>
    <s v="India"/>
    <x v="13"/>
    <x v="68"/>
    <s v="Marhatal, Jabalpur - MPPCB"/>
    <x v="0"/>
    <n v="23.168606"/>
    <n v="79.932247000000004"/>
    <x v="6"/>
    <n v="4"/>
    <n v="171"/>
    <n v="83"/>
  </r>
  <r>
    <s v="India"/>
    <x v="13"/>
    <x v="68"/>
    <s v="Suhagi, Jabalpur - JMC"/>
    <x v="0"/>
    <n v="23.218135"/>
    <n v="79.957769999999996"/>
    <x v="5"/>
    <n v="17"/>
    <n v="78"/>
    <n v="51"/>
  </r>
  <r>
    <s v="India"/>
    <x v="13"/>
    <x v="69"/>
    <s v="Gole Bazar, Katni - MPPCB"/>
    <x v="0"/>
    <n v="23.500160000000001"/>
    <n v="80.232839999999996"/>
    <x v="1"/>
    <n v="64"/>
    <n v="268"/>
    <n v="147"/>
  </r>
  <r>
    <s v="India"/>
    <x v="13"/>
    <x v="71"/>
    <s v="Sector-D Industrial Area, Mandideep - MPPCB"/>
    <x v="0"/>
    <n v="23.108440000000002"/>
    <n v="77.511427999999995"/>
    <x v="3"/>
    <n v="4"/>
    <n v="13"/>
    <n v="6"/>
  </r>
  <r>
    <s v="India"/>
    <x v="13"/>
    <x v="71"/>
    <s v="Sector-D Industrial Area, Mandideep - MPPCB"/>
    <x v="0"/>
    <n v="23.108440000000002"/>
    <n v="77.511427999999995"/>
    <x v="4"/>
    <n v="4"/>
    <n v="76"/>
    <n v="21"/>
  </r>
  <r>
    <s v="India"/>
    <x v="13"/>
    <x v="221"/>
    <s v="Shasthri Nagar, Ratlam - IPCA Lab"/>
    <x v="0"/>
    <n v="23.331731000000001"/>
    <n v="75.045980999999998"/>
    <x v="1"/>
    <n v="83"/>
    <n v="173"/>
    <n v="128"/>
  </r>
  <r>
    <s v="India"/>
    <x v="13"/>
    <x v="76"/>
    <s v="Civil Lines, Sagar - MPPCB"/>
    <x v="0"/>
    <n v="23.838585999999999"/>
    <n v="78.759431000000006"/>
    <x v="4"/>
    <n v="7"/>
    <n v="24"/>
    <n v="11"/>
  </r>
  <r>
    <s v="India"/>
    <x v="10"/>
    <x v="59"/>
    <s v="Collector Office, Yadgir - KSPCB"/>
    <x v="0"/>
    <n v="16.760200000000001"/>
    <n v="77.142799999999994"/>
    <x v="5"/>
    <n v="19"/>
    <n v="50"/>
    <n v="30"/>
  </r>
  <r>
    <s v="India"/>
    <x v="12"/>
    <x v="60"/>
    <s v="Udyogamandal, Eloor - Kerala PCB"/>
    <x v="0"/>
    <n v="10.073232000000001"/>
    <n v="76.302764999999994"/>
    <x v="1"/>
    <m/>
    <m/>
    <m/>
  </r>
  <r>
    <s v="India"/>
    <x v="12"/>
    <x v="60"/>
    <s v="Udyogamandal, Eloor - Kerala PCB"/>
    <x v="0"/>
    <n v="10.073232000000001"/>
    <n v="76.302764999999994"/>
    <x v="2"/>
    <m/>
    <m/>
    <m/>
  </r>
  <r>
    <s v="India"/>
    <x v="13"/>
    <x v="78"/>
    <s v="Suryakiran Bhawan NCL, Singrauli - MPPCB"/>
    <x v="0"/>
    <n v="24.108969999999999"/>
    <n v="82.645579999999995"/>
    <x v="5"/>
    <n v="40"/>
    <n v="318"/>
    <n v="167"/>
  </r>
  <r>
    <s v="India"/>
    <x v="12"/>
    <x v="222"/>
    <s v="Thavakkara, Kannur - Kerala PCB"/>
    <x v="0"/>
    <n v="11.875"/>
    <n v="75.373199999999997"/>
    <x v="3"/>
    <n v="1"/>
    <n v="2"/>
    <n v="1"/>
  </r>
  <r>
    <s v="India"/>
    <x v="14"/>
    <x v="225"/>
    <s v="Sawe Wadi, Latur - MPCB"/>
    <x v="0"/>
    <n v="18.399629999999998"/>
    <n v="76.574520000000007"/>
    <x v="1"/>
    <n v="72"/>
    <n v="410"/>
    <n v="116"/>
  </r>
  <r>
    <s v="India"/>
    <x v="14"/>
    <x v="81"/>
    <s v="Kamble Tarf Birwadi, Mahad - MPCB"/>
    <x v="0"/>
    <n v="18.1023399"/>
    <n v="73.478368700000004"/>
    <x v="4"/>
    <n v="27"/>
    <n v="129"/>
    <n v="56"/>
  </r>
  <r>
    <s v="India"/>
    <x v="14"/>
    <x v="82"/>
    <s v="Mahesh Nagar, Malegaon - MPCB"/>
    <x v="0"/>
    <n v="20.555712"/>
    <n v="74.529235999999997"/>
    <x v="5"/>
    <n v="27"/>
    <n v="378"/>
    <n v="120"/>
  </r>
  <r>
    <s v="India"/>
    <x v="14"/>
    <x v="83"/>
    <s v="Bhayandar West, Mira-Bhayandar - MPCB"/>
    <x v="0"/>
    <n v="19.296481"/>
    <n v="72.840923000000004"/>
    <x v="1"/>
    <n v="43"/>
    <n v="93"/>
    <n v="65"/>
  </r>
  <r>
    <s v="India"/>
    <x v="14"/>
    <x v="83"/>
    <s v="Bhayandar West, Mira-Bhayandar - MPCB"/>
    <x v="0"/>
    <n v="19.296481"/>
    <n v="72.840923000000004"/>
    <x v="2"/>
    <n v="5"/>
    <n v="41"/>
    <n v="21"/>
  </r>
  <r>
    <s v="India"/>
    <x v="14"/>
    <x v="83"/>
    <s v="Bhayandar West, Mira-Bhayandar - MPCB"/>
    <x v="0"/>
    <n v="19.296481"/>
    <n v="72.840923000000004"/>
    <x v="4"/>
    <n v="2"/>
    <n v="6"/>
    <n v="2"/>
  </r>
  <r>
    <s v="India"/>
    <x v="14"/>
    <x v="94"/>
    <s v="Bandra Kurla Complex, Mumbai - MPCB"/>
    <x v="0"/>
    <n v="19.065930999999999"/>
    <n v="72.862131000000005"/>
    <x v="2"/>
    <n v="17"/>
    <n v="98"/>
    <n v="48"/>
  </r>
  <r>
    <s v="India"/>
    <x v="14"/>
    <x v="94"/>
    <s v="Bandra Kurla Complex, Mumbai - MPCB"/>
    <x v="0"/>
    <n v="19.065930999999999"/>
    <n v="72.862131000000005"/>
    <x v="6"/>
    <n v="3"/>
    <n v="56"/>
    <n v="20"/>
  </r>
  <r>
    <s v="India"/>
    <x v="14"/>
    <x v="94"/>
    <s v="Borivali East, Mumbai - IITM"/>
    <x v="0"/>
    <n v="19.232410000000002"/>
    <n v="72.868949999999998"/>
    <x v="1"/>
    <n v="69"/>
    <n v="136"/>
    <n v="92"/>
  </r>
  <r>
    <s v="India"/>
    <x v="14"/>
    <x v="94"/>
    <s v="Borivali East, Mumbai - MPCB"/>
    <x v="0"/>
    <n v="19.224333300000001"/>
    <n v="72.865811300000004"/>
    <x v="2"/>
    <n v="10"/>
    <n v="74"/>
    <n v="26"/>
  </r>
  <r>
    <s v="India"/>
    <x v="14"/>
    <x v="94"/>
    <s v="Byculla, Mumbai - BMC"/>
    <x v="0"/>
    <n v="18.976700000000001"/>
    <n v="72.837999999999994"/>
    <x v="1"/>
    <n v="34"/>
    <n v="72"/>
    <n v="51"/>
  </r>
  <r>
    <s v="India"/>
    <x v="14"/>
    <x v="94"/>
    <s v="Byculla, Mumbai - BMC"/>
    <x v="0"/>
    <n v="18.976700000000001"/>
    <n v="72.837999999999994"/>
    <x v="2"/>
    <n v="13"/>
    <n v="96"/>
    <n v="35"/>
  </r>
  <r>
    <s v="India"/>
    <x v="14"/>
    <x v="94"/>
    <s v="Byculla, Mumbai - BMC"/>
    <x v="0"/>
    <n v="18.976700000000001"/>
    <n v="72.837999999999994"/>
    <x v="0"/>
    <n v="1"/>
    <n v="63"/>
    <n v="50"/>
  </r>
  <r>
    <s v="India"/>
    <x v="14"/>
    <x v="84"/>
    <s v="Khaira, Boisar - MPCB"/>
    <x v="0"/>
    <n v="19.786089"/>
    <n v="72.757970999999998"/>
    <x v="5"/>
    <n v="37"/>
    <n v="83"/>
    <n v="66"/>
  </r>
  <r>
    <s v="India"/>
    <x v="14"/>
    <x v="84"/>
    <s v="Khaira, Boisar - MPCB"/>
    <x v="0"/>
    <n v="19.786089"/>
    <n v="72.757970999999998"/>
    <x v="0"/>
    <n v="4"/>
    <n v="43"/>
    <n v="29"/>
  </r>
  <r>
    <s v="India"/>
    <x v="14"/>
    <x v="85"/>
    <s v="Chauhan Colony, Chandrapur - MPCB"/>
    <x v="0"/>
    <n v="19.962900000000001"/>
    <n v="79.298714000000004"/>
    <x v="3"/>
    <n v="4"/>
    <n v="10"/>
    <n v="6"/>
  </r>
  <r>
    <s v="India"/>
    <x v="14"/>
    <x v="85"/>
    <s v="MIDC Khutala, Chandrapur - MPCB"/>
    <x v="0"/>
    <n v="19.9775302"/>
    <n v="79.2337086"/>
    <x v="3"/>
    <n v="1"/>
    <n v="1"/>
    <n v="1"/>
  </r>
  <r>
    <s v="India"/>
    <x v="14"/>
    <x v="86"/>
    <s v="Deopur, Dhule - MPCB"/>
    <x v="0"/>
    <n v="20.918945999999998"/>
    <n v="74.776387999999997"/>
    <x v="1"/>
    <n v="63"/>
    <n v="108"/>
    <n v="86"/>
  </r>
  <r>
    <s v="India"/>
    <x v="14"/>
    <x v="89"/>
    <s v="Shri Shivaji Science College, Amaravati - MPCB"/>
    <x v="0"/>
    <n v="20.939198000000001"/>
    <n v="77.765701000000007"/>
    <x v="2"/>
    <n v="4"/>
    <n v="68"/>
    <n v="25"/>
  </r>
  <r>
    <s v="India"/>
    <x v="14"/>
    <x v="89"/>
    <s v="Shri Shivaji Science College, Amaravati - MPCB"/>
    <x v="0"/>
    <n v="20.939198000000001"/>
    <n v="77.765701000000007"/>
    <x v="3"/>
    <n v="2"/>
    <n v="12"/>
    <n v="4"/>
  </r>
  <r>
    <s v="India"/>
    <x v="14"/>
    <x v="6"/>
    <s v="MIDC Chilkalthana, Aurangabad - MPCB"/>
    <x v="0"/>
    <n v="19.875620000000001"/>
    <n v="75.387309999999999"/>
    <x v="1"/>
    <n v="62"/>
    <n v="128"/>
    <n v="91"/>
  </r>
  <r>
    <s v="India"/>
    <x v="14"/>
    <x v="6"/>
    <s v="MIDC Chilkalthana, Aurangabad - MPCB"/>
    <x v="0"/>
    <n v="19.875620000000001"/>
    <n v="75.387309999999999"/>
    <x v="6"/>
    <n v="16"/>
    <n v="112"/>
    <n v="31"/>
  </r>
  <r>
    <s v="India"/>
    <x v="14"/>
    <x v="6"/>
    <s v="More Chowk Waluj, Aurangabad - MPCB"/>
    <x v="0"/>
    <n v="19.8389439"/>
    <n v="75.244448000000006"/>
    <x v="3"/>
    <n v="9"/>
    <n v="10"/>
    <n v="9"/>
  </r>
  <r>
    <s v="India"/>
    <x v="14"/>
    <x v="86"/>
    <s v="Deopur, Dhule - MPCB"/>
    <x v="0"/>
    <n v="20.918945999999998"/>
    <n v="74.776387999999997"/>
    <x v="6"/>
    <n v="13"/>
    <n v="42"/>
    <n v="22"/>
  </r>
  <r>
    <s v="India"/>
    <x v="14"/>
    <x v="224"/>
    <s v="Prabhat Colony, Jalgaon - MPCB"/>
    <x v="0"/>
    <n v="21.001263999999999"/>
    <n v="75.565601999999998"/>
    <x v="5"/>
    <n v="44"/>
    <n v="107"/>
    <n v="68"/>
  </r>
  <r>
    <s v="India"/>
    <x v="14"/>
    <x v="91"/>
    <s v="Pimpleshwar Mandir, Kalyan - MPCB"/>
    <x v="0"/>
    <n v="19.192056000000001"/>
    <n v="72.958518799999993"/>
    <x v="1"/>
    <n v="52"/>
    <n v="90"/>
    <n v="74"/>
  </r>
  <r>
    <s v="India"/>
    <x v="14"/>
    <x v="91"/>
    <s v="Pimpleshwar Mandir, Kalyan - MPCB"/>
    <x v="0"/>
    <n v="19.192056000000001"/>
    <n v="72.958518799999993"/>
    <x v="6"/>
    <n v="14"/>
    <n v="59"/>
    <n v="19"/>
  </r>
  <r>
    <s v="India"/>
    <x v="14"/>
    <x v="6"/>
    <s v="More Chowk Waluj, Aurangabad - MPCB"/>
    <x v="0"/>
    <n v="19.8389439"/>
    <n v="75.244448000000006"/>
    <x v="0"/>
    <n v="3"/>
    <n v="114"/>
    <n v="79"/>
  </r>
  <r>
    <s v="India"/>
    <x v="14"/>
    <x v="226"/>
    <s v="Katrap, Badlapur - MPCB"/>
    <x v="0"/>
    <n v="19.164850000000001"/>
    <n v="73.234089999999995"/>
    <x v="2"/>
    <n v="34"/>
    <n v="109"/>
    <n v="73"/>
  </r>
  <r>
    <s v="India"/>
    <x v="14"/>
    <x v="80"/>
    <s v="Shivaji University, Kolhapur - MPCB"/>
    <x v="0"/>
    <n v="16.6870449"/>
    <n v="74.250587199999998"/>
    <x v="3"/>
    <n v="1"/>
    <n v="6"/>
    <n v="2"/>
  </r>
  <r>
    <s v="India"/>
    <x v="14"/>
    <x v="80"/>
    <s v="Sinchan Bhavan, Kolhapur - MPCB"/>
    <x v="0"/>
    <n v="16.714374500000002"/>
    <n v="74.242639800000006"/>
    <x v="1"/>
    <n v="57"/>
    <n v="97"/>
    <n v="76"/>
  </r>
  <r>
    <s v="India"/>
    <x v="14"/>
    <x v="94"/>
    <s v="Bandra Kurla Complex, Mumbai - MPCB"/>
    <x v="0"/>
    <n v="19.065930999999999"/>
    <n v="72.862131000000005"/>
    <x v="5"/>
    <n v="5"/>
    <n v="76"/>
    <n v="27"/>
  </r>
  <r>
    <s v="India"/>
    <x v="14"/>
    <x v="94"/>
    <s v="Bandra Kurla Complex, Mumbai - MPCB"/>
    <x v="0"/>
    <n v="19.065930999999999"/>
    <n v="72.862131000000005"/>
    <x v="1"/>
    <m/>
    <m/>
    <m/>
  </r>
  <r>
    <s v="India"/>
    <x v="14"/>
    <x v="92"/>
    <s v="CBD Belapur, Belapur - MPCB"/>
    <x v="0"/>
    <n v="19.024390199999999"/>
    <n v="73.040672099999995"/>
    <x v="6"/>
    <n v="9"/>
    <n v="52"/>
    <n v="19"/>
  </r>
  <r>
    <s v="India"/>
    <x v="14"/>
    <x v="94"/>
    <s v="Mindspace-Malad West, Mumbai - MPCB"/>
    <x v="0"/>
    <n v="19.1878657"/>
    <n v="72.8304069"/>
    <x v="2"/>
    <n v="4"/>
    <n v="97"/>
    <n v="22"/>
  </r>
  <r>
    <s v="India"/>
    <x v="14"/>
    <x v="94"/>
    <s v="Navy Nagar-Colaba, Mumbai - IITM"/>
    <x v="0"/>
    <n v="18.897756000000001"/>
    <n v="72.813320000000004"/>
    <x v="5"/>
    <n v="16"/>
    <n v="59"/>
    <n v="34"/>
  </r>
  <r>
    <s v="India"/>
    <x v="14"/>
    <x v="94"/>
    <s v="Navy Nagar-Colaba, Mumbai - IITM"/>
    <x v="0"/>
    <n v="18.897756000000001"/>
    <n v="72.813320000000004"/>
    <x v="4"/>
    <n v="12"/>
    <n v="19"/>
    <n v="16"/>
  </r>
  <r>
    <s v="India"/>
    <x v="14"/>
    <x v="94"/>
    <s v="Navy Nagar-Colaba, Mumbai - IITM"/>
    <x v="0"/>
    <n v="18.897756000000001"/>
    <n v="72.813320000000004"/>
    <x v="6"/>
    <n v="12"/>
    <n v="74"/>
    <n v="26"/>
  </r>
  <r>
    <s v="India"/>
    <x v="14"/>
    <x v="94"/>
    <s v="Powai, Mumbai - MPCB"/>
    <x v="0"/>
    <n v="19.137499999999999"/>
    <n v="72.915056000000007"/>
    <x v="2"/>
    <n v="7"/>
    <n v="8"/>
    <n v="7"/>
  </r>
  <r>
    <s v="India"/>
    <x v="14"/>
    <x v="94"/>
    <s v="Powai, Mumbai - MPCB"/>
    <x v="0"/>
    <n v="19.137499999999999"/>
    <n v="72.915056000000007"/>
    <x v="6"/>
    <n v="16"/>
    <n v="16"/>
    <n v="16"/>
  </r>
  <r>
    <s v="India"/>
    <x v="14"/>
    <x v="94"/>
    <s v="Powai, Mumbai - MPCB"/>
    <x v="0"/>
    <n v="19.137499999999999"/>
    <n v="72.915056000000007"/>
    <x v="0"/>
    <n v="9"/>
    <n v="9"/>
    <n v="9"/>
  </r>
  <r>
    <s v="India"/>
    <x v="14"/>
    <x v="94"/>
    <s v="Vasai West, Mumbai - MPCB"/>
    <x v="0"/>
    <n v="19.383199999999999"/>
    <n v="72.820400000000006"/>
    <x v="0"/>
    <n v="7"/>
    <n v="7"/>
    <n v="7"/>
  </r>
  <r>
    <s v="India"/>
    <x v="14"/>
    <x v="97"/>
    <s v="Ambazari, Nagpur - MPCB"/>
    <x v="0"/>
    <n v="21.121801000000001"/>
    <n v="79.049520000000001"/>
    <x v="1"/>
    <n v="71"/>
    <n v="165"/>
    <n v="113"/>
  </r>
  <r>
    <s v="India"/>
    <x v="14"/>
    <x v="97"/>
    <s v="Ambazari, Nagpur - MPCB"/>
    <x v="0"/>
    <n v="21.121801000000001"/>
    <n v="79.049520000000001"/>
    <x v="4"/>
    <n v="12"/>
    <n v="65"/>
    <n v="27"/>
  </r>
  <r>
    <s v="India"/>
    <x v="14"/>
    <x v="97"/>
    <s v="Opp GPO Civil Lines, Nagpur - MPCB"/>
    <x v="0"/>
    <n v="21.152875000000002"/>
    <n v="79.051753099999999"/>
    <x v="0"/>
    <n v="3"/>
    <n v="106"/>
    <n v="51"/>
  </r>
  <r>
    <s v="India"/>
    <x v="14"/>
    <x v="97"/>
    <s v="Ram Nagar, Nagpur - MPCB"/>
    <x v="0"/>
    <n v="21.143383"/>
    <n v="79.048912000000001"/>
    <x v="2"/>
    <n v="11"/>
    <n v="78"/>
    <n v="32"/>
  </r>
  <r>
    <s v="India"/>
    <x v="14"/>
    <x v="94"/>
    <s v="Chembur, Mumbai - MPCB"/>
    <x v="0"/>
    <n v="19.036458499999998"/>
    <n v="72.895437099999995"/>
    <x v="1"/>
    <n v="56"/>
    <n v="118"/>
    <n v="89"/>
  </r>
  <r>
    <s v="India"/>
    <x v="14"/>
    <x v="94"/>
    <s v="Chembur, Mumbai - MPCB"/>
    <x v="0"/>
    <n v="19.036458499999998"/>
    <n v="72.895437099999995"/>
    <x v="2"/>
    <n v="21"/>
    <n v="69"/>
    <n v="38"/>
  </r>
  <r>
    <s v="India"/>
    <x v="14"/>
    <x v="94"/>
    <s v="Chhatrapati Shivaji Intl. Airport (T2), Mumbai - MPCB"/>
    <x v="0"/>
    <n v="19.10078"/>
    <n v="72.874619999999993"/>
    <x v="1"/>
    <n v="72"/>
    <n v="99"/>
    <n v="83"/>
  </r>
  <r>
    <s v="India"/>
    <x v="14"/>
    <x v="94"/>
    <s v="Chhatrapati Shivaji Intl. Airport (T2), Mumbai - MPCB"/>
    <x v="0"/>
    <n v="19.10078"/>
    <n v="72.874619999999993"/>
    <x v="2"/>
    <n v="27"/>
    <n v="48"/>
    <n v="35"/>
  </r>
  <r>
    <s v="India"/>
    <x v="14"/>
    <x v="94"/>
    <s v="Chhatrapati Shivaji Intl. Airport (T2), Mumbai - MPCB"/>
    <x v="0"/>
    <n v="19.10078"/>
    <n v="72.874619999999993"/>
    <x v="0"/>
    <n v="7"/>
    <n v="7"/>
    <n v="7"/>
  </r>
  <r>
    <s v="India"/>
    <x v="14"/>
    <x v="94"/>
    <s v="Chakala-Andheri East, Mumbai - IITM"/>
    <x v="0"/>
    <n v="19.11074"/>
    <n v="72.860839999999996"/>
    <x v="5"/>
    <n v="43"/>
    <n v="116"/>
    <n v="71"/>
  </r>
  <r>
    <s v="India"/>
    <x v="14"/>
    <x v="94"/>
    <s v="Chakala-Andheri East, Mumbai - IITM"/>
    <x v="0"/>
    <n v="19.11074"/>
    <n v="72.860839999999996"/>
    <x v="2"/>
    <n v="43"/>
    <n v="112"/>
    <n v="70"/>
  </r>
  <r>
    <s v="India"/>
    <x v="14"/>
    <x v="94"/>
    <s v="Chakala-Andheri East, Mumbai - IITM"/>
    <x v="0"/>
    <n v="19.11074"/>
    <n v="72.860839999999996"/>
    <x v="4"/>
    <n v="1"/>
    <n v="10"/>
    <n v="3"/>
  </r>
  <r>
    <s v="India"/>
    <x v="14"/>
    <x v="94"/>
    <s v="Chakala-Andheri East, Mumbai - IITM"/>
    <x v="0"/>
    <n v="19.11074"/>
    <n v="72.860839999999996"/>
    <x v="0"/>
    <n v="2"/>
    <n v="138"/>
    <n v="80"/>
  </r>
  <r>
    <s v="India"/>
    <x v="14"/>
    <x v="94"/>
    <s v="Shivaji Nagar, Mumbai - BMC"/>
    <x v="0"/>
    <n v="19.060497999999999"/>
    <n v="72.923355999999998"/>
    <x v="6"/>
    <n v="8"/>
    <n v="92"/>
    <n v="17"/>
  </r>
  <r>
    <s v="India"/>
    <x v="14"/>
    <x v="94"/>
    <s v="Siddharth Nagar-Worli, Mumbai - IITM"/>
    <x v="0"/>
    <n v="19.000083"/>
    <n v="72.813992999999996"/>
    <x v="1"/>
    <n v="47"/>
    <n v="96"/>
    <n v="67"/>
  </r>
  <r>
    <s v="India"/>
    <x v="14"/>
    <x v="94"/>
    <s v="Siddharth Nagar-Worli, Mumbai - IITM"/>
    <x v="0"/>
    <n v="19.000083"/>
    <n v="72.813992999999996"/>
    <x v="3"/>
    <n v="2"/>
    <n v="3"/>
    <n v="2"/>
  </r>
  <r>
    <s v="India"/>
    <x v="14"/>
    <x v="94"/>
    <s v="Kurla, Mumbai - MPCB"/>
    <x v="0"/>
    <n v="19.086300000000001"/>
    <n v="72.888800000000003"/>
    <x v="1"/>
    <m/>
    <m/>
    <m/>
  </r>
  <r>
    <s v="India"/>
    <x v="14"/>
    <x v="94"/>
    <s v="Kurla, Mumbai - MPCB"/>
    <x v="0"/>
    <n v="19.086300000000001"/>
    <n v="72.888800000000003"/>
    <x v="6"/>
    <n v="3"/>
    <n v="14"/>
    <n v="7"/>
  </r>
  <r>
    <s v="India"/>
    <x v="14"/>
    <x v="94"/>
    <s v="Malad West, Mumbai - IITM"/>
    <x v="0"/>
    <n v="19.197089999999999"/>
    <n v="72.822040000000001"/>
    <x v="2"/>
    <n v="57"/>
    <n v="97"/>
    <n v="77"/>
  </r>
  <r>
    <s v="India"/>
    <x v="14"/>
    <x v="94"/>
    <s v="Sion, Mumbai - MPCB"/>
    <x v="0"/>
    <n v="19.047000000000001"/>
    <n v="72.874600000000001"/>
    <x v="5"/>
    <n v="66"/>
    <n v="120"/>
    <n v="78"/>
  </r>
  <r>
    <s v="India"/>
    <x v="14"/>
    <x v="94"/>
    <s v="Sion, Mumbai - MPCB"/>
    <x v="0"/>
    <n v="19.047000000000001"/>
    <n v="72.874600000000001"/>
    <x v="0"/>
    <n v="5"/>
    <n v="5"/>
    <n v="5"/>
  </r>
  <r>
    <s v="India"/>
    <x v="14"/>
    <x v="94"/>
    <s v="Vasai West, Mumbai - MPCB"/>
    <x v="0"/>
    <n v="19.383199999999999"/>
    <n v="72.820400000000006"/>
    <x v="1"/>
    <n v="62"/>
    <n v="120"/>
    <n v="89"/>
  </r>
  <r>
    <s v="India"/>
    <x v="14"/>
    <x v="94"/>
    <s v="Deonar, Mumbai - IITM"/>
    <x v="0"/>
    <n v="19.04946"/>
    <n v="72.923000000000002"/>
    <x v="1"/>
    <n v="88"/>
    <n v="186"/>
    <n v="130"/>
  </r>
  <r>
    <s v="India"/>
    <x v="14"/>
    <x v="94"/>
    <s v="Ghatkopar, Mumbai - BMC"/>
    <x v="0"/>
    <n v="19.083694000000001"/>
    <n v="72.920967000000005"/>
    <x v="2"/>
    <n v="10"/>
    <n v="46"/>
    <n v="29"/>
  </r>
  <r>
    <s v="India"/>
    <x v="14"/>
    <x v="94"/>
    <s v="Kandivali West, Mumbai - BMC"/>
    <x v="0"/>
    <n v="19.215858999999998"/>
    <n v="72.831717999999995"/>
    <x v="0"/>
    <n v="1"/>
    <n v="47"/>
    <n v="29"/>
  </r>
  <r>
    <s v="India"/>
    <x v="14"/>
    <x v="98"/>
    <s v="Sneh Nagar, Nanded - MPCB"/>
    <x v="0"/>
    <n v="19.173852"/>
    <n v="77.296290999999997"/>
    <x v="5"/>
    <n v="33"/>
    <n v="76"/>
    <n v="59"/>
  </r>
  <r>
    <s v="India"/>
    <x v="14"/>
    <x v="98"/>
    <s v="Sneh Nagar, Nanded - MPCB"/>
    <x v="0"/>
    <n v="19.173852"/>
    <n v="77.296290999999997"/>
    <x v="4"/>
    <m/>
    <m/>
    <m/>
  </r>
  <r>
    <s v="India"/>
    <x v="14"/>
    <x v="99"/>
    <s v="Gangapur Road, Nashik - MPCB"/>
    <x v="0"/>
    <n v="20.0073285"/>
    <n v="73.776242699999997"/>
    <x v="1"/>
    <n v="119"/>
    <n v="155"/>
    <n v="138"/>
  </r>
  <r>
    <s v="India"/>
    <x v="14"/>
    <x v="99"/>
    <s v="Hirawadi, Nashik - MPCB"/>
    <x v="0"/>
    <n v="20.021502999999999"/>
    <n v="73.813844000000003"/>
    <x v="4"/>
    <n v="1"/>
    <n v="27"/>
    <n v="9"/>
  </r>
  <r>
    <s v="India"/>
    <x v="14"/>
    <x v="99"/>
    <s v="MIDC Ambad, Nashik - MPCB"/>
    <x v="0"/>
    <n v="19.950220000000002"/>
    <n v="73.731480000000005"/>
    <x v="1"/>
    <n v="89"/>
    <n v="136"/>
    <n v="105"/>
  </r>
  <r>
    <s v="India"/>
    <x v="14"/>
    <x v="99"/>
    <s v="MIDC Ambad, Nashik - MPCB"/>
    <x v="0"/>
    <n v="19.950220000000002"/>
    <n v="73.731480000000005"/>
    <x v="2"/>
    <n v="6"/>
    <n v="19"/>
    <n v="10"/>
  </r>
  <r>
    <s v="India"/>
    <x v="14"/>
    <x v="96"/>
    <s v="Kopripada-Vashi, Navi Mumbai - MPCB"/>
    <x v="0"/>
    <n v="19.090337000000002"/>
    <n v="73.014232000000007"/>
    <x v="2"/>
    <n v="37"/>
    <n v="353"/>
    <n v="139"/>
  </r>
  <r>
    <s v="India"/>
    <x v="14"/>
    <x v="96"/>
    <s v="Kopripada-Vashi, Navi Mumbai - MPCB"/>
    <x v="0"/>
    <n v="19.090337000000002"/>
    <n v="73.014232000000007"/>
    <x v="0"/>
    <n v="37"/>
    <n v="84"/>
    <n v="52"/>
  </r>
  <r>
    <s v="India"/>
    <x v="14"/>
    <x v="96"/>
    <s v="Mahape, Navi Mumbai - MPCB"/>
    <x v="0"/>
    <n v="19.113505100000001"/>
    <n v="73.008977999999999"/>
    <x v="2"/>
    <m/>
    <m/>
    <m/>
  </r>
  <r>
    <s v="India"/>
    <x v="14"/>
    <x v="96"/>
    <s v="Mahape, Navi Mumbai - MPCB"/>
    <x v="0"/>
    <n v="19.113505100000001"/>
    <n v="73.008977999999999"/>
    <x v="4"/>
    <m/>
    <m/>
    <m/>
  </r>
  <r>
    <s v="India"/>
    <x v="14"/>
    <x v="96"/>
    <s v="Sanpada, Navi Mumbai - MPCB"/>
    <x v="0"/>
    <n v="19.057575199999999"/>
    <n v="73.015136699999999"/>
    <x v="2"/>
    <m/>
    <m/>
    <m/>
  </r>
  <r>
    <s v="India"/>
    <x v="14"/>
    <x v="96"/>
    <s v="Sanpada, Navi Mumbai - MPCB"/>
    <x v="0"/>
    <n v="19.057575199999999"/>
    <n v="73.015136699999999"/>
    <x v="4"/>
    <n v="1"/>
    <n v="22"/>
    <n v="10"/>
  </r>
  <r>
    <s v="India"/>
    <x v="14"/>
    <x v="96"/>
    <s v="Sanpada, Navi Mumbai - MPCB"/>
    <x v="0"/>
    <n v="19.057575199999999"/>
    <n v="73.015136699999999"/>
    <x v="6"/>
    <n v="3"/>
    <n v="68"/>
    <n v="6"/>
  </r>
  <r>
    <s v="India"/>
    <x v="14"/>
    <x v="96"/>
    <s v="Tondare-Taloja, Navi Mumbai - MPCB"/>
    <x v="0"/>
    <n v="19.062999999999999"/>
    <n v="73.120900000000006"/>
    <x v="5"/>
    <n v="59"/>
    <n v="325"/>
    <n v="133"/>
  </r>
  <r>
    <s v="India"/>
    <x v="14"/>
    <x v="96"/>
    <s v="Tondare-Taloja, Navi Mumbai - MPCB"/>
    <x v="0"/>
    <n v="19.062999999999999"/>
    <n v="73.120900000000006"/>
    <x v="2"/>
    <n v="22"/>
    <n v="111"/>
    <n v="55"/>
  </r>
  <r>
    <s v="India"/>
    <x v="14"/>
    <x v="96"/>
    <s v="Tondare-Taloja, Navi Mumbai - MPCB"/>
    <x v="0"/>
    <n v="19.062999999999999"/>
    <n v="73.120900000000006"/>
    <x v="3"/>
    <n v="2"/>
    <n v="9"/>
    <n v="5"/>
  </r>
  <r>
    <s v="India"/>
    <x v="14"/>
    <x v="101"/>
    <s v="Masoom Colony, Parbhani - MPCB"/>
    <x v="0"/>
    <n v="19.265594"/>
    <n v="76.761463000000006"/>
    <x v="5"/>
    <n v="33"/>
    <n v="76"/>
    <n v="56"/>
  </r>
  <r>
    <s v="India"/>
    <x v="14"/>
    <x v="101"/>
    <s v="Masoom Colony, Parbhani - MPCB"/>
    <x v="0"/>
    <n v="19.265594"/>
    <n v="76.761463000000006"/>
    <x v="1"/>
    <n v="49"/>
    <n v="113"/>
    <n v="67"/>
  </r>
  <r>
    <s v="India"/>
    <x v="14"/>
    <x v="101"/>
    <s v="Masoom Colony, Parbhani - MPCB"/>
    <x v="0"/>
    <n v="19.265594"/>
    <n v="76.761463000000006"/>
    <x v="3"/>
    <n v="2"/>
    <n v="4"/>
    <n v="3"/>
  </r>
  <r>
    <s v="India"/>
    <x v="14"/>
    <x v="95"/>
    <s v="Panchawati_Pashan, Pune - IITM"/>
    <x v="0"/>
    <n v="18.536456999999999"/>
    <n v="73.805453999999997"/>
    <x v="0"/>
    <n v="1"/>
    <n v="136"/>
    <n v="97"/>
  </r>
  <r>
    <s v="India"/>
    <x v="14"/>
    <x v="95"/>
    <s v="Revenue Colony-Shivajinagar, Pune - IITM"/>
    <x v="0"/>
    <n v="18.530085"/>
    <n v="73.849598"/>
    <x v="2"/>
    <n v="106"/>
    <n v="223"/>
    <n v="146"/>
  </r>
  <r>
    <s v="India"/>
    <x v="14"/>
    <x v="95"/>
    <s v="Revenue Colony-Shivajinagar, Pune - IITM"/>
    <x v="0"/>
    <n v="18.530085"/>
    <n v="73.849598"/>
    <x v="6"/>
    <n v="34"/>
    <n v="78"/>
    <n v="47"/>
  </r>
  <r>
    <s v="India"/>
    <x v="14"/>
    <x v="95"/>
    <s v="Savitribai Phule Pune University, Pune - MPCB"/>
    <x v="0"/>
    <n v="18.547056000000001"/>
    <n v="73.826908000000003"/>
    <x v="1"/>
    <n v="55"/>
    <n v="118"/>
    <n v="87"/>
  </r>
  <r>
    <s v="India"/>
    <x v="14"/>
    <x v="95"/>
    <s v="Bhumkar Nagar, Pune - IITM"/>
    <x v="0"/>
    <n v="18.60577"/>
    <n v="73.749976000000004"/>
    <x v="1"/>
    <n v="81"/>
    <n v="159"/>
    <n v="110"/>
  </r>
  <r>
    <s v="India"/>
    <x v="14"/>
    <x v="95"/>
    <s v="Bhumkar Nagar, Pune - IITM"/>
    <x v="0"/>
    <n v="18.60577"/>
    <n v="73.749976000000004"/>
    <x v="6"/>
    <n v="55"/>
    <n v="126"/>
    <n v="62"/>
  </r>
  <r>
    <s v="India"/>
    <x v="14"/>
    <x v="95"/>
    <s v="Hadapsar, Pune - IITM"/>
    <x v="0"/>
    <n v="18.501792999999999"/>
    <n v="73.927531999999999"/>
    <x v="6"/>
    <n v="38"/>
    <n v="90"/>
    <n v="52"/>
  </r>
  <r>
    <s v="India"/>
    <x v="14"/>
    <x v="95"/>
    <s v="Karve Road, Pune - MPCB"/>
    <x v="0"/>
    <n v="18.501174299999999"/>
    <n v="73.816552700000003"/>
    <x v="5"/>
    <n v="28"/>
    <n v="28"/>
    <n v="28"/>
  </r>
  <r>
    <s v="India"/>
    <x v="14"/>
    <x v="100"/>
    <s v="Park Street Wakad, Pimpri Chinchwad - MPCB"/>
    <x v="0"/>
    <n v="18.590509999999998"/>
    <n v="73.77946"/>
    <x v="4"/>
    <m/>
    <m/>
    <m/>
  </r>
  <r>
    <s v="India"/>
    <x v="14"/>
    <x v="100"/>
    <s v="Park Street Wakad, Pimpri Chinchwad - MPCB"/>
    <x v="0"/>
    <n v="18.590509999999998"/>
    <n v="73.77946"/>
    <x v="0"/>
    <n v="1"/>
    <n v="89"/>
    <n v="57"/>
  </r>
  <r>
    <s v="India"/>
    <x v="14"/>
    <x v="100"/>
    <s v="Thergaon, Pimpri Chinchwad - MPCB"/>
    <x v="0"/>
    <n v="18.616318"/>
    <n v="73.765797000000006"/>
    <x v="1"/>
    <n v="91"/>
    <n v="167"/>
    <n v="127"/>
  </r>
  <r>
    <s v="India"/>
    <x v="14"/>
    <x v="99"/>
    <s v="Pandav Nagari, Nashik - MPCB"/>
    <x v="0"/>
    <n v="19.959134599999999"/>
    <n v="73.778800799999999"/>
    <x v="1"/>
    <n v="56"/>
    <n v="105"/>
    <n v="88"/>
  </r>
  <r>
    <s v="India"/>
    <x v="14"/>
    <x v="99"/>
    <s v="Pandav Nagari, Nashik - MPCB"/>
    <x v="0"/>
    <n v="19.959134599999999"/>
    <n v="73.778800799999999"/>
    <x v="2"/>
    <n v="5"/>
    <n v="23"/>
    <n v="13"/>
  </r>
  <r>
    <s v="India"/>
    <x v="14"/>
    <x v="96"/>
    <s v="Kopripada-Vashi, Navi Mumbai - MPCB"/>
    <x v="0"/>
    <n v="19.090337000000002"/>
    <n v="73.014232000000007"/>
    <x v="1"/>
    <n v="50"/>
    <n v="321"/>
    <n v="137"/>
  </r>
  <r>
    <s v="India"/>
    <x v="14"/>
    <x v="100"/>
    <s v="Gavalinagar, Pimpri Chinchwad - MPCB"/>
    <x v="0"/>
    <n v="18.63673"/>
    <n v="73.824870000000004"/>
    <x v="4"/>
    <n v="4"/>
    <n v="24"/>
    <n v="11"/>
  </r>
  <r>
    <s v="India"/>
    <x v="14"/>
    <x v="100"/>
    <s v="Park Street Wakad, Pimpri Chinchwad - MPCB"/>
    <x v="0"/>
    <n v="18.590509999999998"/>
    <n v="73.77946"/>
    <x v="2"/>
    <m/>
    <m/>
    <m/>
  </r>
  <r>
    <s v="India"/>
    <x v="14"/>
    <x v="95"/>
    <s v="Panchawati_Pashan, Pune - IITM"/>
    <x v="0"/>
    <n v="18.536456999999999"/>
    <n v="73.805453999999997"/>
    <x v="2"/>
    <n v="9"/>
    <n v="38"/>
    <n v="20"/>
  </r>
  <r>
    <s v="India"/>
    <x v="16"/>
    <x v="115"/>
    <s v="DM College of Science, Imphal - Manipur PCB"/>
    <x v="0"/>
    <n v="24.820738899999998"/>
    <n v="93.942308499999996"/>
    <x v="6"/>
    <m/>
    <m/>
    <m/>
  </r>
  <r>
    <s v="India"/>
    <x v="29"/>
    <x v="233"/>
    <s v="JN Stadium, Shillong - Meghalaya PCB"/>
    <x v="0"/>
    <n v="25.580341900000001"/>
    <n v="91.894257100000004"/>
    <x v="3"/>
    <n v="7"/>
    <n v="10"/>
    <n v="8"/>
  </r>
  <r>
    <s v="India"/>
    <x v="29"/>
    <x v="233"/>
    <s v="JN Stadium, Shillong - Meghalaya PCB"/>
    <x v="0"/>
    <n v="25.580341900000001"/>
    <n v="91.894257100000004"/>
    <x v="6"/>
    <n v="28"/>
    <n v="77"/>
    <n v="53"/>
  </r>
  <r>
    <s v="India"/>
    <x v="29"/>
    <x v="233"/>
    <s v="Lumpyngngad, Shillong - Meghalaya PCB"/>
    <x v="0"/>
    <n v="25.558599999999998"/>
    <n v="91.898499999999999"/>
    <x v="1"/>
    <n v="43"/>
    <n v="96"/>
    <n v="63"/>
  </r>
  <r>
    <s v="India"/>
    <x v="29"/>
    <x v="233"/>
    <s v="Lumpyngngad, Shillong - Meghalaya PCB"/>
    <x v="0"/>
    <n v="25.558599999999998"/>
    <n v="91.898499999999999"/>
    <x v="2"/>
    <m/>
    <m/>
    <m/>
  </r>
  <r>
    <s v="India"/>
    <x v="17"/>
    <x v="118"/>
    <s v="Sikulpuikawn, Aizawl - Mizoram PCB"/>
    <x v="0"/>
    <n v="23.717634199999999"/>
    <n v="92.719284099999996"/>
    <x v="5"/>
    <n v="12"/>
    <n v="38"/>
    <n v="25"/>
  </r>
  <r>
    <s v="India"/>
    <x v="17"/>
    <x v="118"/>
    <s v="Sikulpuikawn, Aizawl - Mizoram PCB"/>
    <x v="0"/>
    <n v="23.717634199999999"/>
    <n v="92.719284099999996"/>
    <x v="1"/>
    <n v="68"/>
    <n v="117"/>
    <n v="97"/>
  </r>
  <r>
    <s v="India"/>
    <x v="28"/>
    <x v="231"/>
    <s v="PWD Juction, Kohima - NPCB"/>
    <x v="0"/>
    <n v="25.663541299999999"/>
    <n v="94.098987800000003"/>
    <x v="5"/>
    <n v="58"/>
    <n v="309"/>
    <n v="139"/>
  </r>
  <r>
    <s v="India"/>
    <x v="15"/>
    <x v="105"/>
    <s v="Divisional Forest Office, Rairangpur - OSPCB"/>
    <x v="0"/>
    <n v="22.265816000000001"/>
    <n v="86.174829000000003"/>
    <x v="5"/>
    <m/>
    <m/>
    <m/>
  </r>
  <r>
    <s v="India"/>
    <x v="15"/>
    <x v="106"/>
    <s v="Fertilizer Township, Rourkela - OSPCB"/>
    <x v="0"/>
    <n v="22.18972222"/>
    <n v="84.862777780000002"/>
    <x v="1"/>
    <m/>
    <m/>
    <m/>
  </r>
  <r>
    <s v="India"/>
    <x v="15"/>
    <x v="106"/>
    <s v="Raghunathpali, Rourkela - OSPCB"/>
    <x v="0"/>
    <n v="22.220832999999999"/>
    <n v="84.809443999999999"/>
    <x v="5"/>
    <n v="2"/>
    <n v="310"/>
    <n v="48"/>
  </r>
  <r>
    <s v="India"/>
    <x v="15"/>
    <x v="106"/>
    <s v="Raghunathpali, Rourkela - OSPCB"/>
    <x v="0"/>
    <n v="22.220832999999999"/>
    <n v="84.809443999999999"/>
    <x v="3"/>
    <n v="2"/>
    <n v="3"/>
    <n v="2"/>
  </r>
  <r>
    <s v="India"/>
    <x v="15"/>
    <x v="106"/>
    <s v="Raghunathpali, Rourkela - OSPCB"/>
    <x v="0"/>
    <n v="22.220832999999999"/>
    <n v="84.809443999999999"/>
    <x v="4"/>
    <n v="3"/>
    <n v="10"/>
    <n v="6"/>
  </r>
  <r>
    <s v="India"/>
    <x v="15"/>
    <x v="106"/>
    <s v="Raghunathpali, Rourkela - OSPCB"/>
    <x v="0"/>
    <n v="22.220832999999999"/>
    <n v="84.809443999999999"/>
    <x v="0"/>
    <n v="3"/>
    <n v="147"/>
    <n v="78"/>
  </r>
  <r>
    <s v="India"/>
    <x v="15"/>
    <x v="126"/>
    <s v="Talcher Coalfields,Talcher - OSPCB"/>
    <x v="0"/>
    <n v="20.936071099999999"/>
    <n v="85.1707021"/>
    <x v="5"/>
    <n v="7"/>
    <n v="335"/>
    <n v="134"/>
  </r>
  <r>
    <s v="India"/>
    <x v="15"/>
    <x v="126"/>
    <s v="Talcher Coalfields,Talcher - OSPCB"/>
    <x v="0"/>
    <n v="20.936071099999999"/>
    <n v="85.1707021"/>
    <x v="2"/>
    <n v="26"/>
    <n v="39"/>
    <n v="32"/>
  </r>
  <r>
    <s v="India"/>
    <x v="15"/>
    <x v="126"/>
    <s v="Talcher Coalfields,Talcher - OSPCB"/>
    <x v="0"/>
    <n v="20.936071099999999"/>
    <n v="85.1707021"/>
    <x v="3"/>
    <n v="3"/>
    <n v="4"/>
    <n v="4"/>
  </r>
  <r>
    <s v="India"/>
    <x v="20"/>
    <x v="127"/>
    <s v="Jawahar Nagar, Puducherry - PPCC"/>
    <x v="0"/>
    <n v="11.930899999999999"/>
    <n v="79.802700000000002"/>
    <x v="2"/>
    <n v="3"/>
    <n v="22"/>
    <n v="10"/>
  </r>
  <r>
    <s v="India"/>
    <x v="18"/>
    <x v="128"/>
    <s v="Golden Temple, Amritsar - PPCB"/>
    <x v="0"/>
    <n v="31.62"/>
    <n v="74.876512000000005"/>
    <x v="5"/>
    <n v="39"/>
    <n v="88"/>
    <n v="60"/>
  </r>
  <r>
    <s v="India"/>
    <x v="18"/>
    <x v="128"/>
    <s v="Golden Temple, Amritsar - PPCB"/>
    <x v="0"/>
    <n v="31.62"/>
    <n v="74.876512000000005"/>
    <x v="1"/>
    <n v="34"/>
    <n v="92"/>
    <n v="66"/>
  </r>
  <r>
    <s v="India"/>
    <x v="18"/>
    <x v="128"/>
    <s v="Golden Temple, Amritsar - PPCB"/>
    <x v="0"/>
    <n v="31.62"/>
    <n v="74.876512000000005"/>
    <x v="4"/>
    <n v="7"/>
    <n v="122"/>
    <n v="48"/>
  </r>
  <r>
    <s v="India"/>
    <x v="18"/>
    <x v="229"/>
    <s v="Hardev Nagar, Bathinda - PPCB"/>
    <x v="0"/>
    <n v="30.233011000000001"/>
    <n v="74.907758000000001"/>
    <x v="5"/>
    <n v="22"/>
    <n v="87"/>
    <n v="44"/>
  </r>
  <r>
    <s v="India"/>
    <x v="18"/>
    <x v="230"/>
    <s v="Civil Line, Jalandhar - PPCB"/>
    <x v="0"/>
    <n v="31.321906999999999"/>
    <n v="75.578913999999997"/>
    <x v="3"/>
    <n v="2"/>
    <n v="2"/>
    <n v="2"/>
  </r>
  <r>
    <s v="India"/>
    <x v="28"/>
    <x v="231"/>
    <s v="PWD Juction, Kohima - NPCB"/>
    <x v="0"/>
    <n v="25.663541299999999"/>
    <n v="94.098987800000003"/>
    <x v="2"/>
    <n v="2"/>
    <n v="6"/>
    <n v="3"/>
  </r>
  <r>
    <s v="India"/>
    <x v="28"/>
    <x v="231"/>
    <s v="PWD Juction, Kohima - NPCB"/>
    <x v="0"/>
    <n v="25.663541299999999"/>
    <n v="94.098987800000003"/>
    <x v="3"/>
    <n v="1"/>
    <n v="1"/>
    <n v="1"/>
  </r>
  <r>
    <s v="India"/>
    <x v="15"/>
    <x v="107"/>
    <s v="Kalidaspur, Balasore - OSPCB"/>
    <x v="0"/>
    <n v="21.511610000000001"/>
    <n v="86.890879999999996"/>
    <x v="6"/>
    <n v="36"/>
    <n v="51"/>
    <n v="41"/>
  </r>
  <r>
    <s v="India"/>
    <x v="15"/>
    <x v="107"/>
    <s v="Kalidaspur, Balasore - OSPCB"/>
    <x v="0"/>
    <n v="21.511610000000001"/>
    <n v="86.890879999999996"/>
    <x v="0"/>
    <n v="13"/>
    <n v="168"/>
    <n v="37"/>
  </r>
  <r>
    <s v="India"/>
    <x v="15"/>
    <x v="108"/>
    <s v="Forest Office, Barbil - OSPCB"/>
    <x v="0"/>
    <n v="22.116605400000001"/>
    <n v="85.394554600000006"/>
    <x v="6"/>
    <n v="26"/>
    <n v="115"/>
    <n v="33"/>
  </r>
  <r>
    <s v="India"/>
    <x v="14"/>
    <x v="95"/>
    <s v="Savitribai Phule Pune University, Pune - MPCB"/>
    <x v="0"/>
    <n v="18.547056000000001"/>
    <n v="73.826908000000003"/>
    <x v="6"/>
    <n v="14"/>
    <n v="106"/>
    <n v="26"/>
  </r>
  <r>
    <s v="India"/>
    <x v="14"/>
    <x v="95"/>
    <s v="Savitribai Phule Pune University, Pune - MPCB"/>
    <x v="0"/>
    <n v="18.547056000000001"/>
    <n v="73.826908000000003"/>
    <x v="0"/>
    <n v="3"/>
    <n v="198"/>
    <n v="138"/>
  </r>
  <r>
    <s v="India"/>
    <x v="14"/>
    <x v="250"/>
    <s v="Vijay Nagar, Sangli - MPCB"/>
    <x v="0"/>
    <n v="16.503799999999998"/>
    <n v="74.362300000000005"/>
    <x v="5"/>
    <n v="60"/>
    <n v="309"/>
    <n v="134"/>
  </r>
  <r>
    <s v="India"/>
    <x v="14"/>
    <x v="116"/>
    <s v="Dnyaneshwar Nagar, Solapur - MPCB"/>
    <x v="0"/>
    <n v="17.633626400000001"/>
    <n v="75.913249500000006"/>
    <x v="3"/>
    <n v="8"/>
    <n v="30"/>
    <n v="14"/>
  </r>
  <r>
    <s v="India"/>
    <x v="15"/>
    <x v="110"/>
    <s v="Patia, Bhubaneswar - OSPCB"/>
    <x v="0"/>
    <n v="20.346520000000002"/>
    <n v="85.816299999999998"/>
    <x v="1"/>
    <n v="25"/>
    <n v="189"/>
    <n v="72"/>
  </r>
  <r>
    <s v="India"/>
    <x v="15"/>
    <x v="110"/>
    <s v="Patia, Bhubaneswar - OSPCB"/>
    <x v="0"/>
    <n v="20.346520000000002"/>
    <n v="85.816299999999998"/>
    <x v="0"/>
    <n v="18"/>
    <n v="123"/>
    <n v="70"/>
  </r>
  <r>
    <s v="India"/>
    <x v="15"/>
    <x v="111"/>
    <s v="Tata Township, Bileipada - OSPCB"/>
    <x v="0"/>
    <n v="22.061567029999999"/>
    <n v="85.474096130000007"/>
    <x v="3"/>
    <n v="4"/>
    <n v="4"/>
    <n v="4"/>
  </r>
  <r>
    <s v="India"/>
    <x v="15"/>
    <x v="112"/>
    <s v="GM Office, Brajrajnagar - OSPCB"/>
    <x v="0"/>
    <n v="21.800499599999998"/>
    <n v="83.839697700000002"/>
    <x v="1"/>
    <n v="74"/>
    <n v="133"/>
    <n v="100"/>
  </r>
  <r>
    <s v="India"/>
    <x v="14"/>
    <x v="114"/>
    <s v="Sidhi Vinayak Nagar, Ulhasnagar - MPCB"/>
    <x v="0"/>
    <n v="19.235581"/>
    <n v="73.159120999999999"/>
    <x v="5"/>
    <n v="59"/>
    <n v="217"/>
    <n v="107"/>
  </r>
  <r>
    <s v="India"/>
    <x v="14"/>
    <x v="114"/>
    <s v="Sidhi Vinayak Nagar, Ulhasnagar - MPCB"/>
    <x v="0"/>
    <n v="19.235581"/>
    <n v="73.159120999999999"/>
    <x v="6"/>
    <n v="5"/>
    <n v="114"/>
    <n v="19"/>
  </r>
  <r>
    <s v="India"/>
    <x v="14"/>
    <x v="227"/>
    <s v="Bolinj, Virar - MPCB"/>
    <x v="0"/>
    <n v="19.445820999999999"/>
    <n v="72.798823100000007"/>
    <x v="0"/>
    <n v="2"/>
    <n v="61"/>
    <n v="40"/>
  </r>
  <r>
    <s v="India"/>
    <x v="15"/>
    <x v="113"/>
    <s v="Ferro Chrome Colony, Byasanagar - OSPCB"/>
    <x v="0"/>
    <n v="20.941849999999999"/>
    <n v="86.115099999999998"/>
    <x v="5"/>
    <n v="17"/>
    <n v="97"/>
    <n v="65"/>
  </r>
  <r>
    <s v="India"/>
    <x v="15"/>
    <x v="103"/>
    <s v="Jagamohanpur, Keonjhar - OSPCB"/>
    <x v="0"/>
    <n v="21.643899999999999"/>
    <n v="85.599355000000003"/>
    <x v="3"/>
    <n v="5"/>
    <n v="7"/>
    <n v="6"/>
  </r>
  <r>
    <s v="India"/>
    <x v="14"/>
    <x v="116"/>
    <s v="Ratandeep Housing Society, Solapur - MPCB"/>
    <x v="0"/>
    <n v="17.654389999999999"/>
    <n v="75.906490000000005"/>
    <x v="3"/>
    <n v="3"/>
    <n v="8"/>
    <n v="5"/>
  </r>
  <r>
    <s v="India"/>
    <x v="14"/>
    <x v="116"/>
    <s v="Solapur, Solapur - MPCB"/>
    <x v="0"/>
    <n v="17.6599188"/>
    <n v="75.906390599999995"/>
    <x v="4"/>
    <n v="4"/>
    <n v="43"/>
    <n v="22"/>
  </r>
  <r>
    <s v="India"/>
    <x v="19"/>
    <x v="124"/>
    <s v="Moti Doongri, Alwar - RSPCB"/>
    <x v="0"/>
    <n v="27.554793"/>
    <n v="76.611536000000001"/>
    <x v="6"/>
    <n v="52"/>
    <n v="118"/>
    <n v="78"/>
  </r>
  <r>
    <s v="India"/>
    <x v="19"/>
    <x v="134"/>
    <s v="Rati Talai, Banswara - RSPCB"/>
    <x v="0"/>
    <n v="23.55519"/>
    <n v="74.440010000000001"/>
    <x v="1"/>
    <n v="68"/>
    <n v="212"/>
    <n v="110"/>
  </r>
  <r>
    <s v="India"/>
    <x v="19"/>
    <x v="134"/>
    <s v="Rati Talai, Banswara - RSPCB"/>
    <x v="0"/>
    <n v="23.55519"/>
    <n v="74.440010000000001"/>
    <x v="2"/>
    <n v="13"/>
    <n v="43"/>
    <n v="24"/>
  </r>
  <r>
    <s v="India"/>
    <x v="19"/>
    <x v="134"/>
    <s v="Rati Talai, Banswara - RSPCB"/>
    <x v="0"/>
    <n v="23.55519"/>
    <n v="74.440010000000001"/>
    <x v="4"/>
    <n v="2"/>
    <n v="15"/>
    <n v="9"/>
  </r>
  <r>
    <s v="India"/>
    <x v="19"/>
    <x v="135"/>
    <s v="Bamboliya, Baran - RSPCB"/>
    <x v="0"/>
    <n v="25.106006000000001"/>
    <n v="76.469948000000002"/>
    <x v="5"/>
    <n v="4"/>
    <n v="84"/>
    <n v="40"/>
  </r>
  <r>
    <s v="India"/>
    <x v="19"/>
    <x v="135"/>
    <s v="Bamboliya, Baran - RSPCB"/>
    <x v="0"/>
    <n v="25.106006000000001"/>
    <n v="76.469948000000002"/>
    <x v="1"/>
    <n v="73"/>
    <n v="189"/>
    <n v="116"/>
  </r>
  <r>
    <s v="India"/>
    <x v="19"/>
    <x v="135"/>
    <s v="Bamboliya, Baran - RSPCB"/>
    <x v="0"/>
    <n v="25.106006000000001"/>
    <n v="76.469948000000002"/>
    <x v="3"/>
    <n v="3"/>
    <n v="5"/>
    <n v="4"/>
  </r>
  <r>
    <s v="India"/>
    <x v="19"/>
    <x v="135"/>
    <s v="Bamboliya, Baran - RSPCB"/>
    <x v="0"/>
    <n v="25.106006000000001"/>
    <n v="76.469948000000002"/>
    <x v="4"/>
    <n v="3"/>
    <n v="18"/>
    <n v="9"/>
  </r>
  <r>
    <s v="India"/>
    <x v="19"/>
    <x v="135"/>
    <s v="Bamboliya, Baran - RSPCB"/>
    <x v="0"/>
    <n v="25.106006000000001"/>
    <n v="76.469948000000002"/>
    <x v="0"/>
    <n v="3"/>
    <n v="137"/>
    <n v="77"/>
  </r>
  <r>
    <s v="India"/>
    <x v="19"/>
    <x v="136"/>
    <s v="Railway Colony, Barmer - RSPCB"/>
    <x v="0"/>
    <n v="25.747299000000002"/>
    <n v="71.393989000000005"/>
    <x v="2"/>
    <n v="3"/>
    <n v="50"/>
    <n v="15"/>
  </r>
  <r>
    <s v="India"/>
    <x v="19"/>
    <x v="132"/>
    <s v="Krishna Nagar, Bharatpur - RSPCB"/>
    <x v="0"/>
    <n v="27.215415"/>
    <n v="77.50873"/>
    <x v="1"/>
    <m/>
    <m/>
    <m/>
  </r>
  <r>
    <s v="India"/>
    <x v="18"/>
    <x v="120"/>
    <s v="RIMT University, Mandi Gobindgarh - PPCB"/>
    <x v="0"/>
    <n v="30.649961000000001"/>
    <n v="76.331441999999996"/>
    <x v="1"/>
    <n v="59"/>
    <n v="223"/>
    <n v="117"/>
  </r>
  <r>
    <s v="India"/>
    <x v="18"/>
    <x v="121"/>
    <s v="Model Town, Patiala - PPCB"/>
    <x v="0"/>
    <n v="30.349388000000001"/>
    <n v="76.366641999999999"/>
    <x v="5"/>
    <n v="34"/>
    <n v="90"/>
    <n v="71"/>
  </r>
  <r>
    <s v="India"/>
    <x v="18"/>
    <x v="122"/>
    <s v="Ratanpura, Rupnagar - Ambuja Cements"/>
    <x v="0"/>
    <n v="31.0325454"/>
    <n v="76.562304600000004"/>
    <x v="2"/>
    <n v="14"/>
    <n v="22"/>
    <n v="17"/>
  </r>
  <r>
    <s v="India"/>
    <x v="19"/>
    <x v="133"/>
    <s v="Pratap Nagar, Bhilwara - RSPCB"/>
    <x v="0"/>
    <n v="25.339604999999999"/>
    <n v="74.618882999999997"/>
    <x v="6"/>
    <n v="8"/>
    <n v="102"/>
    <n v="33"/>
  </r>
  <r>
    <s v="India"/>
    <x v="19"/>
    <x v="130"/>
    <s v="RIICO Ind. Area III, Bhiwadi - RSPCB"/>
    <x v="0"/>
    <n v="28.194908999999999"/>
    <n v="76.862296000000001"/>
    <x v="3"/>
    <m/>
    <m/>
    <m/>
  </r>
  <r>
    <s v="India"/>
    <x v="19"/>
    <x v="130"/>
    <s v="RIICO Ind. Area III, Bhiwadi - RSPCB"/>
    <x v="0"/>
    <n v="28.194908999999999"/>
    <n v="76.862296000000001"/>
    <x v="6"/>
    <n v="29"/>
    <n v="157"/>
    <n v="54"/>
  </r>
  <r>
    <s v="India"/>
    <x v="18"/>
    <x v="129"/>
    <s v="Kalal Majra, Khanna - PPCB"/>
    <x v="0"/>
    <n v="30.736056000000001"/>
    <n v="76.209693999999999"/>
    <x v="5"/>
    <n v="58"/>
    <n v="134"/>
    <n v="86"/>
  </r>
  <r>
    <s v="India"/>
    <x v="18"/>
    <x v="119"/>
    <s v="Punjab Agricultural University, Ludhiana - PPCB"/>
    <x v="0"/>
    <n v="30.902799999999999"/>
    <n v="75.808599999999998"/>
    <x v="4"/>
    <n v="3"/>
    <n v="48"/>
    <n v="21"/>
  </r>
  <r>
    <s v="India"/>
    <x v="19"/>
    <x v="132"/>
    <s v="Krishna Nagar, Bharatpur - RSPCB"/>
    <x v="0"/>
    <n v="27.215415"/>
    <n v="77.50873"/>
    <x v="6"/>
    <n v="14"/>
    <n v="74"/>
    <n v="34"/>
  </r>
  <r>
    <s v="India"/>
    <x v="19"/>
    <x v="133"/>
    <s v="Pratap Nagar, Bhilwara - RSPCB"/>
    <x v="0"/>
    <n v="25.339604999999999"/>
    <n v="74.618882999999997"/>
    <x v="5"/>
    <n v="24"/>
    <n v="228"/>
    <n v="65"/>
  </r>
  <r>
    <s v="India"/>
    <x v="19"/>
    <x v="138"/>
    <s v="New Colony, Bundi - RSPCB"/>
    <x v="0"/>
    <n v="25.435773999999999"/>
    <n v="75.644272000000001"/>
    <x v="5"/>
    <n v="31"/>
    <n v="148"/>
    <n v="59"/>
  </r>
  <r>
    <s v="India"/>
    <x v="19"/>
    <x v="138"/>
    <s v="New Colony, Bundi - RSPCB"/>
    <x v="0"/>
    <n v="25.435773999999999"/>
    <n v="75.644272000000001"/>
    <x v="2"/>
    <n v="8"/>
    <n v="112"/>
    <n v="30"/>
  </r>
  <r>
    <s v="India"/>
    <x v="19"/>
    <x v="137"/>
    <s v="Shastri Nagar, Chittorgarh - RSPCB"/>
    <x v="0"/>
    <n v="24.892047000000002"/>
    <n v="74.623526999999996"/>
    <x v="1"/>
    <n v="42"/>
    <n v="287"/>
    <n v="133"/>
  </r>
  <r>
    <s v="India"/>
    <x v="19"/>
    <x v="152"/>
    <s v="Khatikan Mohalla, Dausa - RSPCB"/>
    <x v="0"/>
    <n v="26.895551999999999"/>
    <n v="76.334753000000006"/>
    <x v="6"/>
    <n v="28"/>
    <n v="84"/>
    <n v="37"/>
  </r>
  <r>
    <s v="India"/>
    <x v="19"/>
    <x v="141"/>
    <s v="Mudtra Sili, Jalore - RSPCB"/>
    <x v="0"/>
    <n v="25.344694"/>
    <n v="72.626208000000005"/>
    <x v="0"/>
    <n v="46"/>
    <n v="109"/>
    <n v="81"/>
  </r>
  <r>
    <s v="India"/>
    <x v="19"/>
    <x v="142"/>
    <s v="Rajlaxmi Nagar, Jhalawar - RSPCB"/>
    <x v="0"/>
    <n v="24.588397000000001"/>
    <n v="76.172781999999998"/>
    <x v="4"/>
    <n v="5"/>
    <n v="17"/>
    <n v="9"/>
  </r>
  <r>
    <s v="India"/>
    <x v="19"/>
    <x v="142"/>
    <s v="Rajlaxmi Nagar, Jhalawar - RSPCB"/>
    <x v="0"/>
    <n v="24.588397000000001"/>
    <n v="76.172781999999998"/>
    <x v="0"/>
    <n v="7"/>
    <n v="71"/>
    <n v="38"/>
  </r>
  <r>
    <s v="India"/>
    <x v="19"/>
    <x v="143"/>
    <s v="Indra Nagar, Jhunjhunu - RSPCB"/>
    <x v="0"/>
    <n v="28.108988"/>
    <n v="75.386577000000003"/>
    <x v="1"/>
    <n v="65"/>
    <n v="199"/>
    <n v="116"/>
  </r>
  <r>
    <s v="India"/>
    <x v="19"/>
    <x v="144"/>
    <s v="Collectorate, Jodhpur - RSPCB"/>
    <x v="0"/>
    <n v="26.268249000000001"/>
    <n v="73.019385299999996"/>
    <x v="1"/>
    <n v="20"/>
    <n v="413"/>
    <n v="138"/>
  </r>
  <r>
    <s v="India"/>
    <x v="19"/>
    <x v="144"/>
    <s v="Collectorate, Jodhpur - RSPCB"/>
    <x v="0"/>
    <n v="26.268249000000001"/>
    <n v="73.019385299999996"/>
    <x v="0"/>
    <n v="3"/>
    <n v="80"/>
    <n v="45"/>
  </r>
  <r>
    <s v="India"/>
    <x v="19"/>
    <x v="144"/>
    <s v="Digari Kalan, Jodhpur - RSPCB"/>
    <x v="0"/>
    <n v="26.295809999999999"/>
    <n v="73.082283000000004"/>
    <x v="5"/>
    <n v="24"/>
    <n v="181"/>
    <n v="92"/>
  </r>
  <r>
    <s v="India"/>
    <x v="19"/>
    <x v="144"/>
    <s v="Digari Kalan, Jodhpur - RSPCB"/>
    <x v="0"/>
    <n v="26.295809999999999"/>
    <n v="73.082283000000004"/>
    <x v="1"/>
    <n v="47"/>
    <n v="335"/>
    <n v="130"/>
  </r>
  <r>
    <s v="India"/>
    <x v="19"/>
    <x v="144"/>
    <s v="Digari Kalan, Jodhpur - RSPCB"/>
    <x v="0"/>
    <n v="26.295809999999999"/>
    <n v="73.082283000000004"/>
    <x v="3"/>
    <n v="2"/>
    <n v="5"/>
    <n v="4"/>
  </r>
  <r>
    <s v="India"/>
    <x v="19"/>
    <x v="144"/>
    <s v="Jhalamand, Jodhpur - RSPCB"/>
    <x v="0"/>
    <n v="26.215415"/>
    <n v="73.070155999999997"/>
    <x v="5"/>
    <n v="21"/>
    <n v="438"/>
    <n v="98"/>
  </r>
  <r>
    <s v="India"/>
    <x v="19"/>
    <x v="150"/>
    <s v="Bhoiwada, Dungarpur - RSPCB"/>
    <x v="0"/>
    <n v="23.837789000000001"/>
    <n v="73.714926000000006"/>
    <x v="0"/>
    <n v="14"/>
    <n v="99"/>
    <n v="83"/>
  </r>
  <r>
    <s v="India"/>
    <x v="19"/>
    <x v="139"/>
    <s v="Adarsh Nagar, Jaipur - RSPCB"/>
    <x v="0"/>
    <n v="26.902909000000001"/>
    <n v="75.836858000000007"/>
    <x v="6"/>
    <n v="24"/>
    <n v="80"/>
    <n v="45"/>
  </r>
  <r>
    <s v="India"/>
    <x v="19"/>
    <x v="139"/>
    <s v="Mansarovar Sector-12, Jaipur - RSPCB"/>
    <x v="0"/>
    <n v="26.843698"/>
    <n v="75.766893999999994"/>
    <x v="1"/>
    <n v="68"/>
    <n v="255"/>
    <n v="122"/>
  </r>
  <r>
    <s v="India"/>
    <x v="19"/>
    <x v="139"/>
    <s v="Mansarovar Sector-12, Jaipur - RSPCB"/>
    <x v="0"/>
    <n v="26.843698"/>
    <n v="75.766893999999994"/>
    <x v="3"/>
    <n v="1"/>
    <n v="6"/>
    <n v="4"/>
  </r>
  <r>
    <s v="India"/>
    <x v="19"/>
    <x v="139"/>
    <s v="Police Commissionerate, Jaipur - RSPCB"/>
    <x v="0"/>
    <n v="26.9164092"/>
    <n v="75.7994901"/>
    <x v="2"/>
    <n v="8"/>
    <n v="62"/>
    <n v="25"/>
  </r>
  <r>
    <s v="India"/>
    <x v="19"/>
    <x v="139"/>
    <s v="Police Commissionerate, Jaipur - RSPCB"/>
    <x v="0"/>
    <n v="26.9164092"/>
    <n v="75.7994901"/>
    <x v="0"/>
    <n v="10"/>
    <n v="77"/>
    <n v="39"/>
  </r>
  <r>
    <s v="India"/>
    <x v="19"/>
    <x v="144"/>
    <s v="Jhalamand, Jodhpur - RSPCB"/>
    <x v="0"/>
    <n v="26.215415"/>
    <n v="73.070155999999997"/>
    <x v="2"/>
    <n v="7"/>
    <n v="77"/>
    <n v="38"/>
  </r>
  <r>
    <s v="India"/>
    <x v="19"/>
    <x v="144"/>
    <s v="Mandor, Jodhpur - RSPCB"/>
    <x v="0"/>
    <n v="26.358805"/>
    <n v="73.047443999999999"/>
    <x v="5"/>
    <n v="15"/>
    <n v="197"/>
    <n v="62"/>
  </r>
  <r>
    <s v="India"/>
    <x v="19"/>
    <x v="144"/>
    <s v="Mandor, Jodhpur - RSPCB"/>
    <x v="0"/>
    <n v="26.358805"/>
    <n v="73.047443999999999"/>
    <x v="1"/>
    <n v="71"/>
    <n v="260"/>
    <n v="117"/>
  </r>
  <r>
    <s v="India"/>
    <x v="19"/>
    <x v="144"/>
    <s v="Mandor, Jodhpur - RSPCB"/>
    <x v="0"/>
    <n v="26.358805"/>
    <n v="73.047443999999999"/>
    <x v="4"/>
    <n v="5"/>
    <n v="37"/>
    <n v="15"/>
  </r>
  <r>
    <s v="India"/>
    <x v="19"/>
    <x v="155"/>
    <s v="Dhanmandi, Kota - RSPCB"/>
    <x v="0"/>
    <n v="25.164090000000002"/>
    <n v="75.858136999999999"/>
    <x v="2"/>
    <n v="34"/>
    <n v="129"/>
    <n v="72"/>
  </r>
  <r>
    <s v="India"/>
    <x v="19"/>
    <x v="155"/>
    <s v="Shrinath Puram, Kota - RSPCB"/>
    <x v="0"/>
    <n v="25.143889999999999"/>
    <n v="75.821256000000005"/>
    <x v="1"/>
    <n v="71"/>
    <n v="142"/>
    <n v="105"/>
  </r>
  <r>
    <s v="India"/>
    <x v="19"/>
    <x v="234"/>
    <s v="Karni Colony, Nagaur - RSPCB"/>
    <x v="0"/>
    <n v="27.213494000000001"/>
    <n v="73.734443999999996"/>
    <x v="5"/>
    <n v="17"/>
    <n v="305"/>
    <n v="89"/>
  </r>
  <r>
    <s v="India"/>
    <x v="19"/>
    <x v="234"/>
    <s v="Karni Colony, Nagaur - RSPCB"/>
    <x v="0"/>
    <n v="27.213494000000001"/>
    <n v="73.734443999999996"/>
    <x v="2"/>
    <n v="7"/>
    <n v="103"/>
    <n v="30"/>
  </r>
  <r>
    <s v="India"/>
    <x v="19"/>
    <x v="146"/>
    <s v="Pragati Nagar, Pratapgarh - RSPCB"/>
    <x v="0"/>
    <n v="24.041198000000001"/>
    <n v="74.780702000000005"/>
    <x v="5"/>
    <n v="33"/>
    <n v="83"/>
    <n v="55"/>
  </r>
  <r>
    <s v="India"/>
    <x v="19"/>
    <x v="148"/>
    <s v="Sahu Nagar, Sawai Madhopur - RSPCB"/>
    <x v="0"/>
    <n v="26.031442999999999"/>
    <n v="76.359326999999993"/>
    <x v="0"/>
    <n v="7"/>
    <n v="167"/>
    <n v="93"/>
  </r>
  <r>
    <s v="India"/>
    <x v="19"/>
    <x v="149"/>
    <s v="Radhakishan Pura, Sikar - RSPCB"/>
    <x v="0"/>
    <n v="27.608912"/>
    <n v="75.153301999999996"/>
    <x v="5"/>
    <n v="29"/>
    <n v="264"/>
    <n v="91"/>
  </r>
  <r>
    <s v="India"/>
    <x v="19"/>
    <x v="149"/>
    <s v="Radhakishan Pura, Sikar - RSPCB"/>
    <x v="0"/>
    <n v="27.608912"/>
    <n v="75.153301999999996"/>
    <x v="0"/>
    <n v="4"/>
    <n v="82"/>
    <n v="56"/>
  </r>
  <r>
    <s v="India"/>
    <x v="19"/>
    <x v="235"/>
    <s v="Vedhaynath Colony, Sirohi - RSPCB"/>
    <x v="0"/>
    <n v="24.885261"/>
    <n v="72.857549000000006"/>
    <x v="6"/>
    <n v="1"/>
    <n v="54"/>
    <n v="15"/>
  </r>
  <r>
    <s v="India"/>
    <x v="19"/>
    <x v="139"/>
    <s v="Sector-2 Murlipura, Jaipur - RSPCB"/>
    <x v="0"/>
    <n v="26.960668999999999"/>
    <n v="75.771816999999999"/>
    <x v="1"/>
    <n v="46"/>
    <n v="200"/>
    <n v="113"/>
  </r>
  <r>
    <s v="India"/>
    <x v="19"/>
    <x v="139"/>
    <s v="Shastri Nagar, Jaipur - RSPCB"/>
    <x v="0"/>
    <n v="26.950292900000001"/>
    <n v="75.730942999999996"/>
    <x v="5"/>
    <n v="54"/>
    <n v="159"/>
    <n v="98"/>
  </r>
  <r>
    <s v="India"/>
    <x v="19"/>
    <x v="141"/>
    <s v="Mudtra Sili, Jalore - RSPCB"/>
    <x v="0"/>
    <n v="25.344694"/>
    <n v="72.626208000000005"/>
    <x v="2"/>
    <n v="40"/>
    <n v="86"/>
    <n v="55"/>
  </r>
  <r>
    <s v="India"/>
    <x v="19"/>
    <x v="167"/>
    <s v="Shastri Nagar, Tonk - RSPCB"/>
    <x v="0"/>
    <n v="26.159932999999999"/>
    <n v="75.780517000000003"/>
    <x v="6"/>
    <n v="3"/>
    <n v="125"/>
    <n v="45"/>
  </r>
  <r>
    <s v="India"/>
    <x v="19"/>
    <x v="236"/>
    <s v="Ashok Nagar, Udaipur - RSPCB"/>
    <x v="0"/>
    <n v="24.588616600000002"/>
    <n v="73.632139699999996"/>
    <x v="1"/>
    <n v="67"/>
    <n v="118"/>
    <n v="95"/>
  </r>
  <r>
    <s v="India"/>
    <x v="19"/>
    <x v="236"/>
    <s v="Ashok Nagar, Udaipur - RSPCB"/>
    <x v="0"/>
    <n v="24.588616600000002"/>
    <n v="73.632139699999996"/>
    <x v="4"/>
    <n v="1"/>
    <n v="20"/>
    <n v="8"/>
  </r>
  <r>
    <s v="India"/>
    <x v="19"/>
    <x v="147"/>
    <s v="Dhoinda, Rajsamand - RSPCB"/>
    <x v="0"/>
    <n v="25.036359999999998"/>
    <n v="73.883501999999993"/>
    <x v="5"/>
    <n v="7"/>
    <n v="140"/>
    <n v="35"/>
  </r>
  <r>
    <s v="India"/>
    <x v="19"/>
    <x v="147"/>
    <s v="Dhoinda, Rajsamand - RSPCB"/>
    <x v="0"/>
    <n v="25.036359999999998"/>
    <n v="73.883501999999993"/>
    <x v="3"/>
    <n v="8"/>
    <n v="21"/>
    <n v="13"/>
  </r>
  <r>
    <s v="India"/>
    <x v="19"/>
    <x v="147"/>
    <s v="Dhoinda, Rajsamand - RSPCB"/>
    <x v="0"/>
    <n v="25.036359999999998"/>
    <n v="73.883501999999993"/>
    <x v="4"/>
    <n v="2"/>
    <n v="15"/>
    <n v="6"/>
  </r>
  <r>
    <s v="India"/>
    <x v="22"/>
    <x v="162"/>
    <s v="Zero Point GICI, Gangtok - SSPCB"/>
    <x v="0"/>
    <n v="27.338529999999999"/>
    <n v="88.614098999999996"/>
    <x v="2"/>
    <n v="1"/>
    <n v="10"/>
    <n v="4"/>
  </r>
  <r>
    <s v="India"/>
    <x v="22"/>
    <x v="162"/>
    <s v="Zero Point GICI, Gangtok - SSPCB"/>
    <x v="0"/>
    <n v="27.338529999999999"/>
    <n v="88.614098999999996"/>
    <x v="0"/>
    <n v="20"/>
    <n v="98"/>
    <n v="33"/>
  </r>
  <r>
    <s v="India"/>
    <x v="21"/>
    <x v="175"/>
    <s v="Meelavittan, Thoothukudi - TNPCB"/>
    <x v="0"/>
    <n v="8.8164280000000002"/>
    <n v="78.099039000000005"/>
    <x v="6"/>
    <n v="6"/>
    <n v="40"/>
    <n v="19"/>
  </r>
  <r>
    <s v="India"/>
    <x v="21"/>
    <x v="169"/>
    <s v="St Joseph College, Tiruchirappalli - TNPCB"/>
    <x v="0"/>
    <n v="10.830158000000001"/>
    <n v="78.691849000000005"/>
    <x v="5"/>
    <n v="9"/>
    <n v="28"/>
    <n v="20"/>
  </r>
  <r>
    <s v="India"/>
    <x v="21"/>
    <x v="170"/>
    <s v="Municipal Corporation Office, Tirunelveli - TNPCB"/>
    <x v="0"/>
    <n v="8.7284419999999994"/>
    <n v="77.696200000000005"/>
    <x v="1"/>
    <n v="20"/>
    <n v="37"/>
    <n v="28"/>
  </r>
  <r>
    <s v="India"/>
    <x v="21"/>
    <x v="170"/>
    <s v="Municipal Corporation Office, Tirunelveli - TNPCB"/>
    <x v="0"/>
    <n v="8.7284419999999994"/>
    <n v="77.696200000000005"/>
    <x v="4"/>
    <n v="18"/>
    <n v="30"/>
    <n v="20"/>
  </r>
  <r>
    <s v="India"/>
    <x v="21"/>
    <x v="170"/>
    <s v="Municipal Corporation Office, Tirunelveli - TNPCB"/>
    <x v="0"/>
    <n v="8.7284419999999994"/>
    <n v="77.696200000000005"/>
    <x v="0"/>
    <n v="6"/>
    <n v="7"/>
    <n v="6"/>
  </r>
  <r>
    <s v="India"/>
    <x v="21"/>
    <x v="171"/>
    <s v="Kumaran College, Tirupur - TNPCB"/>
    <x v="0"/>
    <n v="11.0973603"/>
    <n v="77.322867299999999"/>
    <x v="1"/>
    <n v="14"/>
    <n v="69"/>
    <n v="34"/>
  </r>
  <r>
    <s v="India"/>
    <x v="21"/>
    <x v="171"/>
    <s v="Kumaran College, Tirupur - TNPCB"/>
    <x v="0"/>
    <n v="11.0973603"/>
    <n v="77.322867299999999"/>
    <x v="4"/>
    <m/>
    <m/>
    <m/>
  </r>
  <r>
    <s v="India"/>
    <x v="21"/>
    <x v="171"/>
    <s v="Kumaran College, Tirupur - TNPCB"/>
    <x v="0"/>
    <n v="11.0973603"/>
    <n v="77.322867299999999"/>
    <x v="0"/>
    <m/>
    <m/>
    <m/>
  </r>
  <r>
    <s v="India"/>
    <x v="21"/>
    <x v="172"/>
    <s v="Collectorate Office, Virudhunagar - TNPCB"/>
    <x v="0"/>
    <n v="9.5593819999999994"/>
    <n v="77.948828000000006"/>
    <x v="2"/>
    <n v="19"/>
    <n v="19"/>
    <n v="19"/>
  </r>
  <r>
    <s v="India"/>
    <x v="21"/>
    <x v="177"/>
    <s v="Chalai Bazaar, Ramanathapuram - TNPCB"/>
    <x v="0"/>
    <n v="9.3639899999999994"/>
    <n v="78.831976999999995"/>
    <x v="6"/>
    <n v="21"/>
    <n v="24"/>
    <n v="23"/>
  </r>
  <r>
    <s v="India"/>
    <x v="21"/>
    <x v="174"/>
    <s v="VOC Nagar_SIPCOT, Ranipet - TNPCB"/>
    <x v="0"/>
    <n v="12.952707"/>
    <n v="79.303939999999997"/>
    <x v="0"/>
    <n v="1"/>
    <n v="1"/>
    <n v="1"/>
  </r>
  <r>
    <s v="India"/>
    <x v="21"/>
    <x v="240"/>
    <s v="Sona College of Technology, Salem - TNPCB"/>
    <x v="0"/>
    <n v="11.679111000000001"/>
    <n v="78.125051999999997"/>
    <x v="1"/>
    <n v="25"/>
    <n v="52"/>
    <n v="39"/>
  </r>
  <r>
    <s v="India"/>
    <x v="21"/>
    <x v="240"/>
    <s v="Sona College of Technology, Salem - TNPCB"/>
    <x v="0"/>
    <n v="11.679111000000001"/>
    <n v="78.125051999999997"/>
    <x v="3"/>
    <n v="3"/>
    <n v="3"/>
    <n v="3"/>
  </r>
  <r>
    <s v="India"/>
    <x v="21"/>
    <x v="241"/>
    <s v="Parisutham Nagar, Thanjavur - TNPCB"/>
    <x v="0"/>
    <n v="10.7654824"/>
    <n v="79.138996800000001"/>
    <x v="5"/>
    <n v="18"/>
    <n v="70"/>
    <n v="36"/>
  </r>
  <r>
    <s v="India"/>
    <x v="21"/>
    <x v="241"/>
    <s v="Parisutham Nagar, Thanjavur - TNPCB"/>
    <x v="0"/>
    <n v="10.7654824"/>
    <n v="79.138996800000001"/>
    <x v="2"/>
    <n v="4"/>
    <n v="5"/>
    <n v="4"/>
  </r>
  <r>
    <s v="India"/>
    <x v="21"/>
    <x v="241"/>
    <s v="Parisutham Nagar, Thanjavur - TNPCB"/>
    <x v="0"/>
    <n v="10.7654824"/>
    <n v="79.138996800000001"/>
    <x v="4"/>
    <n v="16"/>
    <n v="17"/>
    <n v="16"/>
  </r>
  <r>
    <s v="India"/>
    <x v="21"/>
    <x v="175"/>
    <s v="Meelavittan, Thoothukudi - TNPCB"/>
    <x v="0"/>
    <n v="8.8164280000000002"/>
    <n v="78.099039000000005"/>
    <x v="2"/>
    <n v="4"/>
    <n v="6"/>
    <n v="5"/>
  </r>
  <r>
    <s v="India"/>
    <x v="21"/>
    <x v="168"/>
    <s v="Semmandalam, Cuddalore - TNPCB"/>
    <x v="0"/>
    <n v="11.763768300000001"/>
    <n v="79.749983499999999"/>
    <x v="0"/>
    <n v="1"/>
    <n v="2"/>
    <n v="1"/>
  </r>
  <r>
    <s v="India"/>
    <x v="21"/>
    <x v="164"/>
    <s v="Mendonsa Colony, Dindigul - TNPCB"/>
    <x v="0"/>
    <n v="10.358535"/>
    <n v="77.984320999999994"/>
    <x v="1"/>
    <n v="46"/>
    <n v="95"/>
    <n v="63"/>
  </r>
  <r>
    <s v="India"/>
    <x v="21"/>
    <x v="238"/>
    <s v="Anthoni Pillai Nagar, Gummidipoondi - TNPCB"/>
    <x v="0"/>
    <n v="13.412699999999999"/>
    <n v="80.108099999999993"/>
    <x v="2"/>
    <n v="7"/>
    <n v="32"/>
    <n v="16"/>
  </r>
  <r>
    <s v="India"/>
    <x v="21"/>
    <x v="238"/>
    <s v="Anthoni Pillai Nagar, Gummidipoondi - TNPCB"/>
    <x v="0"/>
    <n v="13.412699999999999"/>
    <n v="80.108099999999993"/>
    <x v="4"/>
    <n v="3"/>
    <n v="62"/>
    <n v="26"/>
  </r>
  <r>
    <s v="India"/>
    <x v="21"/>
    <x v="165"/>
    <s v="SIPCOT Phase-1, Hosur - TNPCB"/>
    <x v="0"/>
    <n v="12.746998"/>
    <n v="77.813811000000001"/>
    <x v="4"/>
    <n v="48"/>
    <n v="51"/>
    <n v="50"/>
  </r>
  <r>
    <s v="India"/>
    <x v="21"/>
    <x v="165"/>
    <s v="SIPCOT Phase-1, Hosur - TNPCB"/>
    <x v="0"/>
    <n v="12.746998"/>
    <n v="77.813811000000001"/>
    <x v="0"/>
    <n v="40"/>
    <n v="78"/>
    <n v="44"/>
  </r>
  <r>
    <s v="India"/>
    <x v="21"/>
    <x v="239"/>
    <s v="Kilambi, Kanchipuram - TNPCB"/>
    <x v="0"/>
    <n v="12.864618"/>
    <n v="79.659968000000006"/>
    <x v="5"/>
    <n v="27"/>
    <n v="80"/>
    <n v="50"/>
  </r>
  <r>
    <s v="India"/>
    <x v="21"/>
    <x v="239"/>
    <s v="Kilambi, Kanchipuram - TNPCB"/>
    <x v="0"/>
    <n v="12.864618"/>
    <n v="79.659968000000006"/>
    <x v="1"/>
    <n v="44"/>
    <n v="120"/>
    <n v="81"/>
  </r>
  <r>
    <s v="India"/>
    <x v="21"/>
    <x v="251"/>
    <s v="Bombay Castel, Ooty - TNPCB"/>
    <x v="0"/>
    <n v="11.4068288"/>
    <n v="76.713897299999999"/>
    <x v="5"/>
    <n v="37"/>
    <n v="140"/>
    <n v="63"/>
  </r>
  <r>
    <s v="India"/>
    <x v="21"/>
    <x v="251"/>
    <s v="Bombay Castel, Ooty - TNPCB"/>
    <x v="0"/>
    <n v="11.4068288"/>
    <n v="76.713897299999999"/>
    <x v="6"/>
    <n v="24"/>
    <n v="27"/>
    <n v="26"/>
  </r>
  <r>
    <s v="India"/>
    <x v="21"/>
    <x v="243"/>
    <s v="Bharathidasan University, Palkalaiperur - TNPCB"/>
    <x v="0"/>
    <n v="10.681158"/>
    <n v="78.741746000000006"/>
    <x v="5"/>
    <n v="11"/>
    <n v="30"/>
    <n v="20"/>
  </r>
  <r>
    <s v="India"/>
    <x v="21"/>
    <x v="177"/>
    <s v="Chalai Bazaar, Ramanathapuram - TNPCB"/>
    <x v="0"/>
    <n v="9.3639899999999994"/>
    <n v="78.831976999999995"/>
    <x v="5"/>
    <n v="17"/>
    <n v="41"/>
    <n v="28"/>
  </r>
  <r>
    <s v="India"/>
    <x v="21"/>
    <x v="177"/>
    <s v="Chalai Bazaar, Ramanathapuram - TNPCB"/>
    <x v="0"/>
    <n v="9.3639899999999994"/>
    <n v="78.831976999999995"/>
    <x v="1"/>
    <n v="11"/>
    <n v="47"/>
    <n v="27"/>
  </r>
  <r>
    <s v="India"/>
    <x v="21"/>
    <x v="237"/>
    <s v="Crescent University, Chengalpattu - TNPCB"/>
    <x v="0"/>
    <n v="12.877731600000001"/>
    <n v="80.083480699999996"/>
    <x v="2"/>
    <m/>
    <m/>
    <m/>
  </r>
  <r>
    <s v="India"/>
    <x v="21"/>
    <x v="237"/>
    <s v="Crescent University, Chengalpattu - TNPCB"/>
    <x v="0"/>
    <n v="12.877731600000001"/>
    <n v="80.083480699999996"/>
    <x v="6"/>
    <n v="20"/>
    <n v="20"/>
    <n v="20"/>
  </r>
  <r>
    <s v="India"/>
    <x v="21"/>
    <x v="157"/>
    <s v="Alandur Bus Depot, Chennai - CPCB"/>
    <x v="0"/>
    <n v="12.9099161"/>
    <n v="80.107653799999994"/>
    <x v="6"/>
    <n v="12"/>
    <n v="30"/>
    <n v="26"/>
  </r>
  <r>
    <s v="India"/>
    <x v="21"/>
    <x v="157"/>
    <s v="Kodungaiyur, Chennai - TNPCB"/>
    <x v="0"/>
    <n v="13.127800000000001"/>
    <n v="80.264200000000002"/>
    <x v="1"/>
    <n v="10"/>
    <n v="60"/>
    <n v="32"/>
  </r>
  <r>
    <s v="India"/>
    <x v="21"/>
    <x v="157"/>
    <s v="Kodungaiyur, Chennai - TNPCB"/>
    <x v="0"/>
    <n v="13.127800000000001"/>
    <n v="80.264200000000002"/>
    <x v="2"/>
    <n v="8"/>
    <n v="17"/>
    <n v="13"/>
  </r>
  <r>
    <s v="India"/>
    <x v="21"/>
    <x v="239"/>
    <s v="Kilambi, Kanchipuram - TNPCB"/>
    <x v="0"/>
    <n v="12.864618"/>
    <n v="79.659968000000006"/>
    <x v="4"/>
    <n v="6"/>
    <n v="9"/>
    <n v="7"/>
  </r>
  <r>
    <s v="India"/>
    <x v="21"/>
    <x v="239"/>
    <s v="Kilambi, Kanchipuram - TNPCB"/>
    <x v="0"/>
    <n v="12.864618"/>
    <n v="79.659968000000006"/>
    <x v="0"/>
    <n v="1"/>
    <n v="1"/>
    <n v="1"/>
  </r>
  <r>
    <s v="India"/>
    <x v="21"/>
    <x v="242"/>
    <s v="Uchapatti, Madurai - TNPCB"/>
    <x v="0"/>
    <n v="9.8659350000000003"/>
    <n v="78.022668999999993"/>
    <x v="2"/>
    <n v="19"/>
    <n v="20"/>
    <n v="20"/>
  </r>
  <r>
    <s v="India"/>
    <x v="21"/>
    <x v="160"/>
    <s v="Velippalayam, Nagapattinam - TNPCB"/>
    <x v="0"/>
    <n v="10.798548"/>
    <n v="79.838211999999999"/>
    <x v="5"/>
    <n v="8"/>
    <n v="43"/>
    <n v="23"/>
  </r>
  <r>
    <s v="India"/>
    <x v="21"/>
    <x v="157"/>
    <s v="Royapuram, Chennai - TNPCB"/>
    <x v="0"/>
    <n v="13.1036"/>
    <n v="80.290899999999993"/>
    <x v="2"/>
    <n v="9"/>
    <n v="31"/>
    <n v="19"/>
  </r>
  <r>
    <s v="India"/>
    <x v="21"/>
    <x v="157"/>
    <s v="Royapuram, Chennai - TNPCB"/>
    <x v="0"/>
    <n v="13.1036"/>
    <n v="80.290899999999993"/>
    <x v="4"/>
    <n v="4"/>
    <n v="15"/>
    <n v="8"/>
  </r>
  <r>
    <s v="India"/>
    <x v="21"/>
    <x v="157"/>
    <s v="Velachery Res. Area, Chennai - CPCB"/>
    <x v="0"/>
    <n v="13.005218899999999"/>
    <n v="80.239812499999999"/>
    <x v="1"/>
    <n v="31"/>
    <n v="56"/>
    <n v="43"/>
  </r>
  <r>
    <s v="India"/>
    <x v="21"/>
    <x v="157"/>
    <s v="Velachery Res. Area, Chennai - CPCB"/>
    <x v="0"/>
    <n v="13.005218899999999"/>
    <n v="80.239812499999999"/>
    <x v="2"/>
    <n v="12"/>
    <n v="14"/>
    <n v="13"/>
  </r>
  <r>
    <s v="India"/>
    <x v="21"/>
    <x v="157"/>
    <s v="Manali, Chennai - CPCB"/>
    <x v="0"/>
    <n v="13.164543999999999"/>
    <n v="80.26285"/>
    <x v="5"/>
    <n v="7"/>
    <n v="42"/>
    <n v="21"/>
  </r>
  <r>
    <s v="India"/>
    <x v="21"/>
    <x v="157"/>
    <s v="Manali, Chennai - CPCB"/>
    <x v="0"/>
    <n v="13.164543999999999"/>
    <n v="80.26285"/>
    <x v="6"/>
    <n v="11"/>
    <n v="112"/>
    <n v="95"/>
  </r>
  <r>
    <s v="India"/>
    <x v="21"/>
    <x v="168"/>
    <s v="Kudikadu, Cuddalore - TNPCB"/>
    <x v="0"/>
    <n v="11.6829898"/>
    <n v="79.753209900000002"/>
    <x v="2"/>
    <m/>
    <m/>
    <m/>
  </r>
  <r>
    <s v="India"/>
    <x v="23"/>
    <x v="173"/>
    <s v="Bollaram Industrial Area, Hyderabad - TSPCB"/>
    <x v="0"/>
    <n v="17.540890999999998"/>
    <n v="78.358528000000007"/>
    <x v="5"/>
    <n v="28"/>
    <n v="72"/>
    <n v="48"/>
  </r>
  <r>
    <s v="India"/>
    <x v="23"/>
    <x v="173"/>
    <s v="Bollaram Industrial Area, Hyderabad - TSPCB"/>
    <x v="0"/>
    <n v="17.540890999999998"/>
    <n v="78.358528000000007"/>
    <x v="2"/>
    <n v="21"/>
    <n v="63"/>
    <n v="34"/>
  </r>
  <r>
    <s v="India"/>
    <x v="23"/>
    <x v="173"/>
    <s v="Central University, Hyderabad - TSPCB"/>
    <x v="0"/>
    <n v="17.460103"/>
    <n v="78.334361000000001"/>
    <x v="5"/>
    <m/>
    <m/>
    <m/>
  </r>
  <r>
    <s v="India"/>
    <x v="23"/>
    <x v="173"/>
    <s v="Central University, Hyderabad - TSPCB"/>
    <x v="0"/>
    <n v="17.460103"/>
    <n v="78.334361000000001"/>
    <x v="4"/>
    <m/>
    <m/>
    <m/>
  </r>
  <r>
    <s v="India"/>
    <x v="23"/>
    <x v="173"/>
    <s v="ICRISAT Patancheru, Hyderabad - TSPCB"/>
    <x v="0"/>
    <n v="17.5184"/>
    <n v="78.278777000000005"/>
    <x v="5"/>
    <n v="52"/>
    <n v="113"/>
    <n v="77"/>
  </r>
  <r>
    <s v="India"/>
    <x v="23"/>
    <x v="173"/>
    <s v="ICRISAT Patancheru, Hyderabad - TSPCB"/>
    <x v="0"/>
    <n v="17.5184"/>
    <n v="78.278777000000005"/>
    <x v="1"/>
    <n v="54"/>
    <n v="140"/>
    <n v="84"/>
  </r>
  <r>
    <s v="India"/>
    <x v="23"/>
    <x v="173"/>
    <s v="ICRISAT Patancheru, Hyderabad - TSPCB"/>
    <x v="0"/>
    <n v="17.5184"/>
    <n v="78.278777000000005"/>
    <x v="2"/>
    <n v="4"/>
    <n v="89"/>
    <n v="13"/>
  </r>
  <r>
    <s v="India"/>
    <x v="23"/>
    <x v="173"/>
    <s v="ICRISAT Patancheru, Hyderabad - TSPCB"/>
    <x v="0"/>
    <n v="17.5184"/>
    <n v="78.278777000000005"/>
    <x v="4"/>
    <n v="10"/>
    <n v="19"/>
    <n v="14"/>
  </r>
  <r>
    <s v="India"/>
    <x v="23"/>
    <x v="173"/>
    <s v="IDA Pashamylaram, Hyderabad - TSPCB"/>
    <x v="0"/>
    <n v="17.531689499999999"/>
    <n v="78.218939000000006"/>
    <x v="1"/>
    <n v="63"/>
    <n v="151"/>
    <n v="102"/>
  </r>
  <r>
    <s v="India"/>
    <x v="23"/>
    <x v="173"/>
    <s v="IDA Pashamylaram, Hyderabad - TSPCB"/>
    <x v="0"/>
    <n v="17.531689499999999"/>
    <n v="78.218939000000006"/>
    <x v="2"/>
    <n v="33"/>
    <n v="69"/>
    <n v="44"/>
  </r>
  <r>
    <s v="India"/>
    <x v="24"/>
    <x v="178"/>
    <s v="Civil Lines, Bareilly - UPPCB"/>
    <x v="0"/>
    <n v="28.359580999999999"/>
    <n v="79.414455000000004"/>
    <x v="5"/>
    <m/>
    <m/>
    <m/>
  </r>
  <r>
    <s v="India"/>
    <x v="24"/>
    <x v="178"/>
    <s v="Civil Lines, Bareilly - UPPCB"/>
    <x v="0"/>
    <n v="28.359580999999999"/>
    <n v="79.414455000000004"/>
    <x v="1"/>
    <m/>
    <m/>
    <m/>
  </r>
  <r>
    <s v="India"/>
    <x v="24"/>
    <x v="178"/>
    <s v="Rajendra Nagar, Bareilly - UPPCB"/>
    <x v="0"/>
    <n v="28.389109359999999"/>
    <n v="79.429637080000006"/>
    <x v="4"/>
    <n v="26"/>
    <n v="31"/>
    <n v="27"/>
  </r>
  <r>
    <s v="India"/>
    <x v="24"/>
    <x v="179"/>
    <s v="Yamunapuram, Bulandshahr - UPPCB"/>
    <x v="0"/>
    <n v="28.406963000000001"/>
    <n v="77.849830999999995"/>
    <x v="3"/>
    <n v="10"/>
    <n v="20"/>
    <n v="13"/>
  </r>
  <r>
    <s v="India"/>
    <x v="24"/>
    <x v="179"/>
    <s v="Yamunapuram, Bulandshahr - UPPCB"/>
    <x v="0"/>
    <n v="28.406963000000001"/>
    <n v="77.849830999999995"/>
    <x v="6"/>
    <n v="20"/>
    <n v="115"/>
    <n v="51"/>
  </r>
  <r>
    <s v="India"/>
    <x v="24"/>
    <x v="179"/>
    <s v="Yamunapuram, Bulandshahr - UPPCB"/>
    <x v="0"/>
    <n v="28.406963000000001"/>
    <n v="77.849830999999995"/>
    <x v="0"/>
    <n v="1"/>
    <n v="88"/>
    <n v="54"/>
  </r>
  <r>
    <s v="India"/>
    <x v="24"/>
    <x v="180"/>
    <s v="Nagla Bhau, Firozabad - UPPCB"/>
    <x v="0"/>
    <n v="27.168897000000001"/>
    <n v="78.376959999999997"/>
    <x v="2"/>
    <n v="17"/>
    <n v="17"/>
    <n v="17"/>
  </r>
  <r>
    <s v="India"/>
    <x v="24"/>
    <x v="180"/>
    <s v="Vibhab Nagar, Firozabad - UPPCB"/>
    <x v="0"/>
    <n v="27.159400000000002"/>
    <n v="78.395300000000006"/>
    <x v="3"/>
    <n v="2"/>
    <n v="2"/>
    <n v="2"/>
  </r>
  <r>
    <s v="India"/>
    <x v="24"/>
    <x v="176"/>
    <s v="Sanjay Palace, Agra - UPPCB"/>
    <x v="0"/>
    <n v="27.198658330000001"/>
    <n v="78.005980559999998"/>
    <x v="2"/>
    <n v="14"/>
    <n v="108"/>
    <n v="47"/>
  </r>
  <r>
    <s v="India"/>
    <x v="24"/>
    <x v="176"/>
    <s v="Sector-3B Avas Vikas Colony, Agra - UPPCB"/>
    <x v="0"/>
    <n v="27.194120000000002"/>
    <n v="77.962370000000007"/>
    <x v="5"/>
    <n v="40"/>
    <n v="372"/>
    <n v="202"/>
  </r>
  <r>
    <s v="India"/>
    <x v="24"/>
    <x v="176"/>
    <s v="Sector-3B Avas Vikas Colony, Agra - UPPCB"/>
    <x v="0"/>
    <n v="27.194120000000002"/>
    <n v="77.962370000000007"/>
    <x v="3"/>
    <n v="4"/>
    <n v="18"/>
    <n v="8"/>
  </r>
  <r>
    <s v="India"/>
    <x v="24"/>
    <x v="176"/>
    <s v="Shastripuram, Agra - UPPCB"/>
    <x v="0"/>
    <n v="27.198619999999998"/>
    <n v="77.920659999999998"/>
    <x v="5"/>
    <n v="21"/>
    <n v="198"/>
    <n v="67"/>
  </r>
  <r>
    <s v="India"/>
    <x v="24"/>
    <x v="176"/>
    <s v="Shastripuram, Agra - UPPCB"/>
    <x v="0"/>
    <n v="27.198619999999998"/>
    <n v="77.920659999999998"/>
    <x v="0"/>
    <n v="1"/>
    <n v="7"/>
    <n v="4"/>
  </r>
  <r>
    <s v="India"/>
    <x v="23"/>
    <x v="173"/>
    <s v="IDA Pashamylaram, Hyderabad - TSPCB"/>
    <x v="0"/>
    <n v="17.531689499999999"/>
    <n v="78.218939000000006"/>
    <x v="6"/>
    <n v="28"/>
    <n v="44"/>
    <n v="37"/>
  </r>
  <r>
    <s v="India"/>
    <x v="23"/>
    <x v="173"/>
    <s v="Kompally Municipal Office, Hyderabad - TSPCB"/>
    <x v="0"/>
    <n v="17.544899000000001"/>
    <n v="78.486948999999996"/>
    <x v="3"/>
    <n v="4"/>
    <n v="4"/>
    <n v="4"/>
  </r>
  <r>
    <s v="India"/>
    <x v="23"/>
    <x v="173"/>
    <s v="New Malakpet, Hyderabad - TSPCB"/>
    <x v="0"/>
    <n v="17.372060000000001"/>
    <n v="78.50864"/>
    <x v="4"/>
    <n v="13"/>
    <n v="17"/>
    <n v="14"/>
  </r>
  <r>
    <s v="India"/>
    <x v="23"/>
    <x v="173"/>
    <s v="New Malakpet, Hyderabad - TSPCB"/>
    <x v="0"/>
    <n v="17.372060000000001"/>
    <n v="78.50864"/>
    <x v="0"/>
    <n v="7"/>
    <n v="37"/>
    <n v="23"/>
  </r>
  <r>
    <s v="India"/>
    <x v="23"/>
    <x v="173"/>
    <s v="Ramachandrapuram, Hyderabad - TSPCB"/>
    <x v="0"/>
    <n v="17.528544"/>
    <n v="78.286195000000006"/>
    <x v="2"/>
    <n v="14"/>
    <n v="16"/>
    <n v="15"/>
  </r>
  <r>
    <s v="India"/>
    <x v="23"/>
    <x v="173"/>
    <s v="Ramachandrapuram, Hyderabad - TSPCB"/>
    <x v="0"/>
    <n v="17.528544"/>
    <n v="78.286195000000006"/>
    <x v="3"/>
    <n v="4"/>
    <n v="6"/>
    <n v="5"/>
  </r>
  <r>
    <s v="India"/>
    <x v="23"/>
    <x v="173"/>
    <s v="Ramachandrapuram, Hyderabad - TSPCB"/>
    <x v="0"/>
    <n v="17.528544"/>
    <n v="78.286195000000006"/>
    <x v="6"/>
    <n v="8"/>
    <n v="28"/>
    <n v="12"/>
  </r>
  <r>
    <s v="India"/>
    <x v="23"/>
    <x v="173"/>
    <s v="Sanathnagar, Hyderabad - TSPCB"/>
    <x v="0"/>
    <n v="17.455945799999999"/>
    <n v="78.433215200000006"/>
    <x v="5"/>
    <n v="32"/>
    <n v="68"/>
    <n v="47"/>
  </r>
  <r>
    <s v="India"/>
    <x v="23"/>
    <x v="173"/>
    <s v="Zoo Park, Hyderabad - TSPCB"/>
    <x v="0"/>
    <n v="17.349694"/>
    <n v="78.451436999999999"/>
    <x v="3"/>
    <n v="3"/>
    <n v="5"/>
    <n v="4"/>
  </r>
  <r>
    <s v="India"/>
    <x v="30"/>
    <x v="246"/>
    <s v="Bardowali, Agartala - Tripura SPCB"/>
    <x v="0"/>
    <n v="23.817549700000001"/>
    <n v="91.272697399999998"/>
    <x v="5"/>
    <n v="11"/>
    <n v="26"/>
    <n v="18"/>
  </r>
  <r>
    <s v="India"/>
    <x v="24"/>
    <x v="176"/>
    <s v="Manoharpur, Agra - UPPCB"/>
    <x v="0"/>
    <n v="27.237110000000001"/>
    <n v="78.019360000000006"/>
    <x v="1"/>
    <n v="38"/>
    <n v="193"/>
    <n v="105"/>
  </r>
  <r>
    <s v="India"/>
    <x v="24"/>
    <x v="176"/>
    <s v="Manoharpur, Agra - UPPCB"/>
    <x v="0"/>
    <n v="27.237110000000001"/>
    <n v="78.019360000000006"/>
    <x v="2"/>
    <n v="11"/>
    <n v="11"/>
    <n v="11"/>
  </r>
  <r>
    <s v="India"/>
    <x v="24"/>
    <x v="176"/>
    <s v="Manoharpur, Agra - UPPCB"/>
    <x v="0"/>
    <n v="27.237110000000001"/>
    <n v="78.019360000000006"/>
    <x v="0"/>
    <n v="2"/>
    <n v="58"/>
    <n v="51"/>
  </r>
  <r>
    <s v="India"/>
    <x v="24"/>
    <x v="187"/>
    <s v="Sardar Patel Inter College, Baghpat - UPPCB"/>
    <x v="0"/>
    <n v="28.964949000000001"/>
    <n v="77.278761000000003"/>
    <x v="0"/>
    <n v="12"/>
    <n v="73"/>
    <n v="47"/>
  </r>
  <r>
    <s v="India"/>
    <x v="24"/>
    <x v="176"/>
    <s v="Rohta, Agra - UPPCB"/>
    <x v="0"/>
    <n v="27.106971999999999"/>
    <n v="78.000111000000004"/>
    <x v="1"/>
    <n v="25"/>
    <n v="189"/>
    <n v="88"/>
  </r>
  <r>
    <s v="India"/>
    <x v="24"/>
    <x v="189"/>
    <s v="Lalbagh, Lucknow - CPCB"/>
    <x v="0"/>
    <n v="26.8458805"/>
    <n v="80.936554099999995"/>
    <x v="1"/>
    <m/>
    <m/>
    <m/>
  </r>
  <r>
    <s v="India"/>
    <x v="24"/>
    <x v="189"/>
    <s v="Lalbagh, Lucknow - CPCB"/>
    <x v="0"/>
    <n v="26.8458805"/>
    <n v="80.936554099999995"/>
    <x v="2"/>
    <m/>
    <m/>
    <m/>
  </r>
  <r>
    <s v="India"/>
    <x v="24"/>
    <x v="189"/>
    <s v="Lalbagh, Lucknow - CPCB"/>
    <x v="0"/>
    <n v="26.8458805"/>
    <n v="80.936554099999995"/>
    <x v="4"/>
    <m/>
    <m/>
    <m/>
  </r>
  <r>
    <s v="India"/>
    <x v="24"/>
    <x v="189"/>
    <s v="Talkatora District Industries Center, Lucknow - CPCB"/>
    <x v="0"/>
    <n v="26.833997220000001"/>
    <n v="80.891736100000003"/>
    <x v="0"/>
    <n v="2"/>
    <n v="81"/>
    <n v="56"/>
  </r>
  <r>
    <s v="India"/>
    <x v="24"/>
    <x v="190"/>
    <s v="Jai Bhim Nagar, Meerut - UPPCB"/>
    <x v="0"/>
    <n v="28.953588199999999"/>
    <n v="77.762294100000005"/>
    <x v="3"/>
    <n v="8"/>
    <n v="83"/>
    <n v="14"/>
  </r>
  <r>
    <s v="India"/>
    <x v="24"/>
    <x v="190"/>
    <s v="Jai Bhim Nagar, Meerut - UPPCB"/>
    <x v="0"/>
    <n v="28.953588199999999"/>
    <n v="77.762294100000005"/>
    <x v="0"/>
    <n v="6"/>
    <n v="130"/>
    <n v="90"/>
  </r>
  <r>
    <s v="India"/>
    <x v="24"/>
    <x v="181"/>
    <s v="Indirapuram, Ghaziabad - UPPCB"/>
    <x v="0"/>
    <n v="28.646232999999999"/>
    <n v="77.358074999999999"/>
    <x v="3"/>
    <n v="4"/>
    <n v="11"/>
    <n v="6"/>
  </r>
  <r>
    <s v="India"/>
    <x v="24"/>
    <x v="181"/>
    <s v="Loni, Ghaziabad - UPPCB"/>
    <x v="0"/>
    <n v="28.757294000000002"/>
    <n v="77.278791999999996"/>
    <x v="3"/>
    <n v="9"/>
    <n v="19"/>
    <n v="14"/>
  </r>
  <r>
    <s v="India"/>
    <x v="24"/>
    <x v="181"/>
    <s v="Loni, Ghaziabad - UPPCB"/>
    <x v="0"/>
    <n v="28.757294000000002"/>
    <n v="77.278791999999996"/>
    <x v="6"/>
    <n v="64"/>
    <n v="117"/>
    <n v="84"/>
  </r>
  <r>
    <s v="India"/>
    <x v="24"/>
    <x v="181"/>
    <s v="Sanjay Nagar, Ghaziabad - UPPCB"/>
    <x v="0"/>
    <n v="28.685382000000001"/>
    <n v="77.453839000000002"/>
    <x v="6"/>
    <n v="40"/>
    <n v="118"/>
    <n v="75"/>
  </r>
  <r>
    <s v="India"/>
    <x v="24"/>
    <x v="181"/>
    <s v="Vasundhara, Ghaziabad - UPPCB"/>
    <x v="0"/>
    <n v="28.660334599999999"/>
    <n v="77.357256300000003"/>
    <x v="2"/>
    <n v="9"/>
    <n v="131"/>
    <n v="65"/>
  </r>
  <r>
    <s v="India"/>
    <x v="24"/>
    <x v="184"/>
    <s v="Anand Vihar, Hapur - UPPCB"/>
    <x v="0"/>
    <n v="28.725645"/>
    <n v="77.749674999999996"/>
    <x v="1"/>
    <n v="51"/>
    <n v="149"/>
    <n v="111"/>
  </r>
  <r>
    <s v="India"/>
    <x v="24"/>
    <x v="184"/>
    <s v="Anand Vihar, Hapur - UPPCB"/>
    <x v="0"/>
    <n v="28.725645"/>
    <n v="77.749674999999996"/>
    <x v="6"/>
    <n v="40"/>
    <n v="100"/>
    <n v="54"/>
  </r>
  <r>
    <s v="India"/>
    <x v="24"/>
    <x v="185"/>
    <s v="Shivaji Nagar, Jhansi - UPPCB"/>
    <x v="0"/>
    <n v="25.454699999999999"/>
    <n v="78.603899999999996"/>
    <x v="0"/>
    <n v="1"/>
    <n v="20"/>
    <n v="12"/>
  </r>
  <r>
    <s v="India"/>
    <x v="24"/>
    <x v="186"/>
    <s v="FTI Kidwai Nagar, Kanpur - UPPCB"/>
    <x v="0"/>
    <n v="26.428281999999999"/>
    <n v="80.327067"/>
    <x v="5"/>
    <m/>
    <m/>
    <m/>
  </r>
  <r>
    <s v="India"/>
    <x v="24"/>
    <x v="186"/>
    <s v="FTI Kidwai Nagar, Kanpur - UPPCB"/>
    <x v="0"/>
    <n v="26.428281999999999"/>
    <n v="80.327067"/>
    <x v="6"/>
    <m/>
    <m/>
    <m/>
  </r>
  <r>
    <s v="India"/>
    <x v="24"/>
    <x v="182"/>
    <s v="Madan Mohan Malaviya University of Technology, Gorakhpur - UPPCB"/>
    <x v="0"/>
    <n v="26.730136000000002"/>
    <n v="83.433858999999998"/>
    <x v="1"/>
    <n v="72"/>
    <n v="166"/>
    <n v="120"/>
  </r>
  <r>
    <s v="India"/>
    <x v="24"/>
    <x v="182"/>
    <s v="Madan Mohan Malaviya University of Technology, Gorakhpur - UPPCB"/>
    <x v="0"/>
    <n v="26.730136000000002"/>
    <n v="83.433858999999998"/>
    <x v="3"/>
    <n v="1"/>
    <n v="1"/>
    <n v="1"/>
  </r>
  <r>
    <s v="India"/>
    <x v="24"/>
    <x v="183"/>
    <s v="Knowledge Park - III, Greater Noida - UPPCB"/>
    <x v="0"/>
    <n v="28.472719999999999"/>
    <n v="77.481999999999999"/>
    <x v="1"/>
    <n v="56"/>
    <n v="198"/>
    <n v="119"/>
  </r>
  <r>
    <s v="India"/>
    <x v="24"/>
    <x v="183"/>
    <s v="Knowledge Park - III, Greater Noida - UPPCB"/>
    <x v="0"/>
    <n v="28.472719999999999"/>
    <n v="77.481999999999999"/>
    <x v="0"/>
    <n v="3"/>
    <n v="98"/>
    <n v="53"/>
  </r>
  <r>
    <s v="India"/>
    <x v="24"/>
    <x v="186"/>
    <s v="FTI Kidwai Nagar, Kanpur - UPPCB"/>
    <x v="0"/>
    <n v="26.428281999999999"/>
    <n v="80.327067"/>
    <x v="0"/>
    <m/>
    <m/>
    <m/>
  </r>
  <r>
    <s v="India"/>
    <x v="24"/>
    <x v="186"/>
    <s v="NSI Kalyanpur, Kanpur - UPPCB"/>
    <x v="0"/>
    <n v="26.509954"/>
    <n v="80.249611999999999"/>
    <x v="0"/>
    <n v="16"/>
    <n v="17"/>
    <n v="17"/>
  </r>
  <r>
    <s v="India"/>
    <x v="24"/>
    <x v="186"/>
    <s v="Nehru Nagar, Kanpur - UPPCB"/>
    <x v="0"/>
    <n v="26.470313600000001"/>
    <n v="80.322986299999997"/>
    <x v="2"/>
    <n v="41"/>
    <n v="76"/>
    <n v="59"/>
  </r>
  <r>
    <s v="India"/>
    <x v="24"/>
    <x v="188"/>
    <s v="Kalindi Kunj, Khurja - UPPCB"/>
    <x v="0"/>
    <n v="28.2348927"/>
    <n v="77.868300199999993"/>
    <x v="5"/>
    <m/>
    <m/>
    <m/>
  </r>
  <r>
    <s v="India"/>
    <x v="24"/>
    <x v="188"/>
    <s v="Kalindi Kunj, Khurja - UPPCB"/>
    <x v="0"/>
    <n v="28.2348927"/>
    <n v="77.868300199999993"/>
    <x v="3"/>
    <n v="1"/>
    <n v="1"/>
    <n v="1"/>
  </r>
  <r>
    <s v="India"/>
    <x v="24"/>
    <x v="189"/>
    <s v="B R Ambedkar University, Lucknow - UPPCB"/>
    <x v="0"/>
    <n v="26.766432999999999"/>
    <n v="80.927299000000005"/>
    <x v="3"/>
    <n v="2"/>
    <n v="5"/>
    <n v="4"/>
  </r>
  <r>
    <s v="India"/>
    <x v="24"/>
    <x v="189"/>
    <s v="Kendriya Vidyalaya, Lucknow - CPCB"/>
    <x v="0"/>
    <n v="26.906110999999999"/>
    <n v="80.948222000000001"/>
    <x v="0"/>
    <n v="6"/>
    <n v="46"/>
    <n v="32"/>
  </r>
  <r>
    <s v="India"/>
    <x v="24"/>
    <x v="189"/>
    <s v="Gomti Nagar, Lucknow - UPPCB"/>
    <x v="0"/>
    <n v="26.868120000000001"/>
    <n v="81.005118999999993"/>
    <x v="4"/>
    <n v="8"/>
    <n v="11"/>
    <n v="10"/>
  </r>
  <r>
    <s v="India"/>
    <x v="24"/>
    <x v="194"/>
    <s v="IESD Banaras Hindu University, Varanasi - UPPCB"/>
    <x v="0"/>
    <n v="25.262326000000002"/>
    <n v="82.995407999999998"/>
    <x v="6"/>
    <n v="4"/>
    <n v="52"/>
    <n v="13"/>
  </r>
  <r>
    <s v="India"/>
    <x v="24"/>
    <x v="194"/>
    <s v="IESD Banaras Hindu University, Varanasi - UPPCB"/>
    <x v="0"/>
    <n v="25.262326000000002"/>
    <n v="82.995407999999998"/>
    <x v="0"/>
    <n v="1"/>
    <n v="7"/>
    <n v="3"/>
  </r>
  <r>
    <s v="India"/>
    <x v="24"/>
    <x v="194"/>
    <s v="Maldahiya, Varanasi - UPPCB"/>
    <x v="0"/>
    <n v="25.323930000000001"/>
    <n v="82.996870000000001"/>
    <x v="5"/>
    <n v="12"/>
    <n v="118"/>
    <n v="61"/>
  </r>
  <r>
    <s v="India"/>
    <x v="24"/>
    <x v="195"/>
    <s v="Omex Eternity, Vrindavan - UPPCB"/>
    <x v="0"/>
    <n v="27.571408999999999"/>
    <n v="77.655756999999994"/>
    <x v="2"/>
    <n v="12"/>
    <n v="12"/>
    <n v="12"/>
  </r>
  <r>
    <s v="India"/>
    <x v="24"/>
    <x v="195"/>
    <s v="Omex Eternity, Vrindavan - UPPCB"/>
    <x v="0"/>
    <n v="27.571408999999999"/>
    <n v="77.655756999999994"/>
    <x v="3"/>
    <n v="1"/>
    <n v="2"/>
    <n v="2"/>
  </r>
  <r>
    <s v="India"/>
    <x v="24"/>
    <x v="195"/>
    <s v="Omex Eternity, Vrindavan - UPPCB"/>
    <x v="0"/>
    <n v="27.571408999999999"/>
    <n v="77.655756999999994"/>
    <x v="6"/>
    <n v="18"/>
    <n v="48"/>
    <n v="23"/>
  </r>
  <r>
    <s v="India"/>
    <x v="25"/>
    <x v="196"/>
    <s v="Doon University, Dehradun - UKPCB"/>
    <x v="0"/>
    <n v="30.269444"/>
    <n v="78.044167000000002"/>
    <x v="2"/>
    <n v="1"/>
    <n v="8"/>
    <n v="3"/>
  </r>
  <r>
    <s v="India"/>
    <x v="24"/>
    <x v="191"/>
    <s v="Eco Herbal Park, Moradabad - UPPCB"/>
    <x v="0"/>
    <n v="28.840738999999999"/>
    <n v="78.697530999999998"/>
    <x v="2"/>
    <n v="10"/>
    <n v="131"/>
    <n v="45"/>
  </r>
  <r>
    <s v="India"/>
    <x v="24"/>
    <x v="191"/>
    <s v="Eco Herbal Park, Moradabad - UPPCB"/>
    <x v="0"/>
    <n v="28.840738999999999"/>
    <n v="78.697530999999998"/>
    <x v="3"/>
    <n v="7"/>
    <n v="13"/>
    <n v="10"/>
  </r>
  <r>
    <s v="India"/>
    <x v="24"/>
    <x v="191"/>
    <s v="Employment Office, Moradabad - UPPCB"/>
    <x v="0"/>
    <n v="28.885280000000002"/>
    <n v="78.738799999999998"/>
    <x v="1"/>
    <n v="40"/>
    <n v="232"/>
    <n v="92"/>
  </r>
  <r>
    <s v="India"/>
    <x v="24"/>
    <x v="191"/>
    <s v="Employment Office, Moradabad - UPPCB"/>
    <x v="0"/>
    <n v="28.885280000000002"/>
    <n v="78.738799999999998"/>
    <x v="4"/>
    <n v="27"/>
    <n v="45"/>
    <n v="32"/>
  </r>
  <r>
    <s v="India"/>
    <x v="24"/>
    <x v="191"/>
    <s v="Jigar Colony, Moradabad - UPPCB"/>
    <x v="0"/>
    <n v="28.856663999999999"/>
    <n v="78.772638000000001"/>
    <x v="0"/>
    <n v="11"/>
    <n v="26"/>
    <n v="19"/>
  </r>
  <r>
    <s v="India"/>
    <x v="24"/>
    <x v="191"/>
    <s v="Kashiram Nagar, Moradabad - UPPCB"/>
    <x v="0"/>
    <n v="28.849398999999998"/>
    <n v="78.742362"/>
    <x v="5"/>
    <n v="16"/>
    <n v="278"/>
    <n v="59"/>
  </r>
  <r>
    <s v="India"/>
    <x v="24"/>
    <x v="191"/>
    <s v="Kashiram Nagar, Moradabad - UPPCB"/>
    <x v="0"/>
    <n v="28.849398999999998"/>
    <n v="78.742362"/>
    <x v="1"/>
    <n v="28"/>
    <n v="197"/>
    <n v="79"/>
  </r>
  <r>
    <s v="India"/>
    <x v="24"/>
    <x v="192"/>
    <s v="Sector-1, Noida - UPPCB"/>
    <x v="0"/>
    <n v="28.5898"/>
    <n v="77.310100000000006"/>
    <x v="3"/>
    <n v="6"/>
    <n v="14"/>
    <n v="10"/>
  </r>
  <r>
    <s v="India"/>
    <x v="24"/>
    <x v="192"/>
    <s v="Sector-1, Noida - UPPCB"/>
    <x v="0"/>
    <n v="28.5898"/>
    <n v="77.310100000000006"/>
    <x v="6"/>
    <n v="10"/>
    <n v="166"/>
    <n v="166"/>
  </r>
  <r>
    <s v="India"/>
    <x v="24"/>
    <x v="192"/>
    <s v="Sector-116, Noida - UPPCB"/>
    <x v="0"/>
    <n v="28.569230000000001"/>
    <n v="77.393848000000006"/>
    <x v="1"/>
    <n v="84"/>
    <n v="400"/>
    <n v="154"/>
  </r>
  <r>
    <s v="India"/>
    <x v="24"/>
    <x v="192"/>
    <s v="Sector-116, Noida - UPPCB"/>
    <x v="0"/>
    <n v="28.569230000000001"/>
    <n v="77.393848000000006"/>
    <x v="3"/>
    <n v="7"/>
    <n v="19"/>
    <n v="11"/>
  </r>
  <r>
    <s v="India"/>
    <x v="24"/>
    <x v="193"/>
    <s v="Jhunsi, Prayagraj - UPPCB"/>
    <x v="0"/>
    <n v="25.425602000000001"/>
    <n v="81.917152000000002"/>
    <x v="2"/>
    <n v="6"/>
    <n v="6"/>
    <n v="6"/>
  </r>
  <r>
    <s v="India"/>
    <x v="24"/>
    <x v="193"/>
    <s v="Jhunsi, Prayagraj - UPPCB"/>
    <x v="0"/>
    <n v="25.425602000000001"/>
    <n v="81.917152000000002"/>
    <x v="6"/>
    <n v="2"/>
    <n v="104"/>
    <n v="35"/>
  </r>
  <r>
    <s v="India"/>
    <x v="24"/>
    <x v="191"/>
    <s v="Transport Nagar, Moradabad - UPPCB"/>
    <x v="0"/>
    <n v="28.802624999999999"/>
    <n v="78.753727999999995"/>
    <x v="5"/>
    <n v="20"/>
    <n v="252"/>
    <n v="68"/>
  </r>
  <r>
    <s v="India"/>
    <x v="24"/>
    <x v="247"/>
    <s v="New Mandi, Muzaffarnagar - UPPCB"/>
    <x v="0"/>
    <n v="29.472350800000001"/>
    <n v="77.719403099999994"/>
    <x v="1"/>
    <n v="60"/>
    <n v="194"/>
    <n v="106"/>
  </r>
  <r>
    <s v="India"/>
    <x v="24"/>
    <x v="247"/>
    <s v="New Mandi, Muzaffarnagar - UPPCB"/>
    <x v="0"/>
    <n v="29.472350800000001"/>
    <n v="77.719403099999994"/>
    <x v="2"/>
    <n v="18"/>
    <n v="167"/>
    <n v="41"/>
  </r>
  <r>
    <s v="India"/>
    <x v="24"/>
    <x v="194"/>
    <s v="Bhelupur, Varanasi - UPPCB"/>
    <x v="0"/>
    <n v="25.301777999999999"/>
    <n v="82.996789000000007"/>
    <x v="1"/>
    <n v="42"/>
    <n v="195"/>
    <n v="115"/>
  </r>
  <r>
    <s v="India"/>
    <x v="24"/>
    <x v="194"/>
    <s v="Bhelupur, Varanasi - UPPCB"/>
    <x v="0"/>
    <n v="25.301777999999999"/>
    <n v="82.996789000000007"/>
    <x v="4"/>
    <n v="31"/>
    <n v="35"/>
    <n v="34"/>
  </r>
  <r>
    <s v="India"/>
    <x v="24"/>
    <x v="194"/>
    <s v="IESD Banaras Hindu University, Varanasi - UPPCB"/>
    <x v="0"/>
    <n v="25.262326000000002"/>
    <n v="82.995407999999998"/>
    <x v="3"/>
    <n v="3"/>
    <n v="11"/>
    <n v="7"/>
  </r>
  <r>
    <s v="India"/>
    <x v="24"/>
    <x v="193"/>
    <s v="Nagar Nigam, Prayagraj - UPPCB"/>
    <x v="0"/>
    <n v="25.449199159999999"/>
    <n v="81.827359860000001"/>
    <x v="6"/>
    <n v="4"/>
    <n v="111"/>
    <n v="33"/>
  </r>
  <r>
    <s v="India"/>
    <x v="24"/>
    <x v="194"/>
    <s v="Ardhali Bazar, Varanasi - UPPCB"/>
    <x v="0"/>
    <n v="25.350598600000001"/>
    <n v="82.908307399999998"/>
    <x v="5"/>
    <n v="15"/>
    <n v="213"/>
    <n v="111"/>
  </r>
  <r>
    <s v="India"/>
    <x v="24"/>
    <x v="190"/>
    <s v="Pallavpuram Phase 2, Meerut - UPPCB"/>
    <x v="0"/>
    <n v="29.063510000000001"/>
    <n v="77.709722999999997"/>
    <x v="5"/>
    <n v="42"/>
    <n v="295"/>
    <n v="136"/>
  </r>
  <r>
    <s v="India"/>
    <x v="24"/>
    <x v="190"/>
    <s v="Pallavpuram Phase 2, Meerut - UPPCB"/>
    <x v="0"/>
    <n v="29.063510000000001"/>
    <n v="77.709722999999997"/>
    <x v="6"/>
    <n v="21"/>
    <n v="124"/>
    <n v="87"/>
  </r>
  <r>
    <s v="India"/>
    <x v="24"/>
    <x v="194"/>
    <s v="Ardhali Bazar, Varanasi - UPPCB"/>
    <x v="0"/>
    <n v="25.350598600000001"/>
    <n v="82.908307399999998"/>
    <x v="1"/>
    <n v="17"/>
    <n v="149"/>
    <n v="89"/>
  </r>
  <r>
    <s v="India"/>
    <x v="24"/>
    <x v="194"/>
    <s v="Ardhali Bazar, Varanasi - UPPCB"/>
    <x v="0"/>
    <n v="25.350598600000001"/>
    <n v="82.908307399999998"/>
    <x v="0"/>
    <n v="26"/>
    <n v="32"/>
    <n v="27"/>
  </r>
  <r>
    <s v="India"/>
    <x v="24"/>
    <x v="192"/>
    <s v="Sector-1, Noida - UPPCB"/>
    <x v="0"/>
    <n v="28.5898"/>
    <n v="77.310100000000006"/>
    <x v="5"/>
    <n v="22"/>
    <n v="164"/>
    <n v="69"/>
  </r>
  <r>
    <s v="India"/>
    <x v="24"/>
    <x v="192"/>
    <s v="Sector-1, Noida - UPPCB"/>
    <x v="0"/>
    <n v="28.5898"/>
    <n v="77.310100000000006"/>
    <x v="2"/>
    <n v="8"/>
    <n v="96"/>
    <n v="48"/>
  </r>
  <r>
    <s v="India"/>
    <x v="26"/>
    <x v="201"/>
    <s v="Evelyn Lodge, Asansol - WBPCB"/>
    <x v="0"/>
    <n v="23.697935999999999"/>
    <n v="86.944395"/>
    <x v="2"/>
    <n v="16"/>
    <n v="61"/>
    <n v="36"/>
  </r>
  <r>
    <s v="India"/>
    <x v="26"/>
    <x v="201"/>
    <s v="Evelyn Lodge, Asansol - WBPCB"/>
    <x v="0"/>
    <n v="23.697935999999999"/>
    <n v="86.944395"/>
    <x v="3"/>
    <n v="4"/>
    <n v="6"/>
    <n v="5"/>
  </r>
  <r>
    <s v="India"/>
    <x v="26"/>
    <x v="201"/>
    <s v="Trivenidevi Bhalotia College, Asansol - WBPCB"/>
    <x v="0"/>
    <n v="23.616515"/>
    <n v="87.119133000000005"/>
    <x v="5"/>
    <n v="39"/>
    <n v="151"/>
    <n v="103"/>
  </r>
  <r>
    <s v="India"/>
    <x v="26"/>
    <x v="201"/>
    <s v="Trivenidevi Bhalotia College, Asansol - WBPCB"/>
    <x v="0"/>
    <n v="23.616515"/>
    <n v="87.119133000000005"/>
    <x v="1"/>
    <n v="87"/>
    <n v="175"/>
    <n v="129"/>
  </r>
  <r>
    <s v="India"/>
    <x v="26"/>
    <x v="201"/>
    <s v="Trivenidevi Bhalotia College, Asansol - WBPCB"/>
    <x v="0"/>
    <n v="23.616515"/>
    <n v="87.119133000000005"/>
    <x v="2"/>
    <n v="10"/>
    <n v="41"/>
    <n v="19"/>
  </r>
  <r>
    <s v="India"/>
    <x v="26"/>
    <x v="202"/>
    <s v="SVSPA Campus, Barrackpore - WBPCB"/>
    <x v="0"/>
    <n v="22.760558100000001"/>
    <n v="88.361758899999998"/>
    <x v="4"/>
    <n v="14"/>
    <n v="24"/>
    <n v="18"/>
  </r>
  <r>
    <s v="India"/>
    <x v="25"/>
    <x v="197"/>
    <s v="Govt. Girls Inter College, Kashipur - UKPCB"/>
    <x v="0"/>
    <n v="29.212411400000001"/>
    <n v="78.961175299999994"/>
    <x v="4"/>
    <n v="3"/>
    <n v="10"/>
    <n v="8"/>
  </r>
  <r>
    <s v="India"/>
    <x v="25"/>
    <x v="197"/>
    <s v="Govt. Girls Inter College, Kashipur - UKPCB"/>
    <x v="0"/>
    <n v="29.212411400000001"/>
    <n v="78.961175299999994"/>
    <x v="0"/>
    <n v="16"/>
    <n v="89"/>
    <n v="56"/>
  </r>
  <r>
    <s v="India"/>
    <x v="25"/>
    <x v="248"/>
    <s v="Shivaji Nagar, Rishikesh - UKPCB"/>
    <x v="0"/>
    <n v="30.075911000000001"/>
    <n v="78.285954700000005"/>
    <x v="5"/>
    <n v="42"/>
    <n v="107"/>
    <n v="71"/>
  </r>
  <r>
    <s v="India"/>
    <x v="25"/>
    <x v="248"/>
    <s v="Shivaji Nagar, Rishikesh - UKPCB"/>
    <x v="0"/>
    <n v="30.075911000000001"/>
    <n v="78.285954700000005"/>
    <x v="2"/>
    <n v="10"/>
    <n v="17"/>
    <n v="13"/>
  </r>
  <r>
    <s v="India"/>
    <x v="26"/>
    <x v="199"/>
    <s v="Priyambada Housing Estate, Haldia - WBPCB"/>
    <x v="0"/>
    <n v="22.060469999999999"/>
    <n v="88.109736999999996"/>
    <x v="1"/>
    <n v="18"/>
    <n v="69"/>
    <n v="49"/>
  </r>
  <r>
    <s v="India"/>
    <x v="26"/>
    <x v="199"/>
    <s v="Priyambada Housing Estate, Haldia - WBPCB"/>
    <x v="0"/>
    <n v="22.060469999999999"/>
    <n v="88.109736999999996"/>
    <x v="3"/>
    <n v="4"/>
    <n v="5"/>
    <n v="4"/>
  </r>
  <r>
    <s v="India"/>
    <x v="26"/>
    <x v="200"/>
    <s v="Belur Math, Howrah - WBPCB"/>
    <x v="0"/>
    <n v="22.629801"/>
    <n v="88.352017000000004"/>
    <x v="5"/>
    <n v="23"/>
    <n v="62"/>
    <n v="41"/>
  </r>
  <r>
    <s v="India"/>
    <x v="26"/>
    <x v="203"/>
    <s v="Rabindra Bharati University, Kolkata - WBPCB"/>
    <x v="0"/>
    <n v="22.627846999999999"/>
    <n v="88.380668999999997"/>
    <x v="2"/>
    <n v="17"/>
    <n v="25"/>
    <n v="21"/>
  </r>
  <r>
    <s v="India"/>
    <x v="26"/>
    <x v="203"/>
    <s v="Rabindra Bharati University, Kolkata - WBPCB"/>
    <x v="0"/>
    <n v="22.627846999999999"/>
    <n v="88.380668999999997"/>
    <x v="0"/>
    <n v="32"/>
    <n v="62"/>
    <n v="47"/>
  </r>
  <r>
    <s v="India"/>
    <x v="26"/>
    <x v="203"/>
    <s v="Rabindra Sarobar, Kolkata - WBPCB"/>
    <x v="0"/>
    <n v="22.511060000000001"/>
    <n v="88.351420000000005"/>
    <x v="1"/>
    <n v="42"/>
    <n v="68"/>
    <n v="52"/>
  </r>
  <r>
    <s v="India"/>
    <x v="26"/>
    <x v="203"/>
    <s v="Ballygunge, Kolkata - WBPCB"/>
    <x v="0"/>
    <n v="22.536750699999999"/>
    <n v="88.363802199999995"/>
    <x v="6"/>
    <n v="20"/>
    <n v="32"/>
    <n v="22"/>
  </r>
  <r>
    <s v="India"/>
    <x v="26"/>
    <x v="203"/>
    <s v="Bidhannagar, Kolkata - WBPCB"/>
    <x v="0"/>
    <n v="22.58157048"/>
    <n v="88.410024570000004"/>
    <x v="2"/>
    <n v="14"/>
    <n v="19"/>
    <n v="15"/>
  </r>
  <r>
    <s v="India"/>
    <x v="26"/>
    <x v="203"/>
    <s v="Bidhannagar, Kolkata - WBPCB"/>
    <x v="0"/>
    <n v="22.58157048"/>
    <n v="88.410024570000004"/>
    <x v="3"/>
    <n v="7"/>
    <n v="13"/>
    <n v="8"/>
  </r>
  <r>
    <s v="India"/>
    <x v="26"/>
    <x v="200"/>
    <s v="Botanical Garden, Howrah - WBPCB"/>
    <x v="0"/>
    <n v="22.554953999999999"/>
    <n v="88.292568000000003"/>
    <x v="3"/>
    <n v="1"/>
    <n v="3"/>
    <n v="2"/>
  </r>
  <r>
    <s v="India"/>
    <x v="26"/>
    <x v="200"/>
    <s v="Dasnagar, Howrah - WBPCB"/>
    <x v="0"/>
    <n v="22.602557099999999"/>
    <n v="88.310566399999999"/>
    <x v="3"/>
    <n v="2"/>
    <n v="3"/>
    <n v="2"/>
  </r>
  <r>
    <s v="India"/>
    <x v="26"/>
    <x v="200"/>
    <s v="Dasnagar, Howrah - WBPCB"/>
    <x v="0"/>
    <n v="22.602557099999999"/>
    <n v="88.310566399999999"/>
    <x v="0"/>
    <n v="48"/>
    <n v="157"/>
    <n v="95"/>
  </r>
  <r>
    <s v="India"/>
    <x v="26"/>
    <x v="200"/>
    <s v="Ghusuri, Howrah - WBPCB"/>
    <x v="0"/>
    <n v="22.611968000000001"/>
    <n v="88.347421999999995"/>
    <x v="6"/>
    <n v="2"/>
    <n v="8"/>
    <n v="2"/>
  </r>
  <r>
    <s v="India"/>
    <x v="26"/>
    <x v="200"/>
    <s v="Padmapukur, Howrah - WBPCB"/>
    <x v="0"/>
    <n v="22.5687319"/>
    <n v="88.279727600000001"/>
    <x v="6"/>
    <n v="13"/>
    <n v="74"/>
    <n v="29"/>
  </r>
  <r>
    <s v="India"/>
    <x v="26"/>
    <x v="201"/>
    <s v="Asansol Court Area, Asansol - WBPCB"/>
    <x v="0"/>
    <n v="23.685296999999998"/>
    <n v="86.945967999999993"/>
    <x v="4"/>
    <n v="6"/>
    <n v="89"/>
    <n v="37"/>
  </r>
  <r>
    <s v="India"/>
    <x v="26"/>
    <x v="203"/>
    <s v="Victoria, Kolkata - WBPCB"/>
    <x v="0"/>
    <n v="22.544808199999999"/>
    <n v="88.340369100000004"/>
    <x v="0"/>
    <n v="22"/>
    <n v="103"/>
    <n v="54"/>
  </r>
  <r>
    <s v="India"/>
    <x v="2"/>
    <x v="12"/>
    <s v="Gulzarpet, Anantapur - APPCB"/>
    <x v="0"/>
    <n v="14.675886"/>
    <n v="77.593027000000006"/>
    <x v="2"/>
    <n v="28"/>
    <n v="56"/>
    <n v="38"/>
  </r>
  <r>
    <s v="India"/>
    <x v="2"/>
    <x v="12"/>
    <s v="Gulzarpet, Anantapur - APPCB"/>
    <x v="0"/>
    <n v="14.675886"/>
    <n v="77.593027000000006"/>
    <x v="6"/>
    <n v="10"/>
    <n v="16"/>
    <n v="15"/>
  </r>
  <r>
    <s v="India"/>
    <x v="2"/>
    <x v="13"/>
    <s v="Gangineni Cheruvu, Chittoor - APPCB"/>
    <x v="0"/>
    <n v="13.204879999999999"/>
    <n v="79.097888999999995"/>
    <x v="5"/>
    <n v="37"/>
    <n v="102"/>
    <n v="62"/>
  </r>
  <r>
    <s v="India"/>
    <x v="2"/>
    <x v="13"/>
    <s v="Gangineni Cheruvu, Chittoor - APPCB"/>
    <x v="0"/>
    <n v="13.204879999999999"/>
    <n v="79.097888999999995"/>
    <x v="3"/>
    <n v="3"/>
    <n v="9"/>
    <n v="6"/>
  </r>
  <r>
    <s v="India"/>
    <x v="2"/>
    <x v="13"/>
    <s v="Gangineni Cheruvu, Chittoor - APPCB"/>
    <x v="0"/>
    <n v="13.204879999999999"/>
    <n v="79.097888999999995"/>
    <x v="0"/>
    <n v="30"/>
    <n v="49"/>
    <n v="37"/>
  </r>
  <r>
    <s v="India"/>
    <x v="2"/>
    <x v="207"/>
    <s v="Yerramukkapalli, Kadapa - APPCB"/>
    <x v="0"/>
    <n v="14.465052"/>
    <n v="78.824186999999995"/>
    <x v="5"/>
    <n v="48"/>
    <n v="64"/>
    <n v="54"/>
  </r>
  <r>
    <s v="India"/>
    <x v="2"/>
    <x v="207"/>
    <s v="Yerramukkapalli, Kadapa - APPCB"/>
    <x v="0"/>
    <n v="14.465052"/>
    <n v="78.824186999999995"/>
    <x v="4"/>
    <n v="14"/>
    <n v="16"/>
    <n v="15"/>
  </r>
  <r>
    <s v="India"/>
    <x v="2"/>
    <x v="205"/>
    <s v="Anand Kala Kshetram, Rajamahendravaram - APPCB"/>
    <x v="0"/>
    <n v="16.987286699999999"/>
    <n v="81.736317600000007"/>
    <x v="5"/>
    <n v="18"/>
    <n v="73"/>
    <n v="40"/>
  </r>
  <r>
    <s v="India"/>
    <x v="1"/>
    <x v="5"/>
    <s v="New DM Office, Arrah - BSPCB"/>
    <x v="0"/>
    <n v="25.562609500000001"/>
    <n v="84.663263999999998"/>
    <x v="6"/>
    <m/>
    <m/>
    <m/>
  </r>
  <r>
    <s v="India"/>
    <x v="1"/>
    <x v="5"/>
    <s v="New DM Office, Arrah - BSPCB"/>
    <x v="0"/>
    <n v="25.562609500000001"/>
    <n v="84.663263999999998"/>
    <x v="0"/>
    <m/>
    <m/>
    <m/>
  </r>
  <r>
    <s v="India"/>
    <x v="1"/>
    <x v="6"/>
    <s v="Gurdeo Nagar, Aurangabad - BSPCB"/>
    <x v="0"/>
    <n v="24.757459999999998"/>
    <n v="84.366208"/>
    <x v="6"/>
    <n v="24"/>
    <n v="37"/>
    <n v="26"/>
  </r>
  <r>
    <s v="India"/>
    <x v="1"/>
    <x v="206"/>
    <s v="Lohiyanagar, Begusarai - BSPCB"/>
    <x v="0"/>
    <n v="25.427420229999999"/>
    <n v="86.138860789999995"/>
    <x v="4"/>
    <n v="2"/>
    <n v="24"/>
    <n v="8"/>
  </r>
  <r>
    <s v="India"/>
    <x v="1"/>
    <x v="206"/>
    <s v="Lohiyanagar, Begusarai - BSPCB"/>
    <x v="0"/>
    <n v="25.427420229999999"/>
    <n v="86.138860789999995"/>
    <x v="6"/>
    <m/>
    <m/>
    <m/>
  </r>
  <r>
    <s v="India"/>
    <x v="1"/>
    <x v="206"/>
    <s v="Lohiyanagar, Begusarai - BSPCB"/>
    <x v="0"/>
    <n v="25.427420229999999"/>
    <n v="86.138860789999995"/>
    <x v="0"/>
    <n v="2"/>
    <n v="18"/>
    <n v="6"/>
  </r>
  <r>
    <s v="India"/>
    <x v="1"/>
    <x v="14"/>
    <s v="Kamalnath Nagar, Bettiah - BSPCB"/>
    <x v="0"/>
    <n v="26.803650000000001"/>
    <n v="84.519540000000006"/>
    <x v="6"/>
    <n v="32"/>
    <n v="108"/>
    <n v="72"/>
  </r>
  <r>
    <s v="India"/>
    <x v="2"/>
    <x v="205"/>
    <s v="Anand Kala Kshetram, Rajamahendravaram - APPCB"/>
    <x v="0"/>
    <n v="16.987286699999999"/>
    <n v="81.736317600000007"/>
    <x v="6"/>
    <n v="4"/>
    <n v="105"/>
    <n v="40"/>
  </r>
  <r>
    <s v="India"/>
    <x v="2"/>
    <x v="10"/>
    <s v="Toll Gate, Tirumala - APPCB (Formerly known as Tirumala, Tirupati - APPCB)"/>
    <x v="0"/>
    <n v="13.67"/>
    <n v="79.349999999999994"/>
    <x v="3"/>
    <n v="1"/>
    <n v="1"/>
    <n v="1"/>
  </r>
  <r>
    <s v="India"/>
    <x v="2"/>
    <x v="10"/>
    <s v="Toll Gate, Tirumala - APPCB (Formerly known as Tirumala, Tirupati - APPCB)"/>
    <x v="0"/>
    <n v="13.67"/>
    <n v="79.349999999999994"/>
    <x v="0"/>
    <n v="16"/>
    <n v="39"/>
    <n v="32"/>
  </r>
  <r>
    <s v="India"/>
    <x v="2"/>
    <x v="7"/>
    <s v="HB Colony, Vijayawada - APPCB"/>
    <x v="0"/>
    <n v="16.536107000000001"/>
    <n v="80.594233000000003"/>
    <x v="3"/>
    <n v="4"/>
    <n v="5"/>
    <n v="4"/>
  </r>
  <r>
    <s v="India"/>
    <x v="2"/>
    <x v="7"/>
    <s v="HB Colony, Vijayawada - APPCB"/>
    <x v="0"/>
    <n v="16.536107000000001"/>
    <n v="80.594233000000003"/>
    <x v="6"/>
    <n v="11"/>
    <n v="25"/>
    <n v="14"/>
  </r>
  <r>
    <s v="India"/>
    <x v="0"/>
    <x v="16"/>
    <s v="IITG, Guwahati - PCBA"/>
    <x v="0"/>
    <n v="26.202863600000001"/>
    <n v="91.700464359999998"/>
    <x v="0"/>
    <n v="3"/>
    <n v="58"/>
    <n v="43"/>
  </r>
  <r>
    <s v="India"/>
    <x v="0"/>
    <x v="16"/>
    <s v="LGBI Airport, Guwahati - PCBA"/>
    <x v="0"/>
    <n v="26.10887"/>
    <n v="91.589544000000004"/>
    <x v="6"/>
    <n v="10"/>
    <n v="57"/>
    <n v="26"/>
  </r>
  <r>
    <s v="India"/>
    <x v="0"/>
    <x v="16"/>
    <s v="Pan Bazaar, Guwahati - PCBA"/>
    <x v="0"/>
    <n v="26.1875"/>
    <n v="91.744193999999993"/>
    <x v="5"/>
    <n v="65"/>
    <n v="195"/>
    <n v="125"/>
  </r>
  <r>
    <s v="India"/>
    <x v="0"/>
    <x v="16"/>
    <s v="Railway Colony, Guwahati - PCBA"/>
    <x v="0"/>
    <n v="26.181742"/>
    <n v="91.780630000000002"/>
    <x v="5"/>
    <n v="88"/>
    <n v="260"/>
    <n v="144"/>
  </r>
  <r>
    <s v="India"/>
    <x v="0"/>
    <x v="16"/>
    <s v="Railway Colony, Guwahati - PCBA"/>
    <x v="0"/>
    <n v="26.181742"/>
    <n v="91.780630000000002"/>
    <x v="2"/>
    <n v="3"/>
    <n v="4"/>
    <n v="3"/>
  </r>
  <r>
    <s v="India"/>
    <x v="0"/>
    <x v="16"/>
    <s v="Railway Colony, Guwahati - PCBA"/>
    <x v="0"/>
    <n v="26.181742"/>
    <n v="91.780630000000002"/>
    <x v="4"/>
    <n v="19"/>
    <n v="20"/>
    <n v="19"/>
  </r>
  <r>
    <s v="India"/>
    <x v="2"/>
    <x v="7"/>
    <s v="Rajiv Nagar, Vijayawada - APPCB"/>
    <x v="0"/>
    <n v="16.554731"/>
    <n v="80.649109999999993"/>
    <x v="4"/>
    <n v="1"/>
    <n v="19"/>
    <n v="11"/>
  </r>
  <r>
    <s v="India"/>
    <x v="0"/>
    <x v="9"/>
    <s v="Central Academy for SFS, Byrnihat - PCBA"/>
    <x v="0"/>
    <n v="26.071318000000002"/>
    <n v="91.874880000000005"/>
    <x v="1"/>
    <m/>
    <m/>
    <m/>
  </r>
  <r>
    <s v="India"/>
    <x v="0"/>
    <x v="9"/>
    <s v="Central Academy for SFS, Byrnihat - PCBA"/>
    <x v="0"/>
    <n v="26.071318000000002"/>
    <n v="91.874880000000005"/>
    <x v="2"/>
    <m/>
    <m/>
    <m/>
  </r>
  <r>
    <s v="India"/>
    <x v="0"/>
    <x v="9"/>
    <s v="Central Academy for SFS, Byrnihat - PCBA"/>
    <x v="0"/>
    <n v="26.071318000000002"/>
    <n v="91.874880000000005"/>
    <x v="3"/>
    <m/>
    <m/>
    <m/>
  </r>
  <r>
    <s v="India"/>
    <x v="0"/>
    <x v="9"/>
    <s v="Central Academy for SFS, Byrnihat - PCBA"/>
    <x v="0"/>
    <n v="26.071318000000002"/>
    <n v="91.874880000000005"/>
    <x v="0"/>
    <n v="23"/>
    <n v="41"/>
    <n v="30"/>
  </r>
  <r>
    <s v="India"/>
    <x v="0"/>
    <x v="3"/>
    <s v="Girls College, Sivasagar - PCBA"/>
    <x v="0"/>
    <n v="26.987634"/>
    <n v="94.636573999999996"/>
    <x v="4"/>
    <n v="4"/>
    <n v="11"/>
    <n v="8"/>
  </r>
  <r>
    <s v="India"/>
    <x v="0"/>
    <x v="3"/>
    <s v="Girls College, Sivasagar - PCBA"/>
    <x v="0"/>
    <n v="26.987634"/>
    <n v="94.636573999999996"/>
    <x v="0"/>
    <n v="2"/>
    <n v="12"/>
    <n v="5"/>
  </r>
  <r>
    <s v="India"/>
    <x v="1"/>
    <x v="4"/>
    <s v="Kharahiya Basti, Araria - BSPCB"/>
    <x v="0"/>
    <n v="26.146529000000001"/>
    <n v="87.454183999999998"/>
    <x v="4"/>
    <n v="22"/>
    <n v="38"/>
    <n v="30"/>
  </r>
  <r>
    <s v="India"/>
    <x v="1"/>
    <x v="5"/>
    <s v="New DM Office, Arrah - BSPCB"/>
    <x v="0"/>
    <n v="25.562609500000001"/>
    <n v="84.663263999999998"/>
    <x v="3"/>
    <m/>
    <m/>
    <m/>
  </r>
  <r>
    <s v="India"/>
    <x v="0"/>
    <x v="0"/>
    <s v="Christianpatty, Nagaon - PCBA"/>
    <x v="0"/>
    <n v="26.349081999999999"/>
    <n v="92.684489999999997"/>
    <x v="5"/>
    <m/>
    <m/>
    <m/>
  </r>
  <r>
    <s v="India"/>
    <x v="0"/>
    <x v="0"/>
    <s v="Christianpatty, Nagaon - PCBA"/>
    <x v="0"/>
    <n v="26.349081999999999"/>
    <n v="92.684489999999997"/>
    <x v="1"/>
    <m/>
    <m/>
    <m/>
  </r>
  <r>
    <s v="India"/>
    <x v="0"/>
    <x v="0"/>
    <s v="Christianpatty, Nagaon - PCBA"/>
    <x v="0"/>
    <n v="26.349081999999999"/>
    <n v="92.684489999999997"/>
    <x v="3"/>
    <n v="4"/>
    <n v="4"/>
    <n v="4"/>
  </r>
  <r>
    <s v="India"/>
    <x v="0"/>
    <x v="1"/>
    <s v="Bata Chowk, Nalbari - PCBA"/>
    <x v="0"/>
    <n v="26.446912000000001"/>
    <n v="91.439057000000005"/>
    <x v="5"/>
    <n v="77"/>
    <n v="280"/>
    <n v="132"/>
  </r>
  <r>
    <s v="India"/>
    <x v="1"/>
    <x v="15"/>
    <s v="DM Office_Kachari Chowk, Bhagalpur - BSPCB"/>
    <x v="0"/>
    <n v="25.251013"/>
    <n v="86.989001000000002"/>
    <x v="2"/>
    <n v="16"/>
    <n v="27"/>
    <n v="20"/>
  </r>
  <r>
    <s v="India"/>
    <x v="1"/>
    <x v="15"/>
    <s v="DM Office_Kachari Chowk, Bhagalpur - BSPCB"/>
    <x v="0"/>
    <n v="25.251013"/>
    <n v="86.989001000000002"/>
    <x v="3"/>
    <n v="2"/>
    <n v="4"/>
    <n v="2"/>
  </r>
  <r>
    <s v="India"/>
    <x v="1"/>
    <x v="15"/>
    <s v="DM Office_Kachari Chowk, Bhagalpur - BSPCB"/>
    <x v="0"/>
    <n v="25.251013"/>
    <n v="86.989001000000002"/>
    <x v="6"/>
    <n v="11"/>
    <n v="17"/>
    <n v="14"/>
  </r>
  <r>
    <s v="India"/>
    <x v="1"/>
    <x v="15"/>
    <s v="DM Office_Kachari Chowk, Bhagalpur - BSPCB"/>
    <x v="0"/>
    <n v="25.251013"/>
    <n v="86.989001000000002"/>
    <x v="0"/>
    <n v="10"/>
    <n v="25"/>
    <n v="15"/>
  </r>
  <r>
    <s v="India"/>
    <x v="2"/>
    <x v="7"/>
    <s v="Rajiv Nagar, Vijayawada - APPCB"/>
    <x v="0"/>
    <n v="16.554731"/>
    <n v="80.649109999999993"/>
    <x v="1"/>
    <n v="39"/>
    <n v="76"/>
    <n v="56"/>
  </r>
  <r>
    <s v="India"/>
    <x v="0"/>
    <x v="1"/>
    <s v="Bata Chowk, Nalbari - PCBA"/>
    <x v="0"/>
    <n v="26.446912000000001"/>
    <n v="91.439057000000005"/>
    <x v="0"/>
    <n v="12"/>
    <n v="17"/>
    <n v="14"/>
  </r>
  <r>
    <s v="India"/>
    <x v="1"/>
    <x v="18"/>
    <s v="IGSC Planetarium Complex, Patna - BSPCB"/>
    <x v="0"/>
    <n v="25.610368999999999"/>
    <n v="85.132568000000006"/>
    <x v="2"/>
    <n v="13"/>
    <n v="13"/>
    <n v="13"/>
  </r>
  <r>
    <s v="India"/>
    <x v="1"/>
    <x v="18"/>
    <s v="IGSC Planetarium Complex, Patna - BSPCB"/>
    <x v="0"/>
    <n v="25.610368999999999"/>
    <n v="85.132568000000006"/>
    <x v="4"/>
    <n v="25"/>
    <n v="31"/>
    <n v="28"/>
  </r>
  <r>
    <s v="India"/>
    <x v="1"/>
    <x v="18"/>
    <s v="Muradpur, Patna - BSPCB"/>
    <x v="0"/>
    <n v="25.619651000000001"/>
    <n v="85.147381999999993"/>
    <x v="5"/>
    <n v="96"/>
    <n v="328"/>
    <n v="231"/>
  </r>
  <r>
    <s v="India"/>
    <x v="1"/>
    <x v="18"/>
    <s v="Rajbansi Nagar, Patna - BSPCB"/>
    <x v="0"/>
    <n v="25.599485999999999"/>
    <n v="85.113665999999995"/>
    <x v="5"/>
    <n v="68"/>
    <n v="198"/>
    <n v="117"/>
  </r>
  <r>
    <s v="India"/>
    <x v="1"/>
    <x v="18"/>
    <s v="Rajbansi Nagar, Patna - BSPCB"/>
    <x v="0"/>
    <n v="25.599485999999999"/>
    <n v="85.113665999999995"/>
    <x v="6"/>
    <n v="4"/>
    <n v="101"/>
    <n v="26"/>
  </r>
  <r>
    <s v="India"/>
    <x v="1"/>
    <x v="20"/>
    <s v="Dangi Tola, Rajgir - BSPCB"/>
    <x v="0"/>
    <n v="25.032800000000002"/>
    <n v="85.419479999999993"/>
    <x v="3"/>
    <n v="2"/>
    <n v="3"/>
    <n v="2"/>
  </r>
  <r>
    <s v="India"/>
    <x v="1"/>
    <x v="20"/>
    <s v="Dangi Tola, Rajgir - BSPCB"/>
    <x v="0"/>
    <n v="25.032800000000002"/>
    <n v="85.419479999999993"/>
    <x v="6"/>
    <m/>
    <m/>
    <m/>
  </r>
  <r>
    <s v="India"/>
    <x v="1"/>
    <x v="20"/>
    <s v="Dangi Tola, Rajgir - BSPCB"/>
    <x v="0"/>
    <n v="25.032800000000002"/>
    <n v="85.419479999999993"/>
    <x v="0"/>
    <n v="29"/>
    <n v="39"/>
    <n v="34"/>
  </r>
  <r>
    <s v="India"/>
    <x v="1"/>
    <x v="31"/>
    <s v="DM Office_Kasipur, Samastipur - BSPCB"/>
    <x v="0"/>
    <n v="25.859655"/>
    <n v="85.779439999999994"/>
    <x v="5"/>
    <n v="33"/>
    <n v="147"/>
    <n v="80"/>
  </r>
  <r>
    <s v="India"/>
    <x v="1"/>
    <x v="31"/>
    <s v="DM Office_Kasipur, Samastipur - BSPCB"/>
    <x v="0"/>
    <n v="25.859655"/>
    <n v="85.779439999999994"/>
    <x v="6"/>
    <n v="7"/>
    <n v="112"/>
    <n v="19"/>
  </r>
  <r>
    <s v="India"/>
    <x v="1"/>
    <x v="24"/>
    <s v="Town Hall, Munger - BSPCB"/>
    <x v="0"/>
    <n v="25.376776"/>
    <n v="86.471523000000005"/>
    <x v="1"/>
    <n v="113"/>
    <n v="191"/>
    <n v="137"/>
  </r>
  <r>
    <s v="India"/>
    <x v="1"/>
    <x v="24"/>
    <s v="Town Hall, Munger - BSPCB"/>
    <x v="0"/>
    <n v="25.376776"/>
    <n v="86.471523000000005"/>
    <x v="2"/>
    <n v="22"/>
    <n v="24"/>
    <n v="23"/>
  </r>
  <r>
    <s v="India"/>
    <x v="1"/>
    <x v="28"/>
    <s v="Buddha Colony, Muzaffarpur - BSPCB"/>
    <x v="0"/>
    <n v="26.114419999999999"/>
    <n v="85.398129999999995"/>
    <x v="2"/>
    <n v="4"/>
    <n v="35"/>
    <n v="20"/>
  </r>
  <r>
    <s v="India"/>
    <x v="1"/>
    <x v="28"/>
    <s v="Muzaffarpur Collectorate, Muzaffarpur - BSPCB"/>
    <x v="0"/>
    <n v="26.120899999999999"/>
    <n v="85.364699999999999"/>
    <x v="4"/>
    <n v="2"/>
    <n v="4"/>
    <n v="3"/>
  </r>
  <r>
    <s v="India"/>
    <x v="1"/>
    <x v="18"/>
    <s v="DRM Office Danapur, Patna - BSPCB"/>
    <x v="0"/>
    <n v="25.586562000000001"/>
    <n v="85.043586000000005"/>
    <x v="0"/>
    <n v="1"/>
    <n v="28"/>
    <n v="20"/>
  </r>
  <r>
    <s v="India"/>
    <x v="1"/>
    <x v="26"/>
    <s v="SFTI Kusdihra, Gaya - BSPCB"/>
    <x v="0"/>
    <n v="24.762518"/>
    <n v="84.982348000000002"/>
    <x v="0"/>
    <n v="11"/>
    <n v="66"/>
    <n v="55"/>
  </r>
  <r>
    <s v="India"/>
    <x v="1"/>
    <x v="30"/>
    <s v="Mirchaibari, Katihar - BSPCB"/>
    <x v="0"/>
    <n v="25.560082999999999"/>
    <n v="87.553264999999996"/>
    <x v="6"/>
    <m/>
    <m/>
    <m/>
  </r>
  <r>
    <s v="India"/>
    <x v="1"/>
    <x v="18"/>
    <s v="Govt. High School Shikarpur, Patna - BSPCB"/>
    <x v="0"/>
    <n v="25.592538999999999"/>
    <n v="85.227158000000003"/>
    <x v="2"/>
    <n v="4"/>
    <n v="23"/>
    <n v="10"/>
  </r>
  <r>
    <s v="India"/>
    <x v="1"/>
    <x v="18"/>
    <s v="Govt. High School Shikarpur, Patna - BSPCB"/>
    <x v="0"/>
    <n v="25.592538999999999"/>
    <n v="85.227158000000003"/>
    <x v="0"/>
    <n v="12"/>
    <n v="36"/>
    <n v="21"/>
  </r>
  <r>
    <s v="India"/>
    <x v="1"/>
    <x v="23"/>
    <s v="Forest Rest House, Manguraha - BSPCB"/>
    <x v="0"/>
    <n v="27.308327999999999"/>
    <n v="84.531741999999994"/>
    <x v="5"/>
    <n v="50"/>
    <n v="345"/>
    <n v="159"/>
  </r>
  <r>
    <s v="India"/>
    <x v="1"/>
    <x v="25"/>
    <s v="Darshan Nagar, Chhapra - BSPCB"/>
    <x v="0"/>
    <n v="25.780825700000001"/>
    <n v="84.744676799999993"/>
    <x v="3"/>
    <n v="4"/>
    <n v="11"/>
    <n v="6"/>
  </r>
  <r>
    <s v="India"/>
    <x v="1"/>
    <x v="15"/>
    <s v="Mayaganj, Bhagalpur - BSPCB"/>
    <x v="0"/>
    <n v="25.265194000000001"/>
    <n v="87.012946999999997"/>
    <x v="2"/>
    <n v="9"/>
    <n v="15"/>
    <n v="10"/>
  </r>
  <r>
    <s v="India"/>
    <x v="6"/>
    <x v="39"/>
    <s v="Burari Crossing, Delhi - IMD"/>
    <x v="0"/>
    <n v="28.725650399999999"/>
    <n v="77.201157300000006"/>
    <x v="6"/>
    <n v="28"/>
    <n v="44"/>
    <n v="30"/>
  </r>
  <r>
    <s v="India"/>
    <x v="6"/>
    <x v="39"/>
    <s v="Burari Crossing, Delhi - IMD"/>
    <x v="0"/>
    <n v="28.725650399999999"/>
    <n v="77.201157300000006"/>
    <x v="0"/>
    <n v="9"/>
    <n v="86"/>
    <n v="42"/>
  </r>
  <r>
    <s v="India"/>
    <x v="6"/>
    <x v="39"/>
    <s v="CRRI Mathura Road, Delhi - IMD"/>
    <x v="0"/>
    <n v="28.5512005"/>
    <n v="77.2735737"/>
    <x v="2"/>
    <n v="10"/>
    <n v="178"/>
    <n v="104"/>
  </r>
  <r>
    <s v="India"/>
    <x v="6"/>
    <x v="39"/>
    <s v="Chandni Chowk, Delhi - IITM"/>
    <x v="0"/>
    <n v="28.656756000000001"/>
    <n v="77.227233999999996"/>
    <x v="4"/>
    <n v="17"/>
    <n v="58"/>
    <n v="31"/>
  </r>
  <r>
    <s v="India"/>
    <x v="6"/>
    <x v="39"/>
    <s v="Chandni Chowk, Delhi - IITM"/>
    <x v="0"/>
    <n v="28.656756000000001"/>
    <n v="77.227233999999996"/>
    <x v="6"/>
    <n v="108"/>
    <n v="170"/>
    <n v="170"/>
  </r>
  <r>
    <s v="India"/>
    <x v="6"/>
    <x v="39"/>
    <s v="DTU, Delhi - CPCB"/>
    <x v="0"/>
    <n v="28.7500499"/>
    <n v="77.111261499999998"/>
    <x v="5"/>
    <n v="29"/>
    <n v="304"/>
    <n v="116"/>
  </r>
  <r>
    <s v="India"/>
    <x v="6"/>
    <x v="39"/>
    <s v="DTU, Delhi - CPCB"/>
    <x v="0"/>
    <n v="28.7500499"/>
    <n v="77.111261499999998"/>
    <x v="4"/>
    <n v="65"/>
    <n v="77"/>
    <n v="70"/>
  </r>
  <r>
    <s v="India"/>
    <x v="6"/>
    <x v="39"/>
    <s v="DTU, Delhi - CPCB"/>
    <x v="0"/>
    <n v="28.7500499"/>
    <n v="77.111261499999998"/>
    <x v="0"/>
    <n v="25"/>
    <n v="28"/>
    <n v="27"/>
  </r>
  <r>
    <s v="India"/>
    <x v="6"/>
    <x v="39"/>
    <s v="Dr. Karni Singh Shooting Range, Delhi - DPCC"/>
    <x v="0"/>
    <n v="28.498570999999998"/>
    <n v="77.264840000000007"/>
    <x v="1"/>
    <n v="86"/>
    <n v="309"/>
    <n v="161"/>
  </r>
  <r>
    <s v="India"/>
    <x v="6"/>
    <x v="39"/>
    <s v="Dwarka-Sector 8, Delhi - DPCC "/>
    <x v="0"/>
    <n v="28.571027399999998"/>
    <n v="77.071900600000006"/>
    <x v="1"/>
    <n v="86"/>
    <n v="500"/>
    <n v="211"/>
  </r>
  <r>
    <s v="India"/>
    <x v="5"/>
    <x v="38"/>
    <s v="Sector 22, Chandigarh - CPCC"/>
    <x v="0"/>
    <n v="30.735567"/>
    <n v="76.775713999999994"/>
    <x v="6"/>
    <n v="36"/>
    <n v="101"/>
    <n v="56"/>
  </r>
  <r>
    <s v="India"/>
    <x v="5"/>
    <x v="38"/>
    <s v="Sector-25, Chandigarh - CPCC"/>
    <x v="0"/>
    <n v="30.751462"/>
    <n v="76.762878999999998"/>
    <x v="1"/>
    <n v="48"/>
    <n v="118"/>
    <n v="90"/>
  </r>
  <r>
    <s v="India"/>
    <x v="5"/>
    <x v="38"/>
    <s v="Sector-25, Chandigarh - CPCC"/>
    <x v="0"/>
    <n v="30.751462"/>
    <n v="76.762878999999998"/>
    <x v="2"/>
    <n v="14"/>
    <n v="63"/>
    <n v="31"/>
  </r>
  <r>
    <s v="India"/>
    <x v="5"/>
    <x v="38"/>
    <s v="Sector-53, Chandigarh - CPCC"/>
    <x v="0"/>
    <n v="30.719859"/>
    <n v="76.738636999999997"/>
    <x v="1"/>
    <m/>
    <m/>
    <m/>
  </r>
  <r>
    <s v="India"/>
    <x v="5"/>
    <x v="38"/>
    <s v="Sector-53, Chandigarh - CPCC"/>
    <x v="0"/>
    <n v="30.719859"/>
    <n v="76.738636999999997"/>
    <x v="3"/>
    <m/>
    <m/>
    <m/>
  </r>
  <r>
    <s v="India"/>
    <x v="5"/>
    <x v="38"/>
    <s v="Sector-53, Chandigarh - CPCC"/>
    <x v="0"/>
    <n v="30.719859"/>
    <n v="76.738636999999997"/>
    <x v="6"/>
    <n v="32"/>
    <n v="109"/>
    <n v="59"/>
  </r>
  <r>
    <s v="India"/>
    <x v="5"/>
    <x v="38"/>
    <s v="Sector-53, Chandigarh - CPCC"/>
    <x v="0"/>
    <n v="30.719859"/>
    <n v="76.738636999999997"/>
    <x v="0"/>
    <n v="4"/>
    <n v="110"/>
    <n v="64"/>
  </r>
  <r>
    <s v="India"/>
    <x v="4"/>
    <x v="32"/>
    <s v="32Bungalows, Bhilai - CECB"/>
    <x v="0"/>
    <n v="21.194814999999998"/>
    <n v="81.314769999999996"/>
    <x v="2"/>
    <n v="7"/>
    <n v="60"/>
    <n v="19"/>
  </r>
  <r>
    <s v="India"/>
    <x v="4"/>
    <x v="32"/>
    <s v="32Bungalows, Bhilai - CECB"/>
    <x v="0"/>
    <n v="21.194814999999998"/>
    <n v="81.314769999999996"/>
    <x v="4"/>
    <n v="14"/>
    <n v="41"/>
    <n v="19"/>
  </r>
  <r>
    <s v="India"/>
    <x v="4"/>
    <x v="32"/>
    <s v="32Bungalows, Bhilai - CECB"/>
    <x v="0"/>
    <n v="21.194814999999998"/>
    <n v="81.314769999999996"/>
    <x v="6"/>
    <n v="10"/>
    <n v="63"/>
    <n v="23"/>
  </r>
  <r>
    <s v="India"/>
    <x v="4"/>
    <x v="32"/>
    <s v="Civic Center, Bhilai - Bhilai Steel Plant"/>
    <x v="0"/>
    <n v="21.185570999999999"/>
    <n v="81.343175000000002"/>
    <x v="1"/>
    <n v="32"/>
    <n v="79"/>
    <n v="49"/>
  </r>
  <r>
    <s v="India"/>
    <x v="6"/>
    <x v="39"/>
    <s v="Alipur, Delhi - DPCC"/>
    <x v="0"/>
    <n v="28.815328999999998"/>
    <n v="77.153009999999995"/>
    <x v="3"/>
    <n v="10"/>
    <n v="13"/>
    <n v="12"/>
  </r>
  <r>
    <s v="India"/>
    <x v="6"/>
    <x v="39"/>
    <s v="Alipur, Delhi - DPCC"/>
    <x v="0"/>
    <n v="28.815328999999998"/>
    <n v="77.153009999999995"/>
    <x v="6"/>
    <n v="2"/>
    <n v="58"/>
    <n v="15"/>
  </r>
  <r>
    <s v="India"/>
    <x v="6"/>
    <x v="39"/>
    <s v="Anand Vihar, Delhi - DPCC"/>
    <x v="0"/>
    <n v="28.647621999999998"/>
    <n v="77.315809000000002"/>
    <x v="4"/>
    <n v="1"/>
    <n v="35"/>
    <n v="15"/>
  </r>
  <r>
    <s v="India"/>
    <x v="6"/>
    <x v="39"/>
    <s v="Anand Vihar, Delhi - DPCC"/>
    <x v="0"/>
    <n v="28.647621999999998"/>
    <n v="77.315809000000002"/>
    <x v="6"/>
    <n v="82"/>
    <n v="174"/>
    <n v="170"/>
  </r>
  <r>
    <s v="India"/>
    <x v="6"/>
    <x v="39"/>
    <s v="Bawana, Delhi - DPCC"/>
    <x v="0"/>
    <n v="28.776199999999999"/>
    <n v="77.051074"/>
    <x v="5"/>
    <n v="53"/>
    <n v="435"/>
    <n v="260"/>
  </r>
  <r>
    <s v="India"/>
    <x v="6"/>
    <x v="39"/>
    <s v="Bawana, Delhi - DPCC"/>
    <x v="0"/>
    <n v="28.776199999999999"/>
    <n v="77.051074"/>
    <x v="6"/>
    <n v="15"/>
    <n v="109"/>
    <n v="40"/>
  </r>
  <r>
    <s v="India"/>
    <x v="6"/>
    <x v="39"/>
    <s v="Burari Crossing, Delhi - IMD"/>
    <x v="0"/>
    <n v="28.725650399999999"/>
    <n v="77.201157300000006"/>
    <x v="1"/>
    <n v="62"/>
    <n v="333"/>
    <n v="170"/>
  </r>
  <r>
    <s v="India"/>
    <x v="4"/>
    <x v="32"/>
    <s v="Civic Center, Bhilai - Bhilai Steel Plant"/>
    <x v="0"/>
    <n v="21.185570999999999"/>
    <n v="81.343175000000002"/>
    <x v="3"/>
    <n v="2"/>
    <n v="2"/>
    <n v="2"/>
  </r>
  <r>
    <s v="India"/>
    <x v="4"/>
    <x v="32"/>
    <s v="Hathkhoj, Bhilai - CECB"/>
    <x v="0"/>
    <n v="21.224231"/>
    <n v="81.408349999999999"/>
    <x v="5"/>
    <n v="32"/>
    <n v="139"/>
    <n v="56"/>
  </r>
  <r>
    <s v="India"/>
    <x v="4"/>
    <x v="32"/>
    <s v="Hathkhoj, Bhilai - CECB"/>
    <x v="0"/>
    <n v="21.224231"/>
    <n v="81.408349999999999"/>
    <x v="1"/>
    <n v="37"/>
    <n v="136"/>
    <n v="70"/>
  </r>
  <r>
    <s v="India"/>
    <x v="4"/>
    <x v="33"/>
    <s v="Mangala, Bilaspur - NTPC"/>
    <x v="0"/>
    <n v="22.088149999999999"/>
    <n v="82.137370000000004"/>
    <x v="5"/>
    <m/>
    <m/>
    <m/>
  </r>
  <r>
    <s v="India"/>
    <x v="4"/>
    <x v="34"/>
    <s v="Nawapara SECL Colony, Chhal - CECB"/>
    <x v="0"/>
    <n v="22.118124999999999"/>
    <n v="83.140608"/>
    <x v="1"/>
    <n v="56"/>
    <n v="167"/>
    <n v="93"/>
  </r>
  <r>
    <s v="India"/>
    <x v="1"/>
    <x v="36"/>
    <s v="Dada Peer, Sasaram - BSPCB"/>
    <x v="0"/>
    <n v="24.952822000000001"/>
    <n v="84.002396000000005"/>
    <x v="2"/>
    <n v="2"/>
    <n v="3"/>
    <n v="2"/>
  </r>
  <r>
    <s v="India"/>
    <x v="1"/>
    <x v="37"/>
    <s v="Chitragupta Nagar, Siwan - BSPCB"/>
    <x v="0"/>
    <n v="26.227166499999999"/>
    <n v="84.357042699999994"/>
    <x v="2"/>
    <m/>
    <m/>
    <m/>
  </r>
  <r>
    <s v="India"/>
    <x v="5"/>
    <x v="38"/>
    <s v="Sector 22, Chandigarh - CPCC"/>
    <x v="0"/>
    <n v="30.735567"/>
    <n v="76.775713999999994"/>
    <x v="1"/>
    <n v="33"/>
    <n v="153"/>
    <n v="94"/>
  </r>
  <r>
    <s v="India"/>
    <x v="5"/>
    <x v="38"/>
    <s v="Sector 22, Chandigarh - CPCC"/>
    <x v="0"/>
    <n v="30.735567"/>
    <n v="76.775713999999994"/>
    <x v="3"/>
    <n v="13"/>
    <n v="20"/>
    <n v="17"/>
  </r>
  <r>
    <s v="India"/>
    <x v="5"/>
    <x v="38"/>
    <s v="Sector 22, Chandigarh - CPCC"/>
    <x v="0"/>
    <n v="30.735567"/>
    <n v="76.775713999999994"/>
    <x v="4"/>
    <n v="11"/>
    <n v="42"/>
    <n v="25"/>
  </r>
  <r>
    <s v="India"/>
    <x v="4"/>
    <x v="35"/>
    <s v="Rampur, Korba - CECB"/>
    <x v="0"/>
    <n v="22.368195"/>
    <n v="82.746431000000001"/>
    <x v="1"/>
    <m/>
    <m/>
    <m/>
  </r>
  <r>
    <s v="India"/>
    <x v="4"/>
    <x v="35"/>
    <s v="Rampur, Korba - CECB"/>
    <x v="0"/>
    <n v="22.368195"/>
    <n v="82.746431000000001"/>
    <x v="2"/>
    <m/>
    <m/>
    <m/>
  </r>
  <r>
    <s v="India"/>
    <x v="4"/>
    <x v="35"/>
    <s v="Urja Nagar, Korba - CECB"/>
    <x v="0"/>
    <n v="22.348441000000001"/>
    <n v="82.549610999999999"/>
    <x v="2"/>
    <n v="66"/>
    <n v="97"/>
    <n v="83"/>
  </r>
  <r>
    <s v="India"/>
    <x v="4"/>
    <x v="35"/>
    <s v="Urja Nagar, Korba - CECB"/>
    <x v="0"/>
    <n v="22.348441000000001"/>
    <n v="82.549610999999999"/>
    <x v="0"/>
    <n v="35"/>
    <n v="36"/>
    <n v="35"/>
  </r>
  <r>
    <s v="India"/>
    <x v="4"/>
    <x v="210"/>
    <s v="OP Jindal School, Kunjemura - CECB"/>
    <x v="0"/>
    <n v="22.126650000000001"/>
    <n v="83.483211999999995"/>
    <x v="2"/>
    <n v="34"/>
    <n v="48"/>
    <n v="39"/>
  </r>
  <r>
    <s v="India"/>
    <x v="4"/>
    <x v="210"/>
    <s v="OP Jindal School, Kunjemura - CECB"/>
    <x v="0"/>
    <n v="22.126650000000001"/>
    <n v="83.483211999999995"/>
    <x v="3"/>
    <n v="2"/>
    <n v="2"/>
    <n v="2"/>
  </r>
  <r>
    <s v="India"/>
    <x v="4"/>
    <x v="40"/>
    <s v="Siltara Phase-II, Raipur - CECB"/>
    <x v="0"/>
    <n v="21.371751"/>
    <n v="81.664929000000001"/>
    <x v="4"/>
    <n v="13"/>
    <n v="85"/>
    <n v="32"/>
  </r>
  <r>
    <s v="India"/>
    <x v="4"/>
    <x v="212"/>
    <s v="OP Jindal Industrial Park, Tumidih - CECB"/>
    <x v="0"/>
    <n v="22.06631475"/>
    <n v="83.33820077"/>
    <x v="6"/>
    <n v="18"/>
    <n v="52"/>
    <n v="23"/>
  </r>
  <r>
    <s v="India"/>
    <x v="4"/>
    <x v="40"/>
    <s v="Bhatagaon New ISBT, Raipur - CECB"/>
    <x v="0"/>
    <n v="21.219664999999999"/>
    <n v="81.630094"/>
    <x v="1"/>
    <n v="50"/>
    <n v="102"/>
    <n v="68"/>
  </r>
  <r>
    <s v="India"/>
    <x v="4"/>
    <x v="40"/>
    <s v="Siltara Phase-II, Raipur - CECB"/>
    <x v="0"/>
    <n v="21.371751"/>
    <n v="81.664929000000001"/>
    <x v="2"/>
    <n v="23"/>
    <n v="60"/>
    <n v="40"/>
  </r>
  <r>
    <s v="India"/>
    <x v="6"/>
    <x v="39"/>
    <s v="North Campus, DU, Delhi - IMD"/>
    <x v="0"/>
    <n v="28.657381399999998"/>
    <n v="77.158544699999993"/>
    <x v="5"/>
    <n v="31"/>
    <n v="358"/>
    <n v="150"/>
  </r>
  <r>
    <s v="India"/>
    <x v="6"/>
    <x v="39"/>
    <s v="North Campus, DU, Delhi - IMD"/>
    <x v="0"/>
    <n v="28.657381399999998"/>
    <n v="77.158544699999993"/>
    <x v="0"/>
    <n v="7"/>
    <n v="205"/>
    <n v="98"/>
  </r>
  <r>
    <s v="India"/>
    <x v="6"/>
    <x v="39"/>
    <s v="Okhla Phase-2, Delhi - DPCC"/>
    <x v="0"/>
    <n v="28.530785000000002"/>
    <n v="77.271254999999996"/>
    <x v="5"/>
    <n v="58"/>
    <n v="340"/>
    <n v="177"/>
  </r>
  <r>
    <s v="India"/>
    <x v="6"/>
    <x v="39"/>
    <s v="Okhla Phase-2, Delhi - DPCC"/>
    <x v="0"/>
    <n v="28.530785000000002"/>
    <n v="77.271254999999996"/>
    <x v="1"/>
    <n v="95"/>
    <n v="483"/>
    <n v="209"/>
  </r>
  <r>
    <s v="India"/>
    <x v="6"/>
    <x v="39"/>
    <s v="Okhla Phase-2, Delhi - DPCC"/>
    <x v="0"/>
    <n v="28.530785000000002"/>
    <n v="77.271254999999996"/>
    <x v="2"/>
    <n v="29"/>
    <n v="140"/>
    <n v="80"/>
  </r>
  <r>
    <s v="India"/>
    <x v="6"/>
    <x v="39"/>
    <s v="Okhla Phase-2, Delhi - DPCC"/>
    <x v="0"/>
    <n v="28.530785000000002"/>
    <n v="77.271254999999996"/>
    <x v="6"/>
    <n v="57"/>
    <n v="132"/>
    <n v="76"/>
  </r>
  <r>
    <s v="India"/>
    <x v="6"/>
    <x v="39"/>
    <s v="Patparganj, Delhi - DPCC"/>
    <x v="0"/>
    <n v="28.623763"/>
    <n v="77.287209000000004"/>
    <x v="0"/>
    <n v="1"/>
    <n v="257"/>
    <n v="128"/>
  </r>
  <r>
    <s v="India"/>
    <x v="6"/>
    <x v="39"/>
    <s v="Punjabi Bagh, Delhi - DPCC"/>
    <x v="0"/>
    <n v="28.674045"/>
    <n v="77.131022999999999"/>
    <x v="1"/>
    <n v="89"/>
    <n v="312"/>
    <n v="188"/>
  </r>
  <r>
    <s v="India"/>
    <x v="6"/>
    <x v="39"/>
    <s v="Punjabi Bagh, Delhi - DPCC"/>
    <x v="0"/>
    <n v="28.674045"/>
    <n v="77.131022999999999"/>
    <x v="2"/>
    <n v="35"/>
    <n v="98"/>
    <n v="65"/>
  </r>
  <r>
    <s v="India"/>
    <x v="6"/>
    <x v="39"/>
    <s v="Pusa, Delhi - DPCC"/>
    <x v="0"/>
    <n v="28.639652000000002"/>
    <n v="77.146275000000003"/>
    <x v="5"/>
    <n v="37"/>
    <n v="305"/>
    <n v="126"/>
  </r>
  <r>
    <s v="India"/>
    <x v="6"/>
    <x v="39"/>
    <s v="IGI Airport (T3), Delhi - IMD"/>
    <x v="0"/>
    <n v="28.562776299999999"/>
    <n v="77.118005299999993"/>
    <x v="1"/>
    <n v="73"/>
    <n v="276"/>
    <n v="154"/>
  </r>
  <r>
    <s v="India"/>
    <x v="6"/>
    <x v="39"/>
    <s v="IHBAS, Dilshad Garden, Delhi - CPCB"/>
    <x v="0"/>
    <n v="28.681173600000001"/>
    <n v="77.302523399999998"/>
    <x v="5"/>
    <n v="65"/>
    <n v="294"/>
    <n v="149"/>
  </r>
  <r>
    <s v="India"/>
    <x v="6"/>
    <x v="39"/>
    <s v="IHBAS, Dilshad Garden, Delhi - CPCB"/>
    <x v="0"/>
    <n v="28.681173600000001"/>
    <n v="77.302523399999998"/>
    <x v="1"/>
    <n v="92"/>
    <n v="189"/>
    <n v="135"/>
  </r>
  <r>
    <s v="India"/>
    <x v="6"/>
    <x v="39"/>
    <s v="IHBAS, Dilshad Garden, Delhi - CPCB"/>
    <x v="0"/>
    <n v="28.681173600000001"/>
    <n v="77.302523399999998"/>
    <x v="2"/>
    <n v="12"/>
    <n v="73"/>
    <n v="27"/>
  </r>
  <r>
    <s v="India"/>
    <x v="6"/>
    <x v="39"/>
    <s v="IHBAS, Dilshad Garden, Delhi - CPCB"/>
    <x v="0"/>
    <n v="28.681173600000001"/>
    <n v="77.302523399999998"/>
    <x v="6"/>
    <n v="30"/>
    <n v="118"/>
    <n v="49"/>
  </r>
  <r>
    <s v="India"/>
    <x v="6"/>
    <x v="39"/>
    <s v="ITO, Delhi - CPCB"/>
    <x v="0"/>
    <n v="28.628623999999999"/>
    <n v="77.241060000000004"/>
    <x v="2"/>
    <n v="9"/>
    <n v="306"/>
    <n v="47"/>
  </r>
  <r>
    <s v="India"/>
    <x v="6"/>
    <x v="39"/>
    <s v="ITO, Delhi - CPCB"/>
    <x v="0"/>
    <n v="28.628623999999999"/>
    <n v="77.241060000000004"/>
    <x v="3"/>
    <n v="6"/>
    <n v="17"/>
    <n v="9"/>
  </r>
  <r>
    <s v="India"/>
    <x v="6"/>
    <x v="39"/>
    <s v="Jahangirpuri, Delhi - DPCC"/>
    <x v="0"/>
    <n v="28.73282"/>
    <n v="77.170632999999995"/>
    <x v="2"/>
    <n v="50"/>
    <n v="271"/>
    <n v="112"/>
  </r>
  <r>
    <s v="India"/>
    <x v="6"/>
    <x v="39"/>
    <s v="Jahangirpuri, Delhi - DPCC"/>
    <x v="0"/>
    <n v="28.73282"/>
    <n v="77.170632999999995"/>
    <x v="3"/>
    <n v="6"/>
    <n v="12"/>
    <n v="9"/>
  </r>
  <r>
    <s v="India"/>
    <x v="6"/>
    <x v="39"/>
    <s v="Jahangirpuri, Delhi - DPCC"/>
    <x v="0"/>
    <n v="28.73282"/>
    <n v="77.170632999999995"/>
    <x v="0"/>
    <n v="1"/>
    <n v="241"/>
    <n v="98"/>
  </r>
  <r>
    <s v="India"/>
    <x v="6"/>
    <x v="39"/>
    <s v="Mundka, Delhi - DPCC"/>
    <x v="0"/>
    <n v="28.684678000000002"/>
    <n v="77.076573999999994"/>
    <x v="4"/>
    <n v="13"/>
    <n v="111"/>
    <n v="50"/>
  </r>
  <r>
    <s v="India"/>
    <x v="6"/>
    <x v="39"/>
    <s v="NSIT Dwarka, Delhi - CPCB"/>
    <x v="0"/>
    <n v="28.609089999999998"/>
    <n v="77.032541300000005"/>
    <x v="6"/>
    <n v="30"/>
    <n v="102"/>
    <n v="70"/>
  </r>
  <r>
    <s v="India"/>
    <x v="6"/>
    <x v="39"/>
    <s v="NSIT Dwarka, Delhi - CPCB"/>
    <x v="0"/>
    <n v="28.609089999999998"/>
    <n v="77.032541300000005"/>
    <x v="0"/>
    <n v="14"/>
    <n v="56"/>
    <n v="36"/>
  </r>
  <r>
    <s v="India"/>
    <x v="6"/>
    <x v="39"/>
    <s v="Najafgarh, Delhi - DPCC"/>
    <x v="0"/>
    <n v="28.570173"/>
    <n v="76.933762000000002"/>
    <x v="5"/>
    <n v="27"/>
    <n v="348"/>
    <n v="134"/>
  </r>
  <r>
    <s v="India"/>
    <x v="6"/>
    <x v="39"/>
    <s v="Najafgarh, Delhi - DPCC"/>
    <x v="0"/>
    <n v="28.570173"/>
    <n v="76.933762000000002"/>
    <x v="1"/>
    <n v="63"/>
    <n v="274"/>
    <n v="154"/>
  </r>
  <r>
    <s v="India"/>
    <x v="6"/>
    <x v="39"/>
    <s v="Najafgarh, Delhi - DPCC"/>
    <x v="0"/>
    <n v="28.570173"/>
    <n v="76.933762000000002"/>
    <x v="4"/>
    <n v="7"/>
    <n v="34"/>
    <n v="16"/>
  </r>
  <r>
    <s v="India"/>
    <x v="6"/>
    <x v="39"/>
    <s v="Narela, Delhi - DPCC"/>
    <x v="0"/>
    <n v="28.822835999999999"/>
    <n v="77.101980999999995"/>
    <x v="1"/>
    <n v="94"/>
    <n v="412"/>
    <n v="228"/>
  </r>
  <r>
    <s v="India"/>
    <x v="6"/>
    <x v="39"/>
    <s v="Nehru Nagar, Delhi - DPCC"/>
    <x v="0"/>
    <n v="28.567889999999998"/>
    <n v="77.250514999999993"/>
    <x v="3"/>
    <n v="5"/>
    <n v="7"/>
    <n v="6"/>
  </r>
  <r>
    <s v="India"/>
    <x v="6"/>
    <x v="39"/>
    <s v="Lodhi Road, Delhi - IMD"/>
    <x v="0"/>
    <n v="28.591824500000001"/>
    <n v="77.227307400000001"/>
    <x v="2"/>
    <m/>
    <m/>
    <m/>
  </r>
  <r>
    <s v="India"/>
    <x v="6"/>
    <x v="39"/>
    <s v="Major Dhyan Chand National Stadium, Delhi - DPCC"/>
    <x v="0"/>
    <n v="28.611281000000002"/>
    <n v="77.237737999999993"/>
    <x v="0"/>
    <n v="3"/>
    <n v="276"/>
    <n v="119"/>
  </r>
  <r>
    <s v="India"/>
    <x v="6"/>
    <x v="39"/>
    <s v="Mandir Marg, Delhi - DPCC"/>
    <x v="0"/>
    <n v="28.636429"/>
    <n v="77.201066999999995"/>
    <x v="3"/>
    <n v="8"/>
    <n v="13"/>
    <n v="10"/>
  </r>
  <r>
    <s v="India"/>
    <x v="6"/>
    <x v="39"/>
    <s v="Mundka, Delhi - DPCC"/>
    <x v="0"/>
    <n v="28.684678000000002"/>
    <n v="77.076573999999994"/>
    <x v="5"/>
    <n v="28"/>
    <n v="390"/>
    <n v="234"/>
  </r>
  <r>
    <s v="India"/>
    <x v="6"/>
    <x v="39"/>
    <s v="Mundka, Delhi - DPCC"/>
    <x v="0"/>
    <n v="28.684678000000002"/>
    <n v="77.076573999999994"/>
    <x v="1"/>
    <n v="90"/>
    <n v="443"/>
    <n v="274"/>
  </r>
  <r>
    <s v="India"/>
    <x v="6"/>
    <x v="39"/>
    <s v="R K Puram, Delhi - DPCC"/>
    <x v="0"/>
    <n v="28.563262000000002"/>
    <n v="77.186937"/>
    <x v="1"/>
    <n v="88"/>
    <n v="444"/>
    <n v="208"/>
  </r>
  <r>
    <s v="India"/>
    <x v="6"/>
    <x v="39"/>
    <s v="Rohini, Delhi - DPCC"/>
    <x v="0"/>
    <n v="28.732527999999999"/>
    <n v="77.119919999999993"/>
    <x v="5"/>
    <n v="33"/>
    <n v="430"/>
    <n v="260"/>
  </r>
  <r>
    <s v="India"/>
    <x v="6"/>
    <x v="39"/>
    <s v="Sirifort, Delhi - CPCB"/>
    <x v="0"/>
    <n v="28.550424899999999"/>
    <n v="77.215937699999998"/>
    <x v="5"/>
    <n v="70"/>
    <n v="344"/>
    <n v="217"/>
  </r>
  <r>
    <s v="India"/>
    <x v="6"/>
    <x v="39"/>
    <s v="Vivek Vihar, Delhi - DPCC"/>
    <x v="0"/>
    <n v="28.672342"/>
    <n v="77.315259999999995"/>
    <x v="4"/>
    <n v="9"/>
    <n v="44"/>
    <n v="18"/>
  </r>
  <r>
    <s v="India"/>
    <x v="6"/>
    <x v="39"/>
    <s v="Wazirpur, Delhi - DPCC"/>
    <x v="0"/>
    <n v="28.699793"/>
    <n v="77.165452999999999"/>
    <x v="2"/>
    <n v="50"/>
    <n v="266"/>
    <n v="133"/>
  </r>
  <r>
    <s v="India"/>
    <x v="6"/>
    <x v="39"/>
    <s v="Jawaharlal Nehru Stadium, Delhi - DPCC"/>
    <x v="0"/>
    <n v="28.580279999999998"/>
    <n v="77.233829"/>
    <x v="1"/>
    <n v="78"/>
    <n v="395"/>
    <n v="164"/>
  </r>
  <r>
    <s v="India"/>
    <x v="6"/>
    <x v="39"/>
    <s v="Jawaharlal Nehru Stadium, Delhi - DPCC"/>
    <x v="0"/>
    <n v="28.580279999999998"/>
    <n v="77.233829"/>
    <x v="3"/>
    <n v="15"/>
    <n v="29"/>
    <n v="19"/>
  </r>
  <r>
    <s v="India"/>
    <x v="7"/>
    <x v="41"/>
    <s v="Maninagar, Ahmedabad - GPCB"/>
    <x v="0"/>
    <n v="23.002656999999999"/>
    <n v="72.591911999999994"/>
    <x v="4"/>
    <n v="26"/>
    <n v="53"/>
    <n v="37"/>
  </r>
  <r>
    <s v="India"/>
    <x v="6"/>
    <x v="39"/>
    <s v="Sonia Vihar, Delhi - DPCC"/>
    <x v="0"/>
    <n v="28.710508000000001"/>
    <n v="77.249485000000007"/>
    <x v="0"/>
    <n v="2"/>
    <n v="202"/>
    <n v="105"/>
  </r>
  <r>
    <s v="India"/>
    <x v="10"/>
    <x v="45"/>
    <s v="Silk Board, Bengaluru - KSPCB"/>
    <x v="0"/>
    <n v="12.917348"/>
    <n v="77.622812999999994"/>
    <x v="3"/>
    <n v="3"/>
    <n v="4"/>
    <n v="4"/>
  </r>
  <r>
    <s v="India"/>
    <x v="10"/>
    <x v="45"/>
    <s v="Silk Board, Bengaluru - KSPCB"/>
    <x v="0"/>
    <n v="12.917348"/>
    <n v="77.622812999999994"/>
    <x v="0"/>
    <n v="4"/>
    <n v="85"/>
    <n v="37"/>
  </r>
  <r>
    <s v="India"/>
    <x v="10"/>
    <x v="61"/>
    <s v="Urban, Chamarajanagar - KSPCB"/>
    <x v="0"/>
    <n v="11.55358"/>
    <n v="76.555210000000002"/>
    <x v="4"/>
    <n v="2"/>
    <n v="7"/>
    <n v="4"/>
  </r>
  <r>
    <s v="India"/>
    <x v="10"/>
    <x v="55"/>
    <s v="Chikkaballapur Rural, Chikkaballapur - KSPCB"/>
    <x v="0"/>
    <n v="13.428827999999999"/>
    <n v="77.731418000000005"/>
    <x v="5"/>
    <n v="21"/>
    <n v="62"/>
    <n v="39"/>
  </r>
  <r>
    <s v="India"/>
    <x v="10"/>
    <x v="55"/>
    <s v="Chikkaballapur Rural, Chikkaballapur - KSPCB"/>
    <x v="0"/>
    <n v="13.428827999999999"/>
    <n v="77.731418000000005"/>
    <x v="2"/>
    <n v="15"/>
    <n v="41"/>
    <n v="26"/>
  </r>
  <r>
    <s v="India"/>
    <x v="10"/>
    <x v="56"/>
    <s v="Kalyana Nagara, Chikkamagaluru - KSPCB"/>
    <x v="0"/>
    <n v="13.328028"/>
    <n v="75.797055999999998"/>
    <x v="3"/>
    <m/>
    <m/>
    <m/>
  </r>
  <r>
    <s v="India"/>
    <x v="10"/>
    <x v="56"/>
    <s v="Kalyana Nagara, Chikkamagaluru - KSPCB"/>
    <x v="0"/>
    <n v="13.328028"/>
    <n v="75.797055999999998"/>
    <x v="4"/>
    <m/>
    <m/>
    <m/>
  </r>
  <r>
    <s v="India"/>
    <x v="10"/>
    <x v="56"/>
    <s v="Kalyana Nagara, Chikkamagaluru - KSPCB"/>
    <x v="0"/>
    <n v="13.328028"/>
    <n v="75.797055999999998"/>
    <x v="6"/>
    <n v="11"/>
    <n v="20"/>
    <n v="14"/>
  </r>
  <r>
    <s v="India"/>
    <x v="10"/>
    <x v="215"/>
    <s v="Ramteerth Nagar, Belgaum - KSPCB"/>
    <x v="0"/>
    <n v="15.888653"/>
    <n v="74.541751000000005"/>
    <x v="3"/>
    <n v="2"/>
    <n v="3"/>
    <n v="2"/>
  </r>
  <r>
    <s v="India"/>
    <x v="10"/>
    <x v="215"/>
    <s v="Ramteerth Nagar, Belgaum - KSPCB"/>
    <x v="0"/>
    <n v="15.888653"/>
    <n v="74.541751000000005"/>
    <x v="4"/>
    <n v="14"/>
    <n v="15"/>
    <n v="15"/>
  </r>
  <r>
    <s v="India"/>
    <x v="10"/>
    <x v="45"/>
    <s v="BTM Layout, Bengaluru - CPCB"/>
    <x v="0"/>
    <n v="12.9135218"/>
    <n v="77.595080400000001"/>
    <x v="1"/>
    <n v="32"/>
    <n v="210"/>
    <n v="81"/>
  </r>
  <r>
    <s v="India"/>
    <x v="10"/>
    <x v="45"/>
    <s v="Bapuji Nagar, Bengaluru - KSPCB"/>
    <x v="0"/>
    <n v="12.951912999999999"/>
    <n v="77.539783999999997"/>
    <x v="3"/>
    <n v="1"/>
    <n v="2"/>
    <n v="1"/>
  </r>
  <r>
    <s v="India"/>
    <x v="10"/>
    <x v="45"/>
    <s v="City Railway Station, Bengaluru - KSPCB"/>
    <x v="0"/>
    <n v="12.975684299999999"/>
    <n v="77.566074900000004"/>
    <x v="4"/>
    <n v="8"/>
    <n v="16"/>
    <n v="12"/>
  </r>
  <r>
    <s v="India"/>
    <x v="10"/>
    <x v="45"/>
    <s v="Hebbal, Bengaluru - KSPCB"/>
    <x v="0"/>
    <n v="13.029152"/>
    <n v="77.585901000000007"/>
    <x v="1"/>
    <n v="28"/>
    <n v="104"/>
    <n v="53"/>
  </r>
  <r>
    <s v="India"/>
    <x v="7"/>
    <x v="213"/>
    <s v="Phase-1 GIDC, Vapi - GPCB"/>
    <x v="0"/>
    <n v="20.362421000000001"/>
    <n v="72.918013000000002"/>
    <x v="3"/>
    <n v="10"/>
    <n v="10"/>
    <n v="10"/>
  </r>
  <r>
    <s v="India"/>
    <x v="7"/>
    <x v="213"/>
    <s v="Phase-1 GIDC, Vapi - GPCB"/>
    <x v="0"/>
    <n v="20.362421000000001"/>
    <n v="72.918013000000002"/>
    <x v="0"/>
    <n v="2"/>
    <n v="2"/>
    <n v="2"/>
  </r>
  <r>
    <s v="India"/>
    <x v="7"/>
    <x v="214"/>
    <s v="Phase-4 GIDC, Vatva - GPCB"/>
    <x v="0"/>
    <n v="22.969611"/>
    <n v="72.643500000000003"/>
    <x v="2"/>
    <n v="33"/>
    <n v="59"/>
    <n v="43"/>
  </r>
  <r>
    <s v="India"/>
    <x v="7"/>
    <x v="214"/>
    <s v="Phase-4 GIDC, Vatva - GPCB"/>
    <x v="0"/>
    <n v="22.969611"/>
    <n v="72.643500000000003"/>
    <x v="3"/>
    <n v="1"/>
    <n v="9"/>
    <n v="4"/>
  </r>
  <r>
    <s v="India"/>
    <x v="11"/>
    <x v="47"/>
    <s v="Amity University, Panchgaon - IITM"/>
    <x v="0"/>
    <n v="28.315300000000001"/>
    <n v="76.914299999999997"/>
    <x v="4"/>
    <n v="8"/>
    <n v="44"/>
    <n v="23"/>
  </r>
  <r>
    <s v="India"/>
    <x v="11"/>
    <x v="47"/>
    <s v="Amity University, Panchgaon - IITM"/>
    <x v="0"/>
    <n v="28.315300000000001"/>
    <n v="76.914299999999997"/>
    <x v="6"/>
    <n v="1"/>
    <n v="73"/>
    <n v="5"/>
  </r>
  <r>
    <s v="India"/>
    <x v="7"/>
    <x v="49"/>
    <s v="GIFT City, Gandhinagar - IITM"/>
    <x v="0"/>
    <n v="23.163798"/>
    <n v="72.677768"/>
    <x v="0"/>
    <n v="2"/>
    <n v="54"/>
    <n v="30"/>
  </r>
  <r>
    <s v="India"/>
    <x v="7"/>
    <x v="49"/>
    <s v="IIPHG Lekawada, Gandhinagar - IITM"/>
    <x v="0"/>
    <n v="23.243639000000002"/>
    <n v="72.689940000000007"/>
    <x v="3"/>
    <n v="2"/>
    <n v="19"/>
    <n v="6"/>
  </r>
  <r>
    <s v="India"/>
    <x v="7"/>
    <x v="49"/>
    <s v="IIPHG Lekawada, Gandhinagar - IITM"/>
    <x v="0"/>
    <n v="23.243639000000002"/>
    <n v="72.689940000000007"/>
    <x v="4"/>
    <n v="5"/>
    <n v="29"/>
    <n v="11"/>
  </r>
  <r>
    <s v="India"/>
    <x v="7"/>
    <x v="49"/>
    <s v="Sector-10, Gandhinagar - GPCB"/>
    <x v="0"/>
    <n v="23.221713999999999"/>
    <n v="72.654328000000007"/>
    <x v="1"/>
    <n v="28"/>
    <n v="134"/>
    <n v="66"/>
  </r>
  <r>
    <s v="India"/>
    <x v="7"/>
    <x v="50"/>
    <s v="Science Center, Surat - SMC"/>
    <x v="0"/>
    <n v="21.170045999999999"/>
    <n v="72.795405000000002"/>
    <x v="1"/>
    <m/>
    <m/>
    <m/>
  </r>
  <r>
    <s v="India"/>
    <x v="7"/>
    <x v="41"/>
    <s v="Sardar Vallabhbhai Patel Stadium, Ahmedabad - IITM"/>
    <x v="0"/>
    <n v="23.04307"/>
    <n v="72.562967999999998"/>
    <x v="3"/>
    <n v="3"/>
    <n v="31"/>
    <n v="9"/>
  </r>
  <r>
    <s v="India"/>
    <x v="7"/>
    <x v="41"/>
    <s v="Sardar Vallabhbhai Patel Stadium, Ahmedabad - IITM"/>
    <x v="0"/>
    <n v="23.04307"/>
    <n v="72.562967999999998"/>
    <x v="6"/>
    <n v="9"/>
    <n v="146"/>
    <n v="53"/>
  </r>
  <r>
    <s v="India"/>
    <x v="7"/>
    <x v="48"/>
    <s v="GIDC, Ankleshwar - GPCB"/>
    <x v="0"/>
    <n v="21.613267"/>
    <n v="73.010554999999997"/>
    <x v="0"/>
    <n v="31"/>
    <n v="40"/>
    <n v="33"/>
  </r>
  <r>
    <s v="India"/>
    <x v="7"/>
    <x v="49"/>
    <s v="GIFT City, Gandhinagar - IITM"/>
    <x v="0"/>
    <n v="23.163798"/>
    <n v="72.677768"/>
    <x v="5"/>
    <n v="50"/>
    <n v="379"/>
    <n v="116"/>
  </r>
  <r>
    <s v="India"/>
    <x v="7"/>
    <x v="49"/>
    <s v="GIFT City, Gandhinagar - IITM"/>
    <x v="0"/>
    <n v="23.163798"/>
    <n v="72.677768"/>
    <x v="1"/>
    <n v="54"/>
    <n v="304"/>
    <n v="94"/>
  </r>
  <r>
    <s v="India"/>
    <x v="10"/>
    <x v="45"/>
    <s v="Kasturi Nagar, Bengaluru - KSPCB"/>
    <x v="0"/>
    <n v="13.003871999999999"/>
    <n v="77.664216999999994"/>
    <x v="4"/>
    <n v="8"/>
    <n v="9"/>
    <n v="9"/>
  </r>
  <r>
    <s v="India"/>
    <x v="10"/>
    <x v="45"/>
    <s v="Peenya, Bengaluru - CPCB"/>
    <x v="0"/>
    <n v="13.027019900000001"/>
    <n v="77.494094000000004"/>
    <x v="4"/>
    <n v="4"/>
    <n v="16"/>
    <n v="8"/>
  </r>
  <r>
    <s v="India"/>
    <x v="10"/>
    <x v="45"/>
    <s v="Peenya, Bengaluru - CPCB"/>
    <x v="0"/>
    <n v="13.027019900000001"/>
    <n v="77.494094000000004"/>
    <x v="0"/>
    <n v="40"/>
    <n v="40"/>
    <n v="40"/>
  </r>
  <r>
    <s v="India"/>
    <x v="10"/>
    <x v="45"/>
    <s v="RVCE-Mailasandra, Bengaluru - KSPCB"/>
    <x v="0"/>
    <n v="12.921417999999999"/>
    <n v="77.502465999999998"/>
    <x v="5"/>
    <n v="56"/>
    <n v="57"/>
    <n v="56"/>
  </r>
  <r>
    <s v="India"/>
    <x v="10"/>
    <x v="45"/>
    <s v="Sanegurava Halli, Bengaluru - KSPCB"/>
    <x v="0"/>
    <n v="12.990328"/>
    <n v="77.543138499999998"/>
    <x v="4"/>
    <n v="6"/>
    <n v="9"/>
    <n v="7"/>
  </r>
  <r>
    <s v="India"/>
    <x v="7"/>
    <x v="41"/>
    <s v="Maninagar, Ahmedabad - GPCB"/>
    <x v="0"/>
    <n v="23.002656999999999"/>
    <n v="72.591911999999994"/>
    <x v="0"/>
    <n v="3"/>
    <n v="45"/>
    <n v="19"/>
  </r>
  <r>
    <s v="India"/>
    <x v="7"/>
    <x v="41"/>
    <s v="Rakhial, Ahmedabad - IITM"/>
    <x v="0"/>
    <n v="23.016833999999999"/>
    <n v="72.625775000000004"/>
    <x v="4"/>
    <n v="3"/>
    <n v="112"/>
    <n v="54"/>
  </r>
  <r>
    <s v="India"/>
    <x v="7"/>
    <x v="41"/>
    <s v="Rakhial, Ahmedabad - IITM"/>
    <x v="0"/>
    <n v="23.016833999999999"/>
    <n v="72.625775000000004"/>
    <x v="0"/>
    <n v="2"/>
    <n v="92"/>
    <n v="40"/>
  </r>
  <r>
    <s v="India"/>
    <x v="7"/>
    <x v="41"/>
    <s v="SAC ISRO Bopal, Ahmedabad - IITM"/>
    <x v="0"/>
    <n v="23.041136999999999"/>
    <n v="72.456691000000006"/>
    <x v="5"/>
    <n v="39"/>
    <n v="250"/>
    <n v="95"/>
  </r>
  <r>
    <s v="India"/>
    <x v="10"/>
    <x v="45"/>
    <s v="Jayanagar 5th Block, Bengaluru - KSPCB"/>
    <x v="0"/>
    <n v="12.920984000000001"/>
    <n v="77.584907999999999"/>
    <x v="5"/>
    <n v="16"/>
    <n v="55"/>
    <n v="36"/>
  </r>
  <r>
    <s v="India"/>
    <x v="10"/>
    <x v="45"/>
    <s v="Jayanagar 5th Block, Bengaluru - KSPCB"/>
    <x v="0"/>
    <n v="12.920984000000001"/>
    <n v="77.584907999999999"/>
    <x v="1"/>
    <n v="23"/>
    <n v="90"/>
    <n v="53"/>
  </r>
  <r>
    <s v="India"/>
    <x v="10"/>
    <x v="44"/>
    <s v="Vidayagiri, Bagalkot - KSPCB"/>
    <x v="0"/>
    <n v="16.172806000000001"/>
    <n v="75.659694000000002"/>
    <x v="6"/>
    <n v="11"/>
    <n v="37"/>
    <n v="25"/>
  </r>
  <r>
    <s v="India"/>
    <x v="13"/>
    <x v="74"/>
    <s v="Shrivastav Colony, Damoh - MPPCB"/>
    <x v="0"/>
    <n v="23.817486779999999"/>
    <n v="79.446246000000002"/>
    <x v="4"/>
    <n v="18"/>
    <n v="23"/>
    <n v="20"/>
  </r>
  <r>
    <s v="India"/>
    <x v="13"/>
    <x v="223"/>
    <s v="Bhopal Chauraha, Dewas - MPPCB"/>
    <x v="0"/>
    <n v="22.968259100000001"/>
    <n v="76.064117999999993"/>
    <x v="5"/>
    <n v="43"/>
    <n v="358"/>
    <n v="171"/>
  </r>
  <r>
    <s v="India"/>
    <x v="13"/>
    <x v="223"/>
    <s v="Bhopal Chauraha, Dewas - MPPCB"/>
    <x v="0"/>
    <n v="22.968259100000001"/>
    <n v="76.064117999999993"/>
    <x v="1"/>
    <n v="101"/>
    <n v="279"/>
    <n v="161"/>
  </r>
  <r>
    <s v="India"/>
    <x v="13"/>
    <x v="223"/>
    <s v="Bhopal Chauraha, Dewas - MPPCB"/>
    <x v="0"/>
    <n v="22.968259100000001"/>
    <n v="76.064117999999993"/>
    <x v="4"/>
    <n v="61"/>
    <n v="82"/>
    <n v="68"/>
  </r>
  <r>
    <s v="India"/>
    <x v="13"/>
    <x v="75"/>
    <s v="City Center, Gwalior - MPPCB"/>
    <x v="0"/>
    <n v="26.203441999999999"/>
    <n v="78.193251000000004"/>
    <x v="6"/>
    <n v="38"/>
    <n v="131"/>
    <n v="77"/>
  </r>
  <r>
    <s v="India"/>
    <x v="13"/>
    <x v="75"/>
    <s v="Deen Dayal Nagar, Gwalior - MPPCB"/>
    <x v="0"/>
    <n v="26.259242"/>
    <n v="78.216431999999998"/>
    <x v="5"/>
    <n v="72"/>
    <n v="392"/>
    <n v="231"/>
  </r>
  <r>
    <s v="India"/>
    <x v="13"/>
    <x v="75"/>
    <s v="Deen Dayal Nagar, Gwalior - MPPCB"/>
    <x v="0"/>
    <n v="26.259242"/>
    <n v="78.216431999999998"/>
    <x v="1"/>
    <n v="75"/>
    <n v="382"/>
    <n v="180"/>
  </r>
  <r>
    <s v="India"/>
    <x v="13"/>
    <x v="73"/>
    <s v="Airport Area, Indore - IMC"/>
    <x v="0"/>
    <n v="22.728899999999999"/>
    <n v="75.807599999999994"/>
    <x v="5"/>
    <n v="36"/>
    <n v="167"/>
    <n v="67"/>
  </r>
  <r>
    <s v="India"/>
    <x v="12"/>
    <x v="65"/>
    <s v="Plammoodu, Thiruvananthapuram - Kerala PCB"/>
    <x v="0"/>
    <n v="8.5149092999999993"/>
    <n v="76.943587899999997"/>
    <x v="1"/>
    <n v="3"/>
    <n v="70"/>
    <n v="28"/>
  </r>
  <r>
    <s v="India"/>
    <x v="12"/>
    <x v="66"/>
    <s v="Corporation Ground, Thrissur - Kerala PCB"/>
    <x v="0"/>
    <n v="10.532400000000001"/>
    <n v="76.215900000000005"/>
    <x v="0"/>
    <n v="27"/>
    <n v="28"/>
    <n v="28"/>
  </r>
  <r>
    <s v="India"/>
    <x v="13"/>
    <x v="67"/>
    <s v="Idgah Hills, Bhopal - MPPCB"/>
    <x v="0"/>
    <n v="23.264759000000002"/>
    <n v="77.381568000000001"/>
    <x v="4"/>
    <n v="6"/>
    <n v="8"/>
    <n v="7"/>
  </r>
  <r>
    <s v="India"/>
    <x v="13"/>
    <x v="67"/>
    <s v="Idgah Hills, Bhopal - MPPCB"/>
    <x v="0"/>
    <n v="23.264759000000002"/>
    <n v="77.381568000000001"/>
    <x v="6"/>
    <n v="14"/>
    <n v="78"/>
    <n v="27"/>
  </r>
  <r>
    <s v="India"/>
    <x v="13"/>
    <x v="67"/>
    <s v="Paryavaran Parisar, Bhopal - MPPCB"/>
    <x v="0"/>
    <n v="23.210494000000001"/>
    <n v="77.425409000000002"/>
    <x v="1"/>
    <n v="60"/>
    <n v="203"/>
    <n v="103"/>
  </r>
  <r>
    <s v="India"/>
    <x v="13"/>
    <x v="67"/>
    <s v="Paryavaran Parisar, Bhopal - MPPCB"/>
    <x v="0"/>
    <n v="23.210494000000001"/>
    <n v="77.425409000000002"/>
    <x v="3"/>
    <n v="2"/>
    <n v="36"/>
    <n v="7"/>
  </r>
  <r>
    <s v="India"/>
    <x v="13"/>
    <x v="67"/>
    <s v="T T Nagar, Bhopal - MPPCB"/>
    <x v="0"/>
    <n v="23.233584"/>
    <n v="77.400574000000006"/>
    <x v="0"/>
    <n v="6"/>
    <n v="191"/>
    <n v="88"/>
  </r>
  <r>
    <s v="India"/>
    <x v="10"/>
    <x v="57"/>
    <s v="Devaraj Urs Badavane, Davanagere - KSPCB"/>
    <x v="0"/>
    <n v="14.4758"/>
    <n v="75.905199999999994"/>
    <x v="2"/>
    <n v="10"/>
    <n v="16"/>
    <n v="12"/>
  </r>
  <r>
    <s v="India"/>
    <x v="10"/>
    <x v="57"/>
    <s v="Devaraj Urs Badavane, Davanagere - KSPCB"/>
    <x v="0"/>
    <n v="14.4758"/>
    <n v="75.905199999999994"/>
    <x v="4"/>
    <n v="5"/>
    <n v="20"/>
    <n v="8"/>
  </r>
  <r>
    <s v="India"/>
    <x v="10"/>
    <x v="57"/>
    <s v="Devaraj Urs Badavane, Davanagere - KSPCB"/>
    <x v="0"/>
    <n v="14.4758"/>
    <n v="75.905199999999994"/>
    <x v="6"/>
    <n v="8"/>
    <n v="40"/>
    <n v="37"/>
  </r>
  <r>
    <s v="India"/>
    <x v="10"/>
    <x v="58"/>
    <s v="Kalabhavan, Dharwad - KSPCB"/>
    <x v="0"/>
    <n v="15.459706000000001"/>
    <n v="75.008381"/>
    <x v="2"/>
    <n v="20"/>
    <n v="20"/>
    <n v="20"/>
  </r>
  <r>
    <s v="India"/>
    <x v="10"/>
    <x v="58"/>
    <s v="Kalabhavan, Dharwad - KSPCB"/>
    <x v="0"/>
    <n v="15.459706000000001"/>
    <n v="75.008381"/>
    <x v="6"/>
    <n v="49"/>
    <n v="103"/>
    <n v="80"/>
  </r>
  <r>
    <s v="India"/>
    <x v="10"/>
    <x v="58"/>
    <s v="Kalabhavan, Dharwad - KSPCB"/>
    <x v="0"/>
    <n v="15.459706000000001"/>
    <n v="75.008381"/>
    <x v="0"/>
    <n v="6"/>
    <n v="44"/>
    <n v="29"/>
  </r>
  <r>
    <s v="India"/>
    <x v="10"/>
    <x v="51"/>
    <s v="Panchal Nagar, Gadag - KSPCB"/>
    <x v="0"/>
    <n v="15.411455999999999"/>
    <n v="75.638132999999996"/>
    <x v="3"/>
    <n v="1"/>
    <n v="3"/>
    <n v="2"/>
  </r>
  <r>
    <s v="India"/>
    <x v="10"/>
    <x v="52"/>
    <s v="Ashwini Nagar, Haveri - KSPCB"/>
    <x v="0"/>
    <n v="14.7918"/>
    <n v="75.389600000000002"/>
    <x v="5"/>
    <m/>
    <m/>
    <m/>
  </r>
  <r>
    <s v="India"/>
    <x v="10"/>
    <x v="52"/>
    <s v="Ashwini Nagar, Haveri - KSPCB"/>
    <x v="0"/>
    <n v="14.7918"/>
    <n v="75.389600000000002"/>
    <x v="3"/>
    <m/>
    <m/>
    <m/>
  </r>
  <r>
    <s v="India"/>
    <x v="10"/>
    <x v="52"/>
    <s v="Ashwini Nagar, Haveri - KSPCB"/>
    <x v="0"/>
    <n v="14.7918"/>
    <n v="75.389600000000002"/>
    <x v="6"/>
    <m/>
    <m/>
    <m/>
  </r>
  <r>
    <s v="India"/>
    <x v="10"/>
    <x v="53"/>
    <s v="Lingaraj Nagar, Hubballi - KSPCB"/>
    <x v="0"/>
    <n v="15.3714823"/>
    <n v="75.116016799999997"/>
    <x v="5"/>
    <n v="36"/>
    <n v="36"/>
    <n v="36"/>
  </r>
  <r>
    <s v="India"/>
    <x v="10"/>
    <x v="53"/>
    <s v="Lingaraj Nagar, Hubballi - KSPCB"/>
    <x v="0"/>
    <n v="15.3714823"/>
    <n v="75.116016799999997"/>
    <x v="3"/>
    <n v="2"/>
    <n v="2"/>
    <n v="2"/>
  </r>
  <r>
    <s v="India"/>
    <x v="10"/>
    <x v="53"/>
    <s v="Lingaraj Nagar, Hubballi - KSPCB"/>
    <x v="0"/>
    <n v="15.3714823"/>
    <n v="75.116016799999997"/>
    <x v="4"/>
    <n v="2"/>
    <n v="3"/>
    <n v="3"/>
  </r>
  <r>
    <s v="India"/>
    <x v="10"/>
    <x v="54"/>
    <s v="Lal Bahadur Shastri Nagar, Kalaburagi - KSPCB"/>
    <x v="0"/>
    <n v="17.321992999999999"/>
    <n v="76.822627999999995"/>
    <x v="4"/>
    <n v="33"/>
    <n v="35"/>
    <n v="34"/>
  </r>
  <r>
    <s v="India"/>
    <x v="10"/>
    <x v="54"/>
    <s v="Mahatma Basaveswar Colony, Kalaburgi - KSPCB"/>
    <x v="0"/>
    <n v="17.336317999999999"/>
    <n v="76.847397000000001"/>
    <x v="1"/>
    <n v="19"/>
    <n v="60"/>
    <n v="32"/>
  </r>
  <r>
    <s v="India"/>
    <x v="10"/>
    <x v="54"/>
    <s v="Mahatma Basaveswar Colony, Kalaburgi - KSPCB"/>
    <x v="0"/>
    <n v="17.336317999999999"/>
    <n v="76.847397000000001"/>
    <x v="4"/>
    <n v="3"/>
    <n v="7"/>
    <n v="4"/>
  </r>
  <r>
    <s v="India"/>
    <x v="12"/>
    <x v="60"/>
    <s v="Udyogamandal, Eloor - Kerala PCB"/>
    <x v="0"/>
    <n v="10.073232000000001"/>
    <n v="76.302764999999994"/>
    <x v="4"/>
    <m/>
    <m/>
    <m/>
  </r>
  <r>
    <s v="India"/>
    <x v="12"/>
    <x v="60"/>
    <s v="Udyogamandal, Eloor - Kerala PCB"/>
    <x v="0"/>
    <n v="10.073232000000001"/>
    <n v="76.302764999999994"/>
    <x v="0"/>
    <m/>
    <m/>
    <m/>
  </r>
  <r>
    <s v="India"/>
    <x v="12"/>
    <x v="222"/>
    <s v="Thavakkara, Kannur - Kerala PCB"/>
    <x v="0"/>
    <n v="11.875"/>
    <n v="75.373199999999997"/>
    <x v="4"/>
    <n v="5"/>
    <n v="6"/>
    <n v="5"/>
  </r>
  <r>
    <s v="India"/>
    <x v="12"/>
    <x v="79"/>
    <s v="Polayathode, Kollam - Kerala PCB"/>
    <x v="0"/>
    <n v="8.8787000000000003"/>
    <n v="76.607299999999995"/>
    <x v="5"/>
    <n v="29"/>
    <n v="35"/>
    <n v="32"/>
  </r>
  <r>
    <s v="India"/>
    <x v="12"/>
    <x v="79"/>
    <s v="Polayathode, Kollam - Kerala PCB"/>
    <x v="0"/>
    <n v="8.8787000000000003"/>
    <n v="76.607299999999995"/>
    <x v="2"/>
    <n v="9"/>
    <n v="10"/>
    <n v="9"/>
  </r>
  <r>
    <s v="India"/>
    <x v="12"/>
    <x v="79"/>
    <s v="Polayathode, Kollam - Kerala PCB"/>
    <x v="0"/>
    <n v="8.8787000000000003"/>
    <n v="76.607299999999995"/>
    <x v="3"/>
    <n v="1"/>
    <n v="1"/>
    <n v="1"/>
  </r>
  <r>
    <s v="India"/>
    <x v="12"/>
    <x v="79"/>
    <s v="Polayathode, Kollam - Kerala PCB"/>
    <x v="0"/>
    <n v="8.8787000000000003"/>
    <n v="76.607299999999995"/>
    <x v="6"/>
    <n v="14"/>
    <n v="17"/>
    <n v="16"/>
  </r>
  <r>
    <s v="India"/>
    <x v="10"/>
    <x v="219"/>
    <s v="Kadri, Mangalore - KSPCB"/>
    <x v="0"/>
    <n v="12.889250000000001"/>
    <n v="74.852999999999994"/>
    <x v="3"/>
    <n v="1"/>
    <n v="2"/>
    <n v="2"/>
  </r>
  <r>
    <s v="India"/>
    <x v="10"/>
    <x v="219"/>
    <s v="Kadri, Mangalore - KSPCB"/>
    <x v="0"/>
    <n v="12.889250000000001"/>
    <n v="74.852999999999994"/>
    <x v="6"/>
    <n v="22"/>
    <n v="33"/>
    <n v="29"/>
  </r>
  <r>
    <s v="India"/>
    <x v="10"/>
    <x v="62"/>
    <s v="Hebbal 1st Stage, Mysuru - KSPCB"/>
    <x v="0"/>
    <n v="12.21041"/>
    <n v="76.373760000000004"/>
    <x v="2"/>
    <n v="11"/>
    <n v="32"/>
    <n v="21"/>
  </r>
  <r>
    <s v="India"/>
    <x v="10"/>
    <x v="62"/>
    <s v="Hebbal 1st Stage, Mysuru - KSPCB"/>
    <x v="0"/>
    <n v="12.21041"/>
    <n v="76.373760000000004"/>
    <x v="4"/>
    <m/>
    <m/>
    <m/>
  </r>
  <r>
    <s v="India"/>
    <x v="10"/>
    <x v="218"/>
    <s v="Diwator Nagar, Koppal - KSPCB"/>
    <x v="0"/>
    <n v="15.347630000000001"/>
    <n v="76.181766999999994"/>
    <x v="6"/>
    <n v="24"/>
    <n v="44"/>
    <n v="32"/>
  </r>
  <r>
    <s v="India"/>
    <x v="10"/>
    <x v="218"/>
    <s v="Diwator Nagar, Koppal - KSPCB"/>
    <x v="0"/>
    <n v="15.347630000000001"/>
    <n v="76.181766999999994"/>
    <x v="0"/>
    <n v="28"/>
    <n v="61"/>
    <n v="49"/>
  </r>
  <r>
    <s v="India"/>
    <x v="10"/>
    <x v="64"/>
    <s v="Stuart Hill, Madikeri - KSPCB"/>
    <x v="0"/>
    <n v="12.415910999999999"/>
    <n v="75.735050000000001"/>
    <x v="5"/>
    <n v="7"/>
    <n v="55"/>
    <n v="16"/>
  </r>
  <r>
    <s v="India"/>
    <x v="10"/>
    <x v="64"/>
    <s v="Stuart Hill, Madikeri - KSPCB"/>
    <x v="0"/>
    <n v="12.415910999999999"/>
    <n v="75.735050000000001"/>
    <x v="4"/>
    <n v="4"/>
    <n v="4"/>
    <n v="4"/>
  </r>
  <r>
    <s v="India"/>
    <x v="12"/>
    <x v="65"/>
    <s v="Kariavattom, Thiruvananthapuram - Kerala PCB"/>
    <x v="0"/>
    <n v="8.5637000000000008"/>
    <n v="76.886499999999998"/>
    <x v="2"/>
    <n v="6"/>
    <n v="7"/>
    <n v="7"/>
  </r>
  <r>
    <s v="India"/>
    <x v="12"/>
    <x v="65"/>
    <s v="Kariavattom, Thiruvananthapuram - Kerala PCB"/>
    <x v="0"/>
    <n v="8.5637000000000008"/>
    <n v="76.886499999999998"/>
    <x v="4"/>
    <n v="1"/>
    <n v="9"/>
    <n v="5"/>
  </r>
  <r>
    <s v="India"/>
    <x v="10"/>
    <x v="63"/>
    <s v="Thimmalapura, Tumakuru - KSPCB"/>
    <x v="0"/>
    <n v="13.377516"/>
    <n v="77.099072000000007"/>
    <x v="3"/>
    <n v="2"/>
    <n v="2"/>
    <n v="2"/>
  </r>
  <r>
    <s v="India"/>
    <x v="13"/>
    <x v="68"/>
    <s v="Gupteshwar, Jabalpur - JMC"/>
    <x v="0"/>
    <n v="23.142887999999999"/>
    <n v="79.916146999999995"/>
    <x v="4"/>
    <m/>
    <m/>
    <m/>
  </r>
  <r>
    <s v="India"/>
    <x v="13"/>
    <x v="68"/>
    <s v="Marhatal, Jabalpur - MPPCB"/>
    <x v="0"/>
    <n v="23.168606"/>
    <n v="79.932247000000004"/>
    <x v="5"/>
    <n v="21"/>
    <n v="307"/>
    <n v="106"/>
  </r>
  <r>
    <s v="India"/>
    <x v="13"/>
    <x v="68"/>
    <s v="Marhatal, Jabalpur - MPPCB"/>
    <x v="0"/>
    <n v="23.168606"/>
    <n v="79.932247000000004"/>
    <x v="2"/>
    <n v="22"/>
    <n v="100"/>
    <n v="49"/>
  </r>
  <r>
    <s v="India"/>
    <x v="13"/>
    <x v="68"/>
    <s v="Suhagi, Jabalpur - JMC"/>
    <x v="0"/>
    <n v="23.218135"/>
    <n v="79.957769999999996"/>
    <x v="2"/>
    <n v="22"/>
    <n v="112"/>
    <n v="54"/>
  </r>
  <r>
    <s v="India"/>
    <x v="13"/>
    <x v="68"/>
    <s v="Suhagi, Jabalpur - JMC"/>
    <x v="0"/>
    <n v="23.218135"/>
    <n v="79.957769999999996"/>
    <x v="3"/>
    <n v="2"/>
    <n v="13"/>
    <n v="3"/>
  </r>
  <r>
    <s v="India"/>
    <x v="13"/>
    <x v="68"/>
    <s v="Suhagi, Jabalpur - JMC"/>
    <x v="0"/>
    <n v="23.218135"/>
    <n v="79.957769999999996"/>
    <x v="4"/>
    <n v="10"/>
    <n v="47"/>
    <n v="25"/>
  </r>
  <r>
    <s v="India"/>
    <x v="13"/>
    <x v="69"/>
    <s v="Gole Bazar, Katni - MPPCB"/>
    <x v="0"/>
    <n v="23.500160000000001"/>
    <n v="80.232839999999996"/>
    <x v="2"/>
    <n v="23"/>
    <n v="115"/>
    <n v="65"/>
  </r>
  <r>
    <s v="India"/>
    <x v="13"/>
    <x v="69"/>
    <s v="Gole Bazar, Katni - MPPCB"/>
    <x v="0"/>
    <n v="23.500160000000001"/>
    <n v="80.232839999999996"/>
    <x v="3"/>
    <n v="3"/>
    <n v="4"/>
    <n v="4"/>
  </r>
  <r>
    <s v="India"/>
    <x v="13"/>
    <x v="70"/>
    <s v="Sahilara, Maihar - KJS Cements"/>
    <x v="0"/>
    <n v="24.261300899999998"/>
    <n v="80.723178300000001"/>
    <x v="5"/>
    <n v="2"/>
    <n v="53"/>
    <n v="27"/>
  </r>
  <r>
    <s v="India"/>
    <x v="13"/>
    <x v="70"/>
    <s v="Sahilara, Maihar - KJS Cements"/>
    <x v="0"/>
    <n v="24.261300899999998"/>
    <n v="80.723178300000001"/>
    <x v="1"/>
    <n v="16"/>
    <n v="99"/>
    <n v="51"/>
  </r>
  <r>
    <s v="India"/>
    <x v="13"/>
    <x v="70"/>
    <s v="Sahilara, Maihar - KJS Cements"/>
    <x v="0"/>
    <n v="24.261300899999998"/>
    <n v="80.723178300000001"/>
    <x v="6"/>
    <n v="18"/>
    <n v="26"/>
    <n v="20"/>
  </r>
  <r>
    <s v="India"/>
    <x v="13"/>
    <x v="71"/>
    <s v="Sector-D Industrial Area, Mandideep - MPPCB"/>
    <x v="0"/>
    <n v="23.108440000000002"/>
    <n v="77.511427999999995"/>
    <x v="2"/>
    <n v="17"/>
    <n v="124"/>
    <n v="67"/>
  </r>
  <r>
    <s v="India"/>
    <x v="13"/>
    <x v="78"/>
    <s v="Suryakiran Bhawan NCL, Singrauli - MPPCB"/>
    <x v="0"/>
    <n v="24.108969999999999"/>
    <n v="82.645579999999995"/>
    <x v="1"/>
    <n v="62"/>
    <n v="328"/>
    <n v="166"/>
  </r>
  <r>
    <s v="India"/>
    <x v="13"/>
    <x v="249"/>
    <s v="Mahakaleshwar Temple, Ujjain - MPPCB"/>
    <x v="0"/>
    <n v="23.182718999999999"/>
    <n v="75.768218000000005"/>
    <x v="1"/>
    <n v="36"/>
    <n v="111"/>
    <n v="69"/>
  </r>
  <r>
    <s v="India"/>
    <x v="13"/>
    <x v="249"/>
    <s v="Mahakaleshwar Temple, Ujjain - MPPCB"/>
    <x v="0"/>
    <n v="23.182718999999999"/>
    <n v="75.768218000000005"/>
    <x v="2"/>
    <n v="15"/>
    <n v="38"/>
    <n v="25"/>
  </r>
  <r>
    <s v="India"/>
    <x v="13"/>
    <x v="249"/>
    <s v="Mahakaleshwar Temple, Ujjain - MPPCB"/>
    <x v="0"/>
    <n v="23.182718999999999"/>
    <n v="75.768218000000005"/>
    <x v="4"/>
    <n v="3"/>
    <n v="25"/>
    <n v="9"/>
  </r>
  <r>
    <s v="India"/>
    <x v="13"/>
    <x v="249"/>
    <s v="Mahakaleshwar Temple, Ujjain - MPPCB"/>
    <x v="0"/>
    <n v="23.182718999999999"/>
    <n v="75.768218000000005"/>
    <x v="6"/>
    <n v="23"/>
    <n v="98"/>
    <n v="61"/>
  </r>
  <r>
    <s v="India"/>
    <x v="14"/>
    <x v="87"/>
    <s v="Tarakpur, Ahmednagar - MPCB"/>
    <x v="0"/>
    <n v="19.101220000000001"/>
    <n v="74.73339"/>
    <x v="4"/>
    <n v="3"/>
    <n v="10"/>
    <n v="5"/>
  </r>
  <r>
    <s v="India"/>
    <x v="14"/>
    <x v="87"/>
    <s v="Tarakpur, Ahmednagar - MPCB"/>
    <x v="0"/>
    <n v="19.101220000000001"/>
    <n v="74.73339"/>
    <x v="6"/>
    <n v="18"/>
    <n v="142"/>
    <n v="58"/>
  </r>
  <r>
    <s v="India"/>
    <x v="14"/>
    <x v="88"/>
    <s v="Ramdaspeth, Akola - MPCB"/>
    <x v="0"/>
    <n v="20.719515999999999"/>
    <n v="77.000253000000001"/>
    <x v="5"/>
    <n v="27"/>
    <n v="153"/>
    <n v="61"/>
  </r>
  <r>
    <s v="India"/>
    <x v="14"/>
    <x v="88"/>
    <s v="Ramdaspeth, Akola - MPCB"/>
    <x v="0"/>
    <n v="20.719515999999999"/>
    <n v="77.000253000000001"/>
    <x v="2"/>
    <n v="16"/>
    <n v="63"/>
    <n v="27"/>
  </r>
  <r>
    <s v="India"/>
    <x v="14"/>
    <x v="89"/>
    <s v="Shivneri Colony, Amravati - MPCB"/>
    <x v="0"/>
    <n v="20.940235900000001"/>
    <n v="77.789524799999995"/>
    <x v="5"/>
    <n v="29"/>
    <n v="70"/>
    <n v="49"/>
  </r>
  <r>
    <s v="India"/>
    <x v="13"/>
    <x v="73"/>
    <s v="Residency Area, Indore - IMC"/>
    <x v="0"/>
    <n v="22.708400000000001"/>
    <n v="75.881500000000003"/>
    <x v="1"/>
    <n v="50"/>
    <n v="175"/>
    <n v="95"/>
  </r>
  <r>
    <s v="India"/>
    <x v="13"/>
    <x v="73"/>
    <s v="Residency Area, Indore - IMC"/>
    <x v="0"/>
    <n v="22.708400000000001"/>
    <n v="75.881500000000003"/>
    <x v="4"/>
    <n v="30"/>
    <n v="35"/>
    <n v="32"/>
  </r>
  <r>
    <s v="India"/>
    <x v="13"/>
    <x v="68"/>
    <s v="Govindh Bhavan Colony, Jabalpur - JMC"/>
    <x v="0"/>
    <n v="23.163174000000001"/>
    <n v="79.973061000000001"/>
    <x v="6"/>
    <n v="11"/>
    <n v="50"/>
    <n v="16"/>
  </r>
  <r>
    <s v="India"/>
    <x v="13"/>
    <x v="68"/>
    <s v="Gupteshwar, Jabalpur - JMC"/>
    <x v="0"/>
    <n v="23.142887999999999"/>
    <n v="79.916146999999995"/>
    <x v="5"/>
    <m/>
    <m/>
    <m/>
  </r>
  <r>
    <s v="India"/>
    <x v="13"/>
    <x v="68"/>
    <s v="Gupteshwar, Jabalpur - JMC"/>
    <x v="0"/>
    <n v="23.142887999999999"/>
    <n v="79.916146999999995"/>
    <x v="2"/>
    <m/>
    <m/>
    <m/>
  </r>
  <r>
    <s v="India"/>
    <x v="14"/>
    <x v="93"/>
    <s v="Gokul Nagar, Bhiwandi - MPCB"/>
    <x v="0"/>
    <n v="19.309073000000001"/>
    <n v="73.057222999999993"/>
    <x v="4"/>
    <n v="8"/>
    <n v="25"/>
    <n v="13"/>
  </r>
  <r>
    <s v="India"/>
    <x v="14"/>
    <x v="84"/>
    <s v="Khaira, Boisar - MPCB"/>
    <x v="0"/>
    <n v="19.786089"/>
    <n v="72.757970999999998"/>
    <x v="2"/>
    <n v="14"/>
    <n v="40"/>
    <n v="26"/>
  </r>
  <r>
    <s v="India"/>
    <x v="14"/>
    <x v="84"/>
    <s v="Khaira, Boisar - MPCB"/>
    <x v="0"/>
    <n v="19.786089"/>
    <n v="72.757970999999998"/>
    <x v="3"/>
    <m/>
    <m/>
    <m/>
  </r>
  <r>
    <s v="India"/>
    <x v="14"/>
    <x v="85"/>
    <s v="Chauhan Colony, Chandrapur - MPCB"/>
    <x v="0"/>
    <n v="19.962900000000001"/>
    <n v="79.298714000000004"/>
    <x v="0"/>
    <n v="21"/>
    <n v="55"/>
    <n v="24"/>
  </r>
  <r>
    <s v="India"/>
    <x v="13"/>
    <x v="72"/>
    <s v="Sector-2 Industrial Area, Pithampur - MPPCB"/>
    <x v="0"/>
    <n v="22.624758"/>
    <n v="75.675237999999993"/>
    <x v="3"/>
    <n v="3"/>
    <n v="5"/>
    <n v="4"/>
  </r>
  <r>
    <s v="India"/>
    <x v="13"/>
    <x v="76"/>
    <s v="Civil Lines, Sagar - MPPCB"/>
    <x v="0"/>
    <n v="23.838585999999999"/>
    <n v="78.759431000000006"/>
    <x v="3"/>
    <n v="1"/>
    <n v="1"/>
    <n v="1"/>
  </r>
  <r>
    <s v="India"/>
    <x v="13"/>
    <x v="76"/>
    <s v="Deen Dayal Nagar, Sagar - MPPCB"/>
    <x v="0"/>
    <n v="23.864015800000001"/>
    <n v="78.802893209999993"/>
    <x v="4"/>
    <n v="20"/>
    <n v="21"/>
    <n v="21"/>
  </r>
  <r>
    <s v="India"/>
    <x v="14"/>
    <x v="6"/>
    <s v="Rachnakar Colony, Aurangabad - MPCB"/>
    <x v="0"/>
    <n v="19.863755999999999"/>
    <n v="75.321188000000006"/>
    <x v="3"/>
    <n v="2"/>
    <n v="4"/>
    <n v="3"/>
  </r>
  <r>
    <s v="India"/>
    <x v="14"/>
    <x v="6"/>
    <s v="Rachnakar Colony, Aurangabad - MPCB"/>
    <x v="0"/>
    <n v="19.863755999999999"/>
    <n v="75.321188000000006"/>
    <x v="6"/>
    <n v="2"/>
    <n v="79"/>
    <n v="16"/>
  </r>
  <r>
    <s v="India"/>
    <x v="14"/>
    <x v="226"/>
    <s v="Katrap, Badlapur - MPCB"/>
    <x v="0"/>
    <n v="19.164850000000001"/>
    <n v="73.234089999999995"/>
    <x v="1"/>
    <n v="82"/>
    <n v="165"/>
    <n v="117"/>
  </r>
  <r>
    <s v="India"/>
    <x v="13"/>
    <x v="76"/>
    <s v="Deen Dayal Nagar, Sagar - MPPCB"/>
    <x v="0"/>
    <n v="23.864015800000001"/>
    <n v="78.802893209999993"/>
    <x v="6"/>
    <n v="38"/>
    <n v="50"/>
    <n v="41"/>
  </r>
  <r>
    <s v="India"/>
    <x v="13"/>
    <x v="77"/>
    <s v="Bandhavgar Colony, Satna - Birla Cement"/>
    <x v="0"/>
    <n v="24.584343629999999"/>
    <n v="80.854941400000001"/>
    <x v="5"/>
    <n v="41"/>
    <n v="44"/>
    <n v="42"/>
  </r>
  <r>
    <s v="India"/>
    <x v="13"/>
    <x v="77"/>
    <s v="Bandhavgar Colony, Satna - Birla Cement"/>
    <x v="0"/>
    <n v="24.584343629999999"/>
    <n v="80.854941400000001"/>
    <x v="6"/>
    <m/>
    <m/>
    <m/>
  </r>
  <r>
    <s v="India"/>
    <x v="14"/>
    <x v="89"/>
    <s v="Shri Shivaji Science College, Amaravati - MPCB"/>
    <x v="0"/>
    <n v="20.939198000000001"/>
    <n v="77.765701000000007"/>
    <x v="6"/>
    <n v="31"/>
    <n v="108"/>
    <n v="54"/>
  </r>
  <r>
    <s v="India"/>
    <x v="14"/>
    <x v="6"/>
    <s v="More Chowk Waluj, Aurangabad - MPCB"/>
    <x v="0"/>
    <n v="19.8389439"/>
    <n v="75.244448000000006"/>
    <x v="2"/>
    <n v="20"/>
    <n v="29"/>
    <n v="26"/>
  </r>
  <r>
    <s v="India"/>
    <x v="14"/>
    <x v="226"/>
    <s v="Katrap, Badlapur - MPCB"/>
    <x v="0"/>
    <n v="19.164850000000001"/>
    <n v="73.234089999999995"/>
    <x v="4"/>
    <n v="8"/>
    <n v="24"/>
    <n v="14"/>
  </r>
  <r>
    <s v="India"/>
    <x v="14"/>
    <x v="226"/>
    <s v="Katrap, Badlapur - MPCB"/>
    <x v="0"/>
    <n v="19.164850000000001"/>
    <n v="73.234089999999995"/>
    <x v="0"/>
    <n v="1"/>
    <n v="171"/>
    <n v="92"/>
  </r>
  <r>
    <s v="India"/>
    <x v="14"/>
    <x v="94"/>
    <s v="Kandivali West, Mumbai - BMC"/>
    <x v="0"/>
    <n v="19.215858999999998"/>
    <n v="72.831717999999995"/>
    <x v="5"/>
    <n v="24"/>
    <n v="75"/>
    <n v="43"/>
  </r>
  <r>
    <s v="India"/>
    <x v="14"/>
    <x v="94"/>
    <s v="Kandivali West, Mumbai - BMC"/>
    <x v="0"/>
    <n v="19.215858999999998"/>
    <n v="72.831717999999995"/>
    <x v="4"/>
    <n v="1"/>
    <n v="4"/>
    <n v="1"/>
  </r>
  <r>
    <s v="India"/>
    <x v="14"/>
    <x v="94"/>
    <s v="Kherwadi_Bandra East, Mumbai - MPCB"/>
    <x v="0"/>
    <n v="19.063214299999999"/>
    <n v="72.8456324"/>
    <x v="5"/>
    <n v="8"/>
    <n v="67"/>
    <n v="38"/>
  </r>
  <r>
    <s v="India"/>
    <x v="14"/>
    <x v="94"/>
    <s v="Khindipada-Bhandup West, Mumbai - IITM"/>
    <x v="0"/>
    <n v="19.165332299999999"/>
    <n v="72.922099000000003"/>
    <x v="5"/>
    <n v="20"/>
    <n v="116"/>
    <n v="50"/>
  </r>
  <r>
    <s v="India"/>
    <x v="14"/>
    <x v="94"/>
    <s v="Khindipada-Bhandup West, Mumbai - IITM"/>
    <x v="0"/>
    <n v="19.165332299999999"/>
    <n v="72.922099000000003"/>
    <x v="1"/>
    <n v="30"/>
    <n v="160"/>
    <n v="80"/>
  </r>
  <r>
    <s v="India"/>
    <x v="14"/>
    <x v="94"/>
    <s v="Khindipada-Bhandup West, Mumbai - IITM"/>
    <x v="0"/>
    <n v="19.165332299999999"/>
    <n v="72.922099000000003"/>
    <x v="6"/>
    <n v="2"/>
    <n v="16"/>
    <n v="3"/>
  </r>
  <r>
    <s v="India"/>
    <x v="14"/>
    <x v="94"/>
    <s v="Bandra Kurla Complex, Mumbai - MPCB"/>
    <x v="0"/>
    <n v="19.065930999999999"/>
    <n v="72.862131000000005"/>
    <x v="4"/>
    <n v="2"/>
    <n v="5"/>
    <n v="3"/>
  </r>
  <r>
    <s v="India"/>
    <x v="14"/>
    <x v="94"/>
    <s v="Borivali East, Mumbai - IITM"/>
    <x v="0"/>
    <n v="19.232410000000002"/>
    <n v="72.868949999999998"/>
    <x v="5"/>
    <n v="49"/>
    <n v="137"/>
    <n v="76"/>
  </r>
  <r>
    <s v="India"/>
    <x v="14"/>
    <x v="94"/>
    <s v="Borivali East, Mumbai - MPCB"/>
    <x v="0"/>
    <n v="19.224333300000001"/>
    <n v="72.865811300000004"/>
    <x v="3"/>
    <n v="1"/>
    <n v="5"/>
    <n v="3"/>
  </r>
  <r>
    <s v="India"/>
    <x v="14"/>
    <x v="94"/>
    <s v="Borivali East, Mumbai - MPCB"/>
    <x v="0"/>
    <n v="19.224333300000001"/>
    <n v="72.865811300000004"/>
    <x v="6"/>
    <n v="4"/>
    <n v="18"/>
    <n v="17"/>
  </r>
  <r>
    <s v="India"/>
    <x v="14"/>
    <x v="94"/>
    <s v="Byculla, Mumbai - BMC"/>
    <x v="0"/>
    <n v="18.976700000000001"/>
    <n v="72.837999999999994"/>
    <x v="4"/>
    <n v="6"/>
    <n v="7"/>
    <n v="7"/>
  </r>
  <r>
    <s v="India"/>
    <x v="14"/>
    <x v="94"/>
    <s v="Colaba, Mumbai - MPCB"/>
    <x v="0"/>
    <n v="18.91"/>
    <n v="72.819999999999993"/>
    <x v="3"/>
    <n v="3"/>
    <n v="3"/>
    <n v="3"/>
  </r>
  <r>
    <s v="India"/>
    <x v="14"/>
    <x v="94"/>
    <s v="Colaba, Mumbai - MPCB"/>
    <x v="0"/>
    <n v="18.91"/>
    <n v="72.819999999999993"/>
    <x v="6"/>
    <n v="26"/>
    <n v="29"/>
    <n v="26"/>
  </r>
  <r>
    <s v="India"/>
    <x v="14"/>
    <x v="94"/>
    <s v="Deonar, Mumbai - IITM"/>
    <x v="0"/>
    <n v="19.04946"/>
    <n v="72.923000000000002"/>
    <x v="5"/>
    <n v="36"/>
    <n v="311"/>
    <n v="98"/>
  </r>
  <r>
    <s v="India"/>
    <x v="14"/>
    <x v="94"/>
    <s v="Deonar, Mumbai - IITM"/>
    <x v="0"/>
    <n v="19.04946"/>
    <n v="72.923000000000002"/>
    <x v="2"/>
    <n v="14"/>
    <n v="62"/>
    <n v="34"/>
  </r>
  <r>
    <s v="India"/>
    <x v="14"/>
    <x v="94"/>
    <s v="Ghatkopar, Mumbai - BMC"/>
    <x v="0"/>
    <n v="19.083694000000001"/>
    <n v="72.920967000000005"/>
    <x v="1"/>
    <n v="54"/>
    <n v="116"/>
    <n v="80"/>
  </r>
  <r>
    <s v="India"/>
    <x v="14"/>
    <x v="225"/>
    <s v="Sawe Wadi, Latur - MPCB"/>
    <x v="0"/>
    <n v="18.399629999999998"/>
    <n v="76.574520000000007"/>
    <x v="3"/>
    <n v="5"/>
    <n v="74"/>
    <n v="25"/>
  </r>
  <r>
    <s v="India"/>
    <x v="14"/>
    <x v="81"/>
    <s v="Kamble Tarf Birwadi, Mahad - MPCB"/>
    <x v="0"/>
    <n v="18.1023399"/>
    <n v="73.478368700000004"/>
    <x v="2"/>
    <n v="8"/>
    <n v="92"/>
    <n v="27"/>
  </r>
  <r>
    <s v="India"/>
    <x v="14"/>
    <x v="82"/>
    <s v="Mahesh Nagar, Malegaon - MPCB"/>
    <x v="0"/>
    <n v="20.555712"/>
    <n v="74.529235999999997"/>
    <x v="4"/>
    <n v="31"/>
    <n v="48"/>
    <n v="39"/>
  </r>
  <r>
    <s v="India"/>
    <x v="14"/>
    <x v="82"/>
    <s v="Mahesh Nagar, Malegaon - MPCB"/>
    <x v="0"/>
    <n v="20.555712"/>
    <n v="74.529235999999997"/>
    <x v="0"/>
    <n v="24"/>
    <n v="69"/>
    <n v="56"/>
  </r>
  <r>
    <s v="India"/>
    <x v="14"/>
    <x v="224"/>
    <s v="Prabhat Colony, Jalgaon - MPCB"/>
    <x v="0"/>
    <n v="21.001263999999999"/>
    <n v="75.565601999999998"/>
    <x v="2"/>
    <n v="15"/>
    <n v="109"/>
    <n v="38"/>
  </r>
  <r>
    <s v="India"/>
    <x v="14"/>
    <x v="91"/>
    <s v="Khadakpada, Kalyan - MPCB"/>
    <x v="0"/>
    <n v="19.25292"/>
    <n v="73.142019000000005"/>
    <x v="1"/>
    <n v="106"/>
    <n v="167"/>
    <n v="128"/>
  </r>
  <r>
    <s v="India"/>
    <x v="14"/>
    <x v="80"/>
    <s v="Shivaji University, Kolhapur - MPCB"/>
    <x v="0"/>
    <n v="16.6870449"/>
    <n v="74.250587199999998"/>
    <x v="5"/>
    <n v="22"/>
    <n v="51"/>
    <n v="34"/>
  </r>
  <r>
    <s v="India"/>
    <x v="14"/>
    <x v="94"/>
    <s v="Chembur, Mumbai - MPCB"/>
    <x v="0"/>
    <n v="19.036458499999998"/>
    <n v="72.895437099999995"/>
    <x v="3"/>
    <n v="9"/>
    <n v="14"/>
    <n v="10"/>
  </r>
  <r>
    <s v="India"/>
    <x v="14"/>
    <x v="94"/>
    <s v="Chembur, Mumbai - MPCB"/>
    <x v="0"/>
    <n v="19.036458499999998"/>
    <n v="72.895437099999995"/>
    <x v="0"/>
    <n v="2"/>
    <n v="89"/>
    <n v="53"/>
  </r>
  <r>
    <s v="India"/>
    <x v="14"/>
    <x v="94"/>
    <s v="Chhatrapati Shivaji Intl. Airport (T2), Mumbai - MPCB"/>
    <x v="0"/>
    <n v="19.10078"/>
    <n v="72.874619999999993"/>
    <x v="6"/>
    <n v="22"/>
    <n v="38"/>
    <n v="23"/>
  </r>
  <r>
    <s v="India"/>
    <x v="14"/>
    <x v="80"/>
    <s v="Shivaji University, Kolhapur - MPCB"/>
    <x v="0"/>
    <n v="16.6870449"/>
    <n v="74.250587199999998"/>
    <x v="6"/>
    <n v="6"/>
    <n v="29"/>
    <n v="15"/>
  </r>
  <r>
    <s v="India"/>
    <x v="14"/>
    <x v="80"/>
    <s v="Shivaji University, Kolhapur - MPCB"/>
    <x v="0"/>
    <n v="16.6870449"/>
    <n v="74.250587199999998"/>
    <x v="0"/>
    <n v="15"/>
    <n v="101"/>
    <n v="69"/>
  </r>
  <r>
    <s v="India"/>
    <x v="14"/>
    <x v="80"/>
    <s v="Sinchan Bhavan, Kolhapur - MPCB"/>
    <x v="0"/>
    <n v="16.714374500000002"/>
    <n v="74.242639800000006"/>
    <x v="2"/>
    <n v="7"/>
    <n v="33"/>
    <n v="14"/>
  </r>
  <r>
    <s v="India"/>
    <x v="14"/>
    <x v="94"/>
    <s v="Kurla, Mumbai - MPCB"/>
    <x v="0"/>
    <n v="19.086300000000001"/>
    <n v="72.888800000000003"/>
    <x v="2"/>
    <m/>
    <m/>
    <m/>
  </r>
  <r>
    <s v="India"/>
    <x v="14"/>
    <x v="94"/>
    <s v="Kurla, Mumbai - MPCB"/>
    <x v="0"/>
    <n v="19.086300000000001"/>
    <n v="72.888800000000003"/>
    <x v="4"/>
    <m/>
    <m/>
    <m/>
  </r>
  <r>
    <s v="India"/>
    <x v="14"/>
    <x v="94"/>
    <s v="Mazgaon, Mumbai - IITM"/>
    <x v="0"/>
    <n v="18.967020000000002"/>
    <n v="72.842140000000001"/>
    <x v="1"/>
    <n v="56"/>
    <n v="96"/>
    <n v="75"/>
  </r>
  <r>
    <s v="India"/>
    <x v="14"/>
    <x v="94"/>
    <s v="Mazgaon, Mumbai - IITM"/>
    <x v="0"/>
    <n v="18.967020000000002"/>
    <n v="72.842140000000001"/>
    <x v="0"/>
    <n v="8"/>
    <n v="72"/>
    <n v="53"/>
  </r>
  <r>
    <s v="India"/>
    <x v="14"/>
    <x v="94"/>
    <s v="Mindspace-Malad West, Mumbai - MPCB"/>
    <x v="0"/>
    <n v="19.1878657"/>
    <n v="72.8304069"/>
    <x v="5"/>
    <n v="29"/>
    <n v="64"/>
    <n v="46"/>
  </r>
  <r>
    <s v="India"/>
    <x v="14"/>
    <x v="94"/>
    <s v="Vasai West, Mumbai - MPCB"/>
    <x v="0"/>
    <n v="19.383199999999999"/>
    <n v="72.820400000000006"/>
    <x v="3"/>
    <n v="5"/>
    <n v="8"/>
    <n v="6"/>
  </r>
  <r>
    <s v="India"/>
    <x v="14"/>
    <x v="94"/>
    <s v="Worli, Mumbai - MPCB"/>
    <x v="0"/>
    <n v="18.993616200000002"/>
    <n v="72.812811300000007"/>
    <x v="5"/>
    <n v="61"/>
    <n v="69"/>
    <n v="64"/>
  </r>
  <r>
    <s v="India"/>
    <x v="14"/>
    <x v="94"/>
    <s v="Worli, Mumbai - MPCB"/>
    <x v="0"/>
    <n v="18.993616200000002"/>
    <n v="72.812811300000007"/>
    <x v="2"/>
    <m/>
    <m/>
    <m/>
  </r>
  <r>
    <s v="India"/>
    <x v="14"/>
    <x v="94"/>
    <s v="Worli, Mumbai - MPCB"/>
    <x v="0"/>
    <n v="18.993616200000002"/>
    <n v="72.812811300000007"/>
    <x v="4"/>
    <n v="4"/>
    <n v="14"/>
    <n v="8"/>
  </r>
  <r>
    <s v="India"/>
    <x v="14"/>
    <x v="94"/>
    <s v="Worli, Mumbai - MPCB"/>
    <x v="0"/>
    <n v="18.993616200000002"/>
    <n v="72.812811300000007"/>
    <x v="6"/>
    <n v="4"/>
    <n v="24"/>
    <n v="11"/>
  </r>
  <r>
    <s v="India"/>
    <x v="14"/>
    <x v="97"/>
    <s v="Opp GPO Civil Lines, Nagpur - MPCB"/>
    <x v="0"/>
    <n v="21.152875000000002"/>
    <n v="79.051753099999999"/>
    <x v="5"/>
    <n v="33"/>
    <n v="208"/>
    <n v="106"/>
  </r>
  <r>
    <s v="India"/>
    <x v="14"/>
    <x v="97"/>
    <s v="Opp GPO Civil Lines, Nagpur - MPCB"/>
    <x v="0"/>
    <n v="21.152875000000002"/>
    <n v="79.051753099999999"/>
    <x v="1"/>
    <n v="69"/>
    <n v="156"/>
    <n v="114"/>
  </r>
  <r>
    <s v="India"/>
    <x v="14"/>
    <x v="96"/>
    <s v="Kopripada-Vashi, Navi Mumbai - MPCB"/>
    <x v="0"/>
    <n v="19.090337000000002"/>
    <n v="73.014232000000007"/>
    <x v="3"/>
    <n v="4"/>
    <n v="49"/>
    <n v="16"/>
  </r>
  <r>
    <s v="India"/>
    <x v="14"/>
    <x v="96"/>
    <s v="Mahape, Navi Mumbai - MPCB"/>
    <x v="0"/>
    <n v="19.113505100000001"/>
    <n v="73.008977999999999"/>
    <x v="3"/>
    <m/>
    <m/>
    <m/>
  </r>
  <r>
    <s v="India"/>
    <x v="14"/>
    <x v="96"/>
    <s v="Sanpada, Navi Mumbai - MPCB"/>
    <x v="0"/>
    <n v="19.057575199999999"/>
    <n v="73.015136699999999"/>
    <x v="5"/>
    <n v="14"/>
    <n v="304"/>
    <n v="104"/>
  </r>
  <r>
    <s v="India"/>
    <x v="14"/>
    <x v="96"/>
    <s v="Sanpada, Navi Mumbai - MPCB"/>
    <x v="0"/>
    <n v="19.057575199999999"/>
    <n v="73.015136699999999"/>
    <x v="1"/>
    <n v="51"/>
    <n v="260"/>
    <n v="110"/>
  </r>
  <r>
    <s v="India"/>
    <x v="14"/>
    <x v="96"/>
    <s v="Sector-2E Kalamboli, Navi Mumbai - MPCB"/>
    <x v="0"/>
    <n v="19.025790000000001"/>
    <n v="73.102969999999999"/>
    <x v="5"/>
    <n v="47"/>
    <n v="173"/>
    <n v="89"/>
  </r>
  <r>
    <s v="India"/>
    <x v="14"/>
    <x v="96"/>
    <s v="Sector-2E Kalamboli, Navi Mumbai - MPCB"/>
    <x v="0"/>
    <n v="19.025790000000001"/>
    <n v="73.102969999999999"/>
    <x v="3"/>
    <n v="4"/>
    <n v="11"/>
    <n v="6"/>
  </r>
  <r>
    <s v="India"/>
    <x v="14"/>
    <x v="97"/>
    <s v="Ram Nagar, Nagpur - MPCB"/>
    <x v="0"/>
    <n v="21.143383"/>
    <n v="79.048912000000001"/>
    <x v="0"/>
    <n v="6"/>
    <n v="69"/>
    <n v="33"/>
  </r>
  <r>
    <s v="India"/>
    <x v="14"/>
    <x v="98"/>
    <s v="Sneh Nagar, Nanded - MPCB"/>
    <x v="0"/>
    <n v="19.173852"/>
    <n v="77.296290999999997"/>
    <x v="3"/>
    <n v="3"/>
    <n v="5"/>
    <n v="4"/>
  </r>
  <r>
    <s v="India"/>
    <x v="14"/>
    <x v="99"/>
    <s v="Gangapur Road, Nashik - MPCB"/>
    <x v="0"/>
    <n v="20.0073285"/>
    <n v="73.776242699999997"/>
    <x v="2"/>
    <n v="1"/>
    <n v="14"/>
    <n v="8"/>
  </r>
  <r>
    <s v="India"/>
    <x v="14"/>
    <x v="99"/>
    <s v="Hirawadi, Nashik - MPCB"/>
    <x v="0"/>
    <n v="20.021502999999999"/>
    <n v="73.813844000000003"/>
    <x v="5"/>
    <n v="49"/>
    <n v="102"/>
    <n v="77"/>
  </r>
  <r>
    <s v="India"/>
    <x v="14"/>
    <x v="99"/>
    <s v="MIDC Ambad, Nashik - MPCB"/>
    <x v="0"/>
    <n v="19.950220000000002"/>
    <n v="73.731480000000005"/>
    <x v="5"/>
    <n v="44"/>
    <n v="140"/>
    <n v="71"/>
  </r>
  <r>
    <s v="India"/>
    <x v="14"/>
    <x v="94"/>
    <s v="Shivaji Nagar, Mumbai - BMC"/>
    <x v="0"/>
    <n v="19.060497999999999"/>
    <n v="72.923355999999998"/>
    <x v="3"/>
    <n v="1"/>
    <n v="3"/>
    <n v="1"/>
  </r>
  <r>
    <s v="India"/>
    <x v="14"/>
    <x v="94"/>
    <s v="Siddharth Nagar-Worli, Mumbai - IITM"/>
    <x v="0"/>
    <n v="19.000083"/>
    <n v="72.813992999999996"/>
    <x v="5"/>
    <n v="9"/>
    <n v="67"/>
    <n v="28"/>
  </r>
  <r>
    <s v="India"/>
    <x v="14"/>
    <x v="94"/>
    <s v="Siddharth Nagar-Worli, Mumbai - IITM"/>
    <x v="0"/>
    <n v="19.000083"/>
    <n v="72.813992999999996"/>
    <x v="0"/>
    <n v="8"/>
    <n v="79"/>
    <n v="70"/>
  </r>
  <r>
    <s v="India"/>
    <x v="14"/>
    <x v="94"/>
    <s v="Mindspace-Malad West, Mumbai - MPCB"/>
    <x v="0"/>
    <n v="19.1878657"/>
    <n v="72.8304069"/>
    <x v="6"/>
    <n v="12"/>
    <n v="36"/>
    <n v="16"/>
  </r>
  <r>
    <s v="India"/>
    <x v="14"/>
    <x v="94"/>
    <s v="Mindspace-Malad West, Mumbai - MPCB"/>
    <x v="0"/>
    <n v="19.1878657"/>
    <n v="72.8304069"/>
    <x v="0"/>
    <n v="6"/>
    <n v="43"/>
    <n v="26"/>
  </r>
  <r>
    <s v="India"/>
    <x v="14"/>
    <x v="94"/>
    <s v="Powai, Mumbai - MPCB"/>
    <x v="0"/>
    <n v="19.137499999999999"/>
    <n v="72.915056000000007"/>
    <x v="5"/>
    <n v="23"/>
    <n v="43"/>
    <n v="31"/>
  </r>
  <r>
    <s v="India"/>
    <x v="14"/>
    <x v="96"/>
    <s v="Tondare-Taloja, Navi Mumbai - MPCB"/>
    <x v="0"/>
    <n v="19.062999999999999"/>
    <n v="73.120900000000006"/>
    <x v="0"/>
    <n v="1"/>
    <n v="85"/>
    <n v="34"/>
  </r>
  <r>
    <s v="India"/>
    <x v="14"/>
    <x v="100"/>
    <s v="Gavalinagar, Pimpri Chinchwad - MPCB"/>
    <x v="0"/>
    <n v="18.63673"/>
    <n v="73.824870000000004"/>
    <x v="5"/>
    <n v="63"/>
    <n v="156"/>
    <n v="99"/>
  </r>
  <r>
    <s v="India"/>
    <x v="14"/>
    <x v="100"/>
    <s v="Gavalinagar, Pimpri Chinchwad - MPCB"/>
    <x v="0"/>
    <n v="18.63673"/>
    <n v="73.824870000000004"/>
    <x v="1"/>
    <n v="71"/>
    <n v="125"/>
    <n v="102"/>
  </r>
  <r>
    <s v="India"/>
    <x v="14"/>
    <x v="100"/>
    <s v="Park Street Wakad, Pimpri Chinchwad - MPCB"/>
    <x v="0"/>
    <n v="18.590509999999998"/>
    <n v="73.77946"/>
    <x v="1"/>
    <m/>
    <m/>
    <m/>
  </r>
  <r>
    <s v="India"/>
    <x v="14"/>
    <x v="94"/>
    <s v="Sion, Mumbai - MPCB"/>
    <x v="0"/>
    <n v="19.047000000000001"/>
    <n v="72.874600000000001"/>
    <x v="4"/>
    <n v="7"/>
    <n v="16"/>
    <n v="11"/>
  </r>
  <r>
    <s v="India"/>
    <x v="14"/>
    <x v="94"/>
    <s v="Sion, Mumbai - MPCB"/>
    <x v="0"/>
    <n v="19.047000000000001"/>
    <n v="72.874600000000001"/>
    <x v="6"/>
    <n v="8"/>
    <n v="8"/>
    <n v="8"/>
  </r>
  <r>
    <s v="India"/>
    <x v="14"/>
    <x v="99"/>
    <s v="Pandav Nagari, Nashik - MPCB"/>
    <x v="0"/>
    <n v="19.959134599999999"/>
    <n v="73.778800799999999"/>
    <x v="0"/>
    <n v="16"/>
    <n v="82"/>
    <n v="70"/>
  </r>
  <r>
    <s v="India"/>
    <x v="28"/>
    <x v="231"/>
    <s v="PWD Juction, Kohima - NPCB"/>
    <x v="0"/>
    <n v="25.663541299999999"/>
    <n v="94.098987800000003"/>
    <x v="4"/>
    <n v="59"/>
    <n v="60"/>
    <n v="59"/>
  </r>
  <r>
    <s v="India"/>
    <x v="28"/>
    <x v="231"/>
    <s v="PWD Juction, Kohima - NPCB"/>
    <x v="0"/>
    <n v="25.663541299999999"/>
    <n v="94.098987800000003"/>
    <x v="0"/>
    <n v="8"/>
    <n v="25"/>
    <n v="16"/>
  </r>
  <r>
    <s v="India"/>
    <x v="15"/>
    <x v="232"/>
    <s v="Hakimapada, Angul - OSPCB"/>
    <x v="0"/>
    <n v="20.832874"/>
    <n v="85.104082000000005"/>
    <x v="1"/>
    <n v="77"/>
    <n v="218"/>
    <n v="132"/>
  </r>
  <r>
    <s v="India"/>
    <x v="15"/>
    <x v="232"/>
    <s v="Hakimapada, Angul - OSPCB"/>
    <x v="0"/>
    <n v="20.832874"/>
    <n v="85.104082000000005"/>
    <x v="2"/>
    <n v="8"/>
    <n v="30"/>
    <n v="18"/>
  </r>
  <r>
    <s v="India"/>
    <x v="15"/>
    <x v="232"/>
    <s v="Hakimapada, Angul - OSPCB"/>
    <x v="0"/>
    <n v="20.832874"/>
    <n v="85.104082000000005"/>
    <x v="6"/>
    <n v="57"/>
    <n v="124"/>
    <n v="97"/>
  </r>
  <r>
    <s v="India"/>
    <x v="15"/>
    <x v="232"/>
    <s v="Hakimapada, Angul - OSPCB"/>
    <x v="0"/>
    <n v="20.832874"/>
    <n v="85.104082000000005"/>
    <x v="0"/>
    <n v="12"/>
    <n v="78"/>
    <n v="55"/>
  </r>
  <r>
    <s v="India"/>
    <x v="15"/>
    <x v="108"/>
    <s v="Forest Office, Barbil - OSPCB"/>
    <x v="0"/>
    <n v="22.116605400000001"/>
    <n v="85.394554600000006"/>
    <x v="1"/>
    <n v="105"/>
    <n v="426"/>
    <n v="252"/>
  </r>
  <r>
    <s v="India"/>
    <x v="15"/>
    <x v="108"/>
    <s v="Forest Office, Barbil - OSPCB"/>
    <x v="0"/>
    <n v="22.116605400000001"/>
    <n v="85.394554600000006"/>
    <x v="0"/>
    <n v="17"/>
    <n v="72"/>
    <n v="71"/>
  </r>
  <r>
    <s v="India"/>
    <x v="15"/>
    <x v="109"/>
    <s v="Meher Colony, Baripada - OSPCB"/>
    <x v="0"/>
    <n v="21.941841"/>
    <n v="86.728318000000002"/>
    <x v="1"/>
    <n v="69"/>
    <n v="114"/>
    <n v="94"/>
  </r>
  <r>
    <s v="India"/>
    <x v="15"/>
    <x v="109"/>
    <s v="Meher Colony, Baripada - OSPCB"/>
    <x v="0"/>
    <n v="21.941841"/>
    <n v="86.728318000000002"/>
    <x v="3"/>
    <n v="4"/>
    <n v="5"/>
    <n v="5"/>
  </r>
  <r>
    <s v="India"/>
    <x v="15"/>
    <x v="109"/>
    <s v="Meher Colony, Baripada - OSPCB"/>
    <x v="0"/>
    <n v="21.941841"/>
    <n v="86.728318000000002"/>
    <x v="4"/>
    <n v="19"/>
    <n v="37"/>
    <n v="28"/>
  </r>
  <r>
    <s v="India"/>
    <x v="14"/>
    <x v="95"/>
    <s v="Savitribai Phule Pune University, Pune - MPCB"/>
    <x v="0"/>
    <n v="18.547056000000001"/>
    <n v="73.826908000000003"/>
    <x v="4"/>
    <n v="1"/>
    <n v="12"/>
    <n v="6"/>
  </r>
  <r>
    <s v="India"/>
    <x v="14"/>
    <x v="250"/>
    <s v="Vijay Nagar, Sangli - MPCB"/>
    <x v="0"/>
    <n v="16.503799999999998"/>
    <n v="74.362300000000005"/>
    <x v="4"/>
    <n v="14"/>
    <n v="41"/>
    <n v="23"/>
  </r>
  <r>
    <s v="India"/>
    <x v="14"/>
    <x v="250"/>
    <s v="Vijay Nagar, Sangli - MPCB"/>
    <x v="0"/>
    <n v="16.503799999999998"/>
    <n v="74.362300000000005"/>
    <x v="6"/>
    <n v="16"/>
    <n v="110"/>
    <n v="38"/>
  </r>
  <r>
    <s v="India"/>
    <x v="14"/>
    <x v="250"/>
    <s v="Vijay Nagar, Sangli - MPCB"/>
    <x v="0"/>
    <n v="16.503799999999998"/>
    <n v="74.362300000000005"/>
    <x v="0"/>
    <n v="2"/>
    <n v="53"/>
    <n v="31"/>
  </r>
  <r>
    <s v="India"/>
    <x v="14"/>
    <x v="116"/>
    <s v="Dnyaneshwar Nagar, Solapur - MPCB"/>
    <x v="0"/>
    <n v="17.633626400000001"/>
    <n v="75.913249500000006"/>
    <x v="6"/>
    <n v="10"/>
    <n v="72"/>
    <n v="26"/>
  </r>
  <r>
    <s v="India"/>
    <x v="14"/>
    <x v="100"/>
    <s v="Park Street Wakad, Pimpri Chinchwad - MPCB"/>
    <x v="0"/>
    <n v="18.590509999999998"/>
    <n v="73.77946"/>
    <x v="6"/>
    <n v="10"/>
    <n v="94"/>
    <n v="26"/>
  </r>
  <r>
    <s v="India"/>
    <x v="14"/>
    <x v="100"/>
    <s v="Savta Mali Nagar, Pimpri-Chinchwad - IITM"/>
    <x v="0"/>
    <n v="18.614767000000001"/>
    <n v="73.799515999999997"/>
    <x v="5"/>
    <n v="32"/>
    <n v="181"/>
    <n v="112"/>
  </r>
  <r>
    <s v="India"/>
    <x v="14"/>
    <x v="100"/>
    <s v="Savta Mali Nagar, Pimpri-Chinchwad - IITM"/>
    <x v="0"/>
    <n v="18.614767000000001"/>
    <n v="73.799515999999997"/>
    <x v="2"/>
    <n v="31"/>
    <n v="139"/>
    <n v="80"/>
  </r>
  <r>
    <s v="India"/>
    <x v="14"/>
    <x v="100"/>
    <s v="Thergaon, Pimpri Chinchwad - MPCB"/>
    <x v="0"/>
    <n v="18.616318"/>
    <n v="73.765797000000006"/>
    <x v="3"/>
    <n v="6"/>
    <n v="19"/>
    <n v="14"/>
  </r>
  <r>
    <s v="India"/>
    <x v="14"/>
    <x v="117"/>
    <s v="Kasarvadavali, Thane - MPCB"/>
    <x v="0"/>
    <n v="19.267769999999999"/>
    <n v="72.971819999999994"/>
    <x v="1"/>
    <n v="60"/>
    <n v="153"/>
    <n v="109"/>
  </r>
  <r>
    <s v="India"/>
    <x v="14"/>
    <x v="117"/>
    <s v="Kasarvadavali, Thane - MPCB"/>
    <x v="0"/>
    <n v="19.267769999999999"/>
    <n v="72.971819999999994"/>
    <x v="6"/>
    <n v="8"/>
    <n v="72"/>
    <n v="20"/>
  </r>
  <r>
    <s v="India"/>
    <x v="14"/>
    <x v="117"/>
    <s v="Upvan Fort, Thane - MPCB"/>
    <x v="0"/>
    <n v="19.222279"/>
    <n v="72.957978999999995"/>
    <x v="1"/>
    <n v="51"/>
    <n v="114"/>
    <n v="81"/>
  </r>
  <r>
    <s v="India"/>
    <x v="14"/>
    <x v="117"/>
    <s v="Upvan Fort, Thane - MPCB"/>
    <x v="0"/>
    <n v="19.222279"/>
    <n v="72.957978999999995"/>
    <x v="4"/>
    <n v="1"/>
    <n v="30"/>
    <n v="9"/>
  </r>
  <r>
    <s v="India"/>
    <x v="14"/>
    <x v="95"/>
    <s v="Revenue Colony-Shivajinagar, Pune - IITM"/>
    <x v="0"/>
    <n v="18.530085"/>
    <n v="73.849598"/>
    <x v="5"/>
    <n v="92"/>
    <n v="239"/>
    <n v="165"/>
  </r>
  <r>
    <s v="India"/>
    <x v="14"/>
    <x v="95"/>
    <s v="Savitribai Phule Pune University, Pune - MPCB"/>
    <x v="0"/>
    <n v="18.547056000000001"/>
    <n v="73.826908000000003"/>
    <x v="5"/>
    <n v="28"/>
    <n v="66"/>
    <n v="46"/>
  </r>
  <r>
    <s v="India"/>
    <x v="14"/>
    <x v="95"/>
    <s v="Savitribai Phule Pune University, Pune - MPCB"/>
    <x v="0"/>
    <n v="18.547056000000001"/>
    <n v="73.826908000000003"/>
    <x v="2"/>
    <n v="7"/>
    <n v="36"/>
    <n v="19"/>
  </r>
  <r>
    <s v="India"/>
    <x v="14"/>
    <x v="114"/>
    <s v="Sidhi Vinayak Nagar, Ulhasnagar - MPCB"/>
    <x v="0"/>
    <n v="19.235581"/>
    <n v="73.159120999999999"/>
    <x v="0"/>
    <n v="3"/>
    <n v="179"/>
    <n v="76"/>
  </r>
  <r>
    <s v="India"/>
    <x v="14"/>
    <x v="227"/>
    <s v="Bolinj, Virar - MPCB"/>
    <x v="0"/>
    <n v="19.445820999999999"/>
    <n v="72.798823100000007"/>
    <x v="5"/>
    <n v="27"/>
    <n v="73"/>
    <n v="42"/>
  </r>
  <r>
    <s v="India"/>
    <x v="14"/>
    <x v="227"/>
    <s v="Bolinj, Virar - MPCB"/>
    <x v="0"/>
    <n v="19.445820999999999"/>
    <n v="72.798823100000007"/>
    <x v="1"/>
    <n v="44"/>
    <n v="104"/>
    <n v="65"/>
  </r>
  <r>
    <s v="India"/>
    <x v="14"/>
    <x v="95"/>
    <s v="Bhosari, Pune - IITM"/>
    <x v="0"/>
    <n v="18.640051"/>
    <n v="73.848956000000001"/>
    <x v="6"/>
    <n v="1"/>
    <n v="56"/>
    <n v="25"/>
  </r>
  <r>
    <s v="India"/>
    <x v="14"/>
    <x v="95"/>
    <s v="Bhumkar Nagar, Pune - IITM"/>
    <x v="0"/>
    <n v="18.60577"/>
    <n v="73.749976000000004"/>
    <x v="5"/>
    <n v="62"/>
    <n v="127"/>
    <n v="91"/>
  </r>
  <r>
    <s v="India"/>
    <x v="14"/>
    <x v="95"/>
    <s v="Hadapsar, Pune - IITM"/>
    <x v="0"/>
    <n v="18.501792999999999"/>
    <n v="73.927531999999999"/>
    <x v="0"/>
    <n v="1"/>
    <n v="136"/>
    <n v="100"/>
  </r>
  <r>
    <s v="India"/>
    <x v="29"/>
    <x v="233"/>
    <s v="Lumpyngngad, Shillong - Meghalaya PCB"/>
    <x v="0"/>
    <n v="25.558599999999998"/>
    <n v="91.898499999999999"/>
    <x v="5"/>
    <m/>
    <m/>
    <m/>
  </r>
  <r>
    <s v="India"/>
    <x v="28"/>
    <x v="231"/>
    <s v="PWD Juction, Kohima - NPCB"/>
    <x v="0"/>
    <n v="25.663541299999999"/>
    <n v="94.098987800000003"/>
    <x v="1"/>
    <n v="67"/>
    <n v="170"/>
    <n v="110"/>
  </r>
  <r>
    <s v="India"/>
    <x v="14"/>
    <x v="95"/>
    <s v="Karve Road, Pune - MPCB"/>
    <x v="0"/>
    <n v="18.501174299999999"/>
    <n v="73.816552700000003"/>
    <x v="0"/>
    <n v="13"/>
    <n v="13"/>
    <n v="13"/>
  </r>
  <r>
    <s v="India"/>
    <x v="14"/>
    <x v="95"/>
    <s v="Katraj Dairy, Pune - MPCB"/>
    <x v="0"/>
    <n v="18.454450000000001"/>
    <n v="73.854155000000006"/>
    <x v="3"/>
    <n v="3"/>
    <n v="11"/>
    <n v="10"/>
  </r>
  <r>
    <s v="India"/>
    <x v="15"/>
    <x v="228"/>
    <s v="Barsua Iron Ore Mines, Tensa - OSPCB"/>
    <x v="0"/>
    <n v="21.869985"/>
    <n v="85.167016000000004"/>
    <x v="3"/>
    <n v="3"/>
    <n v="12"/>
    <n v="7"/>
  </r>
  <r>
    <s v="India"/>
    <x v="15"/>
    <x v="228"/>
    <s v="Barsua Iron Ore Mines, Tensa - OSPCB"/>
    <x v="0"/>
    <n v="21.869985"/>
    <n v="85.167016000000004"/>
    <x v="4"/>
    <n v="28"/>
    <n v="34"/>
    <n v="30"/>
  </r>
  <r>
    <s v="India"/>
    <x v="20"/>
    <x v="127"/>
    <s v="Jawahar Nagar, Puducherry - PPCC"/>
    <x v="0"/>
    <n v="11.930899999999999"/>
    <n v="79.802700000000002"/>
    <x v="1"/>
    <n v="13"/>
    <n v="67"/>
    <n v="29"/>
  </r>
  <r>
    <s v="India"/>
    <x v="20"/>
    <x v="127"/>
    <s v="Jawahar Nagar, Puducherry - PPCC"/>
    <x v="0"/>
    <n v="11.930899999999999"/>
    <n v="79.802700000000002"/>
    <x v="4"/>
    <n v="6"/>
    <n v="12"/>
    <n v="8"/>
  </r>
  <r>
    <s v="India"/>
    <x v="18"/>
    <x v="229"/>
    <s v="Hardev Nagar, Bathinda - PPCB"/>
    <x v="0"/>
    <n v="30.233011000000001"/>
    <n v="74.907758000000001"/>
    <x v="1"/>
    <n v="18"/>
    <n v="125"/>
    <n v="54"/>
  </r>
  <r>
    <s v="India"/>
    <x v="18"/>
    <x v="229"/>
    <s v="Hardev Nagar, Bathinda - PPCB"/>
    <x v="0"/>
    <n v="30.233011000000001"/>
    <n v="74.907758000000001"/>
    <x v="2"/>
    <n v="21"/>
    <n v="24"/>
    <n v="23"/>
  </r>
  <r>
    <s v="India"/>
    <x v="18"/>
    <x v="229"/>
    <s v="Hardev Nagar, Bathinda - PPCB"/>
    <x v="0"/>
    <n v="30.233011000000001"/>
    <n v="74.907758000000001"/>
    <x v="6"/>
    <n v="5"/>
    <n v="101"/>
    <n v="44"/>
  </r>
  <r>
    <s v="India"/>
    <x v="18"/>
    <x v="230"/>
    <s v="Civil Line, Jalandhar - PPCB"/>
    <x v="0"/>
    <n v="31.321906999999999"/>
    <n v="75.578913999999997"/>
    <x v="5"/>
    <n v="47"/>
    <n v="238"/>
    <n v="131"/>
  </r>
  <r>
    <s v="India"/>
    <x v="18"/>
    <x v="230"/>
    <s v="Civil Line, Jalandhar - PPCB"/>
    <x v="0"/>
    <n v="31.321906999999999"/>
    <n v="75.578913999999997"/>
    <x v="2"/>
    <n v="28"/>
    <n v="32"/>
    <n v="30"/>
  </r>
  <r>
    <s v="India"/>
    <x v="18"/>
    <x v="230"/>
    <s v="Civil Line, Jalandhar - PPCB"/>
    <x v="0"/>
    <n v="31.321906999999999"/>
    <n v="75.578913999999997"/>
    <x v="4"/>
    <n v="18"/>
    <n v="20"/>
    <n v="19"/>
  </r>
  <r>
    <s v="India"/>
    <x v="18"/>
    <x v="230"/>
    <s v="Civil Line, Jalandhar - PPCB"/>
    <x v="0"/>
    <n v="31.321906999999999"/>
    <n v="75.578913999999997"/>
    <x v="6"/>
    <n v="36"/>
    <n v="52"/>
    <n v="44"/>
  </r>
  <r>
    <s v="India"/>
    <x v="18"/>
    <x v="230"/>
    <s v="Civil Line, Jalandhar - PPCB"/>
    <x v="0"/>
    <n v="31.321906999999999"/>
    <n v="75.578913999999997"/>
    <x v="0"/>
    <n v="10"/>
    <n v="43"/>
    <n v="26"/>
  </r>
  <r>
    <s v="India"/>
    <x v="15"/>
    <x v="105"/>
    <s v="Divisional Forest Office, Rairangpur - OSPCB"/>
    <x v="0"/>
    <n v="22.265816000000001"/>
    <n v="86.174829000000003"/>
    <x v="1"/>
    <m/>
    <m/>
    <m/>
  </r>
  <r>
    <s v="India"/>
    <x v="15"/>
    <x v="105"/>
    <s v="Divisional Forest Office, Rairangpur - OSPCB"/>
    <x v="0"/>
    <n v="22.265816000000001"/>
    <n v="86.174829000000003"/>
    <x v="6"/>
    <n v="16"/>
    <n v="44"/>
    <n v="44"/>
  </r>
  <r>
    <s v="India"/>
    <x v="15"/>
    <x v="105"/>
    <s v="Divisional Forest Office, Rairangpur - OSPCB"/>
    <x v="0"/>
    <n v="22.265816000000001"/>
    <n v="86.174829000000003"/>
    <x v="0"/>
    <n v="12"/>
    <n v="21"/>
    <n v="15"/>
  </r>
  <r>
    <s v="India"/>
    <x v="15"/>
    <x v="106"/>
    <s v="Fertilizer Township, Rourkela - OSPCB"/>
    <x v="0"/>
    <n v="22.18972222"/>
    <n v="84.862777780000002"/>
    <x v="2"/>
    <m/>
    <m/>
    <m/>
  </r>
  <r>
    <s v="India"/>
    <x v="15"/>
    <x v="106"/>
    <s v="Raghunathpali, Rourkela - OSPCB"/>
    <x v="0"/>
    <n v="22.220832999999999"/>
    <n v="84.809443999999999"/>
    <x v="6"/>
    <n v="46"/>
    <n v="104"/>
    <n v="74"/>
  </r>
  <r>
    <s v="India"/>
    <x v="15"/>
    <x v="125"/>
    <s v="OMC Colony, Suakati - OSPCB"/>
    <x v="0"/>
    <n v="21.606864999999999"/>
    <n v="85.510537999999997"/>
    <x v="5"/>
    <n v="89"/>
    <n v="147"/>
    <n v="115"/>
  </r>
  <r>
    <s v="India"/>
    <x v="15"/>
    <x v="125"/>
    <s v="OMC Colony, Suakati - OSPCB"/>
    <x v="0"/>
    <n v="21.606864999999999"/>
    <n v="85.510537999999997"/>
    <x v="3"/>
    <n v="4"/>
    <n v="4"/>
    <n v="4"/>
  </r>
  <r>
    <s v="India"/>
    <x v="15"/>
    <x v="126"/>
    <s v="Talcher Coalfields,Talcher - OSPCB"/>
    <x v="0"/>
    <n v="20.936071099999999"/>
    <n v="85.1707021"/>
    <x v="4"/>
    <n v="8"/>
    <n v="13"/>
    <n v="10"/>
  </r>
  <r>
    <s v="India"/>
    <x v="15"/>
    <x v="126"/>
    <s v="Talcher Coalfields,Talcher - OSPCB"/>
    <x v="0"/>
    <n v="20.936071099999999"/>
    <n v="85.1707021"/>
    <x v="0"/>
    <n v="1"/>
    <n v="7"/>
    <n v="2"/>
  </r>
  <r>
    <s v="India"/>
    <x v="15"/>
    <x v="111"/>
    <s v="Tata Township, Bileipada - OSPCB"/>
    <x v="0"/>
    <n v="22.061567029999999"/>
    <n v="85.474096130000007"/>
    <x v="5"/>
    <n v="38"/>
    <n v="77"/>
    <n v="51"/>
  </r>
  <r>
    <s v="India"/>
    <x v="15"/>
    <x v="111"/>
    <s v="Tata Township, Bileipada - OSPCB"/>
    <x v="0"/>
    <n v="22.061567029999999"/>
    <n v="85.474096130000007"/>
    <x v="1"/>
    <n v="43"/>
    <n v="158"/>
    <n v="92"/>
  </r>
  <r>
    <s v="India"/>
    <x v="15"/>
    <x v="111"/>
    <s v="Tata Township, Bileipada - OSPCB"/>
    <x v="0"/>
    <n v="22.061567029999999"/>
    <n v="85.474096130000007"/>
    <x v="2"/>
    <n v="7"/>
    <n v="7"/>
    <n v="7"/>
  </r>
  <r>
    <s v="India"/>
    <x v="15"/>
    <x v="111"/>
    <s v="Tata Township, Bileipada - OSPCB"/>
    <x v="0"/>
    <n v="22.061567029999999"/>
    <n v="85.474096130000007"/>
    <x v="0"/>
    <n v="19"/>
    <n v="48"/>
    <n v="35"/>
  </r>
  <r>
    <s v="India"/>
    <x v="15"/>
    <x v="112"/>
    <s v="GM Office, Brajrajnagar - OSPCB"/>
    <x v="0"/>
    <n v="21.800499599999998"/>
    <n v="83.839697700000002"/>
    <x v="5"/>
    <n v="53"/>
    <n v="115"/>
    <n v="74"/>
  </r>
  <r>
    <s v="India"/>
    <x v="18"/>
    <x v="121"/>
    <s v="Model Town, Patiala - PPCB"/>
    <x v="0"/>
    <n v="30.349388000000001"/>
    <n v="76.366641999999999"/>
    <x v="6"/>
    <n v="25"/>
    <n v="104"/>
    <n v="74"/>
  </r>
  <r>
    <s v="India"/>
    <x v="19"/>
    <x v="123"/>
    <s v="Civil Lines,  Ajmer - RSPCB"/>
    <x v="0"/>
    <n v="26.470859000000001"/>
    <n v="74.646593999999993"/>
    <x v="2"/>
    <n v="20"/>
    <n v="28"/>
    <n v="25"/>
  </r>
  <r>
    <s v="India"/>
    <x v="19"/>
    <x v="123"/>
    <s v="Civil Lines,  Ajmer - RSPCB"/>
    <x v="0"/>
    <n v="26.470859000000001"/>
    <n v="74.646593999999993"/>
    <x v="4"/>
    <n v="10"/>
    <n v="17"/>
    <n v="13"/>
  </r>
  <r>
    <s v="India"/>
    <x v="19"/>
    <x v="124"/>
    <s v="Moti Doongri, Alwar - RSPCB"/>
    <x v="0"/>
    <n v="27.554793"/>
    <n v="76.611536000000001"/>
    <x v="2"/>
    <n v="68"/>
    <n v="114"/>
    <n v="96"/>
  </r>
  <r>
    <s v="India"/>
    <x v="19"/>
    <x v="135"/>
    <s v="Bamboliya, Baran - RSPCB"/>
    <x v="0"/>
    <n v="25.106006000000001"/>
    <n v="76.469948000000002"/>
    <x v="2"/>
    <n v="5"/>
    <n v="116"/>
    <n v="44"/>
  </r>
  <r>
    <s v="India"/>
    <x v="15"/>
    <x v="102"/>
    <s v="CDA Area, Cuttack - OSPCB"/>
    <x v="0"/>
    <n v="20.488910000000001"/>
    <n v="85.847679999999997"/>
    <x v="1"/>
    <n v="57"/>
    <n v="156"/>
    <n v="98"/>
  </r>
  <r>
    <s v="India"/>
    <x v="15"/>
    <x v="102"/>
    <s v="CDA Area, Cuttack - OSPCB"/>
    <x v="0"/>
    <n v="20.488910000000001"/>
    <n v="85.847679999999997"/>
    <x v="4"/>
    <n v="3"/>
    <n v="9"/>
    <n v="6"/>
  </r>
  <r>
    <s v="India"/>
    <x v="19"/>
    <x v="132"/>
    <s v="Krishna Nagar, Bharatpur - RSPCB"/>
    <x v="0"/>
    <n v="27.215415"/>
    <n v="77.50873"/>
    <x v="5"/>
    <n v="20"/>
    <n v="309"/>
    <n v="87"/>
  </r>
  <r>
    <s v="India"/>
    <x v="19"/>
    <x v="132"/>
    <s v="Krishna Nagar, Bharatpur - RSPCB"/>
    <x v="0"/>
    <n v="27.215415"/>
    <n v="77.50873"/>
    <x v="2"/>
    <n v="15"/>
    <n v="100"/>
    <n v="44"/>
  </r>
  <r>
    <s v="India"/>
    <x v="19"/>
    <x v="133"/>
    <s v="Pratap Nagar, Bhilwara - RSPCB"/>
    <x v="0"/>
    <n v="25.339604999999999"/>
    <n v="74.618882999999997"/>
    <x v="2"/>
    <n v="4"/>
    <n v="91"/>
    <n v="25"/>
  </r>
  <r>
    <s v="India"/>
    <x v="19"/>
    <x v="133"/>
    <s v="Pratap Nagar, Bhilwara - RSPCB"/>
    <x v="0"/>
    <n v="25.339604999999999"/>
    <n v="74.618882999999997"/>
    <x v="3"/>
    <n v="4"/>
    <n v="7"/>
    <n v="5"/>
  </r>
  <r>
    <s v="India"/>
    <x v="18"/>
    <x v="129"/>
    <s v="Kalal Majra, Khanna - PPCB"/>
    <x v="0"/>
    <n v="30.736056000000001"/>
    <n v="76.209693999999999"/>
    <x v="2"/>
    <n v="25"/>
    <n v="29"/>
    <n v="28"/>
  </r>
  <r>
    <s v="India"/>
    <x v="18"/>
    <x v="129"/>
    <s v="Kalal Majra, Khanna - PPCB"/>
    <x v="0"/>
    <n v="30.736056000000001"/>
    <n v="76.209693999999999"/>
    <x v="4"/>
    <n v="12"/>
    <n v="47"/>
    <n v="24"/>
  </r>
  <r>
    <s v="India"/>
    <x v="19"/>
    <x v="139"/>
    <s v="RIICO Sitapura, Jaipur - RSPCB"/>
    <x v="0"/>
    <n v="26.786681999999999"/>
    <n v="75.827928"/>
    <x v="3"/>
    <n v="1"/>
    <n v="4"/>
    <n v="3"/>
  </r>
  <r>
    <s v="India"/>
    <x v="19"/>
    <x v="139"/>
    <s v="RIICO Sitapura, Jaipur - RSPCB"/>
    <x v="0"/>
    <n v="26.786681999999999"/>
    <n v="75.827928"/>
    <x v="6"/>
    <n v="47"/>
    <n v="110"/>
    <n v="67"/>
  </r>
  <r>
    <s v="India"/>
    <x v="19"/>
    <x v="139"/>
    <s v="Sector-2 Murlipura, Jaipur - RSPCB"/>
    <x v="0"/>
    <n v="26.960668999999999"/>
    <n v="75.771816999999999"/>
    <x v="5"/>
    <n v="49"/>
    <n v="362"/>
    <n v="136"/>
  </r>
  <r>
    <s v="India"/>
    <x v="19"/>
    <x v="139"/>
    <s v="Shastri Nagar, Jaipur - RSPCB"/>
    <x v="0"/>
    <n v="26.950292900000001"/>
    <n v="75.730942999999996"/>
    <x v="1"/>
    <n v="90"/>
    <n v="153"/>
    <n v="120"/>
  </r>
  <r>
    <s v="India"/>
    <x v="19"/>
    <x v="139"/>
    <s v="Shastri Nagar, Jaipur - RSPCB"/>
    <x v="0"/>
    <n v="26.950292900000001"/>
    <n v="75.730942999999996"/>
    <x v="2"/>
    <n v="13"/>
    <n v="64"/>
    <n v="32"/>
  </r>
  <r>
    <s v="India"/>
    <x v="19"/>
    <x v="139"/>
    <s v="Shastri Nagar, Jaipur - RSPCB"/>
    <x v="0"/>
    <n v="26.950292900000001"/>
    <n v="75.730942999999996"/>
    <x v="0"/>
    <n v="26"/>
    <n v="62"/>
    <n v="46"/>
  </r>
  <r>
    <s v="India"/>
    <x v="19"/>
    <x v="140"/>
    <s v="Sadar Bazar, Jaisalmer - RSPCB"/>
    <x v="0"/>
    <n v="26.912329"/>
    <n v="70.909167999999994"/>
    <x v="5"/>
    <n v="21"/>
    <n v="86"/>
    <n v="38"/>
  </r>
  <r>
    <s v="India"/>
    <x v="19"/>
    <x v="140"/>
    <s v="Sadar Bazar, Jaisalmer - RSPCB"/>
    <x v="0"/>
    <n v="26.912329"/>
    <n v="70.909167999999994"/>
    <x v="4"/>
    <n v="3"/>
    <n v="6"/>
    <n v="4"/>
  </r>
  <r>
    <s v="India"/>
    <x v="19"/>
    <x v="140"/>
    <s v="Sadar Bazar, Jaisalmer - RSPCB"/>
    <x v="0"/>
    <n v="26.912329"/>
    <n v="70.909167999999994"/>
    <x v="6"/>
    <n v="8"/>
    <n v="82"/>
    <n v="36"/>
  </r>
  <r>
    <s v="India"/>
    <x v="19"/>
    <x v="141"/>
    <s v="Mudtra Sili, Jalore - RSPCB"/>
    <x v="0"/>
    <n v="25.344694"/>
    <n v="72.626208000000005"/>
    <x v="1"/>
    <n v="78"/>
    <n v="252"/>
    <n v="118"/>
  </r>
  <r>
    <s v="India"/>
    <x v="19"/>
    <x v="144"/>
    <s v="Mandor, Jodhpur - RSPCB"/>
    <x v="0"/>
    <n v="26.358805"/>
    <n v="73.047443999999999"/>
    <x v="6"/>
    <n v="20"/>
    <n v="67"/>
    <n v="34"/>
  </r>
  <r>
    <s v="India"/>
    <x v="19"/>
    <x v="144"/>
    <s v="Mandor, Jodhpur - RSPCB"/>
    <x v="0"/>
    <n v="26.358805"/>
    <n v="73.047443999999999"/>
    <x v="0"/>
    <n v="2"/>
    <n v="98"/>
    <n v="62"/>
  </r>
  <r>
    <s v="India"/>
    <x v="19"/>
    <x v="144"/>
    <s v="Samrat Ashok Udhyan, Jodhpur - RSPCB"/>
    <x v="0"/>
    <n v="26.253384"/>
    <n v="72.976571000000007"/>
    <x v="5"/>
    <n v="14"/>
    <n v="307"/>
    <n v="94"/>
  </r>
  <r>
    <s v="India"/>
    <x v="19"/>
    <x v="144"/>
    <s v="Samrat Ashok Udhyan, Jodhpur - RSPCB"/>
    <x v="0"/>
    <n v="26.253384"/>
    <n v="72.976571000000007"/>
    <x v="1"/>
    <n v="55"/>
    <n v="230"/>
    <n v="113"/>
  </r>
  <r>
    <s v="India"/>
    <x v="19"/>
    <x v="144"/>
    <s v="Samrat Ashok Udhyan, Jodhpur - RSPCB"/>
    <x v="0"/>
    <n v="26.253384"/>
    <n v="72.976571000000007"/>
    <x v="6"/>
    <n v="12"/>
    <n v="107"/>
    <n v="33"/>
  </r>
  <r>
    <s v="India"/>
    <x v="19"/>
    <x v="144"/>
    <s v="Samrat Ashok Udhyan, Jodhpur - RSPCB"/>
    <x v="0"/>
    <n v="26.253384"/>
    <n v="72.976571000000007"/>
    <x v="0"/>
    <n v="5"/>
    <n v="98"/>
    <n v="67"/>
  </r>
  <r>
    <s v="India"/>
    <x v="19"/>
    <x v="154"/>
    <s v="Satyawati Vihar, Karauli - RSPCB"/>
    <x v="0"/>
    <n v="26.506177000000001"/>
    <n v="77.025988999999996"/>
    <x v="2"/>
    <n v="8"/>
    <n v="64"/>
    <n v="33"/>
  </r>
  <r>
    <s v="India"/>
    <x v="19"/>
    <x v="155"/>
    <s v="Dhanmandi, Kota - RSPCB"/>
    <x v="0"/>
    <n v="25.164090000000002"/>
    <n v="75.858136999999999"/>
    <x v="3"/>
    <n v="3"/>
    <n v="6"/>
    <n v="5"/>
  </r>
  <r>
    <s v="India"/>
    <x v="19"/>
    <x v="155"/>
    <s v="Dhanmandi, Kota - RSPCB"/>
    <x v="0"/>
    <n v="25.164090000000002"/>
    <n v="75.858136999999999"/>
    <x v="0"/>
    <n v="1"/>
    <n v="83"/>
    <n v="51"/>
  </r>
  <r>
    <s v="India"/>
    <x v="19"/>
    <x v="151"/>
    <s v="Housing Board, Hanumangarh - RSPCB"/>
    <x v="0"/>
    <n v="29.610749999999999"/>
    <n v="74.283608000000001"/>
    <x v="3"/>
    <n v="14"/>
    <n v="20"/>
    <n v="17"/>
  </r>
  <r>
    <s v="India"/>
    <x v="19"/>
    <x v="151"/>
    <s v="Housing Board, Hanumangarh - RSPCB"/>
    <x v="0"/>
    <n v="29.610749999999999"/>
    <n v="74.283608000000001"/>
    <x v="6"/>
    <n v="44"/>
    <n v="84"/>
    <n v="57"/>
  </r>
  <r>
    <s v="India"/>
    <x v="19"/>
    <x v="151"/>
    <s v="Housing Board, Hanumangarh - RSPCB"/>
    <x v="0"/>
    <n v="29.610749999999999"/>
    <n v="74.283608000000001"/>
    <x v="0"/>
    <n v="13"/>
    <n v="82"/>
    <n v="64"/>
  </r>
  <r>
    <s v="India"/>
    <x v="19"/>
    <x v="139"/>
    <s v="Adarsh Nagar, Jaipur - RSPCB"/>
    <x v="0"/>
    <n v="26.902909000000001"/>
    <n v="75.836858000000007"/>
    <x v="5"/>
    <n v="31"/>
    <n v="104"/>
    <n v="70"/>
  </r>
  <r>
    <s v="India"/>
    <x v="19"/>
    <x v="139"/>
    <s v="Adarsh Nagar, Jaipur - RSPCB"/>
    <x v="0"/>
    <n v="26.902909000000001"/>
    <n v="75.836858000000007"/>
    <x v="2"/>
    <m/>
    <m/>
    <m/>
  </r>
  <r>
    <s v="India"/>
    <x v="19"/>
    <x v="139"/>
    <s v="Adarsh Nagar, Jaipur - RSPCB"/>
    <x v="0"/>
    <n v="26.902909000000001"/>
    <n v="75.836858000000007"/>
    <x v="3"/>
    <m/>
    <m/>
    <m/>
  </r>
  <r>
    <s v="India"/>
    <x v="19"/>
    <x v="139"/>
    <s v="Mansarovar Sector-12, Jaipur - RSPCB"/>
    <x v="0"/>
    <n v="26.843698"/>
    <n v="75.766893999999994"/>
    <x v="4"/>
    <n v="5"/>
    <n v="27"/>
    <n v="12"/>
  </r>
  <r>
    <s v="India"/>
    <x v="19"/>
    <x v="139"/>
    <s v="Police Commissionerate, Jaipur - RSPCB"/>
    <x v="0"/>
    <n v="26.9164092"/>
    <n v="75.7994901"/>
    <x v="6"/>
    <n v="8"/>
    <n v="84"/>
    <n v="43"/>
  </r>
  <r>
    <s v="India"/>
    <x v="19"/>
    <x v="141"/>
    <s v="Mudtra Sili, Jalore - RSPCB"/>
    <x v="0"/>
    <n v="25.344694"/>
    <n v="72.626208000000005"/>
    <x v="4"/>
    <n v="1"/>
    <n v="7"/>
    <n v="2"/>
  </r>
  <r>
    <s v="India"/>
    <x v="19"/>
    <x v="143"/>
    <s v="Indra Nagar, Jhunjhunu - RSPCB"/>
    <x v="0"/>
    <n v="28.108988"/>
    <n v="75.386577000000003"/>
    <x v="2"/>
    <n v="11"/>
    <n v="114"/>
    <n v="40"/>
  </r>
  <r>
    <s v="India"/>
    <x v="19"/>
    <x v="143"/>
    <s v="Indra Nagar, Jhunjhunu - RSPCB"/>
    <x v="0"/>
    <n v="28.108988"/>
    <n v="75.386577000000003"/>
    <x v="6"/>
    <n v="32"/>
    <n v="100"/>
    <n v="66"/>
  </r>
  <r>
    <s v="India"/>
    <x v="19"/>
    <x v="144"/>
    <s v="Digari Kalan, Jodhpur - RSPCB"/>
    <x v="0"/>
    <n v="26.295809999999999"/>
    <n v="73.082283000000004"/>
    <x v="4"/>
    <n v="5"/>
    <n v="24"/>
    <n v="10"/>
  </r>
  <r>
    <s v="India"/>
    <x v="19"/>
    <x v="144"/>
    <s v="Jhalamand, Jodhpur - RSPCB"/>
    <x v="0"/>
    <n v="26.215415"/>
    <n v="73.070155999999997"/>
    <x v="1"/>
    <n v="34"/>
    <n v="332"/>
    <n v="125"/>
  </r>
  <r>
    <s v="India"/>
    <x v="19"/>
    <x v="130"/>
    <s v="RIICO Ind. Area III, Bhiwadi - RSPCB"/>
    <x v="0"/>
    <n v="28.194908999999999"/>
    <n v="76.862296000000001"/>
    <x v="4"/>
    <m/>
    <m/>
    <m/>
  </r>
  <r>
    <s v="India"/>
    <x v="19"/>
    <x v="130"/>
    <s v="Vasundhara Nagar_UIT, Bhiwadi - RSPCB"/>
    <x v="0"/>
    <n v="28.207266000000001"/>
    <n v="76.829265000000007"/>
    <x v="5"/>
    <n v="7"/>
    <n v="263"/>
    <n v="89"/>
  </r>
  <r>
    <s v="India"/>
    <x v="19"/>
    <x v="130"/>
    <s v="Vasundhara Nagar_UIT, Bhiwadi - RSPCB"/>
    <x v="0"/>
    <n v="28.207266000000001"/>
    <n v="76.829265000000007"/>
    <x v="6"/>
    <n v="10"/>
    <n v="86"/>
    <n v="26"/>
  </r>
  <r>
    <s v="India"/>
    <x v="19"/>
    <x v="131"/>
    <s v="MM Ground, Bikaner - RSPCB"/>
    <x v="0"/>
    <n v="28.018792000000001"/>
    <n v="73.292658000000003"/>
    <x v="1"/>
    <n v="72"/>
    <n v="424"/>
    <n v="159"/>
  </r>
  <r>
    <s v="India"/>
    <x v="19"/>
    <x v="138"/>
    <s v="New Colony, Bundi - RSPCB"/>
    <x v="0"/>
    <n v="25.435773999999999"/>
    <n v="75.644272000000001"/>
    <x v="6"/>
    <n v="11"/>
    <n v="103"/>
    <n v="34"/>
  </r>
  <r>
    <s v="India"/>
    <x v="19"/>
    <x v="137"/>
    <s v="Shastri Nagar, Chittorgarh - RSPCB"/>
    <x v="0"/>
    <n v="24.892047000000002"/>
    <n v="74.623526999999996"/>
    <x v="5"/>
    <n v="28"/>
    <n v="303"/>
    <n v="110"/>
  </r>
  <r>
    <s v="India"/>
    <x v="19"/>
    <x v="137"/>
    <s v="Shastri Nagar, Chittorgarh - RSPCB"/>
    <x v="0"/>
    <n v="24.892047000000002"/>
    <n v="74.623526999999996"/>
    <x v="3"/>
    <n v="3"/>
    <n v="8"/>
    <n v="5"/>
  </r>
  <r>
    <s v="India"/>
    <x v="19"/>
    <x v="137"/>
    <s v="Shastri Nagar, Chittorgarh - RSPCB"/>
    <x v="0"/>
    <n v="24.892047000000002"/>
    <n v="74.623526999999996"/>
    <x v="0"/>
    <n v="1"/>
    <n v="115"/>
    <n v="71"/>
  </r>
  <r>
    <s v="India"/>
    <x v="19"/>
    <x v="152"/>
    <s v="Khatikan Mohalla, Dausa - RSPCB"/>
    <x v="0"/>
    <n v="26.895551999999999"/>
    <n v="76.334753000000006"/>
    <x v="0"/>
    <n v="4"/>
    <n v="166"/>
    <n v="122"/>
  </r>
  <r>
    <s v="India"/>
    <x v="19"/>
    <x v="153"/>
    <s v="Raja Ganj, Dholpur - RSPCB"/>
    <x v="0"/>
    <n v="26.699556999999999"/>
    <n v="77.898881000000003"/>
    <x v="6"/>
    <n v="24"/>
    <n v="78"/>
    <n v="42"/>
  </r>
  <r>
    <s v="India"/>
    <x v="19"/>
    <x v="131"/>
    <s v="MM Ground, Bikaner - RSPCB"/>
    <x v="0"/>
    <n v="28.018792000000001"/>
    <n v="73.292658000000003"/>
    <x v="4"/>
    <n v="1"/>
    <n v="40"/>
    <n v="9"/>
  </r>
  <r>
    <s v="India"/>
    <x v="19"/>
    <x v="131"/>
    <s v="MM Ground, Bikaner - RSPCB"/>
    <x v="0"/>
    <n v="28.018792000000001"/>
    <n v="73.292658000000003"/>
    <x v="6"/>
    <n v="13"/>
    <n v="168"/>
    <n v="168"/>
  </r>
  <r>
    <s v="India"/>
    <x v="19"/>
    <x v="150"/>
    <s v="Bhoiwada, Dungarpur - RSPCB"/>
    <x v="0"/>
    <n v="23.837789000000001"/>
    <n v="73.714926000000006"/>
    <x v="5"/>
    <n v="17"/>
    <n v="74"/>
    <n v="38"/>
  </r>
  <r>
    <s v="India"/>
    <x v="19"/>
    <x v="155"/>
    <s v="Nayapura, Kota - RSPCB"/>
    <x v="0"/>
    <n v="25.196024000000001"/>
    <n v="75.855667999999994"/>
    <x v="3"/>
    <n v="11"/>
    <n v="26"/>
    <n v="16"/>
  </r>
  <r>
    <s v="India"/>
    <x v="19"/>
    <x v="155"/>
    <s v="Shrinath Puram, Kota - RSPCB"/>
    <x v="0"/>
    <n v="25.143889999999999"/>
    <n v="75.821256000000005"/>
    <x v="2"/>
    <n v="13"/>
    <n v="20"/>
    <n v="14"/>
  </r>
  <r>
    <s v="India"/>
    <x v="19"/>
    <x v="234"/>
    <s v="Karni Colony, Nagaur - RSPCB"/>
    <x v="0"/>
    <n v="27.213494000000001"/>
    <n v="73.734443999999996"/>
    <x v="3"/>
    <n v="5"/>
    <n v="15"/>
    <n v="8"/>
  </r>
  <r>
    <s v="India"/>
    <x v="19"/>
    <x v="234"/>
    <s v="Karni Colony, Nagaur - RSPCB"/>
    <x v="0"/>
    <n v="27.213494000000001"/>
    <n v="73.734443999999996"/>
    <x v="4"/>
    <n v="4"/>
    <n v="72"/>
    <n v="14"/>
  </r>
  <r>
    <s v="India"/>
    <x v="19"/>
    <x v="234"/>
    <s v="Karni Colony, Nagaur - RSPCB"/>
    <x v="0"/>
    <n v="27.213494000000001"/>
    <n v="73.734443999999996"/>
    <x v="6"/>
    <n v="14"/>
    <n v="100"/>
    <n v="36"/>
  </r>
  <r>
    <s v="India"/>
    <x v="19"/>
    <x v="145"/>
    <s v="Indira Colony Vistar, Pali - RSPCB"/>
    <x v="0"/>
    <n v="25.771061"/>
    <n v="73.340226999999999"/>
    <x v="3"/>
    <n v="7"/>
    <n v="13"/>
    <n v="10"/>
  </r>
  <r>
    <s v="India"/>
    <x v="19"/>
    <x v="145"/>
    <s v="Indira Colony Vistar, Pali - RSPCB"/>
    <x v="0"/>
    <n v="25.771061"/>
    <n v="73.340226999999999"/>
    <x v="4"/>
    <n v="10"/>
    <n v="13"/>
    <n v="11"/>
  </r>
  <r>
    <s v="India"/>
    <x v="19"/>
    <x v="146"/>
    <s v="Pragati Nagar, Pratapgarh - RSPCB"/>
    <x v="0"/>
    <n v="24.041198000000001"/>
    <n v="74.780702000000005"/>
    <x v="1"/>
    <n v="89"/>
    <n v="152"/>
    <n v="117"/>
  </r>
  <r>
    <s v="India"/>
    <x v="19"/>
    <x v="146"/>
    <s v="Pragati Nagar, Pratapgarh - RSPCB"/>
    <x v="0"/>
    <n v="24.041198000000001"/>
    <n v="74.780702000000005"/>
    <x v="2"/>
    <n v="12"/>
    <n v="56"/>
    <n v="29"/>
  </r>
  <r>
    <s v="India"/>
    <x v="21"/>
    <x v="157"/>
    <s v="Royapuram, Chennai - TNPCB"/>
    <x v="0"/>
    <n v="13.1036"/>
    <n v="80.290899999999993"/>
    <x v="3"/>
    <n v="2"/>
    <n v="5"/>
    <n v="3"/>
  </r>
  <r>
    <s v="India"/>
    <x v="21"/>
    <x v="157"/>
    <s v="Velachery Res. Area, Chennai - CPCB"/>
    <x v="0"/>
    <n v="13.005218899999999"/>
    <n v="80.239812499999999"/>
    <x v="6"/>
    <n v="50"/>
    <n v="63"/>
    <n v="58"/>
  </r>
  <r>
    <s v="India"/>
    <x v="21"/>
    <x v="158"/>
    <s v="PSG College of Arts and Science, Coimbatore - TNPCB"/>
    <x v="0"/>
    <n v="11.0328"/>
    <n v="77.034899999999993"/>
    <x v="1"/>
    <n v="14"/>
    <n v="42"/>
    <n v="30"/>
  </r>
  <r>
    <s v="India"/>
    <x v="21"/>
    <x v="158"/>
    <s v="PSG College of Arts and Science, Coimbatore - TNPCB"/>
    <x v="0"/>
    <n v="11.0328"/>
    <n v="77.034899999999993"/>
    <x v="2"/>
    <n v="9"/>
    <n v="11"/>
    <n v="10"/>
  </r>
  <r>
    <s v="India"/>
    <x v="21"/>
    <x v="158"/>
    <s v="PSG College of Arts and Science, Coimbatore - TNPCB"/>
    <x v="0"/>
    <n v="11.0328"/>
    <n v="77.034899999999993"/>
    <x v="3"/>
    <n v="2"/>
    <n v="2"/>
    <n v="2"/>
  </r>
  <r>
    <s v="India"/>
    <x v="21"/>
    <x v="158"/>
    <s v="SIDCO Kurichi, Coimbatore - TNPCB"/>
    <x v="0"/>
    <n v="10.942451"/>
    <n v="76.978995999999995"/>
    <x v="5"/>
    <n v="1"/>
    <n v="64"/>
    <n v="31"/>
  </r>
  <r>
    <s v="India"/>
    <x v="21"/>
    <x v="158"/>
    <s v="SIDCO Kurichi, Coimbatore - TNPCB"/>
    <x v="0"/>
    <n v="10.942451"/>
    <n v="76.978995999999995"/>
    <x v="2"/>
    <n v="6"/>
    <n v="16"/>
    <n v="10"/>
  </r>
  <r>
    <s v="India"/>
    <x v="21"/>
    <x v="158"/>
    <s v="SIDCO Kurichi, Coimbatore - TNPCB"/>
    <x v="0"/>
    <n v="10.942451"/>
    <n v="76.978995999999995"/>
    <x v="6"/>
    <n v="22"/>
    <n v="30"/>
    <n v="25"/>
  </r>
  <r>
    <s v="India"/>
    <x v="21"/>
    <x v="237"/>
    <s v="Crescent University, Chengalpattu - TNPCB"/>
    <x v="0"/>
    <n v="12.877731600000001"/>
    <n v="80.083480699999996"/>
    <x v="3"/>
    <m/>
    <m/>
    <m/>
  </r>
  <r>
    <s v="India"/>
    <x v="21"/>
    <x v="157"/>
    <s v="Alandur Bus Depot, Chennai - CPCB"/>
    <x v="0"/>
    <n v="12.9099161"/>
    <n v="80.107653799999994"/>
    <x v="0"/>
    <n v="5"/>
    <n v="127"/>
    <n v="57"/>
  </r>
  <r>
    <s v="India"/>
    <x v="21"/>
    <x v="157"/>
    <s v="Kodungaiyur, Chennai - TNPCB"/>
    <x v="0"/>
    <n v="13.127800000000001"/>
    <n v="80.264200000000002"/>
    <x v="5"/>
    <n v="7"/>
    <n v="40"/>
    <n v="21"/>
  </r>
  <r>
    <s v="India"/>
    <x v="21"/>
    <x v="157"/>
    <s v="Kodungaiyur, Chennai - TNPCB"/>
    <x v="0"/>
    <n v="13.127800000000001"/>
    <n v="80.264200000000002"/>
    <x v="4"/>
    <n v="1"/>
    <n v="8"/>
    <n v="4"/>
  </r>
  <r>
    <s v="India"/>
    <x v="21"/>
    <x v="157"/>
    <s v="Kodungaiyur, Chennai - TNPCB"/>
    <x v="0"/>
    <n v="13.127800000000001"/>
    <n v="80.264200000000002"/>
    <x v="6"/>
    <n v="14"/>
    <n v="65"/>
    <n v="40"/>
  </r>
  <r>
    <s v="India"/>
    <x v="19"/>
    <x v="236"/>
    <s v="Ashok Nagar, Udaipur - RSPCB"/>
    <x v="0"/>
    <n v="24.588616600000002"/>
    <n v="73.632139699999996"/>
    <x v="0"/>
    <n v="3"/>
    <n v="92"/>
    <n v="44"/>
  </r>
  <r>
    <s v="India"/>
    <x v="22"/>
    <x v="162"/>
    <s v="Zero Point GICI, Gangtok - SSPCB"/>
    <x v="0"/>
    <n v="27.338529999999999"/>
    <n v="88.614098999999996"/>
    <x v="1"/>
    <n v="116"/>
    <n v="146"/>
    <n v="135"/>
  </r>
  <r>
    <s v="India"/>
    <x v="22"/>
    <x v="162"/>
    <s v="Zero Point GICI, Gangtok - SSPCB"/>
    <x v="0"/>
    <n v="27.338529999999999"/>
    <n v="88.614098999999996"/>
    <x v="6"/>
    <n v="26"/>
    <n v="62"/>
    <n v="48"/>
  </r>
  <r>
    <s v="India"/>
    <x v="21"/>
    <x v="163"/>
    <s v="Keelapalur, Ariyalur - TNPCB"/>
    <x v="0"/>
    <n v="11.068250000000001"/>
    <n v="79.070329999999998"/>
    <x v="3"/>
    <n v="1"/>
    <n v="1"/>
    <n v="1"/>
  </r>
  <r>
    <s v="India"/>
    <x v="19"/>
    <x v="166"/>
    <s v="Old City, Sri Ganganagar - RSPCB"/>
    <x v="0"/>
    <n v="29.931623999999999"/>
    <n v="73.864510999999993"/>
    <x v="3"/>
    <n v="4"/>
    <n v="6"/>
    <n v="5"/>
  </r>
  <r>
    <s v="India"/>
    <x v="19"/>
    <x v="166"/>
    <s v="Old City, Sri Ganganagar - RSPCB"/>
    <x v="0"/>
    <n v="29.931623999999999"/>
    <n v="73.864510999999993"/>
    <x v="0"/>
    <n v="3"/>
    <n v="118"/>
    <n v="81"/>
  </r>
  <r>
    <s v="India"/>
    <x v="19"/>
    <x v="236"/>
    <s v="Ashok Nagar, Udaipur - RSPCB"/>
    <x v="0"/>
    <n v="24.588616600000002"/>
    <n v="73.632139699999996"/>
    <x v="5"/>
    <n v="44"/>
    <n v="97"/>
    <n v="69"/>
  </r>
  <r>
    <s v="India"/>
    <x v="19"/>
    <x v="236"/>
    <s v="Ashok Nagar, Udaipur - RSPCB"/>
    <x v="0"/>
    <n v="24.588616600000002"/>
    <n v="73.632139699999996"/>
    <x v="3"/>
    <n v="7"/>
    <n v="7"/>
    <n v="7"/>
  </r>
  <r>
    <s v="India"/>
    <x v="19"/>
    <x v="236"/>
    <s v="Ashok Nagar, Udaipur - RSPCB"/>
    <x v="0"/>
    <n v="24.588616600000002"/>
    <n v="73.632139699999996"/>
    <x v="6"/>
    <n v="5"/>
    <n v="88"/>
    <n v="31"/>
  </r>
  <r>
    <s v="India"/>
    <x v="19"/>
    <x v="146"/>
    <s v="Pragati Nagar, Pratapgarh - RSPCB"/>
    <x v="0"/>
    <n v="24.041198000000001"/>
    <n v="74.780702000000005"/>
    <x v="3"/>
    <n v="4"/>
    <n v="7"/>
    <n v="5"/>
  </r>
  <r>
    <s v="India"/>
    <x v="19"/>
    <x v="146"/>
    <s v="Pragati Nagar, Pratapgarh - RSPCB"/>
    <x v="0"/>
    <n v="24.041198000000001"/>
    <n v="74.780702000000005"/>
    <x v="6"/>
    <n v="12"/>
    <n v="44"/>
    <n v="20"/>
  </r>
  <r>
    <s v="India"/>
    <x v="19"/>
    <x v="147"/>
    <s v="Dhoinda, Rajsamand - RSPCB"/>
    <x v="0"/>
    <n v="25.036359999999998"/>
    <n v="73.883501999999993"/>
    <x v="6"/>
    <n v="8"/>
    <n v="42"/>
    <n v="19"/>
  </r>
  <r>
    <s v="India"/>
    <x v="19"/>
    <x v="148"/>
    <s v="Sahu Nagar, Sawai Madhopur - RSPCB"/>
    <x v="0"/>
    <n v="26.031442999999999"/>
    <n v="76.359326999999993"/>
    <x v="5"/>
    <n v="45"/>
    <n v="343"/>
    <n v="107"/>
  </r>
  <r>
    <s v="India"/>
    <x v="21"/>
    <x v="157"/>
    <s v="Manali Village, Chennai - TNPCB"/>
    <x v="0"/>
    <n v="13.1662"/>
    <n v="80.258399999999995"/>
    <x v="4"/>
    <n v="18"/>
    <n v="23"/>
    <n v="21"/>
  </r>
  <r>
    <s v="India"/>
    <x v="21"/>
    <x v="157"/>
    <s v="Manali, Chennai - CPCB"/>
    <x v="0"/>
    <n v="13.164543999999999"/>
    <n v="80.26285"/>
    <x v="1"/>
    <n v="46"/>
    <n v="56"/>
    <n v="52"/>
  </r>
  <r>
    <s v="India"/>
    <x v="21"/>
    <x v="157"/>
    <s v="Manali, Chennai - CPCB"/>
    <x v="0"/>
    <n v="13.164543999999999"/>
    <n v="80.26285"/>
    <x v="2"/>
    <n v="10"/>
    <n v="22"/>
    <n v="15"/>
  </r>
  <r>
    <s v="India"/>
    <x v="21"/>
    <x v="157"/>
    <s v="Manali, Chennai - CPCB"/>
    <x v="0"/>
    <n v="13.164543999999999"/>
    <n v="80.26285"/>
    <x v="0"/>
    <n v="17"/>
    <n v="37"/>
    <n v="21"/>
  </r>
  <r>
    <s v="India"/>
    <x v="21"/>
    <x v="157"/>
    <s v="Perungudi, Chennai - TNPCB"/>
    <x v="0"/>
    <n v="12.9533"/>
    <n v="80.235699999999994"/>
    <x v="5"/>
    <n v="14"/>
    <n v="55"/>
    <n v="28"/>
  </r>
  <r>
    <s v="India"/>
    <x v="21"/>
    <x v="157"/>
    <s v="Manali Village, Chennai - TNPCB"/>
    <x v="0"/>
    <n v="13.1662"/>
    <n v="80.258399999999995"/>
    <x v="1"/>
    <n v="11"/>
    <n v="67"/>
    <n v="32"/>
  </r>
  <r>
    <s v="India"/>
    <x v="21"/>
    <x v="157"/>
    <s v="Manali Village, Chennai - TNPCB"/>
    <x v="0"/>
    <n v="13.1662"/>
    <n v="80.258399999999995"/>
    <x v="2"/>
    <n v="1"/>
    <n v="1"/>
    <n v="1"/>
  </r>
  <r>
    <s v="India"/>
    <x v="19"/>
    <x v="149"/>
    <s v="Radhakishan Pura, Sikar - RSPCB"/>
    <x v="0"/>
    <n v="27.608912"/>
    <n v="75.153301999999996"/>
    <x v="2"/>
    <n v="7"/>
    <n v="82"/>
    <n v="38"/>
  </r>
  <r>
    <s v="India"/>
    <x v="19"/>
    <x v="149"/>
    <s v="Radhakishan Pura, Sikar - RSPCB"/>
    <x v="0"/>
    <n v="27.608912"/>
    <n v="75.153301999999996"/>
    <x v="4"/>
    <n v="1"/>
    <n v="11"/>
    <n v="4"/>
  </r>
  <r>
    <s v="India"/>
    <x v="21"/>
    <x v="159"/>
    <s v="Kamadenu Nagar, Karur - TNPCB"/>
    <x v="0"/>
    <n v="10.96782"/>
    <n v="78.080882000000003"/>
    <x v="1"/>
    <n v="11"/>
    <n v="39"/>
    <n v="28"/>
  </r>
  <r>
    <s v="India"/>
    <x v="21"/>
    <x v="159"/>
    <s v="Kamadenu Nagar, Karur - TNPCB"/>
    <x v="0"/>
    <n v="10.96782"/>
    <n v="78.080882000000003"/>
    <x v="2"/>
    <n v="2"/>
    <n v="17"/>
    <n v="4"/>
  </r>
  <r>
    <s v="India"/>
    <x v="21"/>
    <x v="159"/>
    <s v="Kamadenu Nagar, Karur - TNPCB"/>
    <x v="0"/>
    <n v="10.96782"/>
    <n v="78.080882000000003"/>
    <x v="0"/>
    <n v="1"/>
    <n v="44"/>
    <n v="1"/>
  </r>
  <r>
    <s v="India"/>
    <x v="21"/>
    <x v="242"/>
    <s v="Uchapatti, Madurai - TNPCB"/>
    <x v="0"/>
    <n v="9.8659350000000003"/>
    <n v="78.022668999999993"/>
    <x v="5"/>
    <n v="7"/>
    <n v="25"/>
    <n v="17"/>
  </r>
  <r>
    <s v="India"/>
    <x v="21"/>
    <x v="242"/>
    <s v="Uchapatti, Madurai - TNPCB"/>
    <x v="0"/>
    <n v="9.8659350000000003"/>
    <n v="78.022668999999993"/>
    <x v="3"/>
    <n v="3"/>
    <n v="3"/>
    <n v="3"/>
  </r>
  <r>
    <s v="India"/>
    <x v="21"/>
    <x v="242"/>
    <s v="Uchapatti, Madurai - TNPCB"/>
    <x v="0"/>
    <n v="9.8659350000000003"/>
    <n v="78.022668999999993"/>
    <x v="4"/>
    <n v="24"/>
    <n v="29"/>
    <n v="28"/>
  </r>
  <r>
    <s v="India"/>
    <x v="21"/>
    <x v="160"/>
    <s v="Velippalayam, Nagapattinam - TNPCB"/>
    <x v="0"/>
    <n v="10.798548"/>
    <n v="79.838211999999999"/>
    <x v="1"/>
    <n v="9"/>
    <n v="153"/>
    <n v="31"/>
  </r>
  <r>
    <s v="India"/>
    <x v="21"/>
    <x v="160"/>
    <s v="Velippalayam, Nagapattinam - TNPCB"/>
    <x v="0"/>
    <n v="10.798548"/>
    <n v="79.838211999999999"/>
    <x v="0"/>
    <m/>
    <m/>
    <m/>
  </r>
  <r>
    <s v="India"/>
    <x v="21"/>
    <x v="161"/>
    <s v="Ponnusamy Nagar, Namakkal - TNPCB"/>
    <x v="0"/>
    <n v="11.273992"/>
    <n v="78.163544999999999"/>
    <x v="1"/>
    <m/>
    <m/>
    <m/>
  </r>
  <r>
    <s v="India"/>
    <x v="21"/>
    <x v="172"/>
    <s v="Collectorate Office, Virudhunagar - TNPCB"/>
    <x v="0"/>
    <n v="9.5593819999999994"/>
    <n v="77.948828000000006"/>
    <x v="6"/>
    <n v="16"/>
    <n v="20"/>
    <n v="17"/>
  </r>
  <r>
    <s v="India"/>
    <x v="23"/>
    <x v="173"/>
    <s v="Central University, Hyderabad - TSPCB"/>
    <x v="0"/>
    <n v="17.460103"/>
    <n v="78.334361000000001"/>
    <x v="1"/>
    <m/>
    <m/>
    <m/>
  </r>
  <r>
    <s v="India"/>
    <x v="23"/>
    <x v="173"/>
    <s v="ECIL Kapra, Hyderabad - TSPCB"/>
    <x v="0"/>
    <n v="17.470431000000001"/>
    <n v="78.566958999999997"/>
    <x v="5"/>
    <n v="42"/>
    <n v="66"/>
    <n v="53"/>
  </r>
  <r>
    <s v="India"/>
    <x v="23"/>
    <x v="173"/>
    <s v="ECIL Kapra, Hyderabad - TSPCB"/>
    <x v="0"/>
    <n v="17.470431000000001"/>
    <n v="78.566958999999997"/>
    <x v="2"/>
    <n v="15"/>
    <n v="37"/>
    <n v="24"/>
  </r>
  <r>
    <s v="India"/>
    <x v="23"/>
    <x v="173"/>
    <s v="ECIL Kapra, Hyderabad - TSPCB"/>
    <x v="0"/>
    <n v="17.470431000000001"/>
    <n v="78.566958999999997"/>
    <x v="3"/>
    <n v="6"/>
    <n v="8"/>
    <n v="8"/>
  </r>
  <r>
    <s v="India"/>
    <x v="23"/>
    <x v="173"/>
    <s v="ECIL Kapra, Hyderabad - TSPCB"/>
    <x v="0"/>
    <n v="17.470431000000001"/>
    <n v="78.566958999999997"/>
    <x v="4"/>
    <m/>
    <m/>
    <m/>
  </r>
  <r>
    <s v="India"/>
    <x v="23"/>
    <x v="173"/>
    <s v="ECIL Kapra, Hyderabad - TSPCB"/>
    <x v="0"/>
    <n v="17.470431000000001"/>
    <n v="78.566958999999997"/>
    <x v="0"/>
    <n v="13"/>
    <n v="42"/>
    <n v="35"/>
  </r>
  <r>
    <s v="India"/>
    <x v="23"/>
    <x v="173"/>
    <s v="ICRISAT Patancheru, Hyderabad - TSPCB"/>
    <x v="0"/>
    <n v="17.5184"/>
    <n v="78.278777000000005"/>
    <x v="0"/>
    <n v="16"/>
    <n v="81"/>
    <n v="63"/>
  </r>
  <r>
    <s v="India"/>
    <x v="23"/>
    <x v="173"/>
    <s v="IITH Kandi, Hyderabad - TSPCB"/>
    <x v="0"/>
    <n v="17.585705000000001"/>
    <n v="78.126199"/>
    <x v="5"/>
    <m/>
    <m/>
    <m/>
  </r>
  <r>
    <s v="India"/>
    <x v="23"/>
    <x v="173"/>
    <s v="IITH Kandi, Hyderabad - TSPCB"/>
    <x v="0"/>
    <n v="17.585705000000001"/>
    <n v="78.126199"/>
    <x v="1"/>
    <m/>
    <m/>
    <m/>
  </r>
  <r>
    <s v="India"/>
    <x v="23"/>
    <x v="173"/>
    <s v="IITH Kandi, Hyderabad - TSPCB"/>
    <x v="0"/>
    <n v="17.585705000000001"/>
    <n v="78.126199"/>
    <x v="2"/>
    <n v="16"/>
    <n v="17"/>
    <n v="17"/>
  </r>
  <r>
    <s v="India"/>
    <x v="23"/>
    <x v="173"/>
    <s v="IITH Kandi, Hyderabad - TSPCB"/>
    <x v="0"/>
    <n v="17.585705000000001"/>
    <n v="78.126199"/>
    <x v="3"/>
    <n v="2"/>
    <n v="2"/>
    <n v="2"/>
  </r>
  <r>
    <s v="India"/>
    <x v="23"/>
    <x v="173"/>
    <s v="Kompally Municipal Office, Hyderabad - TSPCB"/>
    <x v="0"/>
    <n v="17.544899000000001"/>
    <n v="78.486948999999996"/>
    <x v="5"/>
    <n v="57"/>
    <n v="60"/>
    <n v="59"/>
  </r>
  <r>
    <s v="India"/>
    <x v="23"/>
    <x v="173"/>
    <s v="Kompally Municipal Office, Hyderabad - TSPCB"/>
    <x v="0"/>
    <n v="17.544899000000001"/>
    <n v="78.486948999999996"/>
    <x v="6"/>
    <n v="22"/>
    <n v="26"/>
    <n v="23"/>
  </r>
  <r>
    <s v="India"/>
    <x v="23"/>
    <x v="173"/>
    <s v="New Malakpet, Hyderabad - TSPCB"/>
    <x v="0"/>
    <n v="17.372060000000001"/>
    <n v="78.50864"/>
    <x v="1"/>
    <n v="53"/>
    <n v="71"/>
    <n v="60"/>
  </r>
  <r>
    <s v="India"/>
    <x v="23"/>
    <x v="173"/>
    <s v="New Malakpet, Hyderabad - TSPCB"/>
    <x v="0"/>
    <n v="17.372060000000001"/>
    <n v="78.50864"/>
    <x v="2"/>
    <n v="18"/>
    <n v="18"/>
    <n v="18"/>
  </r>
  <r>
    <s v="India"/>
    <x v="21"/>
    <x v="174"/>
    <s v="VOC Nagar_SIPCOT, Ranipet - TNPCB"/>
    <x v="0"/>
    <n v="12.952707"/>
    <n v="79.303939999999997"/>
    <x v="2"/>
    <n v="1"/>
    <n v="4"/>
    <n v="2"/>
  </r>
  <r>
    <s v="India"/>
    <x v="21"/>
    <x v="240"/>
    <s v="Sona College of Technology, Salem - TNPCB"/>
    <x v="0"/>
    <n v="11.679111000000001"/>
    <n v="78.125051999999997"/>
    <x v="4"/>
    <n v="36"/>
    <n v="39"/>
    <n v="38"/>
  </r>
  <r>
    <s v="India"/>
    <x v="21"/>
    <x v="240"/>
    <s v="Sona College of Technology, Salem - TNPCB"/>
    <x v="0"/>
    <n v="11.679111000000001"/>
    <n v="78.125051999999997"/>
    <x v="6"/>
    <n v="36"/>
    <n v="36"/>
    <n v="36"/>
  </r>
  <r>
    <s v="India"/>
    <x v="21"/>
    <x v="241"/>
    <s v="Parisutham Nagar, Thanjavur - TNPCB"/>
    <x v="0"/>
    <n v="10.7654824"/>
    <n v="79.138996800000001"/>
    <x v="1"/>
    <n v="17"/>
    <n v="59"/>
    <n v="33"/>
  </r>
  <r>
    <s v="India"/>
    <x v="21"/>
    <x v="241"/>
    <s v="Parisutham Nagar, Thanjavur - TNPCB"/>
    <x v="0"/>
    <n v="10.7654824"/>
    <n v="79.138996800000001"/>
    <x v="6"/>
    <n v="8"/>
    <n v="10"/>
    <n v="8"/>
  </r>
  <r>
    <s v="India"/>
    <x v="21"/>
    <x v="241"/>
    <s v="Parisutham Nagar, Thanjavur - TNPCB"/>
    <x v="0"/>
    <n v="10.7654824"/>
    <n v="79.138996800000001"/>
    <x v="0"/>
    <n v="7"/>
    <n v="22"/>
    <n v="15"/>
  </r>
  <r>
    <s v="India"/>
    <x v="21"/>
    <x v="161"/>
    <s v="Ponnusamy Nagar, Namakkal - TNPCB"/>
    <x v="0"/>
    <n v="11.273992"/>
    <n v="78.163544999999999"/>
    <x v="4"/>
    <n v="14"/>
    <n v="18"/>
    <n v="15"/>
  </r>
  <r>
    <s v="India"/>
    <x v="21"/>
    <x v="251"/>
    <s v="Bombay Castel, Ooty - TNPCB"/>
    <x v="0"/>
    <n v="11.4068288"/>
    <n v="76.713897299999999"/>
    <x v="3"/>
    <n v="8"/>
    <n v="17"/>
    <n v="15"/>
  </r>
  <r>
    <s v="India"/>
    <x v="21"/>
    <x v="244"/>
    <s v="SIPCOT Nathampannai, Pudukottai - TNPCB"/>
    <x v="0"/>
    <n v="10.423417000000001"/>
    <n v="78.784889000000007"/>
    <x v="3"/>
    <n v="2"/>
    <n v="3"/>
    <n v="2"/>
  </r>
  <r>
    <s v="India"/>
    <x v="21"/>
    <x v="177"/>
    <s v="Chalai Bazaar, Ramanathapuram - TNPCB"/>
    <x v="0"/>
    <n v="9.3639899999999994"/>
    <n v="78.831976999999995"/>
    <x v="3"/>
    <n v="1"/>
    <n v="1"/>
    <n v="1"/>
  </r>
  <r>
    <s v="India"/>
    <x v="21"/>
    <x v="168"/>
    <s v="Kudikadu, Cuddalore - TNPCB"/>
    <x v="0"/>
    <n v="11.6829898"/>
    <n v="79.753209900000002"/>
    <x v="3"/>
    <m/>
    <m/>
    <m/>
  </r>
  <r>
    <s v="India"/>
    <x v="21"/>
    <x v="168"/>
    <s v="Kudikadu, Cuddalore - TNPCB"/>
    <x v="0"/>
    <n v="11.6829898"/>
    <n v="79.753209900000002"/>
    <x v="4"/>
    <m/>
    <m/>
    <m/>
  </r>
  <r>
    <s v="India"/>
    <x v="21"/>
    <x v="168"/>
    <s v="Semmandalam, Cuddalore - TNPCB"/>
    <x v="0"/>
    <n v="11.763768300000001"/>
    <n v="79.749983499999999"/>
    <x v="1"/>
    <n v="8"/>
    <n v="49"/>
    <n v="23"/>
  </r>
  <r>
    <s v="India"/>
    <x v="21"/>
    <x v="168"/>
    <s v="Semmandalam, Cuddalore - TNPCB"/>
    <x v="0"/>
    <n v="11.763768300000001"/>
    <n v="79.749983499999999"/>
    <x v="3"/>
    <n v="1"/>
    <n v="1"/>
    <n v="1"/>
  </r>
  <r>
    <s v="India"/>
    <x v="21"/>
    <x v="169"/>
    <s v="St Joseph College, Tiruchirappalli - TNPCB"/>
    <x v="0"/>
    <n v="10.830158000000001"/>
    <n v="78.691849000000005"/>
    <x v="1"/>
    <n v="9"/>
    <n v="35"/>
    <n v="24"/>
  </r>
  <r>
    <s v="India"/>
    <x v="21"/>
    <x v="170"/>
    <s v="Municipal Corporation Office, Tirunelveli - TNPCB"/>
    <x v="0"/>
    <n v="8.7284419999999994"/>
    <n v="77.696200000000005"/>
    <x v="2"/>
    <n v="4"/>
    <n v="11"/>
    <n v="7"/>
  </r>
  <r>
    <s v="India"/>
    <x v="21"/>
    <x v="238"/>
    <s v="Anthoni Pillai Nagar, Gummidipoondi - TNPCB"/>
    <x v="0"/>
    <n v="13.412699999999999"/>
    <n v="80.108099999999993"/>
    <x v="5"/>
    <n v="14"/>
    <n v="193"/>
    <n v="54"/>
  </r>
  <r>
    <s v="India"/>
    <x v="23"/>
    <x v="173"/>
    <s v="Sanathnagar, Hyderabad - TSPCB"/>
    <x v="0"/>
    <n v="17.455945799999999"/>
    <n v="78.433215200000006"/>
    <x v="2"/>
    <n v="17"/>
    <n v="32"/>
    <n v="26"/>
  </r>
  <r>
    <s v="India"/>
    <x v="24"/>
    <x v="180"/>
    <s v="Vibhab Nagar, Firozabad - UPPCB"/>
    <x v="0"/>
    <n v="27.159400000000002"/>
    <n v="78.395300000000006"/>
    <x v="4"/>
    <n v="2"/>
    <n v="132"/>
    <n v="84"/>
  </r>
  <r>
    <s v="India"/>
    <x v="24"/>
    <x v="180"/>
    <s v="Vibhab Nagar, Firozabad - UPPCB"/>
    <x v="0"/>
    <n v="27.159400000000002"/>
    <n v="78.395300000000006"/>
    <x v="6"/>
    <n v="5"/>
    <n v="30"/>
    <n v="13"/>
  </r>
  <r>
    <s v="India"/>
    <x v="24"/>
    <x v="180"/>
    <s v="Vibhab Nagar, Firozabad - UPPCB"/>
    <x v="0"/>
    <n v="27.159400000000002"/>
    <n v="78.395300000000006"/>
    <x v="0"/>
    <n v="1"/>
    <n v="119"/>
    <n v="77"/>
  </r>
  <r>
    <s v="India"/>
    <x v="24"/>
    <x v="181"/>
    <s v="Indirapuram, Ghaziabad - UPPCB"/>
    <x v="0"/>
    <n v="28.646232999999999"/>
    <n v="77.358074999999999"/>
    <x v="2"/>
    <n v="16"/>
    <n v="378"/>
    <n v="90"/>
  </r>
  <r>
    <s v="India"/>
    <x v="24"/>
    <x v="181"/>
    <s v="Indirapuram, Ghaziabad - UPPCB"/>
    <x v="0"/>
    <n v="28.646232999999999"/>
    <n v="77.358074999999999"/>
    <x v="6"/>
    <n v="32"/>
    <n v="53"/>
    <n v="39"/>
  </r>
  <r>
    <s v="India"/>
    <x v="24"/>
    <x v="181"/>
    <s v="Sanjay Nagar, Ghaziabad - UPPCB"/>
    <x v="0"/>
    <n v="28.685382000000001"/>
    <n v="77.453839000000002"/>
    <x v="4"/>
    <n v="17"/>
    <n v="84"/>
    <n v="39"/>
  </r>
  <r>
    <s v="India"/>
    <x v="24"/>
    <x v="181"/>
    <s v="Vasundhara, Ghaziabad - UPPCB"/>
    <x v="0"/>
    <n v="28.660334599999999"/>
    <n v="77.357256300000003"/>
    <x v="1"/>
    <n v="66"/>
    <n v="210"/>
    <n v="124"/>
  </r>
  <r>
    <s v="India"/>
    <x v="24"/>
    <x v="181"/>
    <s v="Vasundhara, Ghaziabad - UPPCB"/>
    <x v="0"/>
    <n v="28.660334599999999"/>
    <n v="77.357256300000003"/>
    <x v="3"/>
    <n v="5"/>
    <n v="14"/>
    <n v="10"/>
  </r>
  <r>
    <s v="India"/>
    <x v="24"/>
    <x v="176"/>
    <s v="Sanjay Palace, Agra - UPPCB"/>
    <x v="0"/>
    <n v="27.198658330000001"/>
    <n v="78.005980559999998"/>
    <x v="0"/>
    <n v="14"/>
    <n v="131"/>
    <n v="74"/>
  </r>
  <r>
    <s v="India"/>
    <x v="24"/>
    <x v="176"/>
    <s v="Sector-3B Avas Vikas Colony, Agra - UPPCB"/>
    <x v="0"/>
    <n v="27.194120000000002"/>
    <n v="77.962370000000007"/>
    <x v="4"/>
    <n v="20"/>
    <n v="27"/>
    <n v="21"/>
  </r>
  <r>
    <s v="India"/>
    <x v="24"/>
    <x v="176"/>
    <s v="Sector-3B Avas Vikas Colony, Agra - UPPCB"/>
    <x v="0"/>
    <n v="27.194120000000002"/>
    <n v="77.962370000000007"/>
    <x v="6"/>
    <n v="22"/>
    <n v="48"/>
    <n v="29"/>
  </r>
  <r>
    <s v="India"/>
    <x v="24"/>
    <x v="176"/>
    <s v="Shahjahan Garden, Agra - UPPCB"/>
    <x v="0"/>
    <n v="27.169338"/>
    <n v="78.035820000000001"/>
    <x v="1"/>
    <m/>
    <m/>
    <m/>
  </r>
  <r>
    <s v="India"/>
    <x v="24"/>
    <x v="176"/>
    <s v="Shahjahan Garden, Agra - UPPCB"/>
    <x v="0"/>
    <n v="27.169338"/>
    <n v="78.035820000000001"/>
    <x v="3"/>
    <m/>
    <m/>
    <m/>
  </r>
  <r>
    <s v="India"/>
    <x v="24"/>
    <x v="176"/>
    <s v="Shastripuram, Agra - UPPCB"/>
    <x v="0"/>
    <n v="27.198619999999998"/>
    <n v="77.920659999999998"/>
    <x v="2"/>
    <n v="49"/>
    <n v="84"/>
    <n v="54"/>
  </r>
  <r>
    <s v="India"/>
    <x v="24"/>
    <x v="176"/>
    <s v="Shastripuram, Agra - UPPCB"/>
    <x v="0"/>
    <n v="27.198619999999998"/>
    <n v="77.920659999999998"/>
    <x v="4"/>
    <n v="15"/>
    <n v="24"/>
    <n v="18"/>
  </r>
  <r>
    <s v="India"/>
    <x v="24"/>
    <x v="176"/>
    <s v="Shastripuram, Agra - UPPCB"/>
    <x v="0"/>
    <n v="27.198619999999998"/>
    <n v="77.920659999999998"/>
    <x v="6"/>
    <n v="6"/>
    <n v="20"/>
    <n v="11"/>
  </r>
  <r>
    <s v="India"/>
    <x v="24"/>
    <x v="182"/>
    <s v="Madan Mohan Malaviya University of Technology, Gorakhpur - UPPCB"/>
    <x v="0"/>
    <n v="26.730136000000002"/>
    <n v="83.433858999999998"/>
    <x v="2"/>
    <n v="11"/>
    <n v="11"/>
    <n v="11"/>
  </r>
  <r>
    <s v="India"/>
    <x v="24"/>
    <x v="182"/>
    <s v="Madan Mohan Malaviya University of Technology, Gorakhpur - UPPCB"/>
    <x v="0"/>
    <n v="26.730136000000002"/>
    <n v="83.433858999999998"/>
    <x v="4"/>
    <n v="45"/>
    <n v="48"/>
    <n v="46"/>
  </r>
  <r>
    <s v="India"/>
    <x v="24"/>
    <x v="182"/>
    <s v="Madan Mohan Malaviya University of Technology, Gorakhpur - UPPCB"/>
    <x v="0"/>
    <n v="26.730136000000002"/>
    <n v="83.433858999999998"/>
    <x v="0"/>
    <n v="8"/>
    <n v="28"/>
    <n v="17"/>
  </r>
  <r>
    <s v="India"/>
    <x v="24"/>
    <x v="183"/>
    <s v="Knowledge Park - III, Greater Noida - UPPCB"/>
    <x v="0"/>
    <n v="28.472719999999999"/>
    <n v="77.481999999999999"/>
    <x v="2"/>
    <n v="11"/>
    <n v="199"/>
    <n v="89"/>
  </r>
  <r>
    <s v="India"/>
    <x v="24"/>
    <x v="183"/>
    <s v="Knowledge Park - III, Greater Noida - UPPCB"/>
    <x v="0"/>
    <n v="28.472719999999999"/>
    <n v="77.481999999999999"/>
    <x v="4"/>
    <n v="15"/>
    <n v="37"/>
    <n v="22"/>
  </r>
  <r>
    <s v="India"/>
    <x v="24"/>
    <x v="183"/>
    <s v="Knowledge Park - V, Greater Noida - UPPCB"/>
    <x v="0"/>
    <n v="28.557054000000001"/>
    <n v="77.453663000000006"/>
    <x v="5"/>
    <m/>
    <m/>
    <m/>
  </r>
  <r>
    <s v="India"/>
    <x v="24"/>
    <x v="183"/>
    <s v="Knowledge Park - V, Greater Noida - UPPCB"/>
    <x v="0"/>
    <n v="28.557054000000001"/>
    <n v="77.453663000000006"/>
    <x v="0"/>
    <n v="1"/>
    <n v="217"/>
    <n v="97"/>
  </r>
  <r>
    <s v="India"/>
    <x v="24"/>
    <x v="178"/>
    <s v="Civil Lines, Bareilly - UPPCB"/>
    <x v="0"/>
    <n v="28.359580999999999"/>
    <n v="79.414455000000004"/>
    <x v="2"/>
    <n v="2"/>
    <n v="3"/>
    <n v="2"/>
  </r>
  <r>
    <s v="India"/>
    <x v="24"/>
    <x v="178"/>
    <s v="Civil Lines, Bareilly - UPPCB"/>
    <x v="0"/>
    <n v="28.359580999999999"/>
    <n v="79.414455000000004"/>
    <x v="4"/>
    <n v="56"/>
    <n v="96"/>
    <n v="66"/>
  </r>
  <r>
    <s v="India"/>
    <x v="24"/>
    <x v="180"/>
    <s v="Nagla Bhau, Firozabad - UPPCB"/>
    <x v="0"/>
    <n v="27.168897000000001"/>
    <n v="78.376959999999997"/>
    <x v="5"/>
    <n v="20"/>
    <n v="135"/>
    <n v="52"/>
  </r>
  <r>
    <s v="India"/>
    <x v="24"/>
    <x v="180"/>
    <s v="Nagla Bhau, Firozabad - UPPCB"/>
    <x v="0"/>
    <n v="27.168897000000001"/>
    <n v="78.376959999999997"/>
    <x v="4"/>
    <n v="26"/>
    <n v="39"/>
    <n v="30"/>
  </r>
  <r>
    <s v="India"/>
    <x v="30"/>
    <x v="246"/>
    <s v="Bardowali, Agartala - Tripura SPCB"/>
    <x v="0"/>
    <n v="23.817549700000001"/>
    <n v="91.272697399999998"/>
    <x v="6"/>
    <n v="2"/>
    <n v="48"/>
    <n v="23"/>
  </r>
  <r>
    <s v="India"/>
    <x v="24"/>
    <x v="176"/>
    <s v="Manoharpur, Agra - UPPCB"/>
    <x v="0"/>
    <n v="27.237110000000001"/>
    <n v="78.019360000000006"/>
    <x v="5"/>
    <n v="21"/>
    <n v="168"/>
    <n v="66"/>
  </r>
  <r>
    <s v="India"/>
    <x v="24"/>
    <x v="176"/>
    <s v="Manoharpur, Agra - UPPCB"/>
    <x v="0"/>
    <n v="27.237110000000001"/>
    <n v="78.019360000000006"/>
    <x v="6"/>
    <n v="5"/>
    <n v="21"/>
    <n v="8"/>
  </r>
  <r>
    <s v="India"/>
    <x v="23"/>
    <x v="173"/>
    <s v="Somajiguda, Hyderabad - TSPCB"/>
    <x v="0"/>
    <n v="17.417093999999999"/>
    <n v="78.457436999999999"/>
    <x v="6"/>
    <n v="34"/>
    <n v="74"/>
    <n v="46"/>
  </r>
  <r>
    <s v="India"/>
    <x v="30"/>
    <x v="246"/>
    <s v="Bardowali, Agartala - Tripura SPCB"/>
    <x v="0"/>
    <n v="23.817549700000001"/>
    <n v="91.272697399999998"/>
    <x v="1"/>
    <n v="18"/>
    <n v="59"/>
    <n v="33"/>
  </r>
  <r>
    <s v="India"/>
    <x v="30"/>
    <x v="246"/>
    <s v="Bardowali, Agartala - Tripura SPCB"/>
    <x v="0"/>
    <n v="23.817549700000001"/>
    <n v="91.272697399999998"/>
    <x v="2"/>
    <n v="5"/>
    <n v="46"/>
    <n v="16"/>
  </r>
  <r>
    <s v="India"/>
    <x v="30"/>
    <x v="246"/>
    <s v="Bardowali, Agartala - Tripura SPCB"/>
    <x v="0"/>
    <n v="23.817549700000001"/>
    <n v="91.272697399999998"/>
    <x v="4"/>
    <n v="20"/>
    <n v="22"/>
    <n v="20"/>
  </r>
  <r>
    <s v="India"/>
    <x v="24"/>
    <x v="187"/>
    <s v="Sardar Patel Inter College, Baghpat - UPPCB"/>
    <x v="0"/>
    <n v="28.964949000000001"/>
    <n v="77.278761000000003"/>
    <x v="6"/>
    <n v="8"/>
    <n v="130"/>
    <n v="36"/>
  </r>
  <r>
    <s v="India"/>
    <x v="24"/>
    <x v="176"/>
    <s v="Rohta, Agra - UPPCB"/>
    <x v="0"/>
    <n v="27.106971999999999"/>
    <n v="78.000111000000004"/>
    <x v="6"/>
    <n v="22"/>
    <n v="50"/>
    <n v="27"/>
  </r>
  <r>
    <s v="India"/>
    <x v="24"/>
    <x v="191"/>
    <s v="Buddhi Vihar, Moradabad - UPPCB"/>
    <x v="0"/>
    <n v="28.835260000000002"/>
    <n v="78.744600000000005"/>
    <x v="3"/>
    <m/>
    <m/>
    <m/>
  </r>
  <r>
    <s v="India"/>
    <x v="24"/>
    <x v="191"/>
    <s v="Eco Herbal Park, Moradabad - UPPCB"/>
    <x v="0"/>
    <n v="28.840738999999999"/>
    <n v="78.697530999999998"/>
    <x v="4"/>
    <n v="6"/>
    <n v="90"/>
    <n v="41"/>
  </r>
  <r>
    <s v="India"/>
    <x v="24"/>
    <x v="191"/>
    <s v="Eco Herbal Park, Moradabad - UPPCB"/>
    <x v="0"/>
    <n v="28.840738999999999"/>
    <n v="78.697530999999998"/>
    <x v="0"/>
    <n v="7"/>
    <n v="139"/>
    <n v="80"/>
  </r>
  <r>
    <s v="India"/>
    <x v="24"/>
    <x v="191"/>
    <s v="Employment Office, Moradabad - UPPCB"/>
    <x v="0"/>
    <n v="28.885280000000002"/>
    <n v="78.738799999999998"/>
    <x v="0"/>
    <n v="8"/>
    <n v="97"/>
    <n v="56"/>
  </r>
  <r>
    <s v="India"/>
    <x v="24"/>
    <x v="191"/>
    <s v="Jigar Colony, Moradabad - UPPCB"/>
    <x v="0"/>
    <n v="28.856663999999999"/>
    <n v="78.772638000000001"/>
    <x v="5"/>
    <n v="22"/>
    <n v="91"/>
    <n v="57"/>
  </r>
  <r>
    <s v="India"/>
    <x v="24"/>
    <x v="191"/>
    <s v="Jigar Colony, Moradabad - UPPCB"/>
    <x v="0"/>
    <n v="28.856663999999999"/>
    <n v="78.772638000000001"/>
    <x v="1"/>
    <n v="48"/>
    <n v="124"/>
    <n v="89"/>
  </r>
  <r>
    <s v="India"/>
    <x v="24"/>
    <x v="191"/>
    <s v="Jigar Colony, Moradabad - UPPCB"/>
    <x v="0"/>
    <n v="28.856663999999999"/>
    <n v="78.772638000000001"/>
    <x v="3"/>
    <n v="6"/>
    <n v="7"/>
    <n v="6"/>
  </r>
  <r>
    <s v="India"/>
    <x v="24"/>
    <x v="191"/>
    <s v="Kashiram Nagar, Moradabad - UPPCB"/>
    <x v="0"/>
    <n v="28.849398999999998"/>
    <n v="78.742362"/>
    <x v="3"/>
    <n v="4"/>
    <n v="4"/>
    <n v="4"/>
  </r>
  <r>
    <s v="India"/>
    <x v="24"/>
    <x v="189"/>
    <s v="Kukrail Picnic Spot-1, Lucknow - UPPCB"/>
    <x v="0"/>
    <n v="26.907229999999998"/>
    <n v="80.985789999999994"/>
    <x v="3"/>
    <n v="4"/>
    <n v="4"/>
    <n v="4"/>
  </r>
  <r>
    <s v="India"/>
    <x v="24"/>
    <x v="189"/>
    <s v="Kukrail Picnic Spot-1, Lucknow - UPPCB"/>
    <x v="0"/>
    <n v="26.907229999999998"/>
    <n v="80.985789999999994"/>
    <x v="0"/>
    <n v="12"/>
    <n v="68"/>
    <n v="45"/>
  </r>
  <r>
    <s v="India"/>
    <x v="24"/>
    <x v="189"/>
    <s v="Lalbagh, Lucknow - CPCB"/>
    <x v="0"/>
    <n v="26.8458805"/>
    <n v="80.936554099999995"/>
    <x v="5"/>
    <m/>
    <m/>
    <m/>
  </r>
  <r>
    <s v="India"/>
    <x v="24"/>
    <x v="189"/>
    <s v="Lalbagh, Lucknow - CPCB"/>
    <x v="0"/>
    <n v="26.8458805"/>
    <n v="80.936554099999995"/>
    <x v="3"/>
    <m/>
    <m/>
    <m/>
  </r>
  <r>
    <s v="India"/>
    <x v="24"/>
    <x v="189"/>
    <s v="Talkatora District Industries Center, Lucknow - CPCB"/>
    <x v="0"/>
    <n v="26.833997220000001"/>
    <n v="80.891736100000003"/>
    <x v="2"/>
    <n v="31"/>
    <n v="50"/>
    <n v="38"/>
  </r>
  <r>
    <s v="India"/>
    <x v="24"/>
    <x v="190"/>
    <s v="Ganga Nagar, Meerut - UPPCB"/>
    <x v="0"/>
    <n v="28.999264"/>
    <n v="77.759035400000002"/>
    <x v="1"/>
    <n v="109"/>
    <n v="351"/>
    <n v="183"/>
  </r>
  <r>
    <s v="India"/>
    <x v="24"/>
    <x v="190"/>
    <s v="Jai Bhim Nagar, Meerut - UPPCB"/>
    <x v="0"/>
    <n v="28.953588199999999"/>
    <n v="77.762294100000005"/>
    <x v="4"/>
    <n v="1"/>
    <n v="7"/>
    <n v="4"/>
  </r>
  <r>
    <s v="India"/>
    <x v="24"/>
    <x v="186"/>
    <s v="NSI Kalyanpur, Kanpur - UPPCB"/>
    <x v="0"/>
    <n v="26.509954"/>
    <n v="80.249611999999999"/>
    <x v="5"/>
    <n v="22"/>
    <n v="76"/>
    <n v="46"/>
  </r>
  <r>
    <s v="India"/>
    <x v="24"/>
    <x v="186"/>
    <s v="NSI Kalyanpur, Kanpur - UPPCB"/>
    <x v="0"/>
    <n v="26.509954"/>
    <n v="80.249611999999999"/>
    <x v="1"/>
    <n v="42"/>
    <n v="106"/>
    <n v="78"/>
  </r>
  <r>
    <s v="India"/>
    <x v="24"/>
    <x v="186"/>
    <s v="NSI Kalyanpur, Kanpur - UPPCB"/>
    <x v="0"/>
    <n v="26.509954"/>
    <n v="80.249611999999999"/>
    <x v="2"/>
    <n v="24"/>
    <n v="24"/>
    <n v="24"/>
  </r>
  <r>
    <s v="India"/>
    <x v="24"/>
    <x v="186"/>
    <s v="NSI Kalyanpur, Kanpur - UPPCB"/>
    <x v="0"/>
    <n v="26.509954"/>
    <n v="80.249611999999999"/>
    <x v="4"/>
    <n v="3"/>
    <n v="32"/>
    <n v="17"/>
  </r>
  <r>
    <s v="India"/>
    <x v="24"/>
    <x v="186"/>
    <s v="Nehru Nagar, Kanpur - UPPCB"/>
    <x v="0"/>
    <n v="26.470313600000001"/>
    <n v="80.322986299999997"/>
    <x v="5"/>
    <n v="28"/>
    <n v="338"/>
    <n v="113"/>
  </r>
  <r>
    <s v="India"/>
    <x v="24"/>
    <x v="186"/>
    <s v="Nehru Nagar, Kanpur - UPPCB"/>
    <x v="0"/>
    <n v="26.470313600000001"/>
    <n v="80.322986299999997"/>
    <x v="1"/>
    <n v="25"/>
    <n v="205"/>
    <n v="80"/>
  </r>
  <r>
    <s v="India"/>
    <x v="24"/>
    <x v="186"/>
    <s v="Nehru Nagar, Kanpur - UPPCB"/>
    <x v="0"/>
    <n v="26.470313600000001"/>
    <n v="80.322986299999997"/>
    <x v="4"/>
    <n v="6"/>
    <n v="130"/>
    <n v="30"/>
  </r>
  <r>
    <s v="India"/>
    <x v="24"/>
    <x v="186"/>
    <s v="Nehru Nagar, Kanpur - UPPCB"/>
    <x v="0"/>
    <n v="26.470313600000001"/>
    <n v="80.322986299999997"/>
    <x v="0"/>
    <n v="6"/>
    <n v="46"/>
    <n v="21"/>
  </r>
  <r>
    <s v="India"/>
    <x v="24"/>
    <x v="191"/>
    <s v="Transport Nagar, Moradabad - UPPCB"/>
    <x v="0"/>
    <n v="28.802624999999999"/>
    <n v="78.753727999999995"/>
    <x v="1"/>
    <n v="37"/>
    <n v="124"/>
    <n v="81"/>
  </r>
  <r>
    <s v="India"/>
    <x v="24"/>
    <x v="191"/>
    <s v="Transport Nagar, Moradabad - UPPCB"/>
    <x v="0"/>
    <n v="28.802624999999999"/>
    <n v="78.753727999999995"/>
    <x v="3"/>
    <n v="5"/>
    <n v="5"/>
    <n v="5"/>
  </r>
  <r>
    <s v="India"/>
    <x v="24"/>
    <x v="191"/>
    <s v="Transport Nagar, Moradabad - UPPCB"/>
    <x v="0"/>
    <n v="28.802624999999999"/>
    <n v="78.753727999999995"/>
    <x v="4"/>
    <n v="24"/>
    <n v="68"/>
    <n v="41"/>
  </r>
  <r>
    <s v="India"/>
    <x v="24"/>
    <x v="247"/>
    <s v="New Mandi, Muzaffarnagar - UPPCB"/>
    <x v="0"/>
    <n v="29.472350800000001"/>
    <n v="77.719403099999994"/>
    <x v="3"/>
    <n v="8"/>
    <n v="15"/>
    <n v="10"/>
  </r>
  <r>
    <s v="India"/>
    <x v="24"/>
    <x v="247"/>
    <s v="New Mandi, Muzaffarnagar - UPPCB"/>
    <x v="0"/>
    <n v="29.472350800000001"/>
    <n v="77.719403099999994"/>
    <x v="0"/>
    <n v="17"/>
    <n v="170"/>
    <n v="124"/>
  </r>
  <r>
    <s v="India"/>
    <x v="24"/>
    <x v="192"/>
    <s v="Sector - 125, Noida - UPPCB"/>
    <x v="0"/>
    <n v="28.544760799999999"/>
    <n v="77.323125700000006"/>
    <x v="5"/>
    <n v="32"/>
    <n v="326"/>
    <n v="113"/>
  </r>
  <r>
    <s v="India"/>
    <x v="24"/>
    <x v="188"/>
    <s v="Kalindi Kunj, Khurja - UPPCB"/>
    <x v="0"/>
    <n v="28.2348927"/>
    <n v="77.868300199999993"/>
    <x v="4"/>
    <n v="30"/>
    <n v="95"/>
    <n v="57"/>
  </r>
  <r>
    <s v="India"/>
    <x v="24"/>
    <x v="188"/>
    <s v="Kalindi Kunj, Khurja - UPPCB"/>
    <x v="0"/>
    <n v="28.2348927"/>
    <n v="77.868300199999993"/>
    <x v="0"/>
    <n v="4"/>
    <n v="14"/>
    <n v="8"/>
  </r>
  <r>
    <s v="India"/>
    <x v="24"/>
    <x v="189"/>
    <s v="B R Ambedkar University, Lucknow - UPPCB"/>
    <x v="0"/>
    <n v="26.766432999999999"/>
    <n v="80.927299000000005"/>
    <x v="5"/>
    <n v="28"/>
    <n v="275"/>
    <n v="74"/>
  </r>
  <r>
    <s v="India"/>
    <x v="24"/>
    <x v="189"/>
    <s v="Gomti Nagar, Lucknow - UPPCB"/>
    <x v="0"/>
    <n v="26.868120000000001"/>
    <n v="81.005118999999993"/>
    <x v="6"/>
    <n v="36"/>
    <n v="44"/>
    <n v="43"/>
  </r>
  <r>
    <s v="India"/>
    <x v="24"/>
    <x v="189"/>
    <s v="Kendriya Vidyalaya, Lucknow - CPCB"/>
    <x v="0"/>
    <n v="26.906110999999999"/>
    <n v="80.948222000000001"/>
    <x v="2"/>
    <n v="36"/>
    <n v="52"/>
    <n v="43"/>
  </r>
  <r>
    <s v="India"/>
    <x v="24"/>
    <x v="184"/>
    <s v="Anand Vihar, Hapur - UPPCB"/>
    <x v="0"/>
    <n v="28.725645"/>
    <n v="77.749674999999996"/>
    <x v="3"/>
    <n v="9"/>
    <n v="12"/>
    <n v="10"/>
  </r>
  <r>
    <s v="India"/>
    <x v="24"/>
    <x v="184"/>
    <s v="Anand Vihar, Hapur - UPPCB"/>
    <x v="0"/>
    <n v="28.725645"/>
    <n v="77.749674999999996"/>
    <x v="4"/>
    <n v="8"/>
    <n v="117"/>
    <n v="67"/>
  </r>
  <r>
    <s v="India"/>
    <x v="24"/>
    <x v="190"/>
    <s v="Pallavpuram Phase 2, Meerut - UPPCB"/>
    <x v="0"/>
    <n v="29.063510000000001"/>
    <n v="77.709722999999997"/>
    <x v="0"/>
    <n v="1"/>
    <n v="93"/>
    <n v="53"/>
  </r>
  <r>
    <s v="India"/>
    <x v="24"/>
    <x v="189"/>
    <s v="Kendriya Vidyalaya, Lucknow - CPCB"/>
    <x v="0"/>
    <n v="26.906110999999999"/>
    <n v="80.948222000000001"/>
    <x v="4"/>
    <n v="9"/>
    <n v="48"/>
    <n v="20"/>
  </r>
  <r>
    <s v="India"/>
    <x v="26"/>
    <x v="201"/>
    <s v="Evelyn Lodge, Asansol - WBPCB"/>
    <x v="0"/>
    <n v="23.697935999999999"/>
    <n v="86.944395"/>
    <x v="6"/>
    <n v="16"/>
    <n v="96"/>
    <n v="25"/>
  </r>
  <r>
    <s v="India"/>
    <x v="26"/>
    <x v="201"/>
    <s v="Mahabir Colliery, Asansol - WBPCB"/>
    <x v="0"/>
    <n v="23.618182999999998"/>
    <n v="87.105717999999996"/>
    <x v="5"/>
    <n v="38"/>
    <n v="124"/>
    <n v="76"/>
  </r>
  <r>
    <s v="India"/>
    <x v="26"/>
    <x v="201"/>
    <s v="Mahabir Colliery, Asansol - WBPCB"/>
    <x v="0"/>
    <n v="23.618182999999998"/>
    <n v="87.105717999999996"/>
    <x v="2"/>
    <n v="10"/>
    <n v="35"/>
    <n v="20"/>
  </r>
  <r>
    <s v="India"/>
    <x v="26"/>
    <x v="201"/>
    <s v="Mahabir Colliery, Asansol - WBPCB"/>
    <x v="0"/>
    <n v="23.618182999999998"/>
    <n v="87.105717999999996"/>
    <x v="3"/>
    <n v="6"/>
    <n v="9"/>
    <n v="8"/>
  </r>
  <r>
    <s v="India"/>
    <x v="26"/>
    <x v="201"/>
    <s v="Mahabir Colliery, Asansol - WBPCB"/>
    <x v="0"/>
    <n v="23.618182999999998"/>
    <n v="87.105717999999996"/>
    <x v="6"/>
    <n v="20"/>
    <n v="50"/>
    <n v="27"/>
  </r>
  <r>
    <s v="India"/>
    <x v="26"/>
    <x v="201"/>
    <s v="Mahabir Colliery, Asansol - WBPCB"/>
    <x v="0"/>
    <n v="23.618182999999998"/>
    <n v="87.105717999999996"/>
    <x v="0"/>
    <n v="20"/>
    <n v="125"/>
    <n v="87"/>
  </r>
  <r>
    <s v="India"/>
    <x v="26"/>
    <x v="201"/>
    <s v="Trivenidevi Bhalotia College, Asansol - WBPCB"/>
    <x v="0"/>
    <n v="23.616515"/>
    <n v="87.119133000000005"/>
    <x v="6"/>
    <n v="34"/>
    <n v="63"/>
    <n v="40"/>
  </r>
  <r>
    <s v="India"/>
    <x v="26"/>
    <x v="198"/>
    <s v="Mahishkapur Road_B-Zone, Durgapur - WBPCB"/>
    <x v="0"/>
    <n v="23.567923"/>
    <n v="87.306843000000001"/>
    <x v="1"/>
    <n v="114"/>
    <n v="219"/>
    <n v="157"/>
  </r>
  <r>
    <s v="India"/>
    <x v="26"/>
    <x v="198"/>
    <s v="Mahishkapur Road_B-Zone, Durgapur - WBPCB"/>
    <x v="0"/>
    <n v="23.567923"/>
    <n v="87.306843000000001"/>
    <x v="0"/>
    <n v="13"/>
    <n v="105"/>
    <n v="67"/>
  </r>
  <r>
    <s v="India"/>
    <x v="24"/>
    <x v="194"/>
    <s v="Maldahiya, Varanasi - UPPCB"/>
    <x v="0"/>
    <n v="25.323930000000001"/>
    <n v="82.996870000000001"/>
    <x v="3"/>
    <n v="1"/>
    <n v="1"/>
    <n v="1"/>
  </r>
  <r>
    <s v="India"/>
    <x v="24"/>
    <x v="194"/>
    <s v="Maldahiya, Varanasi - UPPCB"/>
    <x v="0"/>
    <n v="25.323930000000001"/>
    <n v="82.996870000000001"/>
    <x v="6"/>
    <n v="16"/>
    <n v="129"/>
    <n v="44"/>
  </r>
  <r>
    <s v="India"/>
    <x v="24"/>
    <x v="195"/>
    <s v="Omex Eternity, Vrindavan - UPPCB"/>
    <x v="0"/>
    <n v="27.571408999999999"/>
    <n v="77.655756999999994"/>
    <x v="5"/>
    <n v="6"/>
    <n v="64"/>
    <n v="30"/>
  </r>
  <r>
    <s v="India"/>
    <x v="24"/>
    <x v="195"/>
    <s v="Omex Eternity, Vrindavan - UPPCB"/>
    <x v="0"/>
    <n v="27.571408999999999"/>
    <n v="77.655756999999994"/>
    <x v="0"/>
    <n v="10"/>
    <n v="12"/>
    <n v="11"/>
  </r>
  <r>
    <s v="India"/>
    <x v="25"/>
    <x v="196"/>
    <s v="Doon University, Dehradun - UKPCB"/>
    <x v="0"/>
    <n v="30.269444"/>
    <n v="78.044167000000002"/>
    <x v="0"/>
    <n v="52"/>
    <n v="203"/>
    <n v="151"/>
  </r>
  <r>
    <s v="India"/>
    <x v="25"/>
    <x v="197"/>
    <s v="Govt. Girls Inter College, Kashipur - UKPCB"/>
    <x v="0"/>
    <n v="29.212411400000001"/>
    <n v="78.961175299999994"/>
    <x v="5"/>
    <n v="67"/>
    <n v="272"/>
    <n v="125"/>
  </r>
  <r>
    <s v="India"/>
    <x v="24"/>
    <x v="192"/>
    <s v="Sector-1, Noida - UPPCB"/>
    <x v="0"/>
    <n v="28.5898"/>
    <n v="77.310100000000006"/>
    <x v="0"/>
    <n v="1"/>
    <n v="180"/>
    <n v="89"/>
  </r>
  <r>
    <s v="India"/>
    <x v="24"/>
    <x v="192"/>
    <s v="Sector-116, Noida - UPPCB"/>
    <x v="0"/>
    <n v="28.569230000000001"/>
    <n v="77.393848000000006"/>
    <x v="5"/>
    <n v="43"/>
    <n v="310"/>
    <n v="139"/>
  </r>
  <r>
    <s v="India"/>
    <x v="24"/>
    <x v="192"/>
    <s v="Sector-116, Noida - UPPCB"/>
    <x v="0"/>
    <n v="28.569230000000001"/>
    <n v="77.393848000000006"/>
    <x v="0"/>
    <n v="2"/>
    <n v="177"/>
    <n v="75"/>
  </r>
  <r>
    <s v="India"/>
    <x v="24"/>
    <x v="193"/>
    <s v="Jhunsi, Prayagraj - UPPCB"/>
    <x v="0"/>
    <n v="25.425602000000001"/>
    <n v="81.917152000000002"/>
    <x v="5"/>
    <n v="24"/>
    <n v="150"/>
    <n v="66"/>
  </r>
  <r>
    <s v="India"/>
    <x v="24"/>
    <x v="193"/>
    <s v="Jhunsi, Prayagraj - UPPCB"/>
    <x v="0"/>
    <n v="25.425602000000001"/>
    <n v="81.917152000000002"/>
    <x v="1"/>
    <n v="35"/>
    <n v="413"/>
    <n v="134"/>
  </r>
  <r>
    <s v="India"/>
    <x v="24"/>
    <x v="193"/>
    <s v="Jhunsi, Prayagraj - UPPCB"/>
    <x v="0"/>
    <n v="25.425602000000001"/>
    <n v="81.917152000000002"/>
    <x v="4"/>
    <n v="28"/>
    <n v="30"/>
    <n v="29"/>
  </r>
  <r>
    <s v="India"/>
    <x v="25"/>
    <x v="197"/>
    <s v="Govt. Girls Inter College, Kashipur - UKPCB"/>
    <x v="0"/>
    <n v="29.212411400000001"/>
    <n v="78.961175299999994"/>
    <x v="3"/>
    <n v="3"/>
    <n v="13"/>
    <n v="7"/>
  </r>
  <r>
    <s v="India"/>
    <x v="25"/>
    <x v="197"/>
    <s v="Govt. Girls Inter College, Kashipur - UKPCB"/>
    <x v="0"/>
    <n v="29.212411400000001"/>
    <n v="78.961175299999994"/>
    <x v="6"/>
    <n v="17"/>
    <n v="96"/>
    <n v="41"/>
  </r>
  <r>
    <s v="India"/>
    <x v="25"/>
    <x v="248"/>
    <s v="Shivaji Nagar, Rishikesh - UKPCB"/>
    <x v="0"/>
    <n v="30.075911000000001"/>
    <n v="78.285954700000005"/>
    <x v="4"/>
    <n v="4"/>
    <n v="5"/>
    <n v="4"/>
  </r>
  <r>
    <s v="India"/>
    <x v="25"/>
    <x v="248"/>
    <s v="Shivaji Nagar, Rishikesh - UKPCB"/>
    <x v="0"/>
    <n v="30.075911000000001"/>
    <n v="78.285954700000005"/>
    <x v="6"/>
    <n v="24"/>
    <n v="54"/>
    <n v="36"/>
  </r>
  <r>
    <s v="India"/>
    <x v="24"/>
    <x v="193"/>
    <s v="Jhunsi, Prayagraj - UPPCB"/>
    <x v="0"/>
    <n v="25.425602000000001"/>
    <n v="81.917152000000002"/>
    <x v="0"/>
    <n v="5"/>
    <n v="79"/>
    <n v="49"/>
  </r>
  <r>
    <s v="India"/>
    <x v="24"/>
    <x v="193"/>
    <s v="Motilal Nehru NIT, Prayagraj - UPPCB"/>
    <x v="0"/>
    <n v="25.494"/>
    <n v="81.863"/>
    <x v="1"/>
    <n v="62"/>
    <n v="154"/>
    <n v="111"/>
  </r>
  <r>
    <s v="India"/>
    <x v="24"/>
    <x v="193"/>
    <s v="Motilal Nehru NIT, Prayagraj - UPPCB"/>
    <x v="0"/>
    <n v="25.494"/>
    <n v="81.863"/>
    <x v="3"/>
    <n v="3"/>
    <n v="6"/>
    <n v="5"/>
  </r>
  <r>
    <s v="India"/>
    <x v="24"/>
    <x v="194"/>
    <s v="Bhelupur, Varanasi - UPPCB"/>
    <x v="0"/>
    <n v="25.301777999999999"/>
    <n v="82.996789000000007"/>
    <x v="6"/>
    <n v="6"/>
    <n v="121"/>
    <n v="43"/>
  </r>
  <r>
    <s v="India"/>
    <x v="24"/>
    <x v="194"/>
    <s v="IESD Banaras Hindu University, Varanasi - UPPCB"/>
    <x v="0"/>
    <n v="25.262326000000002"/>
    <n v="82.995407999999998"/>
    <x v="2"/>
    <n v="2"/>
    <n v="2"/>
    <n v="2"/>
  </r>
  <r>
    <s v="India"/>
    <x v="26"/>
    <x v="201"/>
    <s v="Asansol Court Area, Asansol - WBPCB"/>
    <x v="0"/>
    <n v="23.685296999999998"/>
    <n v="86.945967999999993"/>
    <x v="0"/>
    <n v="19"/>
    <n v="76"/>
    <n v="59"/>
  </r>
  <r>
    <s v="India"/>
    <x v="24"/>
    <x v="192"/>
    <s v="Sector - 125, Noida - UPPCB"/>
    <x v="0"/>
    <n v="28.544760799999999"/>
    <n v="77.323125700000006"/>
    <x v="3"/>
    <n v="13"/>
    <n v="21"/>
    <n v="17"/>
  </r>
  <r>
    <s v="India"/>
    <x v="24"/>
    <x v="192"/>
    <s v="Sector-1, Noida - UPPCB"/>
    <x v="0"/>
    <n v="28.5898"/>
    <n v="77.310100000000006"/>
    <x v="1"/>
    <n v="20"/>
    <n v="118"/>
    <n v="64"/>
  </r>
  <r>
    <s v="India"/>
    <x v="26"/>
    <x v="198"/>
    <s v="PCBL Residential Complex, Durgapur - WBPCB"/>
    <x v="0"/>
    <n v="23.508763999999999"/>
    <n v="87.354439999999997"/>
    <x v="3"/>
    <n v="5"/>
    <n v="6"/>
    <n v="5"/>
  </r>
  <r>
    <s v="India"/>
    <x v="26"/>
    <x v="198"/>
    <s v="PCBL Residential Complex, Durgapur - WBPCB"/>
    <x v="0"/>
    <n v="23.508763999999999"/>
    <n v="87.354439999999997"/>
    <x v="6"/>
    <n v="57"/>
    <n v="109"/>
    <n v="72"/>
  </r>
  <r>
    <s v="India"/>
    <x v="26"/>
    <x v="200"/>
    <s v="Belur Math, Howrah - WBPCB"/>
    <x v="0"/>
    <n v="22.629801"/>
    <n v="88.352017000000004"/>
    <x v="3"/>
    <n v="4"/>
    <n v="4"/>
    <n v="4"/>
  </r>
  <r>
    <s v="India"/>
    <x v="26"/>
    <x v="200"/>
    <s v="Botanical Garden, Howrah - WBPCB"/>
    <x v="0"/>
    <n v="22.554953999999999"/>
    <n v="88.292568000000003"/>
    <x v="2"/>
    <n v="7"/>
    <n v="18"/>
    <n v="12"/>
  </r>
  <r>
    <s v="India"/>
    <x v="26"/>
    <x v="200"/>
    <s v="Botanical Garden, Howrah - WBPCB"/>
    <x v="0"/>
    <n v="22.554953999999999"/>
    <n v="88.292568000000003"/>
    <x v="4"/>
    <n v="4"/>
    <n v="8"/>
    <n v="5"/>
  </r>
  <r>
    <s v="India"/>
    <x v="26"/>
    <x v="200"/>
    <s v="Botanical Garden, Howrah - WBPCB"/>
    <x v="0"/>
    <n v="22.554953999999999"/>
    <n v="88.292568000000003"/>
    <x v="0"/>
    <n v="8"/>
    <n v="60"/>
    <n v="31"/>
  </r>
  <r>
    <s v="India"/>
    <x v="26"/>
    <x v="200"/>
    <s v="Ghusuri, Howrah - WBPCB"/>
    <x v="0"/>
    <n v="22.611968000000001"/>
    <n v="88.347421999999995"/>
    <x v="1"/>
    <n v="41"/>
    <n v="89"/>
    <n v="65"/>
  </r>
  <r>
    <s v="India"/>
    <x v="26"/>
    <x v="200"/>
    <s v="Padmapukur, Howrah - WBPCB"/>
    <x v="0"/>
    <n v="22.5687319"/>
    <n v="88.279727600000001"/>
    <x v="2"/>
    <n v="8"/>
    <n v="22"/>
    <n v="14"/>
  </r>
  <r>
    <s v="India"/>
    <x v="26"/>
    <x v="203"/>
    <s v="Jadavpur, Kolkata - WBPCB"/>
    <x v="0"/>
    <n v="22.499289999999998"/>
    <n v="88.369169999999997"/>
    <x v="4"/>
    <n v="5"/>
    <n v="34"/>
    <n v="11"/>
  </r>
  <r>
    <s v="India"/>
    <x v="26"/>
    <x v="204"/>
    <s v="Ward-32 Bapupara, Siliguri - WBPCB"/>
    <x v="0"/>
    <n v="26.6879226"/>
    <n v="88.415249500000002"/>
    <x v="2"/>
    <n v="19"/>
    <n v="34"/>
    <n v="24"/>
  </r>
  <r>
    <m/>
    <x v="31"/>
    <x v="252"/>
    <m/>
    <x v="1"/>
    <m/>
    <m/>
    <x v="7"/>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8776C8-3295-4C3E-9191-701C468841D7}" name="PivotTable7"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37">
  <location ref="A3:B12" firstHeaderRow="1" firstDataRow="1" firstDataCol="1"/>
  <pivotFields count="11">
    <pivotField showAll="0"/>
    <pivotField showAll="0"/>
    <pivotField showAll="0"/>
    <pivotField showAll="0"/>
    <pivotField showAll="0"/>
    <pivotField showAll="0"/>
    <pivotField showAll="0"/>
    <pivotField axis="axisRow" showAll="0">
      <items count="9">
        <item x="6"/>
        <item x="3"/>
        <item x="2"/>
        <item x="0"/>
        <item x="1"/>
        <item x="5"/>
        <item x="4"/>
        <item x="7"/>
        <item t="default"/>
      </items>
    </pivotField>
    <pivotField showAll="0"/>
    <pivotField showAll="0"/>
    <pivotField dataField="1" showAll="0"/>
  </pivotFields>
  <rowFields count="1">
    <field x="7"/>
  </rowFields>
  <rowItems count="9">
    <i>
      <x/>
    </i>
    <i>
      <x v="1"/>
    </i>
    <i>
      <x v="2"/>
    </i>
    <i>
      <x v="3"/>
    </i>
    <i>
      <x v="4"/>
    </i>
    <i>
      <x v="5"/>
    </i>
    <i>
      <x v="6"/>
    </i>
    <i>
      <x v="7"/>
    </i>
    <i t="grand">
      <x/>
    </i>
  </rowItems>
  <colItems count="1">
    <i/>
  </colItems>
  <dataFields count="1">
    <dataField name="Average of pollutant_avg" fld="10" subtotal="average" baseField="7" baseItem="0"/>
  </dataFields>
  <chartFormats count="27">
    <chartFormat chart="10" format="0" series="1">
      <pivotArea type="data" outline="0" fieldPosition="0">
        <references count="1">
          <reference field="4294967294" count="1" selected="0">
            <x v="0"/>
          </reference>
        </references>
      </pivotArea>
    </chartFormat>
    <chartFormat chart="18" format="28" series="1">
      <pivotArea type="data" outline="0" fieldPosition="0">
        <references count="1">
          <reference field="4294967294" count="1" selected="0">
            <x v="0"/>
          </reference>
        </references>
      </pivotArea>
    </chartFormat>
    <chartFormat chart="18" format="29">
      <pivotArea type="data" outline="0" fieldPosition="0">
        <references count="2">
          <reference field="4294967294" count="1" selected="0">
            <x v="0"/>
          </reference>
          <reference field="7" count="1" selected="0">
            <x v="0"/>
          </reference>
        </references>
      </pivotArea>
    </chartFormat>
    <chartFormat chart="18" format="30">
      <pivotArea type="data" outline="0" fieldPosition="0">
        <references count="2">
          <reference field="4294967294" count="1" selected="0">
            <x v="0"/>
          </reference>
          <reference field="7" count="1" selected="0">
            <x v="1"/>
          </reference>
        </references>
      </pivotArea>
    </chartFormat>
    <chartFormat chart="18" format="31">
      <pivotArea type="data" outline="0" fieldPosition="0">
        <references count="2">
          <reference field="4294967294" count="1" selected="0">
            <x v="0"/>
          </reference>
          <reference field="7" count="1" selected="0">
            <x v="2"/>
          </reference>
        </references>
      </pivotArea>
    </chartFormat>
    <chartFormat chart="18" format="32">
      <pivotArea type="data" outline="0" fieldPosition="0">
        <references count="2">
          <reference field="4294967294" count="1" selected="0">
            <x v="0"/>
          </reference>
          <reference field="7" count="1" selected="0">
            <x v="3"/>
          </reference>
        </references>
      </pivotArea>
    </chartFormat>
    <chartFormat chart="18" format="33">
      <pivotArea type="data" outline="0" fieldPosition="0">
        <references count="2">
          <reference field="4294967294" count="1" selected="0">
            <x v="0"/>
          </reference>
          <reference field="7" count="1" selected="0">
            <x v="4"/>
          </reference>
        </references>
      </pivotArea>
    </chartFormat>
    <chartFormat chart="18" format="34">
      <pivotArea type="data" outline="0" fieldPosition="0">
        <references count="2">
          <reference field="4294967294" count="1" selected="0">
            <x v="0"/>
          </reference>
          <reference field="7" count="1" selected="0">
            <x v="5"/>
          </reference>
        </references>
      </pivotArea>
    </chartFormat>
    <chartFormat chart="18" format="35">
      <pivotArea type="data" outline="0" fieldPosition="0">
        <references count="2">
          <reference field="4294967294" count="1" selected="0">
            <x v="0"/>
          </reference>
          <reference field="7" count="1" selected="0">
            <x v="6"/>
          </reference>
        </references>
      </pivotArea>
    </chartFormat>
    <chartFormat chart="18" format="36">
      <pivotArea type="data" outline="0" fieldPosition="0">
        <references count="2">
          <reference field="4294967294" count="1" selected="0">
            <x v="0"/>
          </reference>
          <reference field="7" count="1" selected="0">
            <x v="7"/>
          </reference>
        </references>
      </pivotArea>
    </chartFormat>
    <chartFormat chart="31" format="46" series="1">
      <pivotArea type="data" outline="0" fieldPosition="0">
        <references count="1">
          <reference field="4294967294" count="1" selected="0">
            <x v="0"/>
          </reference>
        </references>
      </pivotArea>
    </chartFormat>
    <chartFormat chart="31" format="47">
      <pivotArea type="data" outline="0" fieldPosition="0">
        <references count="2">
          <reference field="4294967294" count="1" selected="0">
            <x v="0"/>
          </reference>
          <reference field="7" count="1" selected="0">
            <x v="0"/>
          </reference>
        </references>
      </pivotArea>
    </chartFormat>
    <chartFormat chart="31" format="48">
      <pivotArea type="data" outline="0" fieldPosition="0">
        <references count="2">
          <reference field="4294967294" count="1" selected="0">
            <x v="0"/>
          </reference>
          <reference field="7" count="1" selected="0">
            <x v="1"/>
          </reference>
        </references>
      </pivotArea>
    </chartFormat>
    <chartFormat chart="31" format="49">
      <pivotArea type="data" outline="0" fieldPosition="0">
        <references count="2">
          <reference field="4294967294" count="1" selected="0">
            <x v="0"/>
          </reference>
          <reference field="7" count="1" selected="0">
            <x v="2"/>
          </reference>
        </references>
      </pivotArea>
    </chartFormat>
    <chartFormat chart="31" format="50">
      <pivotArea type="data" outline="0" fieldPosition="0">
        <references count="2">
          <reference field="4294967294" count="1" selected="0">
            <x v="0"/>
          </reference>
          <reference field="7" count="1" selected="0">
            <x v="3"/>
          </reference>
        </references>
      </pivotArea>
    </chartFormat>
    <chartFormat chart="31" format="51">
      <pivotArea type="data" outline="0" fieldPosition="0">
        <references count="2">
          <reference field="4294967294" count="1" selected="0">
            <x v="0"/>
          </reference>
          <reference field="7" count="1" selected="0">
            <x v="4"/>
          </reference>
        </references>
      </pivotArea>
    </chartFormat>
    <chartFormat chart="31" format="52">
      <pivotArea type="data" outline="0" fieldPosition="0">
        <references count="2">
          <reference field="4294967294" count="1" selected="0">
            <x v="0"/>
          </reference>
          <reference field="7" count="1" selected="0">
            <x v="5"/>
          </reference>
        </references>
      </pivotArea>
    </chartFormat>
    <chartFormat chart="31" format="53">
      <pivotArea type="data" outline="0" fieldPosition="0">
        <references count="2">
          <reference field="4294967294" count="1" selected="0">
            <x v="0"/>
          </reference>
          <reference field="7" count="1" selected="0">
            <x v="6"/>
          </reference>
        </references>
      </pivotArea>
    </chartFormat>
    <chartFormat chart="31" format="54">
      <pivotArea type="data" outline="0" fieldPosition="0">
        <references count="2">
          <reference field="4294967294" count="1" selected="0">
            <x v="0"/>
          </reference>
          <reference field="7" count="1" selected="0">
            <x v="7"/>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0" format="4">
      <pivotArea type="data" outline="0" fieldPosition="0">
        <references count="2">
          <reference field="4294967294" count="1" selected="0">
            <x v="0"/>
          </reference>
          <reference field="7" count="1" selected="0">
            <x v="3"/>
          </reference>
        </references>
      </pivotArea>
    </chartFormat>
    <chartFormat chart="10" format="5">
      <pivotArea type="data" outline="0" fieldPosition="0">
        <references count="2">
          <reference field="4294967294" count="1" selected="0">
            <x v="0"/>
          </reference>
          <reference field="7" count="1" selected="0">
            <x v="4"/>
          </reference>
        </references>
      </pivotArea>
    </chartFormat>
    <chartFormat chart="10" format="6">
      <pivotArea type="data" outline="0" fieldPosition="0">
        <references count="2">
          <reference field="4294967294" count="1" selected="0">
            <x v="0"/>
          </reference>
          <reference field="7" count="1" selected="0">
            <x v="5"/>
          </reference>
        </references>
      </pivotArea>
    </chartFormat>
    <chartFormat chart="10" format="7">
      <pivotArea type="data" outline="0" fieldPosition="0">
        <references count="2">
          <reference field="4294967294" count="1" selected="0">
            <x v="0"/>
          </reference>
          <reference field="7" count="1" selected="0">
            <x v="6"/>
          </reference>
        </references>
      </pivotArea>
    </chartFormat>
    <chartFormat chart="10" format="8">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AA0452-564A-405C-A440-214B9BEF137A}"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A3:B36" firstHeaderRow="1" firstDataRow="1" firstDataCol="1"/>
  <pivotFields count="11">
    <pivotField showAll="0"/>
    <pivotField axis="axisRow" multipleItemSelectionAllowed="1" showAll="0">
      <items count="33">
        <item x="3"/>
        <item x="2"/>
        <item x="0"/>
        <item x="1"/>
        <item x="5"/>
        <item x="4"/>
        <item x="6"/>
        <item x="7"/>
        <item x="11"/>
        <item x="8"/>
        <item x="9"/>
        <item x="27"/>
        <item x="10"/>
        <item x="12"/>
        <item x="13"/>
        <item x="14"/>
        <item x="16"/>
        <item x="29"/>
        <item x="17"/>
        <item x="28"/>
        <item x="15"/>
        <item x="20"/>
        <item x="18"/>
        <item x="19"/>
        <item x="22"/>
        <item x="21"/>
        <item x="23"/>
        <item x="30"/>
        <item x="24"/>
        <item x="25"/>
        <item x="26"/>
        <item x="31"/>
        <item t="default"/>
      </items>
    </pivotField>
    <pivotField showAll="0"/>
    <pivotField showAll="0"/>
    <pivotField showAll="0"/>
    <pivotField showAll="0"/>
    <pivotField showAll="0"/>
    <pivotField showAll="0">
      <items count="9">
        <item x="6"/>
        <item x="3"/>
        <item x="2"/>
        <item x="0"/>
        <item x="1"/>
        <item x="5"/>
        <item x="4"/>
        <item x="7"/>
        <item t="default"/>
      </items>
    </pivotField>
    <pivotField showAll="0"/>
    <pivotField dataField="1" showAll="0"/>
    <pivotField showAl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of pollutant_max" fld="9" subtotal="average" baseField="7" baseItem="2"/>
  </dataFields>
  <chartFormats count="5">
    <chartFormat chart="6"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4" format="4">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1"/>
          </reference>
        </references>
      </pivotArea>
    </chartFormat>
    <chartFormat chart="6" format="1">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7CD53C-56AB-4F70-B6C0-44E689331CEE}"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A3:B11" firstHeaderRow="1" firstDataRow="1" firstDataCol="1" rowPageCount="1" colPageCount="1"/>
  <pivotFields count="11">
    <pivotField showAll="0"/>
    <pivotField showAll="0"/>
    <pivotField showAll="0">
      <items count="253">
        <item x="246"/>
        <item x="176"/>
        <item x="41"/>
        <item x="87"/>
        <item x="118"/>
        <item x="123"/>
        <item x="88"/>
        <item x="124"/>
        <item x="208"/>
        <item x="89"/>
        <item x="128"/>
        <item x="12"/>
        <item x="232"/>
        <item x="48"/>
        <item x="4"/>
        <item x="163"/>
        <item x="5"/>
        <item x="201"/>
        <item x="6"/>
        <item x="42"/>
        <item x="226"/>
        <item x="44"/>
        <item x="187"/>
        <item x="107"/>
        <item x="134"/>
        <item x="135"/>
        <item x="108"/>
        <item x="178"/>
        <item x="109"/>
        <item x="136"/>
        <item x="202"/>
        <item x="229"/>
        <item x="206"/>
        <item x="92"/>
        <item x="215"/>
        <item x="45"/>
        <item x="14"/>
        <item x="15"/>
        <item x="132"/>
        <item x="32"/>
        <item x="133"/>
        <item x="130"/>
        <item x="93"/>
        <item x="67"/>
        <item x="110"/>
        <item x="131"/>
        <item x="33"/>
        <item x="111"/>
        <item x="84"/>
        <item x="112"/>
        <item x="179"/>
        <item x="138"/>
        <item x="27"/>
        <item x="113"/>
        <item x="9"/>
        <item x="61"/>
        <item x="38"/>
        <item x="85"/>
        <item x="237"/>
        <item x="157"/>
        <item x="34"/>
        <item x="25"/>
        <item x="55"/>
        <item x="56"/>
        <item x="13"/>
        <item x="137"/>
        <item x="156"/>
        <item x="158"/>
        <item x="168"/>
        <item x="102"/>
        <item x="74"/>
        <item x="152"/>
        <item x="57"/>
        <item x="196"/>
        <item x="39"/>
        <item x="223"/>
        <item x="216"/>
        <item x="58"/>
        <item x="153"/>
        <item x="86"/>
        <item x="164"/>
        <item x="150"/>
        <item x="198"/>
        <item x="60"/>
        <item x="180"/>
        <item x="51"/>
        <item x="49"/>
        <item x="162"/>
        <item x="26"/>
        <item x="181"/>
        <item x="182"/>
        <item x="183"/>
        <item x="238"/>
        <item x="46"/>
        <item x="16"/>
        <item x="75"/>
        <item x="29"/>
        <item x="199"/>
        <item x="151"/>
        <item x="184"/>
        <item x="52"/>
        <item x="165"/>
        <item x="200"/>
        <item x="53"/>
        <item x="173"/>
        <item x="115"/>
        <item x="73"/>
        <item x="68"/>
        <item x="139"/>
        <item x="140"/>
        <item x="230"/>
        <item x="224"/>
        <item x="90"/>
        <item x="141"/>
        <item x="142"/>
        <item x="185"/>
        <item x="143"/>
        <item x="144"/>
        <item x="207"/>
        <item x="54"/>
        <item x="91"/>
        <item x="239"/>
        <item x="222"/>
        <item x="186"/>
        <item x="154"/>
        <item x="159"/>
        <item x="197"/>
        <item x="30"/>
        <item x="69"/>
        <item x="103"/>
        <item x="129"/>
        <item x="188"/>
        <item x="22"/>
        <item x="231"/>
        <item x="80"/>
        <item x="203"/>
        <item x="79"/>
        <item x="218"/>
        <item x="35"/>
        <item x="155"/>
        <item x="210"/>
        <item x="225"/>
        <item x="189"/>
        <item x="119"/>
        <item x="64"/>
        <item x="242"/>
        <item x="81"/>
        <item x="70"/>
        <item x="82"/>
        <item x="120"/>
        <item x="71"/>
        <item x="219"/>
        <item x="23"/>
        <item x="190"/>
        <item x="211"/>
        <item x="83"/>
        <item x="191"/>
        <item x="209"/>
        <item x="94"/>
        <item x="24"/>
        <item x="247"/>
        <item x="28"/>
        <item x="62"/>
        <item x="0"/>
        <item x="160"/>
        <item x="234"/>
        <item x="97"/>
        <item x="1"/>
        <item x="161"/>
        <item x="98"/>
        <item x="217"/>
        <item x="99"/>
        <item x="96"/>
        <item x="104"/>
        <item x="192"/>
        <item x="251"/>
        <item x="145"/>
        <item x="243"/>
        <item x="47"/>
        <item x="101"/>
        <item x="121"/>
        <item x="18"/>
        <item x="100"/>
        <item x="72"/>
        <item x="146"/>
        <item x="193"/>
        <item x="127"/>
        <item x="244"/>
        <item x="95"/>
        <item x="19"/>
        <item x="40"/>
        <item x="105"/>
        <item x="205"/>
        <item x="20"/>
        <item x="147"/>
        <item x="177"/>
        <item x="174"/>
        <item x="221"/>
        <item x="248"/>
        <item x="106"/>
        <item x="122"/>
        <item x="76"/>
        <item x="21"/>
        <item x="240"/>
        <item x="31"/>
        <item x="250"/>
        <item x="36"/>
        <item x="77"/>
        <item x="148"/>
        <item x="233"/>
        <item x="220"/>
        <item x="149"/>
        <item x="2"/>
        <item x="204"/>
        <item x="78"/>
        <item x="235"/>
        <item x="3"/>
        <item x="37"/>
        <item x="116"/>
        <item x="166"/>
        <item x="17"/>
        <item x="43"/>
        <item x="125"/>
        <item x="50"/>
        <item x="126"/>
        <item x="228"/>
        <item x="117"/>
        <item x="241"/>
        <item x="65"/>
        <item x="175"/>
        <item x="66"/>
        <item x="169"/>
        <item x="10"/>
        <item x="170"/>
        <item x="11"/>
        <item x="171"/>
        <item x="167"/>
        <item x="63"/>
        <item x="212"/>
        <item x="236"/>
        <item x="249"/>
        <item x="114"/>
        <item x="213"/>
        <item x="194"/>
        <item x="214"/>
        <item x="245"/>
        <item x="7"/>
        <item x="227"/>
        <item x="172"/>
        <item x="8"/>
        <item x="195"/>
        <item x="59"/>
        <item t="default"/>
      </items>
    </pivotField>
    <pivotField showAll="0"/>
    <pivotField axis="axisPage" numFmtId="164" showAll="0">
      <items count="2">
        <item x="0"/>
        <item t="default"/>
      </items>
    </pivotField>
    <pivotField showAll="0"/>
    <pivotField showAll="0"/>
    <pivotField axis="axisRow" showAll="0">
      <items count="8">
        <item x="6"/>
        <item x="3"/>
        <item x="2"/>
        <item x="0"/>
        <item x="1"/>
        <item x="5"/>
        <item x="4"/>
        <item t="default"/>
      </items>
    </pivotField>
    <pivotField showAll="0"/>
    <pivotField showAll="0"/>
    <pivotField dataField="1" showAll="0"/>
  </pivotFields>
  <rowFields count="1">
    <field x="7"/>
  </rowFields>
  <rowItems count="8">
    <i>
      <x/>
    </i>
    <i>
      <x v="1"/>
    </i>
    <i>
      <x v="2"/>
    </i>
    <i>
      <x v="3"/>
    </i>
    <i>
      <x v="4"/>
    </i>
    <i>
      <x v="5"/>
    </i>
    <i>
      <x v="6"/>
    </i>
    <i t="grand">
      <x/>
    </i>
  </rowItems>
  <colItems count="1">
    <i/>
  </colItems>
  <pageFields count="1">
    <pageField fld="4" hier="-1"/>
  </pageFields>
  <dataFields count="1">
    <dataField name="Average of pollutant_avg" fld="10" subtotal="average" baseField="7" baseItem="0"/>
  </dataFields>
  <chartFormats count="3">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A186F85-907A-4146-87C7-5D2548786856}" sourceName="city">
  <data>
    <tabular pivotCacheId="753716425">
      <items count="252">
        <i x="246"/>
        <i x="176"/>
        <i x="41"/>
        <i x="87"/>
        <i x="118"/>
        <i x="123"/>
        <i x="88"/>
        <i x="124" s="1"/>
        <i x="208"/>
        <i x="89"/>
        <i x="128"/>
        <i x="12"/>
        <i x="232"/>
        <i x="48"/>
        <i x="4"/>
        <i x="201"/>
        <i x="6"/>
        <i x="42"/>
        <i x="226"/>
        <i x="44"/>
        <i x="187"/>
        <i x="107"/>
        <i x="134"/>
        <i x="135"/>
        <i x="108"/>
        <i x="178"/>
        <i x="109"/>
        <i x="136"/>
        <i x="202"/>
        <i x="229"/>
        <i x="92"/>
        <i x="45"/>
        <i x="14"/>
        <i x="15"/>
        <i x="132"/>
        <i x="32"/>
        <i x="133"/>
        <i x="130"/>
        <i x="93"/>
        <i x="67"/>
        <i x="110"/>
        <i x="131"/>
        <i x="111"/>
        <i x="84"/>
        <i x="112"/>
        <i x="179"/>
        <i x="138"/>
        <i x="27"/>
        <i x="113"/>
        <i x="9"/>
        <i x="61"/>
        <i x="38"/>
        <i x="85"/>
        <i x="237"/>
        <i x="157"/>
        <i x="34"/>
        <i x="25"/>
        <i x="56"/>
        <i x="13"/>
        <i x="137"/>
        <i x="156"/>
        <i x="158"/>
        <i x="102"/>
        <i x="74"/>
        <i x="152"/>
        <i x="57"/>
        <i x="196"/>
        <i x="39"/>
        <i x="223"/>
        <i x="216"/>
        <i x="58"/>
        <i x="153"/>
        <i x="86"/>
        <i x="150"/>
        <i x="198"/>
        <i x="180"/>
        <i x="51"/>
        <i x="49"/>
        <i x="162"/>
        <i x="26"/>
        <i x="181"/>
        <i x="182"/>
        <i x="183"/>
        <i x="46"/>
        <i x="16"/>
        <i x="75"/>
        <i x="29"/>
        <i x="199"/>
        <i x="151"/>
        <i x="184"/>
        <i x="165"/>
        <i x="200"/>
        <i x="53"/>
        <i x="173"/>
        <i x="73"/>
        <i x="68"/>
        <i x="139"/>
        <i x="140"/>
        <i x="230"/>
        <i x="224"/>
        <i x="90"/>
        <i x="141"/>
        <i x="142"/>
        <i x="185"/>
        <i x="143"/>
        <i x="144"/>
        <i x="207"/>
        <i x="54"/>
        <i x="91"/>
        <i x="239"/>
        <i x="222"/>
        <i x="186"/>
        <i x="154"/>
        <i x="159"/>
        <i x="197"/>
        <i x="69"/>
        <i x="103"/>
        <i x="129"/>
        <i x="188"/>
        <i x="231"/>
        <i x="80"/>
        <i x="203"/>
        <i x="79"/>
        <i x="218"/>
        <i x="35"/>
        <i x="155"/>
        <i x="210"/>
        <i x="225"/>
        <i x="189"/>
        <i x="119"/>
        <i x="64"/>
        <i x="242"/>
        <i x="81"/>
        <i x="70"/>
        <i x="82"/>
        <i x="120"/>
        <i x="71"/>
        <i x="219"/>
        <i x="23"/>
        <i x="190"/>
        <i x="211"/>
        <i x="83"/>
        <i x="191"/>
        <i x="209"/>
        <i x="94"/>
        <i x="24"/>
        <i x="247"/>
        <i x="28"/>
        <i x="62"/>
        <i x="0"/>
        <i x="160"/>
        <i x="234"/>
        <i x="97"/>
        <i x="1"/>
        <i x="98"/>
        <i x="99"/>
        <i x="96"/>
        <i x="192"/>
        <i x="251"/>
        <i x="145"/>
        <i x="47"/>
        <i x="101"/>
        <i x="121"/>
        <i x="18"/>
        <i x="100"/>
        <i x="72"/>
        <i x="146"/>
        <i x="193"/>
        <i x="127"/>
        <i x="95"/>
        <i x="19"/>
        <i x="40"/>
        <i x="105"/>
        <i x="205"/>
        <i x="147"/>
        <i x="177"/>
        <i x="174"/>
        <i x="248"/>
        <i x="106"/>
        <i x="76"/>
        <i x="21"/>
        <i x="240"/>
        <i x="31"/>
        <i x="250"/>
        <i x="36"/>
        <i x="148"/>
        <i x="233"/>
        <i x="220"/>
        <i x="149"/>
        <i x="2"/>
        <i x="204"/>
        <i x="78"/>
        <i x="235"/>
        <i x="3"/>
        <i x="37"/>
        <i x="116"/>
        <i x="166"/>
        <i x="17"/>
        <i x="43"/>
        <i x="125"/>
        <i x="126"/>
        <i x="228"/>
        <i x="117"/>
        <i x="241"/>
        <i x="65"/>
        <i x="175"/>
        <i x="66"/>
        <i x="10"/>
        <i x="170"/>
        <i x="11"/>
        <i x="171"/>
        <i x="167"/>
        <i x="63"/>
        <i x="212"/>
        <i x="236"/>
        <i x="249"/>
        <i x="114"/>
        <i x="194"/>
        <i x="214"/>
        <i x="245"/>
        <i x="7"/>
        <i x="227"/>
        <i x="172"/>
        <i x="8"/>
        <i x="195"/>
        <i x="59"/>
        <i x="163" nd="1"/>
        <i x="5" nd="1"/>
        <i x="206" nd="1"/>
        <i x="215" nd="1"/>
        <i x="33" nd="1"/>
        <i x="55" nd="1"/>
        <i x="168" nd="1"/>
        <i x="164" nd="1"/>
        <i x="60" nd="1"/>
        <i x="238" nd="1"/>
        <i x="52" nd="1"/>
        <i x="115" nd="1"/>
        <i x="30" nd="1"/>
        <i x="22" nd="1"/>
        <i x="161" nd="1"/>
        <i x="217" nd="1"/>
        <i x="104" nd="1"/>
        <i x="243" nd="1"/>
        <i x="244" nd="1"/>
        <i x="20" nd="1"/>
        <i x="221" nd="1"/>
        <i x="122" nd="1"/>
        <i x="77" nd="1"/>
        <i x="50" nd="1"/>
        <i x="169" nd="1"/>
        <i x="2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lutant_id" xr10:uid="{3FE4B90D-54FE-4A12-88D0-757D6B15F55F}" sourceName="pollutant_id">
  <data>
    <tabular pivotCacheId="753716425">
      <items count="7">
        <i x="6" s="1"/>
        <i x="3" s="1"/>
        <i x="2" s="1"/>
        <i x="0"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839E40FC-B181-4C65-8D73-EE1F01D067FA}" sourceName="city">
  <pivotTables>
    <pivotTable tabId="6" name="PivotTable3"/>
  </pivotTables>
  <data>
    <tabular pivotCacheId="753716425">
      <items count="252">
        <i x="246" s="1"/>
        <i x="176" s="1"/>
        <i x="41" s="1"/>
        <i x="87" s="1"/>
        <i x="118" s="1"/>
        <i x="123" s="1"/>
        <i x="88" s="1"/>
        <i x="124" s="1"/>
        <i x="208" s="1"/>
        <i x="89" s="1"/>
        <i x="128" s="1"/>
        <i x="12" s="1"/>
        <i x="232" s="1"/>
        <i x="48" s="1"/>
        <i x="4" s="1"/>
        <i x="163" s="1"/>
        <i x="201" s="1"/>
        <i x="6" s="1"/>
        <i x="42" s="1"/>
        <i x="226" s="1"/>
        <i x="44" s="1"/>
        <i x="187" s="1"/>
        <i x="107" s="1"/>
        <i x="134" s="1"/>
        <i x="135" s="1"/>
        <i x="108" s="1"/>
        <i x="178" s="1"/>
        <i x="109" s="1"/>
        <i x="136" s="1"/>
        <i x="202" s="1"/>
        <i x="229" s="1"/>
        <i x="206" s="1"/>
        <i x="92" s="1"/>
        <i x="215" s="1"/>
        <i x="45" s="1"/>
        <i x="14" s="1"/>
        <i x="15" s="1"/>
        <i x="132" s="1"/>
        <i x="32" s="1"/>
        <i x="133" s="1"/>
        <i x="130" s="1"/>
        <i x="93" s="1"/>
        <i x="67" s="1"/>
        <i x="110" s="1"/>
        <i x="131" s="1"/>
        <i x="111" s="1"/>
        <i x="84" s="1"/>
        <i x="112" s="1"/>
        <i x="179" s="1"/>
        <i x="138" s="1"/>
        <i x="27" s="1"/>
        <i x="113" s="1"/>
        <i x="9" s="1"/>
        <i x="61" s="1"/>
        <i x="38" s="1"/>
        <i x="85" s="1"/>
        <i x="237" s="1"/>
        <i x="157" s="1"/>
        <i x="34" s="1"/>
        <i x="25" s="1"/>
        <i x="55" s="1"/>
        <i x="56" s="1"/>
        <i x="13" s="1"/>
        <i x="137" s="1"/>
        <i x="156" s="1"/>
        <i x="158" s="1"/>
        <i x="168" s="1"/>
        <i x="102" s="1"/>
        <i x="74" s="1"/>
        <i x="152" s="1"/>
        <i x="57" s="1"/>
        <i x="196" s="1"/>
        <i x="39" s="1"/>
        <i x="223" s="1"/>
        <i x="216" s="1"/>
        <i x="58" s="1"/>
        <i x="153" s="1"/>
        <i x="86" s="1"/>
        <i x="164" s="1"/>
        <i x="150" s="1"/>
        <i x="198" s="1"/>
        <i x="180" s="1"/>
        <i x="51" s="1"/>
        <i x="49" s="1"/>
        <i x="162" s="1"/>
        <i x="26" s="1"/>
        <i x="181" s="1"/>
        <i x="182" s="1"/>
        <i x="183" s="1"/>
        <i x="238" s="1"/>
        <i x="46" s="1"/>
        <i x="16" s="1"/>
        <i x="75" s="1"/>
        <i x="29" s="1"/>
        <i x="199" s="1"/>
        <i x="151" s="1"/>
        <i x="184" s="1"/>
        <i x="165" s="1"/>
        <i x="200" s="1"/>
        <i x="53" s="1"/>
        <i x="173" s="1"/>
        <i x="73" s="1"/>
        <i x="68" s="1"/>
        <i x="139" s="1"/>
        <i x="140" s="1"/>
        <i x="230" s="1"/>
        <i x="224" s="1"/>
        <i x="90" s="1"/>
        <i x="141" s="1"/>
        <i x="142" s="1"/>
        <i x="185" s="1"/>
        <i x="143" s="1"/>
        <i x="144" s="1"/>
        <i x="207" s="1"/>
        <i x="54" s="1"/>
        <i x="91" s="1"/>
        <i x="239" s="1"/>
        <i x="222" s="1"/>
        <i x="186" s="1"/>
        <i x="154" s="1"/>
        <i x="159" s="1"/>
        <i x="197" s="1"/>
        <i x="30" s="1"/>
        <i x="69" s="1"/>
        <i x="103" s="1"/>
        <i x="129" s="1"/>
        <i x="188" s="1"/>
        <i x="231" s="1"/>
        <i x="80" s="1"/>
        <i x="203" s="1"/>
        <i x="79" s="1"/>
        <i x="218" s="1"/>
        <i x="35" s="1"/>
        <i x="155" s="1"/>
        <i x="210" s="1"/>
        <i x="225" s="1"/>
        <i x="189" s="1"/>
        <i x="119" s="1"/>
        <i x="64" s="1"/>
        <i x="242" s="1"/>
        <i x="81" s="1"/>
        <i x="70" s="1"/>
        <i x="82" s="1"/>
        <i x="120" s="1"/>
        <i x="71" s="1"/>
        <i x="219" s="1"/>
        <i x="23" s="1"/>
        <i x="190" s="1"/>
        <i x="211" s="1"/>
        <i x="83" s="1"/>
        <i x="191" s="1"/>
        <i x="209" s="1"/>
        <i x="94" s="1"/>
        <i x="24" s="1"/>
        <i x="247" s="1"/>
        <i x="28" s="1"/>
        <i x="62" s="1"/>
        <i x="0" s="1"/>
        <i x="160" s="1"/>
        <i x="234" s="1"/>
        <i x="97" s="1"/>
        <i x="1" s="1"/>
        <i x="161" s="1"/>
        <i x="98" s="1"/>
        <i x="217" s="1"/>
        <i x="99" s="1"/>
        <i x="96" s="1"/>
        <i x="192" s="1"/>
        <i x="251" s="1"/>
        <i x="145" s="1"/>
        <i x="243" s="1"/>
        <i x="47" s="1"/>
        <i x="101" s="1"/>
        <i x="121" s="1"/>
        <i x="18" s="1"/>
        <i x="100" s="1"/>
        <i x="72" s="1"/>
        <i x="146" s="1"/>
        <i x="193" s="1"/>
        <i x="127" s="1"/>
        <i x="244" s="1"/>
        <i x="95" s="1"/>
        <i x="19" s="1"/>
        <i x="40" s="1"/>
        <i x="105" s="1"/>
        <i x="205" s="1"/>
        <i x="20" s="1"/>
        <i x="147" s="1"/>
        <i x="177" s="1"/>
        <i x="174" s="1"/>
        <i x="221" s="1"/>
        <i x="248" s="1"/>
        <i x="106" s="1"/>
        <i x="122" s="1"/>
        <i x="76" s="1"/>
        <i x="21" s="1"/>
        <i x="240" s="1"/>
        <i x="31" s="1"/>
        <i x="250" s="1"/>
        <i x="36" s="1"/>
        <i x="77" s="1"/>
        <i x="148" s="1"/>
        <i x="233" s="1"/>
        <i x="220" s="1"/>
        <i x="149" s="1"/>
        <i x="2" s="1"/>
        <i x="204" s="1"/>
        <i x="78" s="1"/>
        <i x="235" s="1"/>
        <i x="3" s="1"/>
        <i x="37" s="1"/>
        <i x="116" s="1"/>
        <i x="166" s="1"/>
        <i x="17" s="1"/>
        <i x="43" s="1"/>
        <i x="125" s="1"/>
        <i x="126" s="1"/>
        <i x="228" s="1"/>
        <i x="117" s="1"/>
        <i x="241" s="1"/>
        <i x="65" s="1"/>
        <i x="175" s="1"/>
        <i x="66" s="1"/>
        <i x="169" s="1"/>
        <i x="10" s="1"/>
        <i x="170" s="1"/>
        <i x="11" s="1"/>
        <i x="171" s="1"/>
        <i x="167" s="1"/>
        <i x="63" s="1"/>
        <i x="212" s="1"/>
        <i x="236" s="1"/>
        <i x="249" s="1"/>
        <i x="114" s="1"/>
        <i x="213" s="1"/>
        <i x="194" s="1"/>
        <i x="214" s="1"/>
        <i x="245" s="1"/>
        <i x="7" s="1"/>
        <i x="227" s="1"/>
        <i x="172" s="1"/>
        <i x="8" s="1"/>
        <i x="195" s="1"/>
        <i x="59" s="1"/>
        <i x="5" s="1" nd="1"/>
        <i x="33" s="1" nd="1"/>
        <i x="60" s="1" nd="1"/>
        <i x="52" s="1" nd="1"/>
        <i x="115" s="1" nd="1"/>
        <i x="22" s="1" nd="1"/>
        <i x="104" s="1" nd="1"/>
        <i x="5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lutant_id1" xr10:uid="{1A475B77-5223-4880-ABBA-0D510B750A76}" sourceName="pollutant_id">
  <pivotTables>
    <pivotTable tabId="6" name="PivotTable3"/>
  </pivotTables>
  <data>
    <tabular pivotCacheId="753716425">
      <items count="7">
        <i x="6" s="1"/>
        <i x="3" s="1"/>
        <i x="2" s="1"/>
        <i x="0" s="1"/>
        <i x="1" s="1"/>
        <i x="5"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BD74D8F-980B-4A0C-A9A0-2ACE3D878DAA}" sourceName="state">
  <pivotTables>
    <pivotTable tabId="15" name="PivotTable2"/>
  </pivotTables>
  <data>
    <tabular pivotCacheId="203781601">
      <items count="32">
        <i x="3" s="1"/>
        <i x="2" s="1"/>
        <i x="0" s="1"/>
        <i x="1" s="1"/>
        <i x="5" s="1"/>
        <i x="4" s="1"/>
        <i x="6" s="1"/>
        <i x="7" s="1"/>
        <i x="11" s="1"/>
        <i x="8" s="1"/>
        <i x="9" s="1"/>
        <i x="27" s="1"/>
        <i x="10" s="1"/>
        <i x="12" s="1"/>
        <i x="13" s="1"/>
        <i x="14" s="1"/>
        <i x="29" s="1"/>
        <i x="17" s="1"/>
        <i x="28" s="1"/>
        <i x="15" s="1"/>
        <i x="20" s="1"/>
        <i x="18" s="1"/>
        <i x="19" s="1"/>
        <i x="22" s="1"/>
        <i x="21" s="1"/>
        <i x="23" s="1"/>
        <i x="30" s="1"/>
        <i x="24" s="1"/>
        <i x="25" s="1"/>
        <i x="26" s="1"/>
        <i x="16" s="1" nd="1"/>
        <i x="3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3A0CD0A-9602-478C-97A1-126E025FF201}" cache="Slicer_city" caption="city" rowHeight="234950"/>
  <slicer name="pollutant_id 1" xr10:uid="{CC4D54F9-5F05-45EF-B466-2549CDF9AC6E}" cache="Slicer_pollutant_id" caption="pollutant_i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A9AEB7AC-7F63-44F0-A08F-E623998E2821}" cache="Slicer_city2" caption="cit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4B338086-B4E9-4AE1-95A7-80EDE0F8BF75}" cache="Slicer_city2" caption="city" style="SlicerStyleDark2" rowHeight="234950"/>
  <slicer name="pollutant_id 2" xr10:uid="{919E66E2-A12F-48EC-9FFF-397F41C0D98B}" cache="Slicer_pollutant_id1" caption="pollutant_id" style="SlicerStyleDark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BBF75C02-B457-40EF-A6EA-B8AA6B5C4E56}" cache="Slicer_city2" caption="city" columnCount="3" style="SlicerStyleDark2" rowHeight="234950"/>
  <slicer name="pollutant_id 3" xr10:uid="{707806F6-4654-4D88-BDD3-6452A160A75D}" cache="Slicer_pollutant_id1" caption="pollutant_id" style="SlicerStyleDark2" rowHeight="234950"/>
  <slicer name="state" xr10:uid="{A4F9C369-A55A-4B0A-8EB0-9B82C20992C1}" cache="Slicer_state" caption="state" startItem="11" style="SlicerStyleDark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F0DE-97FA-4EBA-A1E8-BD29132C8637}">
  <dimension ref="A3:B12"/>
  <sheetViews>
    <sheetView workbookViewId="0">
      <selection activeCell="A3" sqref="A3"/>
    </sheetView>
  </sheetViews>
  <sheetFormatPr defaultRowHeight="14.4" x14ac:dyDescent="0.3"/>
  <cols>
    <col min="1" max="1" width="12.5546875" bestFit="1" customWidth="1"/>
    <col min="2" max="2" width="22.5546875" bestFit="1" customWidth="1"/>
  </cols>
  <sheetData>
    <row r="3" spans="1:2" x14ac:dyDescent="0.3">
      <c r="A3" s="2" t="s">
        <v>777</v>
      </c>
      <c r="B3" t="s">
        <v>779</v>
      </c>
    </row>
    <row r="4" spans="1:2" x14ac:dyDescent="0.3">
      <c r="A4" s="3" t="s">
        <v>776</v>
      </c>
      <c r="B4">
        <v>38.118993135011443</v>
      </c>
    </row>
    <row r="5" spans="1:2" x14ac:dyDescent="0.3">
      <c r="A5" s="3" t="s">
        <v>773</v>
      </c>
      <c r="B5">
        <v>6.0773195876288657</v>
      </c>
    </row>
    <row r="6" spans="1:2" x14ac:dyDescent="0.3">
      <c r="A6" s="3" t="s">
        <v>772</v>
      </c>
      <c r="B6">
        <v>33.718604651162792</v>
      </c>
    </row>
    <row r="7" spans="1:2" x14ac:dyDescent="0.3">
      <c r="A7" s="3" t="s">
        <v>770</v>
      </c>
      <c r="B7">
        <v>48.439534883720931</v>
      </c>
    </row>
    <row r="8" spans="1:2" x14ac:dyDescent="0.3">
      <c r="A8" s="3" t="s">
        <v>771</v>
      </c>
      <c r="B8">
        <v>103.56603773584905</v>
      </c>
    </row>
    <row r="9" spans="1:2" x14ac:dyDescent="0.3">
      <c r="A9" s="3" t="s">
        <v>775</v>
      </c>
      <c r="B9">
        <v>86.803240740740748</v>
      </c>
    </row>
    <row r="10" spans="1:2" x14ac:dyDescent="0.3">
      <c r="A10" s="3" t="s">
        <v>774</v>
      </c>
      <c r="B10">
        <v>18.2</v>
      </c>
    </row>
    <row r="11" spans="1:2" x14ac:dyDescent="0.3">
      <c r="A11" s="3" t="s">
        <v>781</v>
      </c>
    </row>
    <row r="12" spans="1:2" x14ac:dyDescent="0.3">
      <c r="A12" s="3" t="s">
        <v>778</v>
      </c>
      <c r="B12">
        <v>48.480378890392423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59C7B-B384-45A3-B481-439505522024}">
  <dimension ref="A3:B36"/>
  <sheetViews>
    <sheetView workbookViewId="0">
      <selection activeCell="K8" sqref="K8"/>
    </sheetView>
  </sheetViews>
  <sheetFormatPr defaultRowHeight="14.4" x14ac:dyDescent="0.3"/>
  <cols>
    <col min="1" max="1" width="19.21875" bestFit="1" customWidth="1"/>
    <col min="2" max="2" width="23.109375" bestFit="1" customWidth="1"/>
  </cols>
  <sheetData>
    <row r="3" spans="1:2" x14ac:dyDescent="0.3">
      <c r="A3" s="2" t="s">
        <v>777</v>
      </c>
      <c r="B3" t="s">
        <v>784</v>
      </c>
    </row>
    <row r="4" spans="1:2" x14ac:dyDescent="0.3">
      <c r="A4" s="3" t="s">
        <v>15</v>
      </c>
      <c r="B4" s="11">
        <v>34.714285714285715</v>
      </c>
    </row>
    <row r="5" spans="1:2" x14ac:dyDescent="0.3">
      <c r="A5" s="3" t="s">
        <v>14</v>
      </c>
      <c r="B5" s="11">
        <v>49.578313253012048</v>
      </c>
    </row>
    <row r="6" spans="1:2" x14ac:dyDescent="0.3">
      <c r="A6" s="3" t="s">
        <v>12</v>
      </c>
      <c r="B6" s="11">
        <v>74.65384615384616</v>
      </c>
    </row>
    <row r="7" spans="1:2" x14ac:dyDescent="0.3">
      <c r="A7" s="3" t="s">
        <v>13</v>
      </c>
      <c r="B7" s="11">
        <v>89.015706806282722</v>
      </c>
    </row>
    <row r="8" spans="1:2" x14ac:dyDescent="0.3">
      <c r="A8" s="3" t="s">
        <v>17</v>
      </c>
      <c r="B8" s="11">
        <v>98.8125</v>
      </c>
    </row>
    <row r="9" spans="1:2" x14ac:dyDescent="0.3">
      <c r="A9" s="3" t="s">
        <v>16</v>
      </c>
      <c r="B9" s="11">
        <v>79.902439024390247</v>
      </c>
    </row>
    <row r="10" spans="1:2" x14ac:dyDescent="0.3">
      <c r="A10" s="3" t="s">
        <v>18</v>
      </c>
      <c r="B10" s="11">
        <v>172.40416666666667</v>
      </c>
    </row>
    <row r="11" spans="1:2" x14ac:dyDescent="0.3">
      <c r="A11" s="3" t="s">
        <v>19</v>
      </c>
      <c r="B11" s="11">
        <v>103.86734693877551</v>
      </c>
    </row>
    <row r="12" spans="1:2" x14ac:dyDescent="0.3">
      <c r="A12" s="3" t="s">
        <v>23</v>
      </c>
      <c r="B12" s="11">
        <v>100.58333333333333</v>
      </c>
    </row>
    <row r="13" spans="1:2" x14ac:dyDescent="0.3">
      <c r="A13" s="3" t="s">
        <v>20</v>
      </c>
      <c r="B13" s="11">
        <v>133.42857142857142</v>
      </c>
    </row>
    <row r="14" spans="1:2" x14ac:dyDescent="0.3">
      <c r="A14" s="3" t="s">
        <v>21</v>
      </c>
      <c r="B14" s="11">
        <v>34.333333333333336</v>
      </c>
    </row>
    <row r="15" spans="1:2" x14ac:dyDescent="0.3">
      <c r="A15" s="3" t="s">
        <v>39</v>
      </c>
      <c r="B15" s="11">
        <v>161.6</v>
      </c>
    </row>
    <row r="16" spans="1:2" x14ac:dyDescent="0.3">
      <c r="A16" s="3" t="s">
        <v>22</v>
      </c>
      <c r="B16" s="11">
        <v>40.497326203208559</v>
      </c>
    </row>
    <row r="17" spans="1:2" x14ac:dyDescent="0.3">
      <c r="A17" s="3" t="s">
        <v>24</v>
      </c>
      <c r="B17" s="11">
        <v>29.818181818181817</v>
      </c>
    </row>
    <row r="18" spans="1:2" x14ac:dyDescent="0.3">
      <c r="A18" s="3" t="s">
        <v>25</v>
      </c>
      <c r="B18" s="11">
        <v>107.49685534591195</v>
      </c>
    </row>
    <row r="19" spans="1:2" x14ac:dyDescent="0.3">
      <c r="A19" s="3" t="s">
        <v>26</v>
      </c>
      <c r="B19" s="11">
        <v>81.180582524271841</v>
      </c>
    </row>
    <row r="20" spans="1:2" x14ac:dyDescent="0.3">
      <c r="A20" s="3" t="s">
        <v>28</v>
      </c>
      <c r="B20" s="11"/>
    </row>
    <row r="21" spans="1:2" x14ac:dyDescent="0.3">
      <c r="A21" s="3" t="s">
        <v>41</v>
      </c>
      <c r="B21" s="11">
        <v>87.222222222222229</v>
      </c>
    </row>
    <row r="22" spans="1:2" x14ac:dyDescent="0.3">
      <c r="A22" s="3" t="s">
        <v>29</v>
      </c>
      <c r="B22" s="11">
        <v>28.166666666666668</v>
      </c>
    </row>
    <row r="23" spans="1:2" x14ac:dyDescent="0.3">
      <c r="A23" s="3" t="s">
        <v>40</v>
      </c>
      <c r="B23" s="11">
        <v>83.857142857142861</v>
      </c>
    </row>
    <row r="24" spans="1:2" x14ac:dyDescent="0.3">
      <c r="A24" s="3" t="s">
        <v>27</v>
      </c>
      <c r="B24" s="11">
        <v>82.383177570093451</v>
      </c>
    </row>
    <row r="25" spans="1:2" x14ac:dyDescent="0.3">
      <c r="A25" s="3" t="s">
        <v>32</v>
      </c>
      <c r="B25" s="11">
        <v>43.571428571428569</v>
      </c>
    </row>
    <row r="26" spans="1:2" x14ac:dyDescent="0.3">
      <c r="A26" s="3" t="s">
        <v>30</v>
      </c>
      <c r="B26" s="11">
        <v>83.958333333333329</v>
      </c>
    </row>
    <row r="27" spans="1:2" x14ac:dyDescent="0.3">
      <c r="A27" s="3" t="s">
        <v>31</v>
      </c>
      <c r="B27" s="11">
        <v>111.49520766773163</v>
      </c>
    </row>
    <row r="28" spans="1:2" x14ac:dyDescent="0.3">
      <c r="A28" s="3" t="s">
        <v>34</v>
      </c>
      <c r="B28" s="11">
        <v>85.5</v>
      </c>
    </row>
    <row r="29" spans="1:2" x14ac:dyDescent="0.3">
      <c r="A29" s="3" t="s">
        <v>33</v>
      </c>
      <c r="B29" s="11">
        <v>34.873096446700508</v>
      </c>
    </row>
    <row r="30" spans="1:2" x14ac:dyDescent="0.3">
      <c r="A30" s="3" t="s">
        <v>35</v>
      </c>
      <c r="B30" s="11">
        <v>51.028169014084504</v>
      </c>
    </row>
    <row r="31" spans="1:2" x14ac:dyDescent="0.3">
      <c r="A31" s="3" t="s">
        <v>42</v>
      </c>
      <c r="B31" s="11">
        <v>53.857142857142854</v>
      </c>
    </row>
    <row r="32" spans="1:2" x14ac:dyDescent="0.3">
      <c r="A32" s="3" t="s">
        <v>36</v>
      </c>
      <c r="B32" s="11">
        <v>109.23547400611621</v>
      </c>
    </row>
    <row r="33" spans="1:2" x14ac:dyDescent="0.3">
      <c r="A33" s="3" t="s">
        <v>37</v>
      </c>
      <c r="B33" s="11">
        <v>82.95</v>
      </c>
    </row>
    <row r="34" spans="1:2" x14ac:dyDescent="0.3">
      <c r="A34" s="3" t="s">
        <v>38</v>
      </c>
      <c r="B34" s="11">
        <v>67.710144927536234</v>
      </c>
    </row>
    <row r="35" spans="1:2" x14ac:dyDescent="0.3">
      <c r="A35" s="3" t="s">
        <v>781</v>
      </c>
      <c r="B35" s="11"/>
    </row>
    <row r="36" spans="1:2" x14ac:dyDescent="0.3">
      <c r="A36" s="3" t="s">
        <v>778</v>
      </c>
      <c r="B36" s="11">
        <v>89.052097428958049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72"/>
  <sheetViews>
    <sheetView workbookViewId="0">
      <selection activeCell="C12" sqref="C12"/>
    </sheetView>
  </sheetViews>
  <sheetFormatPr defaultRowHeight="14.4" x14ac:dyDescent="0.3"/>
  <cols>
    <col min="1" max="1" width="7.5546875" bestFit="1" customWidth="1"/>
    <col min="2" max="2" width="19.21875" bestFit="1" customWidth="1"/>
    <col min="3" max="3" width="18.109375" bestFit="1" customWidth="1"/>
    <col min="4" max="4" width="63.109375" bestFit="1" customWidth="1"/>
    <col min="5" max="5" width="21.6640625" style="5" bestFit="1" customWidth="1"/>
    <col min="6" max="7" width="12" bestFit="1" customWidth="1"/>
    <col min="8" max="8" width="11.21875" bestFit="1" customWidth="1"/>
    <col min="9" max="9" width="12.88671875" bestFit="1" customWidth="1"/>
    <col min="10" max="10" width="13.33203125" bestFit="1" customWidth="1"/>
    <col min="11" max="11" width="12.6640625" bestFit="1" customWidth="1"/>
  </cols>
  <sheetData>
    <row r="1" spans="1:13" x14ac:dyDescent="0.3">
      <c r="A1" s="1" t="s">
        <v>0</v>
      </c>
      <c r="B1" s="1" t="s">
        <v>1</v>
      </c>
      <c r="C1" s="1" t="s">
        <v>2</v>
      </c>
      <c r="D1" s="1" t="s">
        <v>3</v>
      </c>
      <c r="E1" s="4" t="s">
        <v>4</v>
      </c>
      <c r="F1" s="1" t="s">
        <v>5</v>
      </c>
      <c r="G1" s="1" t="s">
        <v>6</v>
      </c>
      <c r="H1" s="1" t="s">
        <v>7</v>
      </c>
      <c r="I1" s="1" t="s">
        <v>8</v>
      </c>
      <c r="J1" s="1" t="s">
        <v>9</v>
      </c>
      <c r="K1" s="1" t="s">
        <v>10</v>
      </c>
    </row>
    <row r="2" spans="1:13" x14ac:dyDescent="0.3">
      <c r="A2" t="s">
        <v>11</v>
      </c>
      <c r="B2" t="s">
        <v>12</v>
      </c>
      <c r="C2" t="s">
        <v>43</v>
      </c>
      <c r="D2" t="s">
        <v>292</v>
      </c>
      <c r="E2" s="5">
        <v>45812.958333333343</v>
      </c>
      <c r="F2">
        <v>26.349081999999999</v>
      </c>
      <c r="G2">
        <v>92.684489999999997</v>
      </c>
      <c r="H2" t="s">
        <v>770</v>
      </c>
      <c r="I2">
        <v>22</v>
      </c>
      <c r="J2">
        <v>33</v>
      </c>
      <c r="K2">
        <v>26</v>
      </c>
    </row>
    <row r="3" spans="1:13" x14ac:dyDescent="0.3">
      <c r="A3" t="s">
        <v>11</v>
      </c>
      <c r="B3" t="s">
        <v>12</v>
      </c>
      <c r="C3" t="s">
        <v>44</v>
      </c>
      <c r="D3" t="s">
        <v>293</v>
      </c>
      <c r="E3" s="5">
        <v>45812.958333333343</v>
      </c>
      <c r="F3">
        <v>26.446912000000001</v>
      </c>
      <c r="G3">
        <v>91.439057000000005</v>
      </c>
      <c r="H3" t="s">
        <v>771</v>
      </c>
      <c r="I3">
        <v>95</v>
      </c>
      <c r="J3">
        <v>431</v>
      </c>
      <c r="K3">
        <v>141</v>
      </c>
    </row>
    <row r="4" spans="1:13" x14ac:dyDescent="0.3">
      <c r="A4" t="s">
        <v>11</v>
      </c>
      <c r="B4" t="s">
        <v>12</v>
      </c>
      <c r="C4" t="s">
        <v>44</v>
      </c>
      <c r="D4" t="s">
        <v>293</v>
      </c>
      <c r="E4" s="5">
        <v>45812.958333333343</v>
      </c>
      <c r="F4">
        <v>26.446912000000001</v>
      </c>
      <c r="G4">
        <v>91.439057000000005</v>
      </c>
      <c r="H4" t="s">
        <v>772</v>
      </c>
      <c r="I4">
        <v>1</v>
      </c>
      <c r="J4">
        <v>7</v>
      </c>
      <c r="K4">
        <v>3</v>
      </c>
    </row>
    <row r="5" spans="1:13" x14ac:dyDescent="0.3">
      <c r="A5" t="s">
        <v>11</v>
      </c>
      <c r="B5" t="s">
        <v>12</v>
      </c>
      <c r="C5" t="s">
        <v>44</v>
      </c>
      <c r="D5" t="s">
        <v>293</v>
      </c>
      <c r="E5" s="5">
        <v>45812.958333333343</v>
      </c>
      <c r="F5">
        <v>26.446912000000001</v>
      </c>
      <c r="G5">
        <v>91.439057000000005</v>
      </c>
      <c r="H5" t="s">
        <v>773</v>
      </c>
      <c r="I5">
        <v>1</v>
      </c>
      <c r="J5">
        <v>1</v>
      </c>
      <c r="K5">
        <v>1</v>
      </c>
    </row>
    <row r="6" spans="1:13" x14ac:dyDescent="0.3">
      <c r="A6" t="s">
        <v>11</v>
      </c>
      <c r="B6" t="s">
        <v>12</v>
      </c>
      <c r="C6" t="s">
        <v>45</v>
      </c>
      <c r="D6" t="s">
        <v>294</v>
      </c>
      <c r="E6" s="5">
        <v>45812.958333333343</v>
      </c>
      <c r="F6">
        <v>24.82827</v>
      </c>
      <c r="G6">
        <v>92.795249999999996</v>
      </c>
      <c r="H6" t="s">
        <v>771</v>
      </c>
      <c r="I6">
        <v>34</v>
      </c>
      <c r="J6">
        <v>81</v>
      </c>
      <c r="K6">
        <v>53</v>
      </c>
      <c r="M6">
        <f>COUNTA(C:C)</f>
        <v>3172</v>
      </c>
    </row>
    <row r="7" spans="1:13" x14ac:dyDescent="0.3">
      <c r="A7" t="s">
        <v>11</v>
      </c>
      <c r="B7" t="s">
        <v>12</v>
      </c>
      <c r="C7" t="s">
        <v>45</v>
      </c>
      <c r="D7" t="s">
        <v>294</v>
      </c>
      <c r="E7" s="5">
        <v>45812.958333333343</v>
      </c>
      <c r="F7">
        <v>24.82827</v>
      </c>
      <c r="G7">
        <v>92.795249999999996</v>
      </c>
      <c r="H7" t="s">
        <v>774</v>
      </c>
    </row>
    <row r="8" spans="1:13" x14ac:dyDescent="0.3">
      <c r="A8" t="s">
        <v>11</v>
      </c>
      <c r="B8" t="s">
        <v>12</v>
      </c>
      <c r="C8" t="s">
        <v>46</v>
      </c>
      <c r="D8" t="s">
        <v>295</v>
      </c>
      <c r="E8" s="5">
        <v>45812.958333333343</v>
      </c>
      <c r="F8">
        <v>26.987634</v>
      </c>
      <c r="G8">
        <v>94.636573999999996</v>
      </c>
      <c r="H8" t="s">
        <v>775</v>
      </c>
      <c r="I8">
        <v>36</v>
      </c>
      <c r="J8">
        <v>82</v>
      </c>
      <c r="K8">
        <v>49</v>
      </c>
    </row>
    <row r="9" spans="1:13" x14ac:dyDescent="0.3">
      <c r="A9" t="s">
        <v>11</v>
      </c>
      <c r="B9" t="s">
        <v>12</v>
      </c>
      <c r="C9" t="s">
        <v>46</v>
      </c>
      <c r="D9" t="s">
        <v>295</v>
      </c>
      <c r="E9" s="5">
        <v>45812.958333333343</v>
      </c>
      <c r="F9">
        <v>26.987634</v>
      </c>
      <c r="G9">
        <v>94.636573999999996</v>
      </c>
      <c r="H9" t="s">
        <v>776</v>
      </c>
      <c r="I9">
        <v>15</v>
      </c>
      <c r="J9">
        <v>46</v>
      </c>
      <c r="K9">
        <v>26</v>
      </c>
      <c r="M9">
        <f>AVERAGE(K:K)</f>
        <v>48.480378890392423</v>
      </c>
    </row>
    <row r="10" spans="1:13" x14ac:dyDescent="0.3">
      <c r="A10" t="s">
        <v>11</v>
      </c>
      <c r="B10" t="s">
        <v>13</v>
      </c>
      <c r="C10" t="s">
        <v>47</v>
      </c>
      <c r="D10" t="s">
        <v>296</v>
      </c>
      <c r="E10" s="5">
        <v>45812.958333333343</v>
      </c>
      <c r="F10">
        <v>26.146529000000001</v>
      </c>
      <c r="G10">
        <v>87.454183999999998</v>
      </c>
      <c r="H10" t="s">
        <v>775</v>
      </c>
      <c r="I10">
        <v>50</v>
      </c>
      <c r="J10">
        <v>95</v>
      </c>
      <c r="K10">
        <v>78</v>
      </c>
    </row>
    <row r="11" spans="1:13" x14ac:dyDescent="0.3">
      <c r="A11" t="s">
        <v>11</v>
      </c>
      <c r="B11" t="s">
        <v>13</v>
      </c>
      <c r="C11" t="s">
        <v>48</v>
      </c>
      <c r="D11" t="s">
        <v>297</v>
      </c>
      <c r="E11" s="5">
        <v>45812.958333333343</v>
      </c>
      <c r="F11">
        <v>25.562609500000001</v>
      </c>
      <c r="G11">
        <v>84.663263999999998</v>
      </c>
      <c r="H11" t="s">
        <v>772</v>
      </c>
    </row>
    <row r="12" spans="1:13" x14ac:dyDescent="0.3">
      <c r="A12" t="s">
        <v>11</v>
      </c>
      <c r="B12" t="s">
        <v>13</v>
      </c>
      <c r="C12" t="s">
        <v>49</v>
      </c>
      <c r="D12" t="s">
        <v>298</v>
      </c>
      <c r="E12" s="5">
        <v>45812.958333333343</v>
      </c>
      <c r="F12">
        <v>24.757459999999998</v>
      </c>
      <c r="G12">
        <v>84.366208</v>
      </c>
      <c r="H12" t="s">
        <v>775</v>
      </c>
      <c r="I12">
        <v>25</v>
      </c>
      <c r="J12">
        <v>407</v>
      </c>
      <c r="K12">
        <v>190</v>
      </c>
    </row>
    <row r="13" spans="1:13" x14ac:dyDescent="0.3">
      <c r="A13" t="s">
        <v>11</v>
      </c>
      <c r="B13" t="s">
        <v>13</v>
      </c>
      <c r="C13" t="s">
        <v>49</v>
      </c>
      <c r="D13" t="s">
        <v>298</v>
      </c>
      <c r="E13" s="5">
        <v>45812.958333333343</v>
      </c>
      <c r="F13">
        <v>24.757459999999998</v>
      </c>
      <c r="G13">
        <v>84.366208</v>
      </c>
      <c r="H13" t="s">
        <v>773</v>
      </c>
      <c r="I13">
        <v>1</v>
      </c>
      <c r="J13">
        <v>1</v>
      </c>
      <c r="K13">
        <v>1</v>
      </c>
    </row>
    <row r="14" spans="1:13" x14ac:dyDescent="0.3">
      <c r="A14" t="s">
        <v>11</v>
      </c>
      <c r="B14" t="s">
        <v>14</v>
      </c>
      <c r="C14" t="s">
        <v>50</v>
      </c>
      <c r="D14" t="s">
        <v>299</v>
      </c>
      <c r="E14" s="5">
        <v>45812.958333333343</v>
      </c>
      <c r="F14">
        <v>16.554731</v>
      </c>
      <c r="G14">
        <v>80.649109999999993</v>
      </c>
      <c r="H14" t="s">
        <v>772</v>
      </c>
      <c r="I14">
        <v>23</v>
      </c>
      <c r="J14">
        <v>26</v>
      </c>
      <c r="K14">
        <v>25</v>
      </c>
    </row>
    <row r="15" spans="1:13" x14ac:dyDescent="0.3">
      <c r="A15" t="s">
        <v>11</v>
      </c>
      <c r="B15" t="s">
        <v>14</v>
      </c>
      <c r="C15" t="s">
        <v>50</v>
      </c>
      <c r="D15" t="s">
        <v>299</v>
      </c>
      <c r="E15" s="5">
        <v>45812.958333333343</v>
      </c>
      <c r="F15">
        <v>16.554731</v>
      </c>
      <c r="G15">
        <v>80.649109999999993</v>
      </c>
      <c r="H15" t="s">
        <v>770</v>
      </c>
      <c r="I15">
        <v>33</v>
      </c>
      <c r="J15">
        <v>72</v>
      </c>
      <c r="K15">
        <v>38</v>
      </c>
    </row>
    <row r="16" spans="1:13" x14ac:dyDescent="0.3">
      <c r="A16" t="s">
        <v>11</v>
      </c>
      <c r="B16" t="s">
        <v>14</v>
      </c>
      <c r="C16" t="s">
        <v>51</v>
      </c>
      <c r="D16" t="s">
        <v>300</v>
      </c>
      <c r="E16" s="5">
        <v>45812.958333333343</v>
      </c>
      <c r="F16">
        <v>17.72</v>
      </c>
      <c r="G16">
        <v>83.3</v>
      </c>
      <c r="H16" t="s">
        <v>771</v>
      </c>
      <c r="I16">
        <v>31</v>
      </c>
      <c r="J16">
        <v>114</v>
      </c>
      <c r="K16">
        <v>75</v>
      </c>
    </row>
    <row r="17" spans="1:11" x14ac:dyDescent="0.3">
      <c r="A17" t="s">
        <v>11</v>
      </c>
      <c r="B17" t="s">
        <v>12</v>
      </c>
      <c r="C17" t="s">
        <v>52</v>
      </c>
      <c r="D17" t="s">
        <v>301</v>
      </c>
      <c r="E17" s="5">
        <v>45812.958333333343</v>
      </c>
      <c r="F17">
        <v>26.071318000000002</v>
      </c>
      <c r="G17">
        <v>91.874880000000005</v>
      </c>
      <c r="H17" t="s">
        <v>774</v>
      </c>
    </row>
    <row r="18" spans="1:11" x14ac:dyDescent="0.3">
      <c r="A18" t="s">
        <v>11</v>
      </c>
      <c r="B18" t="s">
        <v>14</v>
      </c>
      <c r="C18" t="s">
        <v>53</v>
      </c>
      <c r="D18" t="s">
        <v>302</v>
      </c>
      <c r="E18" s="5">
        <v>45812.958333333343</v>
      </c>
      <c r="F18">
        <v>13.67</v>
      </c>
      <c r="G18">
        <v>79.349999999999994</v>
      </c>
      <c r="H18" t="s">
        <v>775</v>
      </c>
      <c r="I18">
        <v>33</v>
      </c>
      <c r="J18">
        <v>82</v>
      </c>
      <c r="K18">
        <v>51</v>
      </c>
    </row>
    <row r="19" spans="1:11" x14ac:dyDescent="0.3">
      <c r="A19" t="s">
        <v>11</v>
      </c>
      <c r="B19" t="s">
        <v>14</v>
      </c>
      <c r="C19" t="s">
        <v>54</v>
      </c>
      <c r="D19" t="s">
        <v>303</v>
      </c>
      <c r="E19" s="5">
        <v>45812.958333333343</v>
      </c>
      <c r="F19">
        <v>13.615387</v>
      </c>
      <c r="G19">
        <v>79.409229999999994</v>
      </c>
      <c r="H19" t="s">
        <v>776</v>
      </c>
      <c r="I19">
        <v>15</v>
      </c>
      <c r="J19">
        <v>26</v>
      </c>
      <c r="K19">
        <v>22</v>
      </c>
    </row>
    <row r="20" spans="1:11" x14ac:dyDescent="0.3">
      <c r="A20" t="s">
        <v>11</v>
      </c>
      <c r="B20" t="s">
        <v>14</v>
      </c>
      <c r="C20" t="s">
        <v>50</v>
      </c>
      <c r="D20" t="s">
        <v>304</v>
      </c>
      <c r="E20" s="5">
        <v>45812.958333333343</v>
      </c>
      <c r="F20">
        <v>16.486692000000001</v>
      </c>
      <c r="G20">
        <v>80.699436000000006</v>
      </c>
      <c r="H20" t="s">
        <v>772</v>
      </c>
      <c r="I20">
        <v>26</v>
      </c>
      <c r="J20">
        <v>127</v>
      </c>
      <c r="K20">
        <v>58</v>
      </c>
    </row>
    <row r="21" spans="1:11" x14ac:dyDescent="0.3">
      <c r="A21" t="s">
        <v>11</v>
      </c>
      <c r="B21" t="s">
        <v>14</v>
      </c>
      <c r="C21" t="s">
        <v>55</v>
      </c>
      <c r="D21" t="s">
        <v>305</v>
      </c>
      <c r="E21" s="5">
        <v>45812.958333333343</v>
      </c>
      <c r="F21">
        <v>14.675886</v>
      </c>
      <c r="G21">
        <v>77.593027000000006</v>
      </c>
      <c r="H21" t="s">
        <v>775</v>
      </c>
    </row>
    <row r="22" spans="1:11" x14ac:dyDescent="0.3">
      <c r="A22" t="s">
        <v>11</v>
      </c>
      <c r="B22" t="s">
        <v>14</v>
      </c>
      <c r="C22" t="s">
        <v>55</v>
      </c>
      <c r="D22" t="s">
        <v>305</v>
      </c>
      <c r="E22" s="5">
        <v>45812.958333333343</v>
      </c>
      <c r="F22">
        <v>14.675886</v>
      </c>
      <c r="G22">
        <v>77.593027000000006</v>
      </c>
      <c r="H22" t="s">
        <v>771</v>
      </c>
      <c r="I22">
        <v>69</v>
      </c>
      <c r="J22">
        <v>98</v>
      </c>
      <c r="K22">
        <v>78</v>
      </c>
    </row>
    <row r="23" spans="1:11" x14ac:dyDescent="0.3">
      <c r="A23" t="s">
        <v>11</v>
      </c>
      <c r="B23" t="s">
        <v>14</v>
      </c>
      <c r="C23" t="s">
        <v>55</v>
      </c>
      <c r="D23" t="s">
        <v>305</v>
      </c>
      <c r="E23" s="5">
        <v>45812.958333333343</v>
      </c>
      <c r="F23">
        <v>14.675886</v>
      </c>
      <c r="G23">
        <v>77.593027000000006</v>
      </c>
      <c r="H23" t="s">
        <v>770</v>
      </c>
      <c r="I23">
        <v>4</v>
      </c>
      <c r="J23">
        <v>47</v>
      </c>
      <c r="K23">
        <v>34</v>
      </c>
    </row>
    <row r="24" spans="1:11" x14ac:dyDescent="0.3">
      <c r="A24" t="s">
        <v>11</v>
      </c>
      <c r="B24" t="s">
        <v>14</v>
      </c>
      <c r="C24" t="s">
        <v>56</v>
      </c>
      <c r="D24" t="s">
        <v>306</v>
      </c>
      <c r="E24" s="5">
        <v>45812.958333333343</v>
      </c>
      <c r="F24">
        <v>13.204879999999999</v>
      </c>
      <c r="G24">
        <v>79.097888999999995</v>
      </c>
      <c r="H24" t="s">
        <v>772</v>
      </c>
      <c r="I24">
        <v>2</v>
      </c>
      <c r="J24">
        <v>16</v>
      </c>
      <c r="K24">
        <v>9</v>
      </c>
    </row>
    <row r="25" spans="1:11" x14ac:dyDescent="0.3">
      <c r="A25" t="s">
        <v>11</v>
      </c>
      <c r="B25" t="s">
        <v>13</v>
      </c>
      <c r="C25" t="s">
        <v>57</v>
      </c>
      <c r="D25" t="s">
        <v>307</v>
      </c>
      <c r="E25" s="5">
        <v>45812.958333333343</v>
      </c>
      <c r="F25">
        <v>26.803650000000001</v>
      </c>
      <c r="G25">
        <v>84.519540000000006</v>
      </c>
      <c r="H25" t="s">
        <v>775</v>
      </c>
      <c r="I25">
        <v>25</v>
      </c>
      <c r="J25">
        <v>247</v>
      </c>
      <c r="K25">
        <v>109</v>
      </c>
    </row>
    <row r="26" spans="1:11" x14ac:dyDescent="0.3">
      <c r="A26" t="s">
        <v>11</v>
      </c>
      <c r="B26" t="s">
        <v>13</v>
      </c>
      <c r="C26" t="s">
        <v>57</v>
      </c>
      <c r="D26" t="s">
        <v>307</v>
      </c>
      <c r="E26" s="5">
        <v>45812.958333333343</v>
      </c>
      <c r="F26">
        <v>26.803650000000001</v>
      </c>
      <c r="G26">
        <v>84.519540000000006</v>
      </c>
      <c r="H26" t="s">
        <v>772</v>
      </c>
      <c r="I26">
        <v>28</v>
      </c>
      <c r="J26">
        <v>29</v>
      </c>
      <c r="K26">
        <v>28</v>
      </c>
    </row>
    <row r="27" spans="1:11" x14ac:dyDescent="0.3">
      <c r="A27" t="s">
        <v>11</v>
      </c>
      <c r="B27" t="s">
        <v>13</v>
      </c>
      <c r="C27" t="s">
        <v>57</v>
      </c>
      <c r="D27" t="s">
        <v>307</v>
      </c>
      <c r="E27" s="5">
        <v>45812.958333333343</v>
      </c>
      <c r="F27">
        <v>26.803650000000001</v>
      </c>
      <c r="G27">
        <v>84.519540000000006</v>
      </c>
      <c r="H27" t="s">
        <v>774</v>
      </c>
      <c r="I27">
        <v>12</v>
      </c>
      <c r="J27">
        <v>18</v>
      </c>
      <c r="K27">
        <v>15</v>
      </c>
    </row>
    <row r="28" spans="1:11" x14ac:dyDescent="0.3">
      <c r="A28" t="s">
        <v>11</v>
      </c>
      <c r="B28" t="s">
        <v>13</v>
      </c>
      <c r="C28" t="s">
        <v>58</v>
      </c>
      <c r="D28" t="s">
        <v>308</v>
      </c>
      <c r="E28" s="5">
        <v>45812.958333333343</v>
      </c>
      <c r="F28">
        <v>25.265194000000001</v>
      </c>
      <c r="G28">
        <v>87.012946999999997</v>
      </c>
      <c r="H28" t="s">
        <v>775</v>
      </c>
      <c r="I28">
        <v>23</v>
      </c>
      <c r="J28">
        <v>183</v>
      </c>
      <c r="K28">
        <v>88</v>
      </c>
    </row>
    <row r="29" spans="1:11" x14ac:dyDescent="0.3">
      <c r="A29" t="s">
        <v>11</v>
      </c>
      <c r="B29" t="s">
        <v>12</v>
      </c>
      <c r="C29" t="s">
        <v>59</v>
      </c>
      <c r="D29" t="s">
        <v>309</v>
      </c>
      <c r="E29" s="5">
        <v>45812.958333333343</v>
      </c>
      <c r="F29">
        <v>26.202863600000001</v>
      </c>
      <c r="G29">
        <v>91.700464359999998</v>
      </c>
      <c r="H29" t="s">
        <v>773</v>
      </c>
      <c r="I29">
        <v>5</v>
      </c>
      <c r="J29">
        <v>5</v>
      </c>
      <c r="K29">
        <v>5</v>
      </c>
    </row>
    <row r="30" spans="1:11" x14ac:dyDescent="0.3">
      <c r="A30" t="s">
        <v>11</v>
      </c>
      <c r="B30" t="s">
        <v>12</v>
      </c>
      <c r="C30" t="s">
        <v>59</v>
      </c>
      <c r="D30" t="s">
        <v>310</v>
      </c>
      <c r="E30" s="5">
        <v>45812.958333333343</v>
      </c>
      <c r="F30">
        <v>26.10887</v>
      </c>
      <c r="G30">
        <v>91.589544000000004</v>
      </c>
      <c r="H30" t="s">
        <v>774</v>
      </c>
      <c r="I30">
        <v>1</v>
      </c>
      <c r="J30">
        <v>16</v>
      </c>
      <c r="K30">
        <v>12</v>
      </c>
    </row>
    <row r="31" spans="1:11" x14ac:dyDescent="0.3">
      <c r="A31" t="s">
        <v>11</v>
      </c>
      <c r="B31" t="s">
        <v>12</v>
      </c>
      <c r="C31" t="s">
        <v>59</v>
      </c>
      <c r="D31" t="s">
        <v>311</v>
      </c>
      <c r="E31" s="5">
        <v>45812.958333333343</v>
      </c>
      <c r="F31">
        <v>26.1875</v>
      </c>
      <c r="G31">
        <v>91.744193999999993</v>
      </c>
      <c r="H31" t="s">
        <v>771</v>
      </c>
      <c r="I31">
        <v>47</v>
      </c>
      <c r="J31">
        <v>105</v>
      </c>
      <c r="K31">
        <v>84</v>
      </c>
    </row>
    <row r="32" spans="1:11" x14ac:dyDescent="0.3">
      <c r="A32" t="s">
        <v>11</v>
      </c>
      <c r="B32" t="s">
        <v>15</v>
      </c>
      <c r="C32" t="s">
        <v>60</v>
      </c>
      <c r="D32" t="s">
        <v>312</v>
      </c>
      <c r="E32" s="5">
        <v>45812.958333333343</v>
      </c>
      <c r="F32">
        <v>11.654054</v>
      </c>
      <c r="G32">
        <v>92.734054999999998</v>
      </c>
      <c r="H32" t="s">
        <v>771</v>
      </c>
      <c r="I32">
        <v>6</v>
      </c>
      <c r="J32">
        <v>45</v>
      </c>
      <c r="K32">
        <v>20</v>
      </c>
    </row>
    <row r="33" spans="1:11" x14ac:dyDescent="0.3">
      <c r="A33" t="s">
        <v>11</v>
      </c>
      <c r="B33" t="s">
        <v>15</v>
      </c>
      <c r="C33" t="s">
        <v>60</v>
      </c>
      <c r="D33" t="s">
        <v>312</v>
      </c>
      <c r="E33" s="5">
        <v>45812.958333333343</v>
      </c>
      <c r="F33">
        <v>11.654054</v>
      </c>
      <c r="G33">
        <v>92.734054999999998</v>
      </c>
      <c r="H33" t="s">
        <v>773</v>
      </c>
      <c r="I33">
        <v>1</v>
      </c>
      <c r="J33">
        <v>3</v>
      </c>
      <c r="K33">
        <v>1</v>
      </c>
    </row>
    <row r="34" spans="1:11" x14ac:dyDescent="0.3">
      <c r="A34" t="s">
        <v>11</v>
      </c>
      <c r="B34" t="s">
        <v>15</v>
      </c>
      <c r="C34" t="s">
        <v>60</v>
      </c>
      <c r="D34" t="s">
        <v>312</v>
      </c>
      <c r="E34" s="5">
        <v>45812.958333333343</v>
      </c>
      <c r="F34">
        <v>11.654054</v>
      </c>
      <c r="G34">
        <v>92.734054999999998</v>
      </c>
      <c r="H34" t="s">
        <v>774</v>
      </c>
      <c r="I34">
        <v>2</v>
      </c>
      <c r="J34">
        <v>42</v>
      </c>
      <c r="K34">
        <v>17</v>
      </c>
    </row>
    <row r="35" spans="1:11" x14ac:dyDescent="0.3">
      <c r="A35" t="s">
        <v>11</v>
      </c>
      <c r="B35" t="s">
        <v>14</v>
      </c>
      <c r="C35" t="s">
        <v>50</v>
      </c>
      <c r="D35" t="s">
        <v>304</v>
      </c>
      <c r="E35" s="5">
        <v>45812.958333333343</v>
      </c>
      <c r="F35">
        <v>16.486692000000001</v>
      </c>
      <c r="G35">
        <v>80.699436000000006</v>
      </c>
      <c r="H35" t="s">
        <v>774</v>
      </c>
      <c r="I35">
        <v>11</v>
      </c>
      <c r="J35">
        <v>19</v>
      </c>
      <c r="K35">
        <v>16</v>
      </c>
    </row>
    <row r="36" spans="1:11" x14ac:dyDescent="0.3">
      <c r="A36" t="s">
        <v>11</v>
      </c>
      <c r="B36" t="s">
        <v>14</v>
      </c>
      <c r="C36" t="s">
        <v>50</v>
      </c>
      <c r="D36" t="s">
        <v>299</v>
      </c>
      <c r="E36" s="5">
        <v>45812.958333333343</v>
      </c>
      <c r="F36">
        <v>16.554731</v>
      </c>
      <c r="G36">
        <v>80.649109999999993</v>
      </c>
      <c r="H36" t="s">
        <v>775</v>
      </c>
      <c r="I36">
        <v>46</v>
      </c>
      <c r="J36">
        <v>88</v>
      </c>
      <c r="K36">
        <v>65</v>
      </c>
    </row>
    <row r="37" spans="1:11" x14ac:dyDescent="0.3">
      <c r="A37" t="s">
        <v>11</v>
      </c>
      <c r="B37" t="s">
        <v>13</v>
      </c>
      <c r="C37" t="s">
        <v>58</v>
      </c>
      <c r="D37" t="s">
        <v>308</v>
      </c>
      <c r="E37" s="5">
        <v>45812.958333333343</v>
      </c>
      <c r="F37">
        <v>25.265194000000001</v>
      </c>
      <c r="G37">
        <v>87.012946999999997</v>
      </c>
      <c r="H37" t="s">
        <v>774</v>
      </c>
      <c r="I37">
        <v>50</v>
      </c>
      <c r="J37">
        <v>110</v>
      </c>
      <c r="K37">
        <v>85</v>
      </c>
    </row>
    <row r="38" spans="1:11" x14ac:dyDescent="0.3">
      <c r="A38" t="s">
        <v>11</v>
      </c>
      <c r="B38" t="s">
        <v>13</v>
      </c>
      <c r="C38" t="s">
        <v>61</v>
      </c>
      <c r="D38" t="s">
        <v>313</v>
      </c>
      <c r="E38" s="5">
        <v>45812.958333333343</v>
      </c>
      <c r="F38">
        <v>25.596727000000001</v>
      </c>
      <c r="G38">
        <v>85.085623999999996</v>
      </c>
      <c r="H38" t="s">
        <v>770</v>
      </c>
      <c r="I38">
        <v>89</v>
      </c>
      <c r="J38">
        <v>92</v>
      </c>
      <c r="K38">
        <v>90</v>
      </c>
    </row>
    <row r="39" spans="1:11" x14ac:dyDescent="0.3">
      <c r="A39" t="s">
        <v>11</v>
      </c>
      <c r="B39" t="s">
        <v>13</v>
      </c>
      <c r="C39" t="s">
        <v>62</v>
      </c>
      <c r="D39" t="s">
        <v>314</v>
      </c>
      <c r="E39" s="5">
        <v>45812.958333333343</v>
      </c>
      <c r="F39">
        <v>25.366336</v>
      </c>
      <c r="G39">
        <v>87.117468000000002</v>
      </c>
      <c r="H39" t="s">
        <v>771</v>
      </c>
      <c r="I39">
        <v>71</v>
      </c>
      <c r="J39">
        <v>124</v>
      </c>
      <c r="K39">
        <v>102</v>
      </c>
    </row>
    <row r="40" spans="1:11" x14ac:dyDescent="0.3">
      <c r="A40" t="s">
        <v>11</v>
      </c>
      <c r="B40" t="s">
        <v>13</v>
      </c>
      <c r="C40" t="s">
        <v>62</v>
      </c>
      <c r="D40" t="s">
        <v>314</v>
      </c>
      <c r="E40" s="5">
        <v>45812.958333333343</v>
      </c>
      <c r="F40">
        <v>25.366336</v>
      </c>
      <c r="G40">
        <v>87.117468000000002</v>
      </c>
      <c r="H40" t="s">
        <v>776</v>
      </c>
      <c r="I40">
        <v>72</v>
      </c>
      <c r="J40">
        <v>100</v>
      </c>
      <c r="K40">
        <v>83</v>
      </c>
    </row>
    <row r="41" spans="1:11" x14ac:dyDescent="0.3">
      <c r="A41" t="s">
        <v>11</v>
      </c>
      <c r="B41" t="s">
        <v>13</v>
      </c>
      <c r="C41" t="s">
        <v>62</v>
      </c>
      <c r="D41" t="s">
        <v>314</v>
      </c>
      <c r="E41" s="5">
        <v>45812.958333333343</v>
      </c>
      <c r="F41">
        <v>25.366336</v>
      </c>
      <c r="G41">
        <v>87.117468000000002</v>
      </c>
      <c r="H41" t="s">
        <v>770</v>
      </c>
      <c r="I41">
        <v>8</v>
      </c>
      <c r="J41">
        <v>30</v>
      </c>
      <c r="K41">
        <v>19</v>
      </c>
    </row>
    <row r="42" spans="1:11" x14ac:dyDescent="0.3">
      <c r="A42" t="s">
        <v>11</v>
      </c>
      <c r="B42" t="s">
        <v>13</v>
      </c>
      <c r="C42" t="s">
        <v>63</v>
      </c>
      <c r="D42" t="s">
        <v>315</v>
      </c>
      <c r="E42" s="5">
        <v>45812.958333333343</v>
      </c>
      <c r="F42">
        <v>25.032800000000002</v>
      </c>
      <c r="G42">
        <v>85.419479999999993</v>
      </c>
      <c r="H42" t="s">
        <v>772</v>
      </c>
      <c r="I42">
        <v>8</v>
      </c>
      <c r="J42">
        <v>10</v>
      </c>
      <c r="K42">
        <v>9</v>
      </c>
    </row>
    <row r="43" spans="1:11" x14ac:dyDescent="0.3">
      <c r="A43" t="s">
        <v>11</v>
      </c>
      <c r="B43" t="s">
        <v>13</v>
      </c>
      <c r="C43" t="s">
        <v>64</v>
      </c>
      <c r="D43" t="s">
        <v>316</v>
      </c>
      <c r="E43" s="5">
        <v>45812.958333333343</v>
      </c>
      <c r="F43">
        <v>25.892357000000001</v>
      </c>
      <c r="G43">
        <v>86.590325000000007</v>
      </c>
      <c r="H43" t="s">
        <v>775</v>
      </c>
      <c r="I43">
        <v>48</v>
      </c>
      <c r="J43">
        <v>200</v>
      </c>
      <c r="K43">
        <v>109</v>
      </c>
    </row>
    <row r="44" spans="1:11" x14ac:dyDescent="0.3">
      <c r="A44" t="s">
        <v>11</v>
      </c>
      <c r="B44" t="s">
        <v>13</v>
      </c>
      <c r="C44" t="s">
        <v>64</v>
      </c>
      <c r="D44" t="s">
        <v>316</v>
      </c>
      <c r="E44" s="5">
        <v>45812.958333333343</v>
      </c>
      <c r="F44">
        <v>25.892357000000001</v>
      </c>
      <c r="G44">
        <v>86.590325000000007</v>
      </c>
      <c r="H44" t="s">
        <v>770</v>
      </c>
      <c r="I44">
        <v>5</v>
      </c>
      <c r="J44">
        <v>41</v>
      </c>
      <c r="K44">
        <v>12</v>
      </c>
    </row>
    <row r="45" spans="1:11" x14ac:dyDescent="0.3">
      <c r="A45" t="s">
        <v>11</v>
      </c>
      <c r="B45" t="s">
        <v>13</v>
      </c>
      <c r="C45" t="s">
        <v>65</v>
      </c>
      <c r="D45" t="s">
        <v>317</v>
      </c>
      <c r="E45" s="5">
        <v>45812.958333333343</v>
      </c>
      <c r="F45">
        <v>26.088130499999998</v>
      </c>
      <c r="G45">
        <v>87.938403359999995</v>
      </c>
      <c r="H45" t="s">
        <v>774</v>
      </c>
    </row>
    <row r="46" spans="1:11" x14ac:dyDescent="0.3">
      <c r="A46" t="s">
        <v>11</v>
      </c>
      <c r="B46" t="s">
        <v>13</v>
      </c>
      <c r="C46" t="s">
        <v>65</v>
      </c>
      <c r="D46" t="s">
        <v>317</v>
      </c>
      <c r="E46" s="5">
        <v>45812.958333333343</v>
      </c>
      <c r="F46">
        <v>26.088130499999998</v>
      </c>
      <c r="G46">
        <v>87.938403359999995</v>
      </c>
      <c r="H46" t="s">
        <v>770</v>
      </c>
    </row>
    <row r="47" spans="1:11" x14ac:dyDescent="0.3">
      <c r="A47" t="s">
        <v>11</v>
      </c>
      <c r="B47" t="s">
        <v>13</v>
      </c>
      <c r="C47" t="s">
        <v>66</v>
      </c>
      <c r="D47" t="s">
        <v>318</v>
      </c>
      <c r="E47" s="5">
        <v>45812.958333333343</v>
      </c>
      <c r="F47">
        <v>27.308327999999999</v>
      </c>
      <c r="G47">
        <v>84.531741999999994</v>
      </c>
      <c r="H47" t="s">
        <v>774</v>
      </c>
      <c r="I47">
        <v>6</v>
      </c>
      <c r="J47">
        <v>7</v>
      </c>
      <c r="K47">
        <v>7</v>
      </c>
    </row>
    <row r="48" spans="1:11" x14ac:dyDescent="0.3">
      <c r="A48" t="s">
        <v>11</v>
      </c>
      <c r="B48" t="s">
        <v>13</v>
      </c>
      <c r="C48" t="s">
        <v>66</v>
      </c>
      <c r="D48" t="s">
        <v>318</v>
      </c>
      <c r="E48" s="5">
        <v>45812.958333333343</v>
      </c>
      <c r="F48">
        <v>27.308327999999999</v>
      </c>
      <c r="G48">
        <v>84.531741999999994</v>
      </c>
      <c r="H48" t="s">
        <v>770</v>
      </c>
      <c r="I48">
        <v>12</v>
      </c>
      <c r="J48">
        <v>33</v>
      </c>
      <c r="K48">
        <v>23</v>
      </c>
    </row>
    <row r="49" spans="1:11" x14ac:dyDescent="0.3">
      <c r="A49" t="s">
        <v>11</v>
      </c>
      <c r="B49" t="s">
        <v>13</v>
      </c>
      <c r="C49" t="s">
        <v>67</v>
      </c>
      <c r="D49" t="s">
        <v>319</v>
      </c>
      <c r="E49" s="5">
        <v>45812.958333333343</v>
      </c>
      <c r="F49">
        <v>25.376776</v>
      </c>
      <c r="G49">
        <v>86.471523000000005</v>
      </c>
      <c r="H49" t="s">
        <v>775</v>
      </c>
      <c r="I49">
        <v>83</v>
      </c>
      <c r="J49">
        <v>233</v>
      </c>
      <c r="K49">
        <v>128</v>
      </c>
    </row>
    <row r="50" spans="1:11" x14ac:dyDescent="0.3">
      <c r="A50" t="s">
        <v>11</v>
      </c>
      <c r="B50" t="s">
        <v>13</v>
      </c>
      <c r="C50" t="s">
        <v>67</v>
      </c>
      <c r="D50" t="s">
        <v>319</v>
      </c>
      <c r="E50" s="5">
        <v>45812.958333333343</v>
      </c>
      <c r="F50">
        <v>25.376776</v>
      </c>
      <c r="G50">
        <v>86.471523000000005</v>
      </c>
      <c r="H50" t="s">
        <v>776</v>
      </c>
      <c r="I50">
        <v>16</v>
      </c>
      <c r="J50">
        <v>64</v>
      </c>
      <c r="K50">
        <v>33</v>
      </c>
    </row>
    <row r="51" spans="1:11" x14ac:dyDescent="0.3">
      <c r="A51" t="s">
        <v>11</v>
      </c>
      <c r="B51" t="s">
        <v>13</v>
      </c>
      <c r="C51" t="s">
        <v>68</v>
      </c>
      <c r="D51" t="s">
        <v>320</v>
      </c>
      <c r="E51" s="5">
        <v>45812.958333333343</v>
      </c>
      <c r="F51">
        <v>25.780825700000001</v>
      </c>
      <c r="G51">
        <v>84.744676799999993</v>
      </c>
      <c r="H51" t="s">
        <v>774</v>
      </c>
    </row>
    <row r="52" spans="1:11" x14ac:dyDescent="0.3">
      <c r="A52" t="s">
        <v>11</v>
      </c>
      <c r="B52" t="s">
        <v>13</v>
      </c>
      <c r="C52" t="s">
        <v>68</v>
      </c>
      <c r="D52" t="s">
        <v>320</v>
      </c>
      <c r="E52" s="5">
        <v>45812.958333333343</v>
      </c>
      <c r="F52">
        <v>25.780825700000001</v>
      </c>
      <c r="G52">
        <v>84.744676799999993</v>
      </c>
      <c r="H52" t="s">
        <v>770</v>
      </c>
      <c r="I52">
        <v>3</v>
      </c>
      <c r="J52">
        <v>124</v>
      </c>
      <c r="K52">
        <v>67</v>
      </c>
    </row>
    <row r="53" spans="1:11" x14ac:dyDescent="0.3">
      <c r="A53" t="s">
        <v>11</v>
      </c>
      <c r="B53" t="s">
        <v>13</v>
      </c>
      <c r="C53" t="s">
        <v>69</v>
      </c>
      <c r="D53" t="s">
        <v>321</v>
      </c>
      <c r="E53" s="5">
        <v>45812.958333333343</v>
      </c>
      <c r="F53">
        <v>24.792403</v>
      </c>
      <c r="G53">
        <v>84.992416000000006</v>
      </c>
      <c r="H53" t="s">
        <v>775</v>
      </c>
      <c r="I53">
        <v>28</v>
      </c>
      <c r="J53">
        <v>324</v>
      </c>
      <c r="K53">
        <v>124</v>
      </c>
    </row>
    <row r="54" spans="1:11" x14ac:dyDescent="0.3">
      <c r="A54" t="s">
        <v>11</v>
      </c>
      <c r="B54" t="s">
        <v>13</v>
      </c>
      <c r="C54" t="s">
        <v>69</v>
      </c>
      <c r="D54" t="s">
        <v>321</v>
      </c>
      <c r="E54" s="5">
        <v>45812.958333333343</v>
      </c>
      <c r="F54">
        <v>24.792403</v>
      </c>
      <c r="G54">
        <v>84.992416000000006</v>
      </c>
      <c r="H54" t="s">
        <v>772</v>
      </c>
      <c r="I54">
        <v>3</v>
      </c>
      <c r="J54">
        <v>7</v>
      </c>
      <c r="K54">
        <v>5</v>
      </c>
    </row>
    <row r="55" spans="1:11" x14ac:dyDescent="0.3">
      <c r="A55" t="s">
        <v>11</v>
      </c>
      <c r="B55" t="s">
        <v>13</v>
      </c>
      <c r="C55" t="s">
        <v>69</v>
      </c>
      <c r="D55" t="s">
        <v>321</v>
      </c>
      <c r="E55" s="5">
        <v>45812.958333333343</v>
      </c>
      <c r="F55">
        <v>24.792403</v>
      </c>
      <c r="G55">
        <v>84.992416000000006</v>
      </c>
      <c r="H55" t="s">
        <v>774</v>
      </c>
      <c r="I55">
        <v>15</v>
      </c>
      <c r="J55">
        <v>19</v>
      </c>
      <c r="K55">
        <v>17</v>
      </c>
    </row>
    <row r="56" spans="1:11" x14ac:dyDescent="0.3">
      <c r="A56" t="s">
        <v>11</v>
      </c>
      <c r="B56" t="s">
        <v>13</v>
      </c>
      <c r="C56" t="s">
        <v>69</v>
      </c>
      <c r="D56" t="s">
        <v>321</v>
      </c>
      <c r="E56" s="5">
        <v>45812.958333333343</v>
      </c>
      <c r="F56">
        <v>24.792403</v>
      </c>
      <c r="G56">
        <v>84.992416000000006</v>
      </c>
      <c r="H56" t="s">
        <v>770</v>
      </c>
      <c r="I56">
        <v>4</v>
      </c>
      <c r="J56">
        <v>43</v>
      </c>
      <c r="K56">
        <v>20</v>
      </c>
    </row>
    <row r="57" spans="1:11" x14ac:dyDescent="0.3">
      <c r="A57" t="s">
        <v>11</v>
      </c>
      <c r="B57" t="s">
        <v>13</v>
      </c>
      <c r="C57" t="s">
        <v>61</v>
      </c>
      <c r="D57" t="s">
        <v>322</v>
      </c>
      <c r="E57" s="5">
        <v>45812.958333333343</v>
      </c>
      <c r="F57">
        <v>25.619651000000001</v>
      </c>
      <c r="G57">
        <v>85.147381999999993</v>
      </c>
      <c r="H57" t="s">
        <v>772</v>
      </c>
      <c r="I57">
        <v>6</v>
      </c>
      <c r="J57">
        <v>64</v>
      </c>
      <c r="K57">
        <v>33</v>
      </c>
    </row>
    <row r="58" spans="1:11" x14ac:dyDescent="0.3">
      <c r="A58" t="s">
        <v>11</v>
      </c>
      <c r="B58" t="s">
        <v>13</v>
      </c>
      <c r="C58" t="s">
        <v>61</v>
      </c>
      <c r="D58" t="s">
        <v>322</v>
      </c>
      <c r="E58" s="5">
        <v>45812.958333333343</v>
      </c>
      <c r="F58">
        <v>25.619651000000001</v>
      </c>
      <c r="G58">
        <v>85.147381999999993</v>
      </c>
      <c r="H58" t="s">
        <v>773</v>
      </c>
      <c r="I58">
        <v>1</v>
      </c>
      <c r="J58">
        <v>16</v>
      </c>
      <c r="K58">
        <v>5</v>
      </c>
    </row>
    <row r="59" spans="1:11" x14ac:dyDescent="0.3">
      <c r="A59" t="s">
        <v>11</v>
      </c>
      <c r="B59" t="s">
        <v>13</v>
      </c>
      <c r="C59" t="s">
        <v>61</v>
      </c>
      <c r="D59" t="s">
        <v>322</v>
      </c>
      <c r="E59" s="5">
        <v>45812.958333333343</v>
      </c>
      <c r="F59">
        <v>25.619651000000001</v>
      </c>
      <c r="G59">
        <v>85.147381999999993</v>
      </c>
      <c r="H59" t="s">
        <v>776</v>
      </c>
      <c r="I59">
        <v>32</v>
      </c>
      <c r="J59">
        <v>70</v>
      </c>
      <c r="K59">
        <v>46</v>
      </c>
    </row>
    <row r="60" spans="1:11" x14ac:dyDescent="0.3">
      <c r="A60" t="s">
        <v>11</v>
      </c>
      <c r="B60" t="s">
        <v>13</v>
      </c>
      <c r="C60" t="s">
        <v>61</v>
      </c>
      <c r="D60" t="s">
        <v>323</v>
      </c>
      <c r="E60" s="5">
        <v>45812.958333333343</v>
      </c>
      <c r="F60">
        <v>25.599485999999999</v>
      </c>
      <c r="G60">
        <v>85.113665999999995</v>
      </c>
      <c r="H60" t="s">
        <v>772</v>
      </c>
      <c r="I60">
        <v>3</v>
      </c>
      <c r="J60">
        <v>79</v>
      </c>
      <c r="K60">
        <v>35</v>
      </c>
    </row>
    <row r="61" spans="1:11" x14ac:dyDescent="0.3">
      <c r="A61" t="s">
        <v>11</v>
      </c>
      <c r="B61" t="s">
        <v>13</v>
      </c>
      <c r="C61" t="s">
        <v>61</v>
      </c>
      <c r="D61" t="s">
        <v>323</v>
      </c>
      <c r="E61" s="5">
        <v>45812.958333333343</v>
      </c>
      <c r="F61">
        <v>25.599485999999999</v>
      </c>
      <c r="G61">
        <v>85.113665999999995</v>
      </c>
      <c r="H61" t="s">
        <v>773</v>
      </c>
      <c r="I61">
        <v>1</v>
      </c>
      <c r="J61">
        <v>2</v>
      </c>
      <c r="K61">
        <v>1</v>
      </c>
    </row>
    <row r="62" spans="1:11" x14ac:dyDescent="0.3">
      <c r="A62" t="s">
        <v>11</v>
      </c>
      <c r="B62" t="s">
        <v>13</v>
      </c>
      <c r="C62" t="s">
        <v>70</v>
      </c>
      <c r="D62" t="s">
        <v>324</v>
      </c>
      <c r="E62" s="5">
        <v>45812.958333333343</v>
      </c>
      <c r="F62">
        <v>25.567519999999998</v>
      </c>
      <c r="G62">
        <v>83.966379000000003</v>
      </c>
      <c r="H62" t="s">
        <v>775</v>
      </c>
      <c r="I62">
        <v>15</v>
      </c>
      <c r="J62">
        <v>332</v>
      </c>
      <c r="K62">
        <v>170</v>
      </c>
    </row>
    <row r="63" spans="1:11" x14ac:dyDescent="0.3">
      <c r="A63" t="s">
        <v>11</v>
      </c>
      <c r="B63" t="s">
        <v>13</v>
      </c>
      <c r="C63" t="s">
        <v>70</v>
      </c>
      <c r="D63" t="s">
        <v>324</v>
      </c>
      <c r="E63" s="5">
        <v>45812.958333333343</v>
      </c>
      <c r="F63">
        <v>25.567519999999998</v>
      </c>
      <c r="G63">
        <v>83.966379000000003</v>
      </c>
      <c r="H63" t="s">
        <v>772</v>
      </c>
      <c r="I63">
        <v>4</v>
      </c>
      <c r="J63">
        <v>5</v>
      </c>
      <c r="K63">
        <v>5</v>
      </c>
    </row>
    <row r="64" spans="1:11" x14ac:dyDescent="0.3">
      <c r="A64" t="s">
        <v>11</v>
      </c>
      <c r="B64" t="s">
        <v>13</v>
      </c>
      <c r="C64" t="s">
        <v>70</v>
      </c>
      <c r="D64" t="s">
        <v>324</v>
      </c>
      <c r="E64" s="5">
        <v>45812.958333333343</v>
      </c>
      <c r="F64">
        <v>25.567519999999998</v>
      </c>
      <c r="G64">
        <v>83.966379000000003</v>
      </c>
      <c r="H64" t="s">
        <v>774</v>
      </c>
      <c r="I64">
        <v>9</v>
      </c>
      <c r="J64">
        <v>22</v>
      </c>
      <c r="K64">
        <v>14</v>
      </c>
    </row>
    <row r="65" spans="1:11" x14ac:dyDescent="0.3">
      <c r="A65" t="s">
        <v>11</v>
      </c>
      <c r="B65" t="s">
        <v>13</v>
      </c>
      <c r="C65" t="s">
        <v>70</v>
      </c>
      <c r="D65" t="s">
        <v>324</v>
      </c>
      <c r="E65" s="5">
        <v>45812.958333333343</v>
      </c>
      <c r="F65">
        <v>25.567519999999998</v>
      </c>
      <c r="G65">
        <v>83.966379000000003</v>
      </c>
      <c r="H65" t="s">
        <v>776</v>
      </c>
      <c r="I65">
        <v>12</v>
      </c>
      <c r="J65">
        <v>54</v>
      </c>
      <c r="K65">
        <v>54</v>
      </c>
    </row>
    <row r="66" spans="1:11" x14ac:dyDescent="0.3">
      <c r="A66" t="s">
        <v>11</v>
      </c>
      <c r="B66" t="s">
        <v>13</v>
      </c>
      <c r="C66" t="s">
        <v>71</v>
      </c>
      <c r="D66" t="s">
        <v>325</v>
      </c>
      <c r="E66" s="5">
        <v>45812.958333333343</v>
      </c>
      <c r="F66">
        <v>26.114419999999999</v>
      </c>
      <c r="G66">
        <v>85.398129999999995</v>
      </c>
      <c r="H66" t="s">
        <v>774</v>
      </c>
      <c r="I66">
        <v>5</v>
      </c>
      <c r="J66">
        <v>11</v>
      </c>
      <c r="K66">
        <v>7</v>
      </c>
    </row>
    <row r="67" spans="1:11" x14ac:dyDescent="0.3">
      <c r="A67" t="s">
        <v>11</v>
      </c>
      <c r="B67" t="s">
        <v>13</v>
      </c>
      <c r="C67" t="s">
        <v>61</v>
      </c>
      <c r="D67" t="s">
        <v>326</v>
      </c>
      <c r="E67" s="5">
        <v>45812.958333333343</v>
      </c>
      <c r="F67">
        <v>25.586562000000001</v>
      </c>
      <c r="G67">
        <v>85.043586000000005</v>
      </c>
      <c r="H67" t="s">
        <v>773</v>
      </c>
      <c r="I67">
        <v>2</v>
      </c>
      <c r="J67">
        <v>3</v>
      </c>
      <c r="K67">
        <v>3</v>
      </c>
    </row>
    <row r="68" spans="1:11" x14ac:dyDescent="0.3">
      <c r="A68" t="s">
        <v>11</v>
      </c>
      <c r="B68" t="s">
        <v>13</v>
      </c>
      <c r="C68" t="s">
        <v>72</v>
      </c>
      <c r="D68" t="s">
        <v>327</v>
      </c>
      <c r="E68" s="5">
        <v>45812.958333333343</v>
      </c>
      <c r="F68">
        <v>25.697189000000002</v>
      </c>
      <c r="G68">
        <v>85.245900000000006</v>
      </c>
      <c r="H68" t="s">
        <v>774</v>
      </c>
      <c r="I68">
        <v>3</v>
      </c>
      <c r="J68">
        <v>6</v>
      </c>
      <c r="K68">
        <v>5</v>
      </c>
    </row>
    <row r="69" spans="1:11" x14ac:dyDescent="0.3">
      <c r="A69" t="s">
        <v>11</v>
      </c>
      <c r="B69" t="s">
        <v>13</v>
      </c>
      <c r="C69" t="s">
        <v>73</v>
      </c>
      <c r="D69" t="s">
        <v>328</v>
      </c>
      <c r="E69" s="5">
        <v>45812.958333333343</v>
      </c>
      <c r="F69">
        <v>25.560082999999999</v>
      </c>
      <c r="G69">
        <v>87.553264999999996</v>
      </c>
      <c r="H69" t="s">
        <v>775</v>
      </c>
      <c r="I69">
        <v>42</v>
      </c>
      <c r="J69">
        <v>78</v>
      </c>
      <c r="K69">
        <v>66</v>
      </c>
    </row>
    <row r="70" spans="1:11" x14ac:dyDescent="0.3">
      <c r="A70" t="s">
        <v>11</v>
      </c>
      <c r="B70" t="s">
        <v>13</v>
      </c>
      <c r="C70" t="s">
        <v>61</v>
      </c>
      <c r="D70" t="s">
        <v>329</v>
      </c>
      <c r="E70" s="5">
        <v>45812.958333333343</v>
      </c>
      <c r="F70">
        <v>25.592538999999999</v>
      </c>
      <c r="G70">
        <v>85.227158000000003</v>
      </c>
      <c r="H70" t="s">
        <v>771</v>
      </c>
      <c r="I70">
        <v>86</v>
      </c>
      <c r="J70">
        <v>354</v>
      </c>
      <c r="K70">
        <v>149</v>
      </c>
    </row>
    <row r="71" spans="1:11" x14ac:dyDescent="0.3">
      <c r="A71" t="s">
        <v>11</v>
      </c>
      <c r="B71" t="s">
        <v>13</v>
      </c>
      <c r="C71" t="s">
        <v>61</v>
      </c>
      <c r="D71" t="s">
        <v>329</v>
      </c>
      <c r="E71" s="5">
        <v>45812.958333333343</v>
      </c>
      <c r="F71">
        <v>25.592538999999999</v>
      </c>
      <c r="G71">
        <v>85.227158000000003</v>
      </c>
      <c r="H71" t="s">
        <v>774</v>
      </c>
      <c r="I71">
        <v>5</v>
      </c>
      <c r="J71">
        <v>9</v>
      </c>
      <c r="K71">
        <v>7</v>
      </c>
    </row>
    <row r="72" spans="1:11" x14ac:dyDescent="0.3">
      <c r="A72" t="s">
        <v>11</v>
      </c>
      <c r="B72" t="s">
        <v>13</v>
      </c>
      <c r="C72" t="s">
        <v>74</v>
      </c>
      <c r="D72" t="s">
        <v>330</v>
      </c>
      <c r="E72" s="5">
        <v>45812.958333333343</v>
      </c>
      <c r="F72">
        <v>25.859655</v>
      </c>
      <c r="G72">
        <v>85.779439999999994</v>
      </c>
      <c r="H72" t="s">
        <v>770</v>
      </c>
      <c r="I72">
        <v>6</v>
      </c>
      <c r="J72">
        <v>8</v>
      </c>
      <c r="K72">
        <v>8</v>
      </c>
    </row>
    <row r="73" spans="1:11" x14ac:dyDescent="0.3">
      <c r="A73" t="s">
        <v>11</v>
      </c>
      <c r="B73" t="s">
        <v>16</v>
      </c>
      <c r="C73" t="s">
        <v>75</v>
      </c>
      <c r="D73" t="s">
        <v>331</v>
      </c>
      <c r="E73" s="5">
        <v>45812.958333333343</v>
      </c>
      <c r="F73">
        <v>21.224231</v>
      </c>
      <c r="G73">
        <v>81.408349999999999</v>
      </c>
      <c r="H73" t="s">
        <v>776</v>
      </c>
      <c r="I73">
        <v>8</v>
      </c>
      <c r="J73">
        <v>74</v>
      </c>
      <c r="K73">
        <v>14</v>
      </c>
    </row>
    <row r="74" spans="1:11" x14ac:dyDescent="0.3">
      <c r="A74" t="s">
        <v>11</v>
      </c>
      <c r="B74" t="s">
        <v>16</v>
      </c>
      <c r="C74" t="s">
        <v>76</v>
      </c>
      <c r="D74" t="s">
        <v>332</v>
      </c>
      <c r="E74" s="5">
        <v>45812.958333333343</v>
      </c>
      <c r="F74">
        <v>22.088149999999999</v>
      </c>
      <c r="G74">
        <v>82.137370000000004</v>
      </c>
      <c r="H74" t="s">
        <v>771</v>
      </c>
    </row>
    <row r="75" spans="1:11" x14ac:dyDescent="0.3">
      <c r="A75" t="s">
        <v>11</v>
      </c>
      <c r="B75" t="s">
        <v>16</v>
      </c>
      <c r="C75" t="s">
        <v>77</v>
      </c>
      <c r="D75" t="s">
        <v>333</v>
      </c>
      <c r="E75" s="5">
        <v>45812.958333333343</v>
      </c>
      <c r="F75">
        <v>22.118124999999999</v>
      </c>
      <c r="G75">
        <v>83.140608</v>
      </c>
      <c r="H75" t="s">
        <v>773</v>
      </c>
      <c r="I75">
        <v>7</v>
      </c>
      <c r="J75">
        <v>7</v>
      </c>
      <c r="K75">
        <v>7</v>
      </c>
    </row>
    <row r="76" spans="1:11" x14ac:dyDescent="0.3">
      <c r="A76" t="s">
        <v>11</v>
      </c>
      <c r="B76" t="s">
        <v>16</v>
      </c>
      <c r="C76" t="s">
        <v>77</v>
      </c>
      <c r="D76" t="s">
        <v>333</v>
      </c>
      <c r="E76" s="5">
        <v>45812.958333333343</v>
      </c>
      <c r="F76">
        <v>22.118124999999999</v>
      </c>
      <c r="G76">
        <v>83.140608</v>
      </c>
      <c r="H76" t="s">
        <v>770</v>
      </c>
      <c r="I76">
        <v>21</v>
      </c>
      <c r="J76">
        <v>87</v>
      </c>
      <c r="K76">
        <v>50</v>
      </c>
    </row>
    <row r="77" spans="1:11" x14ac:dyDescent="0.3">
      <c r="A77" t="s">
        <v>11</v>
      </c>
      <c r="B77" t="s">
        <v>16</v>
      </c>
      <c r="C77" t="s">
        <v>78</v>
      </c>
      <c r="D77" t="s">
        <v>334</v>
      </c>
      <c r="E77" s="5">
        <v>45812.958333333343</v>
      </c>
      <c r="F77">
        <v>22.368195</v>
      </c>
      <c r="G77">
        <v>82.746431000000001</v>
      </c>
      <c r="H77" t="s">
        <v>774</v>
      </c>
    </row>
    <row r="78" spans="1:11" x14ac:dyDescent="0.3">
      <c r="A78" t="s">
        <v>11</v>
      </c>
      <c r="B78" t="s">
        <v>16</v>
      </c>
      <c r="C78" t="s">
        <v>78</v>
      </c>
      <c r="D78" t="s">
        <v>334</v>
      </c>
      <c r="E78" s="5">
        <v>45812.958333333343</v>
      </c>
      <c r="F78">
        <v>22.368195</v>
      </c>
      <c r="G78">
        <v>82.746431000000001</v>
      </c>
      <c r="H78" t="s">
        <v>770</v>
      </c>
    </row>
    <row r="79" spans="1:11" x14ac:dyDescent="0.3">
      <c r="A79" t="s">
        <v>11</v>
      </c>
      <c r="B79" t="s">
        <v>16</v>
      </c>
      <c r="C79" t="s">
        <v>78</v>
      </c>
      <c r="D79" t="s">
        <v>335</v>
      </c>
      <c r="E79" s="5">
        <v>45812.958333333343</v>
      </c>
      <c r="F79">
        <v>22.348441000000001</v>
      </c>
      <c r="G79">
        <v>82.549610999999999</v>
      </c>
      <c r="H79" t="s">
        <v>771</v>
      </c>
      <c r="I79">
        <v>65</v>
      </c>
      <c r="J79">
        <v>417</v>
      </c>
      <c r="K79">
        <v>145</v>
      </c>
    </row>
    <row r="80" spans="1:11" x14ac:dyDescent="0.3">
      <c r="A80" t="s">
        <v>11</v>
      </c>
      <c r="B80" t="s">
        <v>13</v>
      </c>
      <c r="C80" t="s">
        <v>79</v>
      </c>
      <c r="D80" t="s">
        <v>336</v>
      </c>
      <c r="E80" s="5">
        <v>45812.958333333343</v>
      </c>
      <c r="F80">
        <v>24.952822000000001</v>
      </c>
      <c r="G80">
        <v>84.002396000000005</v>
      </c>
      <c r="H80" t="s">
        <v>774</v>
      </c>
      <c r="I80">
        <v>4</v>
      </c>
      <c r="J80">
        <v>5</v>
      </c>
      <c r="K80">
        <v>5</v>
      </c>
    </row>
    <row r="81" spans="1:11" x14ac:dyDescent="0.3">
      <c r="A81" t="s">
        <v>11</v>
      </c>
      <c r="B81" t="s">
        <v>13</v>
      </c>
      <c r="C81" t="s">
        <v>80</v>
      </c>
      <c r="D81" t="s">
        <v>337</v>
      </c>
      <c r="E81" s="5">
        <v>45812.958333333343</v>
      </c>
      <c r="F81">
        <v>26.227166499999999</v>
      </c>
      <c r="G81">
        <v>84.357042699999994</v>
      </c>
      <c r="H81" t="s">
        <v>774</v>
      </c>
    </row>
    <row r="82" spans="1:11" x14ac:dyDescent="0.3">
      <c r="A82" t="s">
        <v>11</v>
      </c>
      <c r="B82" t="s">
        <v>13</v>
      </c>
      <c r="C82" t="s">
        <v>80</v>
      </c>
      <c r="D82" t="s">
        <v>337</v>
      </c>
      <c r="E82" s="5">
        <v>45812.958333333343</v>
      </c>
      <c r="F82">
        <v>26.227166499999999</v>
      </c>
      <c r="G82">
        <v>84.357042699999994</v>
      </c>
      <c r="H82" t="s">
        <v>776</v>
      </c>
      <c r="I82">
        <v>79</v>
      </c>
      <c r="J82">
        <v>111</v>
      </c>
      <c r="K82">
        <v>107</v>
      </c>
    </row>
    <row r="83" spans="1:11" x14ac:dyDescent="0.3">
      <c r="A83" t="s">
        <v>11</v>
      </c>
      <c r="B83" t="s">
        <v>17</v>
      </c>
      <c r="C83" t="s">
        <v>17</v>
      </c>
      <c r="D83" t="s">
        <v>338</v>
      </c>
      <c r="E83" s="5">
        <v>45812.958333333343</v>
      </c>
      <c r="F83">
        <v>30.735567</v>
      </c>
      <c r="G83">
        <v>76.775713999999994</v>
      </c>
      <c r="H83" t="s">
        <v>775</v>
      </c>
      <c r="I83">
        <v>30</v>
      </c>
      <c r="J83">
        <v>193</v>
      </c>
      <c r="K83">
        <v>89</v>
      </c>
    </row>
    <row r="84" spans="1:11" x14ac:dyDescent="0.3">
      <c r="A84" t="s">
        <v>11</v>
      </c>
      <c r="B84" t="s">
        <v>17</v>
      </c>
      <c r="C84" t="s">
        <v>17</v>
      </c>
      <c r="D84" t="s">
        <v>338</v>
      </c>
      <c r="E84" s="5">
        <v>45812.958333333343</v>
      </c>
      <c r="F84">
        <v>30.735567</v>
      </c>
      <c r="G84">
        <v>76.775713999999994</v>
      </c>
      <c r="H84" t="s">
        <v>772</v>
      </c>
      <c r="I84">
        <v>26</v>
      </c>
      <c r="J84">
        <v>204</v>
      </c>
      <c r="K84">
        <v>62</v>
      </c>
    </row>
    <row r="85" spans="1:11" x14ac:dyDescent="0.3">
      <c r="A85" t="s">
        <v>11</v>
      </c>
      <c r="B85" t="s">
        <v>18</v>
      </c>
      <c r="C85" t="s">
        <v>18</v>
      </c>
      <c r="D85" t="s">
        <v>339</v>
      </c>
      <c r="E85" s="5">
        <v>45812.958333333343</v>
      </c>
      <c r="F85">
        <v>28.815328999999998</v>
      </c>
      <c r="G85">
        <v>77.153009999999995</v>
      </c>
      <c r="H85" t="s">
        <v>770</v>
      </c>
      <c r="I85">
        <v>1</v>
      </c>
      <c r="J85">
        <v>12</v>
      </c>
      <c r="K85">
        <v>9</v>
      </c>
    </row>
    <row r="86" spans="1:11" x14ac:dyDescent="0.3">
      <c r="A86" t="s">
        <v>11</v>
      </c>
      <c r="B86" t="s">
        <v>18</v>
      </c>
      <c r="C86" t="s">
        <v>18</v>
      </c>
      <c r="D86" t="s">
        <v>340</v>
      </c>
      <c r="E86" s="5">
        <v>45812.958333333343</v>
      </c>
      <c r="F86">
        <v>28.695381000000001</v>
      </c>
      <c r="G86">
        <v>77.181664999999995</v>
      </c>
      <c r="H86" t="s">
        <v>772</v>
      </c>
      <c r="I86">
        <v>21</v>
      </c>
      <c r="J86">
        <v>145</v>
      </c>
      <c r="K86">
        <v>71</v>
      </c>
    </row>
    <row r="87" spans="1:11" x14ac:dyDescent="0.3">
      <c r="A87" t="s">
        <v>11</v>
      </c>
      <c r="B87" t="s">
        <v>18</v>
      </c>
      <c r="C87" t="s">
        <v>18</v>
      </c>
      <c r="D87" t="s">
        <v>340</v>
      </c>
      <c r="E87" s="5">
        <v>45812.958333333343</v>
      </c>
      <c r="F87">
        <v>28.695381000000001</v>
      </c>
      <c r="G87">
        <v>77.181664999999995</v>
      </c>
      <c r="H87" t="s">
        <v>773</v>
      </c>
      <c r="I87">
        <v>7</v>
      </c>
      <c r="J87">
        <v>9</v>
      </c>
      <c r="K87">
        <v>8</v>
      </c>
    </row>
    <row r="88" spans="1:11" x14ac:dyDescent="0.3">
      <c r="A88" t="s">
        <v>11</v>
      </c>
      <c r="B88" t="s">
        <v>18</v>
      </c>
      <c r="C88" t="s">
        <v>18</v>
      </c>
      <c r="D88" t="s">
        <v>341</v>
      </c>
      <c r="E88" s="5">
        <v>45812.958333333343</v>
      </c>
      <c r="F88">
        <v>28.776199999999999</v>
      </c>
      <c r="G88">
        <v>77.051074</v>
      </c>
      <c r="H88" t="s">
        <v>771</v>
      </c>
      <c r="I88">
        <v>123</v>
      </c>
      <c r="J88">
        <v>500</v>
      </c>
      <c r="K88">
        <v>260</v>
      </c>
    </row>
    <row r="89" spans="1:11" x14ac:dyDescent="0.3">
      <c r="A89" t="s">
        <v>11</v>
      </c>
      <c r="B89" t="s">
        <v>18</v>
      </c>
      <c r="C89" t="s">
        <v>18</v>
      </c>
      <c r="D89" t="s">
        <v>341</v>
      </c>
      <c r="E89" s="5">
        <v>45812.958333333343</v>
      </c>
      <c r="F89">
        <v>28.776199999999999</v>
      </c>
      <c r="G89">
        <v>77.051074</v>
      </c>
      <c r="H89" t="s">
        <v>774</v>
      </c>
      <c r="I89">
        <v>9</v>
      </c>
      <c r="J89">
        <v>109</v>
      </c>
      <c r="K89">
        <v>52</v>
      </c>
    </row>
    <row r="90" spans="1:11" x14ac:dyDescent="0.3">
      <c r="A90" t="s">
        <v>11</v>
      </c>
      <c r="B90" t="s">
        <v>18</v>
      </c>
      <c r="C90" t="s">
        <v>18</v>
      </c>
      <c r="D90" t="s">
        <v>341</v>
      </c>
      <c r="E90" s="5">
        <v>45812.958333333343</v>
      </c>
      <c r="F90">
        <v>28.776199999999999</v>
      </c>
      <c r="G90">
        <v>77.051074</v>
      </c>
      <c r="H90" t="s">
        <v>770</v>
      </c>
      <c r="I90">
        <v>3</v>
      </c>
      <c r="J90">
        <v>142</v>
      </c>
      <c r="K90">
        <v>93</v>
      </c>
    </row>
    <row r="91" spans="1:11" x14ac:dyDescent="0.3">
      <c r="A91" t="s">
        <v>11</v>
      </c>
      <c r="B91" t="s">
        <v>18</v>
      </c>
      <c r="C91" t="s">
        <v>18</v>
      </c>
      <c r="D91" t="s">
        <v>342</v>
      </c>
      <c r="E91" s="5">
        <v>45812.958333333343</v>
      </c>
      <c r="F91">
        <v>28.5512005</v>
      </c>
      <c r="G91">
        <v>77.2735737</v>
      </c>
      <c r="H91" t="s">
        <v>770</v>
      </c>
      <c r="I91">
        <v>26</v>
      </c>
      <c r="J91">
        <v>266</v>
      </c>
      <c r="K91">
        <v>162</v>
      </c>
    </row>
    <row r="92" spans="1:11" x14ac:dyDescent="0.3">
      <c r="A92" t="s">
        <v>11</v>
      </c>
      <c r="B92" t="s">
        <v>18</v>
      </c>
      <c r="C92" t="s">
        <v>18</v>
      </c>
      <c r="D92" t="s">
        <v>343</v>
      </c>
      <c r="E92" s="5">
        <v>45812.958333333343</v>
      </c>
      <c r="F92">
        <v>28.656756000000001</v>
      </c>
      <c r="G92">
        <v>77.227233999999996</v>
      </c>
      <c r="H92" t="s">
        <v>772</v>
      </c>
      <c r="I92">
        <v>78</v>
      </c>
      <c r="J92">
        <v>194</v>
      </c>
      <c r="K92">
        <v>131</v>
      </c>
    </row>
    <row r="93" spans="1:11" x14ac:dyDescent="0.3">
      <c r="A93" t="s">
        <v>11</v>
      </c>
      <c r="B93" t="s">
        <v>18</v>
      </c>
      <c r="C93" t="s">
        <v>18</v>
      </c>
      <c r="D93" t="s">
        <v>344</v>
      </c>
      <c r="E93" s="5">
        <v>45812.958333333343</v>
      </c>
      <c r="F93">
        <v>28.498570999999998</v>
      </c>
      <c r="G93">
        <v>77.264840000000007</v>
      </c>
      <c r="H93" t="s">
        <v>774</v>
      </c>
      <c r="I93">
        <v>17</v>
      </c>
      <c r="J93">
        <v>61</v>
      </c>
      <c r="K93">
        <v>33</v>
      </c>
    </row>
    <row r="94" spans="1:11" x14ac:dyDescent="0.3">
      <c r="A94" t="s">
        <v>11</v>
      </c>
      <c r="B94" t="s">
        <v>18</v>
      </c>
      <c r="C94" t="s">
        <v>18</v>
      </c>
      <c r="D94" t="s">
        <v>344</v>
      </c>
      <c r="E94" s="5">
        <v>45812.958333333343</v>
      </c>
      <c r="F94">
        <v>28.498570999999998</v>
      </c>
      <c r="G94">
        <v>77.264840000000007</v>
      </c>
      <c r="H94" t="s">
        <v>776</v>
      </c>
      <c r="I94">
        <v>4</v>
      </c>
      <c r="J94">
        <v>113</v>
      </c>
      <c r="K94">
        <v>22</v>
      </c>
    </row>
    <row r="95" spans="1:11" x14ac:dyDescent="0.3">
      <c r="A95" t="s">
        <v>11</v>
      </c>
      <c r="B95" t="s">
        <v>17</v>
      </c>
      <c r="C95" t="s">
        <v>17</v>
      </c>
      <c r="D95" t="s">
        <v>345</v>
      </c>
      <c r="E95" s="5">
        <v>45812.958333333343</v>
      </c>
      <c r="F95">
        <v>30.719859</v>
      </c>
      <c r="G95">
        <v>76.738636999999997</v>
      </c>
      <c r="H95" t="s">
        <v>772</v>
      </c>
    </row>
    <row r="96" spans="1:11" x14ac:dyDescent="0.3">
      <c r="A96" t="s">
        <v>11</v>
      </c>
      <c r="B96" t="s">
        <v>16</v>
      </c>
      <c r="C96" t="s">
        <v>75</v>
      </c>
      <c r="D96" t="s">
        <v>346</v>
      </c>
      <c r="E96" s="5">
        <v>45812.958333333343</v>
      </c>
      <c r="F96">
        <v>21.185570999999999</v>
      </c>
      <c r="G96">
        <v>81.343175000000002</v>
      </c>
      <c r="H96" t="s">
        <v>774</v>
      </c>
      <c r="I96">
        <v>8</v>
      </c>
      <c r="J96">
        <v>14</v>
      </c>
      <c r="K96">
        <v>10</v>
      </c>
    </row>
    <row r="97" spans="1:11" x14ac:dyDescent="0.3">
      <c r="A97" t="s">
        <v>11</v>
      </c>
      <c r="B97" t="s">
        <v>16</v>
      </c>
      <c r="C97" t="s">
        <v>81</v>
      </c>
      <c r="D97" t="s">
        <v>347</v>
      </c>
      <c r="E97" s="5">
        <v>45812.958333333343</v>
      </c>
      <c r="F97">
        <v>21.258814999999998</v>
      </c>
      <c r="G97">
        <v>81.578979000000004</v>
      </c>
      <c r="H97" t="s">
        <v>770</v>
      </c>
      <c r="I97">
        <v>5</v>
      </c>
      <c r="J97">
        <v>40</v>
      </c>
      <c r="K97">
        <v>28</v>
      </c>
    </row>
    <row r="98" spans="1:11" x14ac:dyDescent="0.3">
      <c r="A98" t="s">
        <v>11</v>
      </c>
      <c r="B98" t="s">
        <v>16</v>
      </c>
      <c r="C98" t="s">
        <v>81</v>
      </c>
      <c r="D98" t="s">
        <v>348</v>
      </c>
      <c r="E98" s="5">
        <v>45812.958333333343</v>
      </c>
      <c r="F98">
        <v>21.219664999999999</v>
      </c>
      <c r="G98">
        <v>81.630094</v>
      </c>
      <c r="H98" t="s">
        <v>772</v>
      </c>
      <c r="I98">
        <v>42</v>
      </c>
      <c r="J98">
        <v>158</v>
      </c>
      <c r="K98">
        <v>76</v>
      </c>
    </row>
    <row r="99" spans="1:11" x14ac:dyDescent="0.3">
      <c r="A99" t="s">
        <v>11</v>
      </c>
      <c r="B99" t="s">
        <v>16</v>
      </c>
      <c r="C99" t="s">
        <v>81</v>
      </c>
      <c r="D99" t="s">
        <v>349</v>
      </c>
      <c r="E99" s="5">
        <v>45812.958333333343</v>
      </c>
      <c r="F99">
        <v>21.237755</v>
      </c>
      <c r="G99">
        <v>81.705301000000006</v>
      </c>
      <c r="H99" t="s">
        <v>772</v>
      </c>
      <c r="I99">
        <v>14</v>
      </c>
      <c r="J99">
        <v>25</v>
      </c>
      <c r="K99">
        <v>21</v>
      </c>
    </row>
    <row r="100" spans="1:11" x14ac:dyDescent="0.3">
      <c r="A100" t="s">
        <v>11</v>
      </c>
      <c r="B100" t="s">
        <v>16</v>
      </c>
      <c r="C100" t="s">
        <v>81</v>
      </c>
      <c r="D100" t="s">
        <v>349</v>
      </c>
      <c r="E100" s="5">
        <v>45812.958333333343</v>
      </c>
      <c r="F100">
        <v>21.237755</v>
      </c>
      <c r="G100">
        <v>81.705301000000006</v>
      </c>
      <c r="H100" t="s">
        <v>774</v>
      </c>
      <c r="I100">
        <v>10</v>
      </c>
      <c r="J100">
        <v>22</v>
      </c>
      <c r="K100">
        <v>13</v>
      </c>
    </row>
    <row r="101" spans="1:11" x14ac:dyDescent="0.3">
      <c r="A101" t="s">
        <v>11</v>
      </c>
      <c r="B101" t="s">
        <v>16</v>
      </c>
      <c r="C101" t="s">
        <v>81</v>
      </c>
      <c r="D101" t="s">
        <v>349</v>
      </c>
      <c r="E101" s="5">
        <v>45812.958333333343</v>
      </c>
      <c r="F101">
        <v>21.237755</v>
      </c>
      <c r="G101">
        <v>81.705301000000006</v>
      </c>
      <c r="H101" t="s">
        <v>776</v>
      </c>
      <c r="I101">
        <v>22</v>
      </c>
      <c r="J101">
        <v>50</v>
      </c>
      <c r="K101">
        <v>28</v>
      </c>
    </row>
    <row r="102" spans="1:11" x14ac:dyDescent="0.3">
      <c r="A102" t="s">
        <v>11</v>
      </c>
      <c r="B102" t="s">
        <v>16</v>
      </c>
      <c r="C102" t="s">
        <v>81</v>
      </c>
      <c r="D102" t="s">
        <v>350</v>
      </c>
      <c r="E102" s="5">
        <v>45812.958333333343</v>
      </c>
      <c r="F102">
        <v>21.371751</v>
      </c>
      <c r="G102">
        <v>81.664929000000001</v>
      </c>
      <c r="H102" t="s">
        <v>773</v>
      </c>
      <c r="I102">
        <v>3</v>
      </c>
      <c r="J102">
        <v>3</v>
      </c>
      <c r="K102">
        <v>3</v>
      </c>
    </row>
    <row r="103" spans="1:11" x14ac:dyDescent="0.3">
      <c r="A103" t="s">
        <v>11</v>
      </c>
      <c r="B103" t="s">
        <v>16</v>
      </c>
      <c r="C103" t="s">
        <v>81</v>
      </c>
      <c r="D103" t="s">
        <v>347</v>
      </c>
      <c r="E103" s="5">
        <v>45812.958333333343</v>
      </c>
      <c r="F103">
        <v>21.258814999999998</v>
      </c>
      <c r="G103">
        <v>81.578979000000004</v>
      </c>
      <c r="H103" t="s">
        <v>775</v>
      </c>
      <c r="I103">
        <v>21</v>
      </c>
      <c r="J103">
        <v>57</v>
      </c>
      <c r="K103">
        <v>34</v>
      </c>
    </row>
    <row r="104" spans="1:11" x14ac:dyDescent="0.3">
      <c r="A104" t="s">
        <v>11</v>
      </c>
      <c r="B104" t="s">
        <v>18</v>
      </c>
      <c r="C104" t="s">
        <v>18</v>
      </c>
      <c r="D104" t="s">
        <v>351</v>
      </c>
      <c r="E104" s="5">
        <v>45812.958333333343</v>
      </c>
      <c r="F104">
        <v>28.623763</v>
      </c>
      <c r="G104">
        <v>77.287209000000004</v>
      </c>
      <c r="H104" t="s">
        <v>773</v>
      </c>
      <c r="I104">
        <v>35</v>
      </c>
      <c r="J104">
        <v>62</v>
      </c>
      <c r="K104">
        <v>50</v>
      </c>
    </row>
    <row r="105" spans="1:11" x14ac:dyDescent="0.3">
      <c r="A105" t="s">
        <v>11</v>
      </c>
      <c r="B105" t="s">
        <v>18</v>
      </c>
      <c r="C105" t="s">
        <v>18</v>
      </c>
      <c r="D105" t="s">
        <v>352</v>
      </c>
      <c r="E105" s="5">
        <v>45812.958333333343</v>
      </c>
      <c r="F105">
        <v>28.674045</v>
      </c>
      <c r="G105">
        <v>77.131022999999999</v>
      </c>
      <c r="H105" t="s">
        <v>775</v>
      </c>
      <c r="I105">
        <v>47</v>
      </c>
      <c r="J105">
        <v>404</v>
      </c>
      <c r="K105">
        <v>230</v>
      </c>
    </row>
    <row r="106" spans="1:11" x14ac:dyDescent="0.3">
      <c r="A106" t="s">
        <v>11</v>
      </c>
      <c r="B106" t="s">
        <v>18</v>
      </c>
      <c r="C106" t="s">
        <v>18</v>
      </c>
      <c r="D106" t="s">
        <v>352</v>
      </c>
      <c r="E106" s="5">
        <v>45812.958333333343</v>
      </c>
      <c r="F106">
        <v>28.674045</v>
      </c>
      <c r="G106">
        <v>77.131022999999999</v>
      </c>
      <c r="H106" t="s">
        <v>773</v>
      </c>
      <c r="I106">
        <v>4</v>
      </c>
      <c r="J106">
        <v>10</v>
      </c>
      <c r="K106">
        <v>7</v>
      </c>
    </row>
    <row r="107" spans="1:11" x14ac:dyDescent="0.3">
      <c r="A107" t="s">
        <v>11</v>
      </c>
      <c r="B107" t="s">
        <v>18</v>
      </c>
      <c r="C107" t="s">
        <v>18</v>
      </c>
      <c r="D107" t="s">
        <v>353</v>
      </c>
      <c r="E107" s="5">
        <v>45812.958333333343</v>
      </c>
      <c r="F107">
        <v>28.639652000000002</v>
      </c>
      <c r="G107">
        <v>77.146275000000003</v>
      </c>
      <c r="H107" t="s">
        <v>772</v>
      </c>
      <c r="I107">
        <v>47</v>
      </c>
      <c r="J107">
        <v>108</v>
      </c>
      <c r="K107">
        <v>82</v>
      </c>
    </row>
    <row r="108" spans="1:11" x14ac:dyDescent="0.3">
      <c r="A108" t="s">
        <v>11</v>
      </c>
      <c r="B108" t="s">
        <v>18</v>
      </c>
      <c r="C108" t="s">
        <v>18</v>
      </c>
      <c r="D108" t="s">
        <v>353</v>
      </c>
      <c r="E108" s="5">
        <v>45812.958333333343</v>
      </c>
      <c r="F108">
        <v>28.639652000000002</v>
      </c>
      <c r="G108">
        <v>77.146275000000003</v>
      </c>
      <c r="H108" t="s">
        <v>770</v>
      </c>
      <c r="I108">
        <v>1</v>
      </c>
      <c r="J108">
        <v>30</v>
      </c>
      <c r="K108">
        <v>18</v>
      </c>
    </row>
    <row r="109" spans="1:11" x14ac:dyDescent="0.3">
      <c r="A109" t="s">
        <v>11</v>
      </c>
      <c r="B109" t="s">
        <v>18</v>
      </c>
      <c r="C109" t="s">
        <v>18</v>
      </c>
      <c r="D109" t="s">
        <v>354</v>
      </c>
      <c r="E109" s="5">
        <v>45812.958333333343</v>
      </c>
      <c r="F109">
        <v>28.563262000000002</v>
      </c>
      <c r="G109">
        <v>77.186937</v>
      </c>
      <c r="H109" t="s">
        <v>774</v>
      </c>
      <c r="I109">
        <v>13</v>
      </c>
      <c r="J109">
        <v>69</v>
      </c>
      <c r="K109">
        <v>43</v>
      </c>
    </row>
    <row r="110" spans="1:11" x14ac:dyDescent="0.3">
      <c r="A110" t="s">
        <v>11</v>
      </c>
      <c r="B110" t="s">
        <v>18</v>
      </c>
      <c r="C110" t="s">
        <v>18</v>
      </c>
      <c r="D110" t="s">
        <v>355</v>
      </c>
      <c r="E110" s="5">
        <v>45812.958333333343</v>
      </c>
      <c r="F110">
        <v>28.732527999999999</v>
      </c>
      <c r="G110">
        <v>77.119919999999993</v>
      </c>
      <c r="H110" t="s">
        <v>772</v>
      </c>
      <c r="I110">
        <v>1</v>
      </c>
      <c r="J110">
        <v>137</v>
      </c>
      <c r="K110">
        <v>58</v>
      </c>
    </row>
    <row r="111" spans="1:11" x14ac:dyDescent="0.3">
      <c r="A111" t="s">
        <v>11</v>
      </c>
      <c r="B111" t="s">
        <v>18</v>
      </c>
      <c r="C111" t="s">
        <v>18</v>
      </c>
      <c r="D111" t="s">
        <v>356</v>
      </c>
      <c r="E111" s="5">
        <v>45812.958333333343</v>
      </c>
      <c r="F111">
        <v>28.651478099999999</v>
      </c>
      <c r="G111">
        <v>77.147310500000003</v>
      </c>
      <c r="H111" t="s">
        <v>773</v>
      </c>
      <c r="I111">
        <v>4</v>
      </c>
      <c r="J111">
        <v>8</v>
      </c>
      <c r="K111">
        <v>6</v>
      </c>
    </row>
    <row r="112" spans="1:11" x14ac:dyDescent="0.3">
      <c r="A112" t="s">
        <v>11</v>
      </c>
      <c r="B112" t="s">
        <v>18</v>
      </c>
      <c r="C112" t="s">
        <v>18</v>
      </c>
      <c r="D112" t="s">
        <v>356</v>
      </c>
      <c r="E112" s="5">
        <v>45812.958333333343</v>
      </c>
      <c r="F112">
        <v>28.651478099999999</v>
      </c>
      <c r="G112">
        <v>77.147310500000003</v>
      </c>
      <c r="H112" t="s">
        <v>774</v>
      </c>
      <c r="I112">
        <v>1</v>
      </c>
      <c r="J112">
        <v>24</v>
      </c>
      <c r="K112">
        <v>9</v>
      </c>
    </row>
    <row r="113" spans="1:11" x14ac:dyDescent="0.3">
      <c r="A113" t="s">
        <v>11</v>
      </c>
      <c r="B113" t="s">
        <v>18</v>
      </c>
      <c r="C113" t="s">
        <v>18</v>
      </c>
      <c r="D113" t="s">
        <v>357</v>
      </c>
      <c r="E113" s="5">
        <v>45812.958333333343</v>
      </c>
      <c r="F113">
        <v>28.550424899999999</v>
      </c>
      <c r="G113">
        <v>77.215937699999998</v>
      </c>
      <c r="H113" t="s">
        <v>771</v>
      </c>
      <c r="I113">
        <v>98</v>
      </c>
      <c r="J113">
        <v>424</v>
      </c>
      <c r="K113">
        <v>211</v>
      </c>
    </row>
    <row r="114" spans="1:11" x14ac:dyDescent="0.3">
      <c r="A114" t="s">
        <v>11</v>
      </c>
      <c r="B114" t="s">
        <v>18</v>
      </c>
      <c r="C114" t="s">
        <v>18</v>
      </c>
      <c r="D114" t="s">
        <v>357</v>
      </c>
      <c r="E114" s="5">
        <v>45812.958333333343</v>
      </c>
      <c r="F114">
        <v>28.550424899999999</v>
      </c>
      <c r="G114">
        <v>77.215937699999998</v>
      </c>
      <c r="H114" t="s">
        <v>772</v>
      </c>
      <c r="I114">
        <v>42</v>
      </c>
      <c r="J114">
        <v>44</v>
      </c>
      <c r="K114">
        <v>44</v>
      </c>
    </row>
    <row r="115" spans="1:11" x14ac:dyDescent="0.3">
      <c r="A115" t="s">
        <v>11</v>
      </c>
      <c r="B115" t="s">
        <v>18</v>
      </c>
      <c r="C115" t="s">
        <v>18</v>
      </c>
      <c r="D115" t="s">
        <v>357</v>
      </c>
      <c r="E115" s="5">
        <v>45812.958333333343</v>
      </c>
      <c r="F115">
        <v>28.550424899999999</v>
      </c>
      <c r="G115">
        <v>77.215937699999998</v>
      </c>
      <c r="H115" t="s">
        <v>776</v>
      </c>
      <c r="I115">
        <v>24</v>
      </c>
      <c r="J115">
        <v>118</v>
      </c>
      <c r="K115">
        <v>45</v>
      </c>
    </row>
    <row r="116" spans="1:11" x14ac:dyDescent="0.3">
      <c r="A116" t="s">
        <v>11</v>
      </c>
      <c r="B116" t="s">
        <v>18</v>
      </c>
      <c r="C116" t="s">
        <v>18</v>
      </c>
      <c r="D116" t="s">
        <v>358</v>
      </c>
      <c r="E116" s="5">
        <v>45812.958333333343</v>
      </c>
      <c r="F116">
        <v>28.562776299999999</v>
      </c>
      <c r="G116">
        <v>77.118005299999993</v>
      </c>
      <c r="H116" t="s">
        <v>770</v>
      </c>
      <c r="I116">
        <v>5</v>
      </c>
      <c r="J116">
        <v>141</v>
      </c>
      <c r="K116">
        <v>65</v>
      </c>
    </row>
    <row r="117" spans="1:11" x14ac:dyDescent="0.3">
      <c r="A117" t="s">
        <v>11</v>
      </c>
      <c r="B117" t="s">
        <v>18</v>
      </c>
      <c r="C117" t="s">
        <v>18</v>
      </c>
      <c r="D117" t="s">
        <v>359</v>
      </c>
      <c r="E117" s="5">
        <v>45812.958333333343</v>
      </c>
      <c r="F117">
        <v>28.681173600000001</v>
      </c>
      <c r="G117">
        <v>77.302523399999998</v>
      </c>
      <c r="H117" t="s">
        <v>774</v>
      </c>
      <c r="I117">
        <v>3</v>
      </c>
      <c r="J117">
        <v>12</v>
      </c>
      <c r="K117">
        <v>8</v>
      </c>
    </row>
    <row r="118" spans="1:11" x14ac:dyDescent="0.3">
      <c r="A118" t="s">
        <v>11</v>
      </c>
      <c r="B118" t="s">
        <v>18</v>
      </c>
      <c r="C118" t="s">
        <v>18</v>
      </c>
      <c r="D118" t="s">
        <v>359</v>
      </c>
      <c r="E118" s="5">
        <v>45812.958333333343</v>
      </c>
      <c r="F118">
        <v>28.681173600000001</v>
      </c>
      <c r="G118">
        <v>77.302523399999998</v>
      </c>
      <c r="H118" t="s">
        <v>770</v>
      </c>
      <c r="I118">
        <v>8</v>
      </c>
      <c r="J118">
        <v>58</v>
      </c>
      <c r="K118">
        <v>36</v>
      </c>
    </row>
    <row r="119" spans="1:11" x14ac:dyDescent="0.3">
      <c r="A119" t="s">
        <v>11</v>
      </c>
      <c r="B119" t="s">
        <v>18</v>
      </c>
      <c r="C119" t="s">
        <v>18</v>
      </c>
      <c r="D119" t="s">
        <v>360</v>
      </c>
      <c r="E119" s="5">
        <v>45812.958333333343</v>
      </c>
      <c r="F119">
        <v>28.73282</v>
      </c>
      <c r="G119">
        <v>77.170632999999995</v>
      </c>
      <c r="H119" t="s">
        <v>775</v>
      </c>
      <c r="I119">
        <v>48</v>
      </c>
      <c r="J119">
        <v>434</v>
      </c>
      <c r="K119">
        <v>253</v>
      </c>
    </row>
    <row r="120" spans="1:11" x14ac:dyDescent="0.3">
      <c r="A120" t="s">
        <v>11</v>
      </c>
      <c r="B120" t="s">
        <v>18</v>
      </c>
      <c r="C120" t="s">
        <v>18</v>
      </c>
      <c r="D120" t="s">
        <v>360</v>
      </c>
      <c r="E120" s="5">
        <v>45812.958333333343</v>
      </c>
      <c r="F120">
        <v>28.73282</v>
      </c>
      <c r="G120">
        <v>77.170632999999995</v>
      </c>
      <c r="H120" t="s">
        <v>771</v>
      </c>
      <c r="I120">
        <v>100</v>
      </c>
      <c r="J120">
        <v>435</v>
      </c>
      <c r="K120">
        <v>277</v>
      </c>
    </row>
    <row r="121" spans="1:11" x14ac:dyDescent="0.3">
      <c r="A121" t="s">
        <v>11</v>
      </c>
      <c r="B121" t="s">
        <v>18</v>
      </c>
      <c r="C121" t="s">
        <v>18</v>
      </c>
      <c r="D121" t="s">
        <v>361</v>
      </c>
      <c r="E121" s="5">
        <v>45812.958333333343</v>
      </c>
      <c r="F121">
        <v>28.684678000000002</v>
      </c>
      <c r="G121">
        <v>77.076573999999994</v>
      </c>
      <c r="H121" t="s">
        <v>776</v>
      </c>
      <c r="I121">
        <v>9</v>
      </c>
      <c r="J121">
        <v>76</v>
      </c>
      <c r="K121">
        <v>24</v>
      </c>
    </row>
    <row r="122" spans="1:11" x14ac:dyDescent="0.3">
      <c r="A122" t="s">
        <v>11</v>
      </c>
      <c r="B122" t="s">
        <v>18</v>
      </c>
      <c r="C122" t="s">
        <v>18</v>
      </c>
      <c r="D122" t="s">
        <v>362</v>
      </c>
      <c r="E122" s="5">
        <v>45812.958333333343</v>
      </c>
      <c r="F122">
        <v>28.609089999999998</v>
      </c>
      <c r="G122">
        <v>77.032541300000005</v>
      </c>
      <c r="H122" t="s">
        <v>775</v>
      </c>
      <c r="I122">
        <v>55</v>
      </c>
      <c r="J122">
        <v>306</v>
      </c>
      <c r="K122">
        <v>139</v>
      </c>
    </row>
    <row r="123" spans="1:11" x14ac:dyDescent="0.3">
      <c r="A123" t="s">
        <v>11</v>
      </c>
      <c r="B123" t="s">
        <v>18</v>
      </c>
      <c r="C123" t="s">
        <v>18</v>
      </c>
      <c r="D123" t="s">
        <v>362</v>
      </c>
      <c r="E123" s="5">
        <v>45812.958333333343</v>
      </c>
      <c r="F123">
        <v>28.609089999999998</v>
      </c>
      <c r="G123">
        <v>77.032541300000005</v>
      </c>
      <c r="H123" t="s">
        <v>773</v>
      </c>
      <c r="I123">
        <v>8</v>
      </c>
      <c r="J123">
        <v>18</v>
      </c>
      <c r="K123">
        <v>9</v>
      </c>
    </row>
    <row r="124" spans="1:11" x14ac:dyDescent="0.3">
      <c r="A124" t="s">
        <v>11</v>
      </c>
      <c r="B124" t="s">
        <v>18</v>
      </c>
      <c r="C124" t="s">
        <v>18</v>
      </c>
      <c r="D124" t="s">
        <v>363</v>
      </c>
      <c r="E124" s="5">
        <v>45812.958333333343</v>
      </c>
      <c r="F124">
        <v>28.570173</v>
      </c>
      <c r="G124">
        <v>76.933762000000002</v>
      </c>
      <c r="H124" t="s">
        <v>772</v>
      </c>
      <c r="I124">
        <v>60</v>
      </c>
      <c r="J124">
        <v>127</v>
      </c>
      <c r="K124">
        <v>96</v>
      </c>
    </row>
    <row r="125" spans="1:11" x14ac:dyDescent="0.3">
      <c r="A125" t="s">
        <v>11</v>
      </c>
      <c r="B125" t="s">
        <v>18</v>
      </c>
      <c r="C125" t="s">
        <v>18</v>
      </c>
      <c r="D125" t="s">
        <v>364</v>
      </c>
      <c r="E125" s="5">
        <v>45812.958333333343</v>
      </c>
      <c r="F125">
        <v>28.822835999999999</v>
      </c>
      <c r="G125">
        <v>77.101980999999995</v>
      </c>
      <c r="H125" t="s">
        <v>776</v>
      </c>
      <c r="I125">
        <v>10</v>
      </c>
      <c r="J125">
        <v>66</v>
      </c>
      <c r="K125">
        <v>24</v>
      </c>
    </row>
    <row r="126" spans="1:11" x14ac:dyDescent="0.3">
      <c r="A126" t="s">
        <v>11</v>
      </c>
      <c r="B126" t="s">
        <v>18</v>
      </c>
      <c r="C126" t="s">
        <v>18</v>
      </c>
      <c r="D126" t="s">
        <v>365</v>
      </c>
      <c r="E126" s="5">
        <v>45812.958333333343</v>
      </c>
      <c r="F126">
        <v>28.567889999999998</v>
      </c>
      <c r="G126">
        <v>77.250514999999993</v>
      </c>
      <c r="H126" t="s">
        <v>771</v>
      </c>
      <c r="I126">
        <v>85</v>
      </c>
      <c r="J126">
        <v>250</v>
      </c>
      <c r="K126">
        <v>161</v>
      </c>
    </row>
    <row r="127" spans="1:11" x14ac:dyDescent="0.3">
      <c r="A127" t="s">
        <v>11</v>
      </c>
      <c r="B127" t="s">
        <v>18</v>
      </c>
      <c r="C127" t="s">
        <v>18</v>
      </c>
      <c r="D127" t="s">
        <v>366</v>
      </c>
      <c r="E127" s="5">
        <v>45812.958333333343</v>
      </c>
      <c r="F127">
        <v>28.657381399999998</v>
      </c>
      <c r="G127">
        <v>77.158544699999993</v>
      </c>
      <c r="H127" t="s">
        <v>776</v>
      </c>
      <c r="I127">
        <v>104</v>
      </c>
      <c r="J127">
        <v>158</v>
      </c>
      <c r="K127">
        <v>116</v>
      </c>
    </row>
    <row r="128" spans="1:11" x14ac:dyDescent="0.3">
      <c r="A128" t="s">
        <v>11</v>
      </c>
      <c r="B128" t="s">
        <v>18</v>
      </c>
      <c r="C128" t="s">
        <v>18</v>
      </c>
      <c r="D128" t="s">
        <v>367</v>
      </c>
      <c r="E128" s="5">
        <v>45812.958333333343</v>
      </c>
      <c r="F128">
        <v>28.531345999999999</v>
      </c>
      <c r="G128">
        <v>77.190156000000002</v>
      </c>
      <c r="H128" t="s">
        <v>775</v>
      </c>
      <c r="I128">
        <v>50</v>
      </c>
      <c r="J128">
        <v>248</v>
      </c>
      <c r="K128">
        <v>128</v>
      </c>
    </row>
    <row r="129" spans="1:11" x14ac:dyDescent="0.3">
      <c r="A129" t="s">
        <v>11</v>
      </c>
      <c r="B129" t="s">
        <v>18</v>
      </c>
      <c r="C129" t="s">
        <v>18</v>
      </c>
      <c r="D129" t="s">
        <v>367</v>
      </c>
      <c r="E129" s="5">
        <v>45812.958333333343</v>
      </c>
      <c r="F129">
        <v>28.531345999999999</v>
      </c>
      <c r="G129">
        <v>77.190156000000002</v>
      </c>
      <c r="H129" t="s">
        <v>772</v>
      </c>
      <c r="I129">
        <v>9</v>
      </c>
      <c r="J129">
        <v>97</v>
      </c>
      <c r="K129">
        <v>54</v>
      </c>
    </row>
    <row r="130" spans="1:11" x14ac:dyDescent="0.3">
      <c r="A130" t="s">
        <v>11</v>
      </c>
      <c r="B130" t="s">
        <v>18</v>
      </c>
      <c r="C130" t="s">
        <v>18</v>
      </c>
      <c r="D130" t="s">
        <v>367</v>
      </c>
      <c r="E130" s="5">
        <v>45812.958333333343</v>
      </c>
      <c r="F130">
        <v>28.531345999999999</v>
      </c>
      <c r="G130">
        <v>77.190156000000002</v>
      </c>
      <c r="H130" t="s">
        <v>774</v>
      </c>
      <c r="I130">
        <v>27</v>
      </c>
      <c r="J130">
        <v>46</v>
      </c>
      <c r="K130">
        <v>35</v>
      </c>
    </row>
    <row r="131" spans="1:11" x14ac:dyDescent="0.3">
      <c r="A131" t="s">
        <v>11</v>
      </c>
      <c r="B131" t="s">
        <v>18</v>
      </c>
      <c r="C131" t="s">
        <v>18</v>
      </c>
      <c r="D131" t="s">
        <v>368</v>
      </c>
      <c r="E131" s="5">
        <v>45812.958333333343</v>
      </c>
      <c r="F131">
        <v>28.588332999999999</v>
      </c>
      <c r="G131">
        <v>77.221666999999997</v>
      </c>
      <c r="H131" t="s">
        <v>775</v>
      </c>
      <c r="I131">
        <v>60</v>
      </c>
      <c r="J131">
        <v>308</v>
      </c>
      <c r="K131">
        <v>174</v>
      </c>
    </row>
    <row r="132" spans="1:11" x14ac:dyDescent="0.3">
      <c r="A132" t="s">
        <v>11</v>
      </c>
      <c r="B132" t="s">
        <v>18</v>
      </c>
      <c r="C132" t="s">
        <v>18</v>
      </c>
      <c r="D132" t="s">
        <v>368</v>
      </c>
      <c r="E132" s="5">
        <v>45812.958333333343</v>
      </c>
      <c r="F132">
        <v>28.588332999999999</v>
      </c>
      <c r="G132">
        <v>77.221666999999997</v>
      </c>
      <c r="H132" t="s">
        <v>772</v>
      </c>
      <c r="I132">
        <v>26</v>
      </c>
      <c r="J132">
        <v>176</v>
      </c>
      <c r="K132">
        <v>85</v>
      </c>
    </row>
    <row r="133" spans="1:11" x14ac:dyDescent="0.3">
      <c r="A133" t="s">
        <v>11</v>
      </c>
      <c r="B133" t="s">
        <v>18</v>
      </c>
      <c r="C133" t="s">
        <v>18</v>
      </c>
      <c r="D133" t="s">
        <v>368</v>
      </c>
      <c r="E133" s="5">
        <v>45812.958333333343</v>
      </c>
      <c r="F133">
        <v>28.588332999999999</v>
      </c>
      <c r="G133">
        <v>77.221666999999997</v>
      </c>
      <c r="H133" t="s">
        <v>774</v>
      </c>
      <c r="I133">
        <v>21</v>
      </c>
      <c r="J133">
        <v>74</v>
      </c>
      <c r="K133">
        <v>45</v>
      </c>
    </row>
    <row r="134" spans="1:11" x14ac:dyDescent="0.3">
      <c r="A134" t="s">
        <v>11</v>
      </c>
      <c r="B134" t="s">
        <v>18</v>
      </c>
      <c r="C134" t="s">
        <v>18</v>
      </c>
      <c r="D134" t="s">
        <v>369</v>
      </c>
      <c r="E134" s="5">
        <v>45812.958333333343</v>
      </c>
      <c r="F134">
        <v>28.672342</v>
      </c>
      <c r="G134">
        <v>77.315259999999995</v>
      </c>
      <c r="H134" t="s">
        <v>772</v>
      </c>
      <c r="I134">
        <v>19</v>
      </c>
      <c r="J134">
        <v>113</v>
      </c>
      <c r="K134">
        <v>54</v>
      </c>
    </row>
    <row r="135" spans="1:11" x14ac:dyDescent="0.3">
      <c r="A135" t="s">
        <v>11</v>
      </c>
      <c r="B135" t="s">
        <v>18</v>
      </c>
      <c r="C135" t="s">
        <v>18</v>
      </c>
      <c r="D135" t="s">
        <v>370</v>
      </c>
      <c r="E135" s="5">
        <v>45812.958333333343</v>
      </c>
      <c r="F135">
        <v>28.699793</v>
      </c>
      <c r="G135">
        <v>77.165452999999999</v>
      </c>
      <c r="H135" t="s">
        <v>775</v>
      </c>
      <c r="I135">
        <v>50</v>
      </c>
      <c r="J135">
        <v>425</v>
      </c>
      <c r="K135">
        <v>243</v>
      </c>
    </row>
    <row r="136" spans="1:11" x14ac:dyDescent="0.3">
      <c r="A136" t="s">
        <v>11</v>
      </c>
      <c r="B136" t="s">
        <v>18</v>
      </c>
      <c r="C136" t="s">
        <v>18</v>
      </c>
      <c r="D136" t="s">
        <v>371</v>
      </c>
      <c r="E136" s="5">
        <v>45812.958333333343</v>
      </c>
      <c r="F136">
        <v>28.710508000000001</v>
      </c>
      <c r="G136">
        <v>77.249485000000007</v>
      </c>
      <c r="H136" t="s">
        <v>774</v>
      </c>
      <c r="I136">
        <v>11</v>
      </c>
      <c r="J136">
        <v>53</v>
      </c>
      <c r="K136">
        <v>23</v>
      </c>
    </row>
    <row r="137" spans="1:11" x14ac:dyDescent="0.3">
      <c r="A137" t="s">
        <v>11</v>
      </c>
      <c r="B137" t="s">
        <v>19</v>
      </c>
      <c r="C137" t="s">
        <v>82</v>
      </c>
      <c r="D137" t="s">
        <v>372</v>
      </c>
      <c r="E137" s="5">
        <v>45812.958333333343</v>
      </c>
      <c r="F137">
        <v>22.977134</v>
      </c>
      <c r="G137">
        <v>72.553023999999994</v>
      </c>
      <c r="H137" t="s">
        <v>770</v>
      </c>
      <c r="I137">
        <v>1</v>
      </c>
      <c r="J137">
        <v>34</v>
      </c>
      <c r="K137">
        <v>18</v>
      </c>
    </row>
    <row r="138" spans="1:11" x14ac:dyDescent="0.3">
      <c r="A138" t="s">
        <v>11</v>
      </c>
      <c r="B138" t="s">
        <v>19</v>
      </c>
      <c r="C138" t="s">
        <v>82</v>
      </c>
      <c r="D138" t="s">
        <v>373</v>
      </c>
      <c r="E138" s="5">
        <v>45812.958333333343</v>
      </c>
      <c r="F138">
        <v>23.002656999999999</v>
      </c>
      <c r="G138">
        <v>72.591911999999994</v>
      </c>
      <c r="H138" t="s">
        <v>775</v>
      </c>
      <c r="I138">
        <v>8</v>
      </c>
      <c r="J138">
        <v>209</v>
      </c>
      <c r="K138">
        <v>52</v>
      </c>
    </row>
    <row r="139" spans="1:11" x14ac:dyDescent="0.3">
      <c r="A139" t="s">
        <v>11</v>
      </c>
      <c r="B139" t="s">
        <v>19</v>
      </c>
      <c r="C139" t="s">
        <v>82</v>
      </c>
      <c r="D139" t="s">
        <v>373</v>
      </c>
      <c r="E139" s="5">
        <v>45812.958333333343</v>
      </c>
      <c r="F139">
        <v>23.002656999999999</v>
      </c>
      <c r="G139">
        <v>72.591911999999994</v>
      </c>
      <c r="H139" t="s">
        <v>771</v>
      </c>
      <c r="I139">
        <v>46</v>
      </c>
      <c r="J139">
        <v>423</v>
      </c>
      <c r="K139">
        <v>144</v>
      </c>
    </row>
    <row r="140" spans="1:11" x14ac:dyDescent="0.3">
      <c r="A140" t="s">
        <v>11</v>
      </c>
      <c r="B140" t="s">
        <v>19</v>
      </c>
      <c r="C140" t="s">
        <v>82</v>
      </c>
      <c r="D140" t="s">
        <v>374</v>
      </c>
      <c r="E140" s="5">
        <v>45812.958333333343</v>
      </c>
      <c r="F140">
        <v>23.020509000000001</v>
      </c>
      <c r="G140">
        <v>72.579261000000002</v>
      </c>
      <c r="H140" t="s">
        <v>775</v>
      </c>
      <c r="I140">
        <v>9</v>
      </c>
      <c r="J140">
        <v>334</v>
      </c>
      <c r="K140">
        <v>108</v>
      </c>
    </row>
    <row r="141" spans="1:11" x14ac:dyDescent="0.3">
      <c r="A141" t="s">
        <v>11</v>
      </c>
      <c r="B141" t="s">
        <v>19</v>
      </c>
      <c r="C141" t="s">
        <v>82</v>
      </c>
      <c r="D141" t="s">
        <v>374</v>
      </c>
      <c r="E141" s="5">
        <v>45812.958333333343</v>
      </c>
      <c r="F141">
        <v>23.020509000000001</v>
      </c>
      <c r="G141">
        <v>72.579261000000002</v>
      </c>
      <c r="H141" t="s">
        <v>773</v>
      </c>
      <c r="I141">
        <v>4</v>
      </c>
      <c r="J141">
        <v>18</v>
      </c>
      <c r="K141">
        <v>8</v>
      </c>
    </row>
    <row r="142" spans="1:11" x14ac:dyDescent="0.3">
      <c r="A142" t="s">
        <v>11</v>
      </c>
      <c r="B142" t="s">
        <v>20</v>
      </c>
      <c r="C142" t="s">
        <v>83</v>
      </c>
      <c r="D142" t="s">
        <v>375</v>
      </c>
      <c r="E142" s="5">
        <v>45812.958333333343</v>
      </c>
      <c r="F142">
        <v>30.943887</v>
      </c>
      <c r="G142">
        <v>76.801991000000001</v>
      </c>
      <c r="H142" t="s">
        <v>774</v>
      </c>
      <c r="I142">
        <v>9</v>
      </c>
      <c r="J142">
        <v>108</v>
      </c>
      <c r="K142">
        <v>56</v>
      </c>
    </row>
    <row r="143" spans="1:11" x14ac:dyDescent="0.3">
      <c r="A143" t="s">
        <v>11</v>
      </c>
      <c r="B143" t="s">
        <v>21</v>
      </c>
      <c r="C143" t="s">
        <v>84</v>
      </c>
      <c r="D143" t="s">
        <v>376</v>
      </c>
      <c r="E143" s="5">
        <v>45812.958333333343</v>
      </c>
      <c r="F143">
        <v>34.066206000000001</v>
      </c>
      <c r="G143">
        <v>74.819820000000007</v>
      </c>
      <c r="H143" t="s">
        <v>771</v>
      </c>
      <c r="I143">
        <v>35</v>
      </c>
      <c r="J143">
        <v>74</v>
      </c>
      <c r="K143">
        <v>54</v>
      </c>
    </row>
    <row r="144" spans="1:11" x14ac:dyDescent="0.3">
      <c r="A144" t="s">
        <v>11</v>
      </c>
      <c r="B144" t="s">
        <v>22</v>
      </c>
      <c r="C144" t="s">
        <v>85</v>
      </c>
      <c r="D144" t="s">
        <v>377</v>
      </c>
      <c r="E144" s="5">
        <v>45812.958333333343</v>
      </c>
      <c r="F144">
        <v>16.172806000000001</v>
      </c>
      <c r="G144">
        <v>75.659694000000002</v>
      </c>
      <c r="H144" t="s">
        <v>774</v>
      </c>
      <c r="I144">
        <v>7</v>
      </c>
      <c r="J144">
        <v>7</v>
      </c>
      <c r="K144">
        <v>7</v>
      </c>
    </row>
    <row r="145" spans="1:11" x14ac:dyDescent="0.3">
      <c r="A145" t="s">
        <v>11</v>
      </c>
      <c r="B145" t="s">
        <v>19</v>
      </c>
      <c r="C145" t="s">
        <v>82</v>
      </c>
      <c r="D145" t="s">
        <v>374</v>
      </c>
      <c r="E145" s="5">
        <v>45812.958333333343</v>
      </c>
      <c r="F145">
        <v>23.020509000000001</v>
      </c>
      <c r="G145">
        <v>72.579261000000002</v>
      </c>
      <c r="H145" t="s">
        <v>770</v>
      </c>
      <c r="I145">
        <v>3</v>
      </c>
      <c r="J145">
        <v>53</v>
      </c>
      <c r="K145">
        <v>30</v>
      </c>
    </row>
    <row r="146" spans="1:11" x14ac:dyDescent="0.3">
      <c r="A146" t="s">
        <v>11</v>
      </c>
      <c r="B146" t="s">
        <v>19</v>
      </c>
      <c r="C146" t="s">
        <v>82</v>
      </c>
      <c r="D146" t="s">
        <v>378</v>
      </c>
      <c r="E146" s="5">
        <v>45812.958333333343</v>
      </c>
      <c r="F146">
        <v>23.041136999999999</v>
      </c>
      <c r="G146">
        <v>72.456691000000006</v>
      </c>
      <c r="H146" t="s">
        <v>771</v>
      </c>
      <c r="I146">
        <v>35</v>
      </c>
      <c r="J146">
        <v>138</v>
      </c>
      <c r="K146">
        <v>71</v>
      </c>
    </row>
    <row r="147" spans="1:11" x14ac:dyDescent="0.3">
      <c r="A147" t="s">
        <v>11</v>
      </c>
      <c r="B147" t="s">
        <v>19</v>
      </c>
      <c r="C147" t="s">
        <v>82</v>
      </c>
      <c r="D147" t="s">
        <v>379</v>
      </c>
      <c r="E147" s="5">
        <v>45812.958333333343</v>
      </c>
      <c r="F147">
        <v>23.076792999999999</v>
      </c>
      <c r="G147">
        <v>72.627874000000006</v>
      </c>
      <c r="H147" t="s">
        <v>775</v>
      </c>
      <c r="I147">
        <v>22</v>
      </c>
      <c r="J147">
        <v>122</v>
      </c>
      <c r="K147">
        <v>43</v>
      </c>
    </row>
    <row r="148" spans="1:11" x14ac:dyDescent="0.3">
      <c r="A148" t="s">
        <v>11</v>
      </c>
      <c r="B148" t="s">
        <v>19</v>
      </c>
      <c r="C148" t="s">
        <v>82</v>
      </c>
      <c r="D148" t="s">
        <v>379</v>
      </c>
      <c r="E148" s="5">
        <v>45812.958333333343</v>
      </c>
      <c r="F148">
        <v>23.076792999999999</v>
      </c>
      <c r="G148">
        <v>72.627874000000006</v>
      </c>
      <c r="H148" t="s">
        <v>776</v>
      </c>
      <c r="I148">
        <v>10</v>
      </c>
      <c r="J148">
        <v>109</v>
      </c>
      <c r="K148">
        <v>39</v>
      </c>
    </row>
    <row r="149" spans="1:11" x14ac:dyDescent="0.3">
      <c r="A149" t="s">
        <v>11</v>
      </c>
      <c r="B149" t="s">
        <v>22</v>
      </c>
      <c r="C149" t="s">
        <v>86</v>
      </c>
      <c r="D149" t="s">
        <v>380</v>
      </c>
      <c r="E149" s="5">
        <v>45812.958333333343</v>
      </c>
      <c r="F149">
        <v>12.9135218</v>
      </c>
      <c r="G149">
        <v>77.595080400000001</v>
      </c>
      <c r="H149" t="s">
        <v>770</v>
      </c>
      <c r="I149">
        <v>29</v>
      </c>
      <c r="J149">
        <v>30</v>
      </c>
      <c r="K149">
        <v>30</v>
      </c>
    </row>
    <row r="150" spans="1:11" x14ac:dyDescent="0.3">
      <c r="A150" t="s">
        <v>11</v>
      </c>
      <c r="B150" t="s">
        <v>22</v>
      </c>
      <c r="C150" t="s">
        <v>86</v>
      </c>
      <c r="D150" t="s">
        <v>381</v>
      </c>
      <c r="E150" s="5">
        <v>45812.958333333343</v>
      </c>
      <c r="F150">
        <v>12.951912999999999</v>
      </c>
      <c r="G150">
        <v>77.539783999999997</v>
      </c>
      <c r="H150" t="s">
        <v>775</v>
      </c>
      <c r="I150">
        <v>29</v>
      </c>
      <c r="J150">
        <v>83</v>
      </c>
      <c r="K150">
        <v>49</v>
      </c>
    </row>
    <row r="151" spans="1:11" x14ac:dyDescent="0.3">
      <c r="A151" t="s">
        <v>11</v>
      </c>
      <c r="B151" t="s">
        <v>22</v>
      </c>
      <c r="C151" t="s">
        <v>86</v>
      </c>
      <c r="D151" t="s">
        <v>382</v>
      </c>
      <c r="E151" s="5">
        <v>45812.958333333343</v>
      </c>
      <c r="F151">
        <v>12.975684299999999</v>
      </c>
      <c r="G151">
        <v>77.566074900000004</v>
      </c>
      <c r="H151" t="s">
        <v>776</v>
      </c>
      <c r="I151">
        <v>48</v>
      </c>
      <c r="J151">
        <v>82</v>
      </c>
      <c r="K151">
        <v>59</v>
      </c>
    </row>
    <row r="152" spans="1:11" x14ac:dyDescent="0.3">
      <c r="A152" t="s">
        <v>11</v>
      </c>
      <c r="B152" t="s">
        <v>23</v>
      </c>
      <c r="C152" t="s">
        <v>87</v>
      </c>
      <c r="D152" t="s">
        <v>383</v>
      </c>
      <c r="E152" s="5">
        <v>45812.958333333343</v>
      </c>
      <c r="F152">
        <v>28.422681000000001</v>
      </c>
      <c r="G152">
        <v>77.148944</v>
      </c>
      <c r="H152" t="s">
        <v>772</v>
      </c>
      <c r="I152">
        <v>10</v>
      </c>
      <c r="J152">
        <v>71</v>
      </c>
      <c r="K152">
        <v>35</v>
      </c>
    </row>
    <row r="153" spans="1:11" x14ac:dyDescent="0.3">
      <c r="A153" t="s">
        <v>11</v>
      </c>
      <c r="B153" t="s">
        <v>23</v>
      </c>
      <c r="C153" t="s">
        <v>87</v>
      </c>
      <c r="D153" t="s">
        <v>383</v>
      </c>
      <c r="E153" s="5">
        <v>45812.958333333343</v>
      </c>
      <c r="F153">
        <v>28.422681000000001</v>
      </c>
      <c r="G153">
        <v>77.148944</v>
      </c>
      <c r="H153" t="s">
        <v>770</v>
      </c>
      <c r="I153">
        <v>43</v>
      </c>
      <c r="J153">
        <v>170</v>
      </c>
      <c r="K153">
        <v>108</v>
      </c>
    </row>
    <row r="154" spans="1:11" x14ac:dyDescent="0.3">
      <c r="A154" t="s">
        <v>11</v>
      </c>
      <c r="B154" t="s">
        <v>23</v>
      </c>
      <c r="C154" t="s">
        <v>88</v>
      </c>
      <c r="D154" t="s">
        <v>384</v>
      </c>
      <c r="E154" s="5">
        <v>45812.958333333343</v>
      </c>
      <c r="F154">
        <v>28.315300000000001</v>
      </c>
      <c r="G154">
        <v>76.914299999999997</v>
      </c>
      <c r="H154" t="s">
        <v>770</v>
      </c>
      <c r="I154">
        <v>4</v>
      </c>
      <c r="J154">
        <v>158</v>
      </c>
      <c r="K154">
        <v>110</v>
      </c>
    </row>
    <row r="155" spans="1:11" x14ac:dyDescent="0.3">
      <c r="A155" t="s">
        <v>11</v>
      </c>
      <c r="B155" t="s">
        <v>19</v>
      </c>
      <c r="C155" t="s">
        <v>82</v>
      </c>
      <c r="D155" t="s">
        <v>385</v>
      </c>
      <c r="E155" s="5">
        <v>45812.958333333343</v>
      </c>
      <c r="F155">
        <v>23.04307</v>
      </c>
      <c r="G155">
        <v>72.562967999999998</v>
      </c>
      <c r="H155" t="s">
        <v>770</v>
      </c>
      <c r="I155">
        <v>6</v>
      </c>
      <c r="J155">
        <v>72</v>
      </c>
      <c r="K155">
        <v>34</v>
      </c>
    </row>
    <row r="156" spans="1:11" x14ac:dyDescent="0.3">
      <c r="A156" t="s">
        <v>11</v>
      </c>
      <c r="B156" t="s">
        <v>19</v>
      </c>
      <c r="C156" t="s">
        <v>89</v>
      </c>
      <c r="D156" t="s">
        <v>386</v>
      </c>
      <c r="E156" s="5">
        <v>45812.958333333343</v>
      </c>
      <c r="F156">
        <v>21.613267</v>
      </c>
      <c r="G156">
        <v>73.010554999999997</v>
      </c>
      <c r="H156" t="s">
        <v>775</v>
      </c>
      <c r="I156">
        <v>24</v>
      </c>
      <c r="J156">
        <v>194</v>
      </c>
      <c r="K156">
        <v>74</v>
      </c>
    </row>
    <row r="157" spans="1:11" x14ac:dyDescent="0.3">
      <c r="A157" t="s">
        <v>11</v>
      </c>
      <c r="B157" t="s">
        <v>19</v>
      </c>
      <c r="C157" t="s">
        <v>89</v>
      </c>
      <c r="D157" t="s">
        <v>386</v>
      </c>
      <c r="E157" s="5">
        <v>45812.958333333343</v>
      </c>
      <c r="F157">
        <v>21.613267</v>
      </c>
      <c r="G157">
        <v>73.010554999999997</v>
      </c>
      <c r="H157" t="s">
        <v>776</v>
      </c>
      <c r="I157">
        <v>6</v>
      </c>
      <c r="J157">
        <v>50</v>
      </c>
      <c r="K157">
        <v>8</v>
      </c>
    </row>
    <row r="158" spans="1:11" x14ac:dyDescent="0.3">
      <c r="A158" t="s">
        <v>11</v>
      </c>
      <c r="B158" t="s">
        <v>19</v>
      </c>
      <c r="C158" t="s">
        <v>90</v>
      </c>
      <c r="D158" t="s">
        <v>387</v>
      </c>
      <c r="E158" s="5">
        <v>45812.958333333343</v>
      </c>
      <c r="F158">
        <v>23.221713999999999</v>
      </c>
      <c r="G158">
        <v>72.654328000000007</v>
      </c>
      <c r="H158" t="s">
        <v>776</v>
      </c>
      <c r="I158">
        <v>6</v>
      </c>
      <c r="J158">
        <v>86</v>
      </c>
      <c r="K158">
        <v>27</v>
      </c>
    </row>
    <row r="159" spans="1:11" x14ac:dyDescent="0.3">
      <c r="A159" t="s">
        <v>11</v>
      </c>
      <c r="B159" t="s">
        <v>19</v>
      </c>
      <c r="C159" t="s">
        <v>90</v>
      </c>
      <c r="D159" t="s">
        <v>387</v>
      </c>
      <c r="E159" s="5">
        <v>45812.958333333343</v>
      </c>
      <c r="F159">
        <v>23.221713999999999</v>
      </c>
      <c r="G159">
        <v>72.654328000000007</v>
      </c>
      <c r="H159" t="s">
        <v>770</v>
      </c>
      <c r="I159">
        <v>22</v>
      </c>
      <c r="J159">
        <v>23</v>
      </c>
      <c r="K159">
        <v>22</v>
      </c>
    </row>
    <row r="160" spans="1:11" x14ac:dyDescent="0.3">
      <c r="A160" t="s">
        <v>11</v>
      </c>
      <c r="B160" t="s">
        <v>19</v>
      </c>
      <c r="C160" t="s">
        <v>91</v>
      </c>
      <c r="D160" t="s">
        <v>388</v>
      </c>
      <c r="E160" s="5">
        <v>45812.958333333343</v>
      </c>
      <c r="F160">
        <v>21.170045999999999</v>
      </c>
      <c r="G160">
        <v>72.795405000000002</v>
      </c>
      <c r="H160" t="s">
        <v>775</v>
      </c>
    </row>
    <row r="161" spans="1:11" x14ac:dyDescent="0.3">
      <c r="A161" t="s">
        <v>11</v>
      </c>
      <c r="B161" t="s">
        <v>19</v>
      </c>
      <c r="C161" t="s">
        <v>91</v>
      </c>
      <c r="D161" t="s">
        <v>388</v>
      </c>
      <c r="E161" s="5">
        <v>45812.958333333343</v>
      </c>
      <c r="F161">
        <v>21.170045999999999</v>
      </c>
      <c r="G161">
        <v>72.795405000000002</v>
      </c>
      <c r="H161" t="s">
        <v>774</v>
      </c>
    </row>
    <row r="162" spans="1:11" x14ac:dyDescent="0.3">
      <c r="A162" t="s">
        <v>11</v>
      </c>
      <c r="B162" t="s">
        <v>18</v>
      </c>
      <c r="C162" t="s">
        <v>18</v>
      </c>
      <c r="D162" t="s">
        <v>370</v>
      </c>
      <c r="E162" s="5">
        <v>45812.958333333343</v>
      </c>
      <c r="F162">
        <v>28.699793</v>
      </c>
      <c r="G162">
        <v>77.165452999999999</v>
      </c>
      <c r="H162" t="s">
        <v>776</v>
      </c>
      <c r="I162">
        <v>45</v>
      </c>
      <c r="J162">
        <v>124</v>
      </c>
      <c r="K162">
        <v>84</v>
      </c>
    </row>
    <row r="163" spans="1:11" x14ac:dyDescent="0.3">
      <c r="A163" t="s">
        <v>11</v>
      </c>
      <c r="B163" t="s">
        <v>19</v>
      </c>
      <c r="C163" t="s">
        <v>82</v>
      </c>
      <c r="D163" t="s">
        <v>389</v>
      </c>
      <c r="E163" s="5">
        <v>45812.958333333343</v>
      </c>
      <c r="F163">
        <v>23.107969000000001</v>
      </c>
      <c r="G163">
        <v>72.574647999999996</v>
      </c>
      <c r="H163" t="s">
        <v>776</v>
      </c>
      <c r="I163">
        <v>26</v>
      </c>
      <c r="J163">
        <v>142</v>
      </c>
      <c r="K163">
        <v>65</v>
      </c>
    </row>
    <row r="164" spans="1:11" x14ac:dyDescent="0.3">
      <c r="A164" t="s">
        <v>11</v>
      </c>
      <c r="B164" t="s">
        <v>19</v>
      </c>
      <c r="C164" t="s">
        <v>82</v>
      </c>
      <c r="D164" t="s">
        <v>372</v>
      </c>
      <c r="E164" s="5">
        <v>45812.958333333343</v>
      </c>
      <c r="F164">
        <v>22.977134</v>
      </c>
      <c r="G164">
        <v>72.553023999999994</v>
      </c>
      <c r="H164" t="s">
        <v>775</v>
      </c>
      <c r="I164">
        <v>46</v>
      </c>
      <c r="J164">
        <v>379</v>
      </c>
      <c r="K164">
        <v>189</v>
      </c>
    </row>
    <row r="165" spans="1:11" x14ac:dyDescent="0.3">
      <c r="A165" t="s">
        <v>11</v>
      </c>
      <c r="B165" t="s">
        <v>22</v>
      </c>
      <c r="C165" t="s">
        <v>86</v>
      </c>
      <c r="D165" t="s">
        <v>390</v>
      </c>
      <c r="E165" s="5">
        <v>45812.958333333343</v>
      </c>
      <c r="F165">
        <v>12.938539</v>
      </c>
      <c r="G165">
        <v>77.590100000000007</v>
      </c>
      <c r="H165" t="s">
        <v>772</v>
      </c>
      <c r="I165">
        <v>11</v>
      </c>
      <c r="J165">
        <v>35</v>
      </c>
      <c r="K165">
        <v>18</v>
      </c>
    </row>
    <row r="166" spans="1:11" x14ac:dyDescent="0.3">
      <c r="A166" t="s">
        <v>11</v>
      </c>
      <c r="B166" t="s">
        <v>22</v>
      </c>
      <c r="C166" t="s">
        <v>86</v>
      </c>
      <c r="D166" t="s">
        <v>390</v>
      </c>
      <c r="E166" s="5">
        <v>45812.958333333343</v>
      </c>
      <c r="F166">
        <v>12.938539</v>
      </c>
      <c r="G166">
        <v>77.590100000000007</v>
      </c>
      <c r="H166" t="s">
        <v>774</v>
      </c>
      <c r="I166">
        <v>9</v>
      </c>
      <c r="J166">
        <v>19</v>
      </c>
      <c r="K166">
        <v>13</v>
      </c>
    </row>
    <row r="167" spans="1:11" x14ac:dyDescent="0.3">
      <c r="A167" t="s">
        <v>11</v>
      </c>
      <c r="B167" t="s">
        <v>22</v>
      </c>
      <c r="C167" t="s">
        <v>86</v>
      </c>
      <c r="D167" t="s">
        <v>390</v>
      </c>
      <c r="E167" s="5">
        <v>45812.958333333343</v>
      </c>
      <c r="F167">
        <v>12.938539</v>
      </c>
      <c r="G167">
        <v>77.590100000000007</v>
      </c>
      <c r="H167" t="s">
        <v>776</v>
      </c>
      <c r="I167">
        <v>14</v>
      </c>
      <c r="J167">
        <v>28</v>
      </c>
      <c r="K167">
        <v>16</v>
      </c>
    </row>
    <row r="168" spans="1:11" x14ac:dyDescent="0.3">
      <c r="A168" t="s">
        <v>11</v>
      </c>
      <c r="B168" t="s">
        <v>22</v>
      </c>
      <c r="C168" t="s">
        <v>86</v>
      </c>
      <c r="D168" t="s">
        <v>390</v>
      </c>
      <c r="E168" s="5">
        <v>45812.958333333343</v>
      </c>
      <c r="F168">
        <v>12.938539</v>
      </c>
      <c r="G168">
        <v>77.590100000000007</v>
      </c>
      <c r="H168" t="s">
        <v>770</v>
      </c>
      <c r="I168">
        <v>17</v>
      </c>
      <c r="J168">
        <v>218</v>
      </c>
      <c r="K168">
        <v>178</v>
      </c>
    </row>
    <row r="169" spans="1:11" x14ac:dyDescent="0.3">
      <c r="A169" t="s">
        <v>11</v>
      </c>
      <c r="B169" t="s">
        <v>22</v>
      </c>
      <c r="C169" t="s">
        <v>92</v>
      </c>
      <c r="D169" t="s">
        <v>391</v>
      </c>
      <c r="E169" s="5">
        <v>45812.958333333343</v>
      </c>
      <c r="F169">
        <v>15.411455999999999</v>
      </c>
      <c r="G169">
        <v>75.638132999999996</v>
      </c>
      <c r="H169" t="s">
        <v>772</v>
      </c>
      <c r="I169">
        <v>4</v>
      </c>
      <c r="J169">
        <v>24</v>
      </c>
      <c r="K169">
        <v>14</v>
      </c>
    </row>
    <row r="170" spans="1:11" x14ac:dyDescent="0.3">
      <c r="A170" t="s">
        <v>11</v>
      </c>
      <c r="B170" t="s">
        <v>22</v>
      </c>
      <c r="C170" t="s">
        <v>92</v>
      </c>
      <c r="D170" t="s">
        <v>391</v>
      </c>
      <c r="E170" s="5">
        <v>45812.958333333343</v>
      </c>
      <c r="F170">
        <v>15.411455999999999</v>
      </c>
      <c r="G170">
        <v>75.638132999999996</v>
      </c>
      <c r="H170" t="s">
        <v>776</v>
      </c>
      <c r="I170">
        <v>40</v>
      </c>
      <c r="J170">
        <v>48</v>
      </c>
      <c r="K170">
        <v>45</v>
      </c>
    </row>
    <row r="171" spans="1:11" x14ac:dyDescent="0.3">
      <c r="A171" t="s">
        <v>11</v>
      </c>
      <c r="B171" t="s">
        <v>22</v>
      </c>
      <c r="C171" t="s">
        <v>93</v>
      </c>
      <c r="D171" t="s">
        <v>392</v>
      </c>
      <c r="E171" s="5">
        <v>45812.958333333343</v>
      </c>
      <c r="F171">
        <v>14.7918</v>
      </c>
      <c r="G171">
        <v>75.389600000000002</v>
      </c>
      <c r="H171" t="s">
        <v>771</v>
      </c>
    </row>
    <row r="172" spans="1:11" x14ac:dyDescent="0.3">
      <c r="A172" t="s">
        <v>11</v>
      </c>
      <c r="B172" t="s">
        <v>22</v>
      </c>
      <c r="C172" t="s">
        <v>94</v>
      </c>
      <c r="D172" t="s">
        <v>393</v>
      </c>
      <c r="E172" s="5">
        <v>45812.958333333343</v>
      </c>
      <c r="F172">
        <v>15.3714823</v>
      </c>
      <c r="G172">
        <v>75.116016799999997</v>
      </c>
      <c r="H172" t="s">
        <v>770</v>
      </c>
      <c r="I172">
        <v>13</v>
      </c>
      <c r="J172">
        <v>30</v>
      </c>
      <c r="K172">
        <v>25</v>
      </c>
    </row>
    <row r="173" spans="1:11" x14ac:dyDescent="0.3">
      <c r="A173" t="s">
        <v>11</v>
      </c>
      <c r="B173" t="s">
        <v>22</v>
      </c>
      <c r="C173" t="s">
        <v>95</v>
      </c>
      <c r="D173" t="s">
        <v>394</v>
      </c>
      <c r="E173" s="5">
        <v>45812.958333333343</v>
      </c>
      <c r="F173">
        <v>17.321992999999999</v>
      </c>
      <c r="G173">
        <v>76.822627999999995</v>
      </c>
      <c r="H173" t="s">
        <v>771</v>
      </c>
      <c r="I173">
        <v>42</v>
      </c>
      <c r="J173">
        <v>107</v>
      </c>
      <c r="K173">
        <v>73</v>
      </c>
    </row>
    <row r="174" spans="1:11" x14ac:dyDescent="0.3">
      <c r="A174" t="s">
        <v>11</v>
      </c>
      <c r="B174" t="s">
        <v>22</v>
      </c>
      <c r="C174" t="s">
        <v>95</v>
      </c>
      <c r="D174" t="s">
        <v>394</v>
      </c>
      <c r="E174" s="5">
        <v>45812.958333333343</v>
      </c>
      <c r="F174">
        <v>17.321992999999999</v>
      </c>
      <c r="G174">
        <v>76.822627999999995</v>
      </c>
      <c r="H174" t="s">
        <v>772</v>
      </c>
      <c r="I174">
        <v>8</v>
      </c>
      <c r="J174">
        <v>11</v>
      </c>
      <c r="K174">
        <v>9</v>
      </c>
    </row>
    <row r="175" spans="1:11" x14ac:dyDescent="0.3">
      <c r="A175" t="s">
        <v>11</v>
      </c>
      <c r="B175" t="s">
        <v>22</v>
      </c>
      <c r="C175" t="s">
        <v>95</v>
      </c>
      <c r="D175" t="s">
        <v>394</v>
      </c>
      <c r="E175" s="5">
        <v>45812.958333333343</v>
      </c>
      <c r="F175">
        <v>17.321992999999999</v>
      </c>
      <c r="G175">
        <v>76.822627999999995</v>
      </c>
      <c r="H175" t="s">
        <v>773</v>
      </c>
      <c r="I175">
        <v>3</v>
      </c>
      <c r="J175">
        <v>4</v>
      </c>
      <c r="K175">
        <v>3</v>
      </c>
    </row>
    <row r="176" spans="1:11" x14ac:dyDescent="0.3">
      <c r="A176" t="s">
        <v>11</v>
      </c>
      <c r="B176" t="s">
        <v>22</v>
      </c>
      <c r="C176" t="s">
        <v>95</v>
      </c>
      <c r="D176" t="s">
        <v>394</v>
      </c>
      <c r="E176" s="5">
        <v>45812.958333333343</v>
      </c>
      <c r="F176">
        <v>17.321992999999999</v>
      </c>
      <c r="G176">
        <v>76.822627999999995</v>
      </c>
      <c r="H176" t="s">
        <v>776</v>
      </c>
      <c r="I176">
        <v>24</v>
      </c>
      <c r="J176">
        <v>44</v>
      </c>
      <c r="K176">
        <v>26</v>
      </c>
    </row>
    <row r="177" spans="1:11" x14ac:dyDescent="0.3">
      <c r="A177" t="s">
        <v>11</v>
      </c>
      <c r="B177" t="s">
        <v>22</v>
      </c>
      <c r="C177" t="s">
        <v>96</v>
      </c>
      <c r="D177" t="s">
        <v>395</v>
      </c>
      <c r="E177" s="5">
        <v>45812.958333333343</v>
      </c>
      <c r="F177">
        <v>13.428827999999999</v>
      </c>
      <c r="G177">
        <v>77.731418000000005</v>
      </c>
      <c r="H177" t="s">
        <v>776</v>
      </c>
    </row>
    <row r="178" spans="1:11" x14ac:dyDescent="0.3">
      <c r="A178" t="s">
        <v>11</v>
      </c>
      <c r="B178" t="s">
        <v>22</v>
      </c>
      <c r="C178" t="s">
        <v>97</v>
      </c>
      <c r="D178" t="s">
        <v>396</v>
      </c>
      <c r="E178" s="5">
        <v>45812.958333333343</v>
      </c>
      <c r="F178">
        <v>13.328028</v>
      </c>
      <c r="G178">
        <v>75.797055999999998</v>
      </c>
      <c r="H178" t="s">
        <v>775</v>
      </c>
    </row>
    <row r="179" spans="1:11" x14ac:dyDescent="0.3">
      <c r="A179" t="s">
        <v>11</v>
      </c>
      <c r="B179" t="s">
        <v>22</v>
      </c>
      <c r="C179" t="s">
        <v>98</v>
      </c>
      <c r="D179" t="s">
        <v>397</v>
      </c>
      <c r="E179" s="5">
        <v>45812.958333333343</v>
      </c>
      <c r="F179">
        <v>14.4758</v>
      </c>
      <c r="G179">
        <v>75.905199999999994</v>
      </c>
      <c r="H179" t="s">
        <v>771</v>
      </c>
      <c r="I179">
        <v>33</v>
      </c>
      <c r="J179">
        <v>65</v>
      </c>
      <c r="K179">
        <v>46</v>
      </c>
    </row>
    <row r="180" spans="1:11" x14ac:dyDescent="0.3">
      <c r="A180" t="s">
        <v>11</v>
      </c>
      <c r="B180" t="s">
        <v>22</v>
      </c>
      <c r="C180" t="s">
        <v>99</v>
      </c>
      <c r="D180" t="s">
        <v>398</v>
      </c>
      <c r="E180" s="5">
        <v>45812.958333333343</v>
      </c>
      <c r="F180">
        <v>15.459706000000001</v>
      </c>
      <c r="G180">
        <v>75.008381</v>
      </c>
      <c r="H180" t="s">
        <v>773</v>
      </c>
      <c r="I180">
        <v>4</v>
      </c>
      <c r="J180">
        <v>4</v>
      </c>
      <c r="K180">
        <v>4</v>
      </c>
    </row>
    <row r="181" spans="1:11" x14ac:dyDescent="0.3">
      <c r="A181" t="s">
        <v>11</v>
      </c>
      <c r="B181" t="s">
        <v>22</v>
      </c>
      <c r="C181" t="s">
        <v>100</v>
      </c>
      <c r="D181" t="s">
        <v>399</v>
      </c>
      <c r="E181" s="5">
        <v>45812.958333333343</v>
      </c>
      <c r="F181">
        <v>16.760200000000001</v>
      </c>
      <c r="G181">
        <v>77.142799999999994</v>
      </c>
      <c r="H181" t="s">
        <v>771</v>
      </c>
      <c r="I181">
        <v>39</v>
      </c>
      <c r="J181">
        <v>86</v>
      </c>
      <c r="K181">
        <v>55</v>
      </c>
    </row>
    <row r="182" spans="1:11" x14ac:dyDescent="0.3">
      <c r="A182" t="s">
        <v>11</v>
      </c>
      <c r="B182" t="s">
        <v>22</v>
      </c>
      <c r="C182" t="s">
        <v>100</v>
      </c>
      <c r="D182" t="s">
        <v>399</v>
      </c>
      <c r="E182" s="5">
        <v>45812.958333333343</v>
      </c>
      <c r="F182">
        <v>16.760200000000001</v>
      </c>
      <c r="G182">
        <v>77.142799999999994</v>
      </c>
      <c r="H182" t="s">
        <v>772</v>
      </c>
      <c r="I182">
        <v>34</v>
      </c>
      <c r="J182">
        <v>57</v>
      </c>
      <c r="K182">
        <v>45</v>
      </c>
    </row>
    <row r="183" spans="1:11" x14ac:dyDescent="0.3">
      <c r="A183" t="s">
        <v>11</v>
      </c>
      <c r="B183" t="s">
        <v>22</v>
      </c>
      <c r="C183" t="s">
        <v>100</v>
      </c>
      <c r="D183" t="s">
        <v>399</v>
      </c>
      <c r="E183" s="5">
        <v>45812.958333333343</v>
      </c>
      <c r="F183">
        <v>16.760200000000001</v>
      </c>
      <c r="G183">
        <v>77.142799999999994</v>
      </c>
      <c r="H183" t="s">
        <v>773</v>
      </c>
      <c r="I183">
        <v>3</v>
      </c>
      <c r="J183">
        <v>4</v>
      </c>
      <c r="K183">
        <v>4</v>
      </c>
    </row>
    <row r="184" spans="1:11" x14ac:dyDescent="0.3">
      <c r="A184" t="s">
        <v>11</v>
      </c>
      <c r="B184" t="s">
        <v>22</v>
      </c>
      <c r="C184" t="s">
        <v>100</v>
      </c>
      <c r="D184" t="s">
        <v>399</v>
      </c>
      <c r="E184" s="5">
        <v>45812.958333333343</v>
      </c>
      <c r="F184">
        <v>16.760200000000001</v>
      </c>
      <c r="G184">
        <v>77.142799999999994</v>
      </c>
      <c r="H184" t="s">
        <v>776</v>
      </c>
      <c r="I184">
        <v>17</v>
      </c>
      <c r="J184">
        <v>24</v>
      </c>
      <c r="K184">
        <v>21</v>
      </c>
    </row>
    <row r="185" spans="1:11" x14ac:dyDescent="0.3">
      <c r="A185" t="s">
        <v>11</v>
      </c>
      <c r="B185" t="s">
        <v>24</v>
      </c>
      <c r="C185" t="s">
        <v>101</v>
      </c>
      <c r="D185" t="s">
        <v>400</v>
      </c>
      <c r="E185" s="5">
        <v>45812.958333333343</v>
      </c>
      <c r="F185">
        <v>10.073232000000001</v>
      </c>
      <c r="G185">
        <v>76.302764999999994</v>
      </c>
      <c r="H185" t="s">
        <v>775</v>
      </c>
    </row>
    <row r="186" spans="1:11" x14ac:dyDescent="0.3">
      <c r="A186" t="s">
        <v>11</v>
      </c>
      <c r="B186" t="s">
        <v>22</v>
      </c>
      <c r="C186" t="s">
        <v>86</v>
      </c>
      <c r="D186" t="s">
        <v>401</v>
      </c>
      <c r="E186" s="5">
        <v>45812.958333333343</v>
      </c>
      <c r="F186">
        <v>13.024634199999999</v>
      </c>
      <c r="G186">
        <v>77.508011499999995</v>
      </c>
      <c r="H186" t="s">
        <v>773</v>
      </c>
      <c r="I186">
        <v>2</v>
      </c>
      <c r="J186">
        <v>2</v>
      </c>
      <c r="K186">
        <v>2</v>
      </c>
    </row>
    <row r="187" spans="1:11" x14ac:dyDescent="0.3">
      <c r="A187" t="s">
        <v>11</v>
      </c>
      <c r="B187" t="s">
        <v>22</v>
      </c>
      <c r="C187" t="s">
        <v>86</v>
      </c>
      <c r="D187" t="s">
        <v>401</v>
      </c>
      <c r="E187" s="5">
        <v>45812.958333333343</v>
      </c>
      <c r="F187">
        <v>13.024634199999999</v>
      </c>
      <c r="G187">
        <v>77.508011499999995</v>
      </c>
      <c r="H187" t="s">
        <v>770</v>
      </c>
      <c r="I187">
        <v>19</v>
      </c>
      <c r="J187">
        <v>22</v>
      </c>
      <c r="K187">
        <v>19</v>
      </c>
    </row>
    <row r="188" spans="1:11" x14ac:dyDescent="0.3">
      <c r="A188" t="s">
        <v>11</v>
      </c>
      <c r="B188" t="s">
        <v>22</v>
      </c>
      <c r="C188" t="s">
        <v>86</v>
      </c>
      <c r="D188" t="s">
        <v>402</v>
      </c>
      <c r="E188" s="5">
        <v>45812.958333333343</v>
      </c>
      <c r="F188">
        <v>12.917348</v>
      </c>
      <c r="G188">
        <v>77.622812999999994</v>
      </c>
      <c r="H188" t="s">
        <v>774</v>
      </c>
      <c r="I188">
        <v>9</v>
      </c>
      <c r="J188">
        <v>11</v>
      </c>
      <c r="K188">
        <v>10</v>
      </c>
    </row>
    <row r="189" spans="1:11" x14ac:dyDescent="0.3">
      <c r="A189" t="s">
        <v>11</v>
      </c>
      <c r="B189" t="s">
        <v>22</v>
      </c>
      <c r="C189" t="s">
        <v>102</v>
      </c>
      <c r="D189" t="s">
        <v>403</v>
      </c>
      <c r="E189" s="5">
        <v>45812.958333333343</v>
      </c>
      <c r="F189">
        <v>11.55358</v>
      </c>
      <c r="G189">
        <v>76.555210000000002</v>
      </c>
      <c r="H189" t="s">
        <v>773</v>
      </c>
      <c r="I189">
        <v>2</v>
      </c>
      <c r="J189">
        <v>2</v>
      </c>
      <c r="K189">
        <v>2</v>
      </c>
    </row>
    <row r="190" spans="1:11" x14ac:dyDescent="0.3">
      <c r="A190" t="s">
        <v>11</v>
      </c>
      <c r="B190" t="s">
        <v>22</v>
      </c>
      <c r="C190" t="s">
        <v>86</v>
      </c>
      <c r="D190" t="s">
        <v>404</v>
      </c>
      <c r="E190" s="5">
        <v>45812.958333333343</v>
      </c>
      <c r="F190">
        <v>13.027019900000001</v>
      </c>
      <c r="G190">
        <v>77.494094000000004</v>
      </c>
      <c r="H190" t="s">
        <v>771</v>
      </c>
      <c r="I190">
        <v>49</v>
      </c>
      <c r="J190">
        <v>70</v>
      </c>
      <c r="K190">
        <v>59</v>
      </c>
    </row>
    <row r="191" spans="1:11" x14ac:dyDescent="0.3">
      <c r="A191" t="s">
        <v>11</v>
      </c>
      <c r="B191" t="s">
        <v>22</v>
      </c>
      <c r="C191" t="s">
        <v>86</v>
      </c>
      <c r="D191" t="s">
        <v>405</v>
      </c>
      <c r="E191" s="5">
        <v>45812.958333333343</v>
      </c>
      <c r="F191">
        <v>12.921417999999999</v>
      </c>
      <c r="G191">
        <v>77.502465999999998</v>
      </c>
      <c r="H191" t="s">
        <v>773</v>
      </c>
      <c r="I191">
        <v>3</v>
      </c>
      <c r="J191">
        <v>4</v>
      </c>
      <c r="K191">
        <v>4</v>
      </c>
    </row>
    <row r="192" spans="1:11" x14ac:dyDescent="0.3">
      <c r="A192" t="s">
        <v>11</v>
      </c>
      <c r="B192" t="s">
        <v>22</v>
      </c>
      <c r="C192" t="s">
        <v>103</v>
      </c>
      <c r="D192" t="s">
        <v>406</v>
      </c>
      <c r="E192" s="5">
        <v>45812.958333333343</v>
      </c>
      <c r="F192">
        <v>12.21041</v>
      </c>
      <c r="G192">
        <v>76.373760000000004</v>
      </c>
      <c r="H192" t="s">
        <v>771</v>
      </c>
      <c r="I192">
        <v>31</v>
      </c>
      <c r="J192">
        <v>50</v>
      </c>
      <c r="K192">
        <v>39</v>
      </c>
    </row>
    <row r="193" spans="1:11" x14ac:dyDescent="0.3">
      <c r="A193" t="s">
        <v>11</v>
      </c>
      <c r="B193" t="s">
        <v>22</v>
      </c>
      <c r="C193" t="s">
        <v>103</v>
      </c>
      <c r="D193" t="s">
        <v>406</v>
      </c>
      <c r="E193" s="5">
        <v>45812.958333333343</v>
      </c>
      <c r="F193">
        <v>12.21041</v>
      </c>
      <c r="G193">
        <v>76.373760000000004</v>
      </c>
      <c r="H193" t="s">
        <v>773</v>
      </c>
      <c r="I193">
        <v>3</v>
      </c>
      <c r="J193">
        <v>7</v>
      </c>
      <c r="K193">
        <v>5</v>
      </c>
    </row>
    <row r="194" spans="1:11" x14ac:dyDescent="0.3">
      <c r="A194" t="s">
        <v>11</v>
      </c>
      <c r="B194" t="s">
        <v>22</v>
      </c>
      <c r="C194" t="s">
        <v>104</v>
      </c>
      <c r="D194" t="s">
        <v>407</v>
      </c>
      <c r="E194" s="5">
        <v>45812.958333333343</v>
      </c>
      <c r="F194">
        <v>13.377516</v>
      </c>
      <c r="G194">
        <v>77.099072000000007</v>
      </c>
      <c r="H194" t="s">
        <v>772</v>
      </c>
      <c r="I194">
        <v>18</v>
      </c>
      <c r="J194">
        <v>19</v>
      </c>
      <c r="K194">
        <v>18</v>
      </c>
    </row>
    <row r="195" spans="1:11" x14ac:dyDescent="0.3">
      <c r="A195" t="s">
        <v>11</v>
      </c>
      <c r="B195" t="s">
        <v>22</v>
      </c>
      <c r="C195" t="s">
        <v>104</v>
      </c>
      <c r="D195" t="s">
        <v>407</v>
      </c>
      <c r="E195" s="5">
        <v>45812.958333333343</v>
      </c>
      <c r="F195">
        <v>13.377516</v>
      </c>
      <c r="G195">
        <v>77.099072000000007</v>
      </c>
      <c r="H195" t="s">
        <v>774</v>
      </c>
      <c r="I195">
        <v>4</v>
      </c>
      <c r="J195">
        <v>7</v>
      </c>
      <c r="K195">
        <v>5</v>
      </c>
    </row>
    <row r="196" spans="1:11" x14ac:dyDescent="0.3">
      <c r="A196" t="s">
        <v>11</v>
      </c>
      <c r="B196" t="s">
        <v>22</v>
      </c>
      <c r="C196" t="s">
        <v>104</v>
      </c>
      <c r="D196" t="s">
        <v>407</v>
      </c>
      <c r="E196" s="5">
        <v>45812.958333333343</v>
      </c>
      <c r="F196">
        <v>13.377516</v>
      </c>
      <c r="G196">
        <v>77.099072000000007</v>
      </c>
      <c r="H196" t="s">
        <v>770</v>
      </c>
      <c r="I196">
        <v>4</v>
      </c>
      <c r="J196">
        <v>7</v>
      </c>
      <c r="K196">
        <v>6</v>
      </c>
    </row>
    <row r="197" spans="1:11" x14ac:dyDescent="0.3">
      <c r="A197" t="s">
        <v>11</v>
      </c>
      <c r="B197" t="s">
        <v>22</v>
      </c>
      <c r="C197" t="s">
        <v>105</v>
      </c>
      <c r="D197" t="s">
        <v>408</v>
      </c>
      <c r="E197" s="5">
        <v>45812.958333333343</v>
      </c>
      <c r="F197">
        <v>12.415910999999999</v>
      </c>
      <c r="G197">
        <v>75.735050000000001</v>
      </c>
      <c r="H197" t="s">
        <v>772</v>
      </c>
      <c r="I197">
        <v>6</v>
      </c>
      <c r="J197">
        <v>44</v>
      </c>
      <c r="K197">
        <v>10</v>
      </c>
    </row>
    <row r="198" spans="1:11" x14ac:dyDescent="0.3">
      <c r="A198" t="s">
        <v>11</v>
      </c>
      <c r="B198" t="s">
        <v>24</v>
      </c>
      <c r="C198" t="s">
        <v>106</v>
      </c>
      <c r="D198" t="s">
        <v>409</v>
      </c>
      <c r="E198" s="5">
        <v>45812.958333333343</v>
      </c>
      <c r="F198">
        <v>8.5149092999999993</v>
      </c>
      <c r="G198">
        <v>76.943587899999997</v>
      </c>
      <c r="H198" t="s">
        <v>770</v>
      </c>
      <c r="I198">
        <v>11</v>
      </c>
      <c r="J198">
        <v>25</v>
      </c>
      <c r="K198">
        <v>14</v>
      </c>
    </row>
    <row r="199" spans="1:11" x14ac:dyDescent="0.3">
      <c r="A199" t="s">
        <v>11</v>
      </c>
      <c r="B199" t="s">
        <v>24</v>
      </c>
      <c r="C199" t="s">
        <v>107</v>
      </c>
      <c r="D199" t="s">
        <v>410</v>
      </c>
      <c r="E199" s="5">
        <v>45812.958333333343</v>
      </c>
      <c r="F199">
        <v>10.532400000000001</v>
      </c>
      <c r="G199">
        <v>76.215900000000005</v>
      </c>
      <c r="H199" t="s">
        <v>775</v>
      </c>
      <c r="I199">
        <v>46</v>
      </c>
      <c r="J199">
        <v>51</v>
      </c>
      <c r="K199">
        <v>49</v>
      </c>
    </row>
    <row r="200" spans="1:11" x14ac:dyDescent="0.3">
      <c r="A200" t="s">
        <v>11</v>
      </c>
      <c r="B200" t="s">
        <v>24</v>
      </c>
      <c r="C200" t="s">
        <v>107</v>
      </c>
      <c r="D200" t="s">
        <v>410</v>
      </c>
      <c r="E200" s="5">
        <v>45812.958333333343</v>
      </c>
      <c r="F200">
        <v>10.532400000000001</v>
      </c>
      <c r="G200">
        <v>76.215900000000005</v>
      </c>
      <c r="H200" t="s">
        <v>772</v>
      </c>
      <c r="I200">
        <v>9</v>
      </c>
      <c r="J200">
        <v>10</v>
      </c>
      <c r="K200">
        <v>10</v>
      </c>
    </row>
    <row r="201" spans="1:11" x14ac:dyDescent="0.3">
      <c r="A201" t="s">
        <v>11</v>
      </c>
      <c r="B201" t="s">
        <v>25</v>
      </c>
      <c r="C201" t="s">
        <v>108</v>
      </c>
      <c r="D201" t="s">
        <v>411</v>
      </c>
      <c r="E201" s="5">
        <v>45812.958333333343</v>
      </c>
      <c r="F201">
        <v>23.264759000000002</v>
      </c>
      <c r="G201">
        <v>77.381568000000001</v>
      </c>
      <c r="H201" t="s">
        <v>773</v>
      </c>
      <c r="I201">
        <v>3</v>
      </c>
      <c r="J201">
        <v>10</v>
      </c>
      <c r="K201">
        <v>6</v>
      </c>
    </row>
    <row r="202" spans="1:11" x14ac:dyDescent="0.3">
      <c r="A202" t="s">
        <v>11</v>
      </c>
      <c r="B202" t="s">
        <v>25</v>
      </c>
      <c r="C202" t="s">
        <v>108</v>
      </c>
      <c r="D202" t="s">
        <v>412</v>
      </c>
      <c r="E202" s="5">
        <v>45812.958333333343</v>
      </c>
      <c r="F202">
        <v>23.233584</v>
      </c>
      <c r="G202">
        <v>77.400574000000006</v>
      </c>
      <c r="H202" t="s">
        <v>775</v>
      </c>
      <c r="I202">
        <v>19</v>
      </c>
      <c r="J202">
        <v>62</v>
      </c>
      <c r="K202">
        <v>43</v>
      </c>
    </row>
    <row r="203" spans="1:11" x14ac:dyDescent="0.3">
      <c r="A203" t="s">
        <v>11</v>
      </c>
      <c r="B203" t="s">
        <v>25</v>
      </c>
      <c r="C203" t="s">
        <v>108</v>
      </c>
      <c r="D203" t="s">
        <v>412</v>
      </c>
      <c r="E203" s="5">
        <v>45812.958333333343</v>
      </c>
      <c r="F203">
        <v>23.233584</v>
      </c>
      <c r="G203">
        <v>77.400574000000006</v>
      </c>
      <c r="H203" t="s">
        <v>772</v>
      </c>
      <c r="I203">
        <v>22</v>
      </c>
      <c r="J203">
        <v>129</v>
      </c>
      <c r="K203">
        <v>48</v>
      </c>
    </row>
    <row r="204" spans="1:11" x14ac:dyDescent="0.3">
      <c r="A204" t="s">
        <v>11</v>
      </c>
      <c r="B204" t="s">
        <v>25</v>
      </c>
      <c r="C204" t="s">
        <v>108</v>
      </c>
      <c r="D204" t="s">
        <v>412</v>
      </c>
      <c r="E204" s="5">
        <v>45812.958333333343</v>
      </c>
      <c r="F204">
        <v>23.233584</v>
      </c>
      <c r="G204">
        <v>77.400574000000006</v>
      </c>
      <c r="H204" t="s">
        <v>773</v>
      </c>
      <c r="I204">
        <v>16</v>
      </c>
      <c r="J204">
        <v>38</v>
      </c>
      <c r="K204">
        <v>22</v>
      </c>
    </row>
    <row r="205" spans="1:11" x14ac:dyDescent="0.3">
      <c r="A205" t="s">
        <v>11</v>
      </c>
      <c r="B205" t="s">
        <v>25</v>
      </c>
      <c r="C205" t="s">
        <v>108</v>
      </c>
      <c r="D205" t="s">
        <v>412</v>
      </c>
      <c r="E205" s="5">
        <v>45812.958333333343</v>
      </c>
      <c r="F205">
        <v>23.233584</v>
      </c>
      <c r="G205">
        <v>77.400574000000006</v>
      </c>
      <c r="H205" t="s">
        <v>776</v>
      </c>
      <c r="I205">
        <v>34</v>
      </c>
      <c r="J205">
        <v>59</v>
      </c>
      <c r="K205">
        <v>45</v>
      </c>
    </row>
    <row r="206" spans="1:11" x14ac:dyDescent="0.3">
      <c r="A206" t="s">
        <v>11</v>
      </c>
      <c r="B206" t="s">
        <v>25</v>
      </c>
      <c r="C206" t="s">
        <v>109</v>
      </c>
      <c r="D206" t="s">
        <v>413</v>
      </c>
      <c r="E206" s="5">
        <v>45812.958333333343</v>
      </c>
      <c r="F206">
        <v>23.218135</v>
      </c>
      <c r="G206">
        <v>79.957769999999996</v>
      </c>
      <c r="H206" t="s">
        <v>770</v>
      </c>
      <c r="I206">
        <v>4</v>
      </c>
      <c r="J206">
        <v>82</v>
      </c>
      <c r="K206">
        <v>38</v>
      </c>
    </row>
    <row r="207" spans="1:11" x14ac:dyDescent="0.3">
      <c r="A207" t="s">
        <v>11</v>
      </c>
      <c r="B207" t="s">
        <v>25</v>
      </c>
      <c r="C207" t="s">
        <v>110</v>
      </c>
      <c r="D207" t="s">
        <v>414</v>
      </c>
      <c r="E207" s="5">
        <v>45812.958333333343</v>
      </c>
      <c r="F207">
        <v>23.500160000000001</v>
      </c>
      <c r="G207">
        <v>80.232839999999996</v>
      </c>
      <c r="H207" t="s">
        <v>775</v>
      </c>
      <c r="I207">
        <v>20</v>
      </c>
      <c r="J207">
        <v>233</v>
      </c>
      <c r="K207">
        <v>77</v>
      </c>
    </row>
    <row r="208" spans="1:11" x14ac:dyDescent="0.3">
      <c r="A208" t="s">
        <v>11</v>
      </c>
      <c r="B208" t="s">
        <v>25</v>
      </c>
      <c r="C208" t="s">
        <v>110</v>
      </c>
      <c r="D208" t="s">
        <v>414</v>
      </c>
      <c r="E208" s="5">
        <v>45812.958333333343</v>
      </c>
      <c r="F208">
        <v>23.500160000000001</v>
      </c>
      <c r="G208">
        <v>80.232839999999996</v>
      </c>
      <c r="H208" t="s">
        <v>774</v>
      </c>
      <c r="I208">
        <v>17</v>
      </c>
      <c r="J208">
        <v>105</v>
      </c>
      <c r="K208">
        <v>36</v>
      </c>
    </row>
    <row r="209" spans="1:11" x14ac:dyDescent="0.3">
      <c r="A209" t="s">
        <v>11</v>
      </c>
      <c r="B209" t="s">
        <v>25</v>
      </c>
      <c r="C209" t="s">
        <v>111</v>
      </c>
      <c r="D209" t="s">
        <v>415</v>
      </c>
      <c r="E209" s="5">
        <v>45812.958333333343</v>
      </c>
      <c r="F209">
        <v>24.261300899999998</v>
      </c>
      <c r="G209">
        <v>80.723178300000001</v>
      </c>
      <c r="H209" t="s">
        <v>774</v>
      </c>
      <c r="I209">
        <v>4</v>
      </c>
      <c r="J209">
        <v>5</v>
      </c>
      <c r="K209">
        <v>4</v>
      </c>
    </row>
    <row r="210" spans="1:11" x14ac:dyDescent="0.3">
      <c r="A210" t="s">
        <v>11</v>
      </c>
      <c r="B210" t="s">
        <v>25</v>
      </c>
      <c r="C210" t="s">
        <v>112</v>
      </c>
      <c r="D210" t="s">
        <v>416</v>
      </c>
      <c r="E210" s="5">
        <v>45812.958333333343</v>
      </c>
      <c r="F210">
        <v>23.108440000000002</v>
      </c>
      <c r="G210">
        <v>77.511427999999995</v>
      </c>
      <c r="H210" t="s">
        <v>775</v>
      </c>
      <c r="I210">
        <v>24</v>
      </c>
      <c r="J210">
        <v>408</v>
      </c>
      <c r="K210">
        <v>129</v>
      </c>
    </row>
    <row r="211" spans="1:11" x14ac:dyDescent="0.3">
      <c r="A211" t="s">
        <v>11</v>
      </c>
      <c r="B211" t="s">
        <v>25</v>
      </c>
      <c r="C211" t="s">
        <v>113</v>
      </c>
      <c r="D211" t="s">
        <v>417</v>
      </c>
      <c r="E211" s="5">
        <v>45812.958333333343</v>
      </c>
      <c r="F211">
        <v>22.624758</v>
      </c>
      <c r="G211">
        <v>75.675237999999993</v>
      </c>
      <c r="H211" t="s">
        <v>772</v>
      </c>
      <c r="I211">
        <v>2</v>
      </c>
      <c r="J211">
        <v>39</v>
      </c>
      <c r="K211">
        <v>12</v>
      </c>
    </row>
    <row r="212" spans="1:11" x14ac:dyDescent="0.3">
      <c r="A212" t="s">
        <v>11</v>
      </c>
      <c r="B212" t="s">
        <v>25</v>
      </c>
      <c r="C212" t="s">
        <v>113</v>
      </c>
      <c r="D212" t="s">
        <v>417</v>
      </c>
      <c r="E212" s="5">
        <v>45812.958333333343</v>
      </c>
      <c r="F212">
        <v>22.624758</v>
      </c>
      <c r="G212">
        <v>75.675237999999993</v>
      </c>
      <c r="H212" t="s">
        <v>776</v>
      </c>
      <c r="I212">
        <v>21</v>
      </c>
      <c r="J212">
        <v>62</v>
      </c>
      <c r="K212">
        <v>36</v>
      </c>
    </row>
    <row r="213" spans="1:11" x14ac:dyDescent="0.3">
      <c r="A213" t="s">
        <v>11</v>
      </c>
      <c r="B213" t="s">
        <v>25</v>
      </c>
      <c r="C213" t="s">
        <v>114</v>
      </c>
      <c r="D213" t="s">
        <v>418</v>
      </c>
      <c r="E213" s="5">
        <v>45812.958333333343</v>
      </c>
      <c r="F213">
        <v>22.678000000000001</v>
      </c>
      <c r="G213">
        <v>75.855900000000005</v>
      </c>
      <c r="H213" t="s">
        <v>776</v>
      </c>
      <c r="I213">
        <v>36</v>
      </c>
      <c r="J213">
        <v>52</v>
      </c>
      <c r="K213">
        <v>39</v>
      </c>
    </row>
    <row r="214" spans="1:11" x14ac:dyDescent="0.3">
      <c r="A214" t="s">
        <v>11</v>
      </c>
      <c r="B214" t="s">
        <v>25</v>
      </c>
      <c r="C214" t="s">
        <v>114</v>
      </c>
      <c r="D214" t="s">
        <v>419</v>
      </c>
      <c r="E214" s="5">
        <v>45812.958333333343</v>
      </c>
      <c r="F214">
        <v>22.708400000000001</v>
      </c>
      <c r="G214">
        <v>75.881500000000003</v>
      </c>
      <c r="H214" t="s">
        <v>772</v>
      </c>
      <c r="I214">
        <v>10</v>
      </c>
      <c r="J214">
        <v>17</v>
      </c>
      <c r="K214">
        <v>14</v>
      </c>
    </row>
    <row r="215" spans="1:11" x14ac:dyDescent="0.3">
      <c r="A215" t="s">
        <v>11</v>
      </c>
      <c r="B215" t="s">
        <v>25</v>
      </c>
      <c r="C215" t="s">
        <v>114</v>
      </c>
      <c r="D215" t="s">
        <v>419</v>
      </c>
      <c r="E215" s="5">
        <v>45812.958333333343</v>
      </c>
      <c r="F215">
        <v>22.708400000000001</v>
      </c>
      <c r="G215">
        <v>75.881500000000003</v>
      </c>
      <c r="H215" t="s">
        <v>770</v>
      </c>
      <c r="I215">
        <v>10</v>
      </c>
      <c r="J215">
        <v>18</v>
      </c>
      <c r="K215">
        <v>15</v>
      </c>
    </row>
    <row r="216" spans="1:11" x14ac:dyDescent="0.3">
      <c r="A216" t="s">
        <v>11</v>
      </c>
      <c r="B216" t="s">
        <v>25</v>
      </c>
      <c r="C216" t="s">
        <v>109</v>
      </c>
      <c r="D216" t="s">
        <v>420</v>
      </c>
      <c r="E216" s="5">
        <v>45812.958333333343</v>
      </c>
      <c r="F216">
        <v>23.163174000000001</v>
      </c>
      <c r="G216">
        <v>79.973061000000001</v>
      </c>
      <c r="H216" t="s">
        <v>771</v>
      </c>
      <c r="I216">
        <v>50</v>
      </c>
      <c r="J216">
        <v>118</v>
      </c>
      <c r="K216">
        <v>88</v>
      </c>
    </row>
    <row r="217" spans="1:11" x14ac:dyDescent="0.3">
      <c r="A217" t="s">
        <v>11</v>
      </c>
      <c r="B217" t="s">
        <v>25</v>
      </c>
      <c r="C217" t="s">
        <v>109</v>
      </c>
      <c r="D217" t="s">
        <v>420</v>
      </c>
      <c r="E217" s="5">
        <v>45812.958333333343</v>
      </c>
      <c r="F217">
        <v>23.163174000000001</v>
      </c>
      <c r="G217">
        <v>79.973061000000001</v>
      </c>
      <c r="H217" t="s">
        <v>773</v>
      </c>
      <c r="I217">
        <v>2</v>
      </c>
      <c r="J217">
        <v>2</v>
      </c>
      <c r="K217">
        <v>2</v>
      </c>
    </row>
    <row r="218" spans="1:11" x14ac:dyDescent="0.3">
      <c r="A218" t="s">
        <v>11</v>
      </c>
      <c r="B218" t="s">
        <v>25</v>
      </c>
      <c r="C218" t="s">
        <v>109</v>
      </c>
      <c r="D218" t="s">
        <v>421</v>
      </c>
      <c r="E218" s="5">
        <v>45812.958333333343</v>
      </c>
      <c r="F218">
        <v>23.142887999999999</v>
      </c>
      <c r="G218">
        <v>79.916146999999995</v>
      </c>
      <c r="H218" t="s">
        <v>771</v>
      </c>
    </row>
    <row r="219" spans="1:11" x14ac:dyDescent="0.3">
      <c r="A219" t="s">
        <v>11</v>
      </c>
      <c r="B219" t="s">
        <v>25</v>
      </c>
      <c r="C219" t="s">
        <v>109</v>
      </c>
      <c r="D219" t="s">
        <v>422</v>
      </c>
      <c r="E219" s="5">
        <v>45812.958333333343</v>
      </c>
      <c r="F219">
        <v>23.168606</v>
      </c>
      <c r="G219">
        <v>79.932247000000004</v>
      </c>
      <c r="H219" t="s">
        <v>770</v>
      </c>
      <c r="I219">
        <v>1</v>
      </c>
      <c r="J219">
        <v>86</v>
      </c>
      <c r="K219">
        <v>40</v>
      </c>
    </row>
    <row r="220" spans="1:11" x14ac:dyDescent="0.3">
      <c r="A220" t="s">
        <v>11</v>
      </c>
      <c r="B220" t="s">
        <v>25</v>
      </c>
      <c r="C220" t="s">
        <v>115</v>
      </c>
      <c r="D220" t="s">
        <v>423</v>
      </c>
      <c r="E220" s="5">
        <v>45812.958333333343</v>
      </c>
      <c r="F220">
        <v>23.817486779999999</v>
      </c>
      <c r="G220">
        <v>79.446246000000002</v>
      </c>
      <c r="H220" t="s">
        <v>771</v>
      </c>
      <c r="I220">
        <v>22</v>
      </c>
      <c r="J220">
        <v>76</v>
      </c>
      <c r="K220">
        <v>48</v>
      </c>
    </row>
    <row r="221" spans="1:11" x14ac:dyDescent="0.3">
      <c r="A221" t="s">
        <v>11</v>
      </c>
      <c r="B221" t="s">
        <v>25</v>
      </c>
      <c r="C221" t="s">
        <v>116</v>
      </c>
      <c r="D221" t="s">
        <v>424</v>
      </c>
      <c r="E221" s="5">
        <v>45812.958333333343</v>
      </c>
      <c r="F221">
        <v>26.203441999999999</v>
      </c>
      <c r="G221">
        <v>78.193251000000004</v>
      </c>
      <c r="H221" t="s">
        <v>773</v>
      </c>
      <c r="I221">
        <v>2</v>
      </c>
      <c r="J221">
        <v>3</v>
      </c>
      <c r="K221">
        <v>3</v>
      </c>
    </row>
    <row r="222" spans="1:11" x14ac:dyDescent="0.3">
      <c r="A222" t="s">
        <v>11</v>
      </c>
      <c r="B222" t="s">
        <v>25</v>
      </c>
      <c r="C222" t="s">
        <v>116</v>
      </c>
      <c r="D222" t="s">
        <v>425</v>
      </c>
      <c r="E222" s="5">
        <v>45812.958333333343</v>
      </c>
      <c r="F222">
        <v>26.259242</v>
      </c>
      <c r="G222">
        <v>78.216431999999998</v>
      </c>
      <c r="H222" t="s">
        <v>773</v>
      </c>
      <c r="I222">
        <v>11</v>
      </c>
      <c r="J222">
        <v>16</v>
      </c>
      <c r="K222">
        <v>13</v>
      </c>
    </row>
    <row r="223" spans="1:11" x14ac:dyDescent="0.3">
      <c r="A223" t="s">
        <v>11</v>
      </c>
      <c r="B223" t="s">
        <v>25</v>
      </c>
      <c r="C223" t="s">
        <v>116</v>
      </c>
      <c r="D223" t="s">
        <v>425</v>
      </c>
      <c r="E223" s="5">
        <v>45812.958333333343</v>
      </c>
      <c r="F223">
        <v>26.259242</v>
      </c>
      <c r="G223">
        <v>78.216431999999998</v>
      </c>
      <c r="H223" t="s">
        <v>774</v>
      </c>
      <c r="I223">
        <v>14</v>
      </c>
      <c r="J223">
        <v>18</v>
      </c>
      <c r="K223">
        <v>16</v>
      </c>
    </row>
    <row r="224" spans="1:11" x14ac:dyDescent="0.3">
      <c r="A224" t="s">
        <v>11</v>
      </c>
      <c r="B224" t="s">
        <v>25</v>
      </c>
      <c r="C224" t="s">
        <v>116</v>
      </c>
      <c r="D224" t="s">
        <v>425</v>
      </c>
      <c r="E224" s="5">
        <v>45812.958333333343</v>
      </c>
      <c r="F224">
        <v>26.259242</v>
      </c>
      <c r="G224">
        <v>78.216431999999998</v>
      </c>
      <c r="H224" t="s">
        <v>770</v>
      </c>
      <c r="I224">
        <v>26</v>
      </c>
      <c r="J224">
        <v>130</v>
      </c>
      <c r="K224">
        <v>82</v>
      </c>
    </row>
    <row r="225" spans="1:11" x14ac:dyDescent="0.3">
      <c r="A225" t="s">
        <v>11</v>
      </c>
      <c r="B225" t="s">
        <v>25</v>
      </c>
      <c r="C225" t="s">
        <v>116</v>
      </c>
      <c r="D225" t="s">
        <v>426</v>
      </c>
      <c r="E225" s="5">
        <v>45812.958333333343</v>
      </c>
      <c r="F225">
        <v>26.200388</v>
      </c>
      <c r="G225">
        <v>78.147713999999993</v>
      </c>
      <c r="H225" t="s">
        <v>774</v>
      </c>
      <c r="I225">
        <v>11</v>
      </c>
      <c r="J225">
        <v>31</v>
      </c>
      <c r="K225">
        <v>22</v>
      </c>
    </row>
    <row r="226" spans="1:11" x14ac:dyDescent="0.3">
      <c r="A226" t="s">
        <v>11</v>
      </c>
      <c r="B226" t="s">
        <v>25</v>
      </c>
      <c r="C226" t="s">
        <v>116</v>
      </c>
      <c r="D226" t="s">
        <v>426</v>
      </c>
      <c r="E226" s="5">
        <v>45812.958333333343</v>
      </c>
      <c r="F226">
        <v>26.200388</v>
      </c>
      <c r="G226">
        <v>78.147713999999993</v>
      </c>
      <c r="H226" t="s">
        <v>776</v>
      </c>
      <c r="I226">
        <v>2</v>
      </c>
      <c r="J226">
        <v>145</v>
      </c>
      <c r="K226">
        <v>69</v>
      </c>
    </row>
    <row r="227" spans="1:11" x14ac:dyDescent="0.3">
      <c r="A227" t="s">
        <v>11</v>
      </c>
      <c r="B227" t="s">
        <v>25</v>
      </c>
      <c r="C227" t="s">
        <v>114</v>
      </c>
      <c r="D227" t="s">
        <v>427</v>
      </c>
      <c r="E227" s="5">
        <v>45812.958333333343</v>
      </c>
      <c r="F227">
        <v>22.728899999999999</v>
      </c>
      <c r="G227">
        <v>75.807599999999994</v>
      </c>
      <c r="H227" t="s">
        <v>776</v>
      </c>
      <c r="I227">
        <v>10</v>
      </c>
      <c r="J227">
        <v>14</v>
      </c>
      <c r="K227">
        <v>11</v>
      </c>
    </row>
    <row r="228" spans="1:11" x14ac:dyDescent="0.3">
      <c r="A228" t="s">
        <v>11</v>
      </c>
      <c r="B228" t="s">
        <v>25</v>
      </c>
      <c r="C228" t="s">
        <v>114</v>
      </c>
      <c r="D228" t="s">
        <v>427</v>
      </c>
      <c r="E228" s="5">
        <v>45812.958333333343</v>
      </c>
      <c r="F228">
        <v>22.728899999999999</v>
      </c>
      <c r="G228">
        <v>75.807599999999994</v>
      </c>
      <c r="H228" t="s">
        <v>770</v>
      </c>
      <c r="I228">
        <v>6</v>
      </c>
      <c r="J228">
        <v>19</v>
      </c>
      <c r="K228">
        <v>14</v>
      </c>
    </row>
    <row r="229" spans="1:11" x14ac:dyDescent="0.3">
      <c r="A229" t="s">
        <v>11</v>
      </c>
      <c r="B229" t="s">
        <v>25</v>
      </c>
      <c r="C229" t="s">
        <v>114</v>
      </c>
      <c r="D229" t="s">
        <v>428</v>
      </c>
      <c r="E229" s="5">
        <v>45812.958333333343</v>
      </c>
      <c r="F229">
        <v>22.431000000000001</v>
      </c>
      <c r="G229">
        <v>75.521299999999997</v>
      </c>
      <c r="H229" t="s">
        <v>775</v>
      </c>
      <c r="I229">
        <v>45</v>
      </c>
      <c r="J229">
        <v>321</v>
      </c>
      <c r="K229">
        <v>136</v>
      </c>
    </row>
    <row r="230" spans="1:11" x14ac:dyDescent="0.3">
      <c r="A230" t="s">
        <v>11</v>
      </c>
      <c r="B230" t="s">
        <v>25</v>
      </c>
      <c r="C230" t="s">
        <v>114</v>
      </c>
      <c r="D230" t="s">
        <v>428</v>
      </c>
      <c r="E230" s="5">
        <v>45812.958333333343</v>
      </c>
      <c r="F230">
        <v>22.431000000000001</v>
      </c>
      <c r="G230">
        <v>75.521299999999997</v>
      </c>
      <c r="H230" t="s">
        <v>772</v>
      </c>
      <c r="I230">
        <v>11</v>
      </c>
      <c r="J230">
        <v>130</v>
      </c>
      <c r="K230">
        <v>76</v>
      </c>
    </row>
    <row r="231" spans="1:11" x14ac:dyDescent="0.3">
      <c r="A231" t="s">
        <v>11</v>
      </c>
      <c r="B231" t="s">
        <v>25</v>
      </c>
      <c r="C231" t="s">
        <v>114</v>
      </c>
      <c r="D231" t="s">
        <v>428</v>
      </c>
      <c r="E231" s="5">
        <v>45812.958333333343</v>
      </c>
      <c r="F231">
        <v>22.431000000000001</v>
      </c>
      <c r="G231">
        <v>75.521299999999997</v>
      </c>
      <c r="H231" t="s">
        <v>776</v>
      </c>
      <c r="I231">
        <v>22</v>
      </c>
      <c r="J231">
        <v>104</v>
      </c>
      <c r="K231">
        <v>52</v>
      </c>
    </row>
    <row r="232" spans="1:11" x14ac:dyDescent="0.3">
      <c r="A232" t="s">
        <v>11</v>
      </c>
      <c r="B232" t="s">
        <v>25</v>
      </c>
      <c r="C232" t="s">
        <v>117</v>
      </c>
      <c r="D232" t="s">
        <v>429</v>
      </c>
      <c r="E232" s="5">
        <v>45812.958333333343</v>
      </c>
      <c r="F232">
        <v>23.838585999999999</v>
      </c>
      <c r="G232">
        <v>78.759431000000006</v>
      </c>
      <c r="H232" t="s">
        <v>771</v>
      </c>
      <c r="I232">
        <v>21</v>
      </c>
      <c r="J232">
        <v>115</v>
      </c>
      <c r="K232">
        <v>56</v>
      </c>
    </row>
    <row r="233" spans="1:11" x14ac:dyDescent="0.3">
      <c r="A233" t="s">
        <v>11</v>
      </c>
      <c r="B233" t="s">
        <v>25</v>
      </c>
      <c r="C233" t="s">
        <v>117</v>
      </c>
      <c r="D233" t="s">
        <v>429</v>
      </c>
      <c r="E233" s="5">
        <v>45812.958333333343</v>
      </c>
      <c r="F233">
        <v>23.838585999999999</v>
      </c>
      <c r="G233">
        <v>78.759431000000006</v>
      </c>
      <c r="H233" t="s">
        <v>772</v>
      </c>
      <c r="I233">
        <v>9</v>
      </c>
      <c r="J233">
        <v>45</v>
      </c>
      <c r="K233">
        <v>18</v>
      </c>
    </row>
    <row r="234" spans="1:11" x14ac:dyDescent="0.3">
      <c r="A234" t="s">
        <v>11</v>
      </c>
      <c r="B234" t="s">
        <v>25</v>
      </c>
      <c r="C234" t="s">
        <v>117</v>
      </c>
      <c r="D234" t="s">
        <v>430</v>
      </c>
      <c r="E234" s="5">
        <v>45812.958333333343</v>
      </c>
      <c r="F234">
        <v>23.864015800000001</v>
      </c>
      <c r="G234">
        <v>78.802893209999993</v>
      </c>
      <c r="H234" t="s">
        <v>772</v>
      </c>
      <c r="I234">
        <v>7</v>
      </c>
      <c r="J234">
        <v>120</v>
      </c>
      <c r="K234">
        <v>58</v>
      </c>
    </row>
    <row r="235" spans="1:11" x14ac:dyDescent="0.3">
      <c r="A235" t="s">
        <v>11</v>
      </c>
      <c r="B235" t="s">
        <v>25</v>
      </c>
      <c r="C235" t="s">
        <v>118</v>
      </c>
      <c r="D235" t="s">
        <v>431</v>
      </c>
      <c r="E235" s="5">
        <v>45812.958333333343</v>
      </c>
      <c r="F235">
        <v>24.584343629999999</v>
      </c>
      <c r="G235">
        <v>80.854941400000001</v>
      </c>
      <c r="H235" t="s">
        <v>772</v>
      </c>
      <c r="I235">
        <v>12</v>
      </c>
      <c r="J235">
        <v>12</v>
      </c>
      <c r="K235">
        <v>12</v>
      </c>
    </row>
    <row r="236" spans="1:11" x14ac:dyDescent="0.3">
      <c r="A236" t="s">
        <v>11</v>
      </c>
      <c r="B236" t="s">
        <v>25</v>
      </c>
      <c r="C236" t="s">
        <v>119</v>
      </c>
      <c r="D236" t="s">
        <v>432</v>
      </c>
      <c r="E236" s="5">
        <v>45812.958333333343</v>
      </c>
      <c r="F236">
        <v>24.108969999999999</v>
      </c>
      <c r="G236">
        <v>82.645579999999995</v>
      </c>
      <c r="H236" t="s">
        <v>773</v>
      </c>
      <c r="I236">
        <v>1</v>
      </c>
      <c r="J236">
        <v>9</v>
      </c>
      <c r="K236">
        <v>5</v>
      </c>
    </row>
    <row r="237" spans="1:11" x14ac:dyDescent="0.3">
      <c r="A237" t="s">
        <v>11</v>
      </c>
      <c r="B237" t="s">
        <v>24</v>
      </c>
      <c r="C237" t="s">
        <v>106</v>
      </c>
      <c r="D237" t="s">
        <v>433</v>
      </c>
      <c r="E237" s="5">
        <v>45812.958333333343</v>
      </c>
      <c r="F237">
        <v>8.5637000000000008</v>
      </c>
      <c r="G237">
        <v>76.886499999999998</v>
      </c>
      <c r="H237" t="s">
        <v>770</v>
      </c>
      <c r="I237">
        <v>36</v>
      </c>
      <c r="J237">
        <v>37</v>
      </c>
      <c r="K237">
        <v>36</v>
      </c>
    </row>
    <row r="238" spans="1:11" x14ac:dyDescent="0.3">
      <c r="A238" t="s">
        <v>11</v>
      </c>
      <c r="B238" t="s">
        <v>24</v>
      </c>
      <c r="C238" t="s">
        <v>106</v>
      </c>
      <c r="D238" t="s">
        <v>409</v>
      </c>
      <c r="E238" s="5">
        <v>45812.958333333343</v>
      </c>
      <c r="F238">
        <v>8.5149092999999993</v>
      </c>
      <c r="G238">
        <v>76.943587899999997</v>
      </c>
      <c r="H238" t="s">
        <v>775</v>
      </c>
      <c r="I238">
        <v>11</v>
      </c>
      <c r="J238">
        <v>78</v>
      </c>
      <c r="K238">
        <v>29</v>
      </c>
    </row>
    <row r="239" spans="1:11" x14ac:dyDescent="0.3">
      <c r="A239" t="s">
        <v>11</v>
      </c>
      <c r="B239" t="s">
        <v>24</v>
      </c>
      <c r="C239" t="s">
        <v>120</v>
      </c>
      <c r="D239" t="s">
        <v>434</v>
      </c>
      <c r="E239" s="5">
        <v>45812.958333333343</v>
      </c>
      <c r="F239">
        <v>8.8787000000000003</v>
      </c>
      <c r="G239">
        <v>76.607299999999995</v>
      </c>
      <c r="H239" t="s">
        <v>774</v>
      </c>
      <c r="I239">
        <v>1</v>
      </c>
      <c r="J239">
        <v>3</v>
      </c>
      <c r="K239">
        <v>2</v>
      </c>
    </row>
    <row r="240" spans="1:11" x14ac:dyDescent="0.3">
      <c r="A240" t="s">
        <v>11</v>
      </c>
      <c r="B240" t="s">
        <v>26</v>
      </c>
      <c r="C240" t="s">
        <v>121</v>
      </c>
      <c r="D240" t="s">
        <v>435</v>
      </c>
      <c r="E240" s="5">
        <v>45812.958333333343</v>
      </c>
      <c r="F240">
        <v>16.714374500000002</v>
      </c>
      <c r="G240">
        <v>74.242639800000006</v>
      </c>
      <c r="H240" t="s">
        <v>770</v>
      </c>
      <c r="I240">
        <v>29</v>
      </c>
      <c r="J240">
        <v>127</v>
      </c>
      <c r="K240">
        <v>79</v>
      </c>
    </row>
    <row r="241" spans="1:11" x14ac:dyDescent="0.3">
      <c r="A241" t="s">
        <v>11</v>
      </c>
      <c r="B241" t="s">
        <v>26</v>
      </c>
      <c r="C241" t="s">
        <v>122</v>
      </c>
      <c r="D241" t="s">
        <v>436</v>
      </c>
      <c r="E241" s="5">
        <v>45812.958333333343</v>
      </c>
      <c r="F241">
        <v>18.1023399</v>
      </c>
      <c r="G241">
        <v>73.478368700000004</v>
      </c>
      <c r="H241" t="s">
        <v>775</v>
      </c>
      <c r="I241">
        <v>67</v>
      </c>
      <c r="J241">
        <v>291</v>
      </c>
      <c r="K241">
        <v>140</v>
      </c>
    </row>
    <row r="242" spans="1:11" x14ac:dyDescent="0.3">
      <c r="A242" t="s">
        <v>11</v>
      </c>
      <c r="B242" t="s">
        <v>26</v>
      </c>
      <c r="C242" t="s">
        <v>122</v>
      </c>
      <c r="D242" t="s">
        <v>436</v>
      </c>
      <c r="E242" s="5">
        <v>45812.958333333343</v>
      </c>
      <c r="F242">
        <v>18.1023399</v>
      </c>
      <c r="G242">
        <v>73.478368700000004</v>
      </c>
      <c r="H242" t="s">
        <v>771</v>
      </c>
      <c r="I242">
        <v>99</v>
      </c>
      <c r="J242">
        <v>169</v>
      </c>
      <c r="K242">
        <v>127</v>
      </c>
    </row>
    <row r="243" spans="1:11" x14ac:dyDescent="0.3">
      <c r="A243" t="s">
        <v>11</v>
      </c>
      <c r="B243" t="s">
        <v>26</v>
      </c>
      <c r="C243" t="s">
        <v>122</v>
      </c>
      <c r="D243" t="s">
        <v>436</v>
      </c>
      <c r="E243" s="5">
        <v>45812.958333333343</v>
      </c>
      <c r="F243">
        <v>18.1023399</v>
      </c>
      <c r="G243">
        <v>73.478368700000004</v>
      </c>
      <c r="H243" t="s">
        <v>776</v>
      </c>
      <c r="I243">
        <v>15</v>
      </c>
      <c r="J243">
        <v>52</v>
      </c>
      <c r="K243">
        <v>22</v>
      </c>
    </row>
    <row r="244" spans="1:11" x14ac:dyDescent="0.3">
      <c r="A244" t="s">
        <v>11</v>
      </c>
      <c r="B244" t="s">
        <v>26</v>
      </c>
      <c r="C244" t="s">
        <v>122</v>
      </c>
      <c r="D244" t="s">
        <v>436</v>
      </c>
      <c r="E244" s="5">
        <v>45812.958333333343</v>
      </c>
      <c r="F244">
        <v>18.1023399</v>
      </c>
      <c r="G244">
        <v>73.478368700000004</v>
      </c>
      <c r="H244" t="s">
        <v>770</v>
      </c>
      <c r="I244">
        <v>6</v>
      </c>
      <c r="J244">
        <v>66</v>
      </c>
      <c r="K244">
        <v>28</v>
      </c>
    </row>
    <row r="245" spans="1:11" x14ac:dyDescent="0.3">
      <c r="A245" t="s">
        <v>11</v>
      </c>
      <c r="B245" t="s">
        <v>26</v>
      </c>
      <c r="C245" t="s">
        <v>123</v>
      </c>
      <c r="D245" t="s">
        <v>437</v>
      </c>
      <c r="E245" s="5">
        <v>45812.958333333343</v>
      </c>
      <c r="F245">
        <v>20.555712</v>
      </c>
      <c r="G245">
        <v>74.529235999999997</v>
      </c>
      <c r="H245" t="s">
        <v>773</v>
      </c>
      <c r="I245">
        <v>1</v>
      </c>
      <c r="J245">
        <v>3</v>
      </c>
      <c r="K245">
        <v>2</v>
      </c>
    </row>
    <row r="246" spans="1:11" x14ac:dyDescent="0.3">
      <c r="A246" t="s">
        <v>11</v>
      </c>
      <c r="B246" t="s">
        <v>26</v>
      </c>
      <c r="C246" t="s">
        <v>124</v>
      </c>
      <c r="D246" t="s">
        <v>438</v>
      </c>
      <c r="E246" s="5">
        <v>45812.958333333343</v>
      </c>
      <c r="F246">
        <v>19.296481</v>
      </c>
      <c r="G246">
        <v>72.840923000000004</v>
      </c>
      <c r="H246" t="s">
        <v>773</v>
      </c>
      <c r="I246">
        <v>4</v>
      </c>
      <c r="J246">
        <v>6</v>
      </c>
      <c r="K246">
        <v>4</v>
      </c>
    </row>
    <row r="247" spans="1:11" x14ac:dyDescent="0.3">
      <c r="A247" t="s">
        <v>11</v>
      </c>
      <c r="B247" t="s">
        <v>26</v>
      </c>
      <c r="C247" t="s">
        <v>124</v>
      </c>
      <c r="D247" t="s">
        <v>438</v>
      </c>
      <c r="E247" s="5">
        <v>45812.958333333343</v>
      </c>
      <c r="F247">
        <v>19.296481</v>
      </c>
      <c r="G247">
        <v>72.840923000000004</v>
      </c>
      <c r="H247" t="s">
        <v>776</v>
      </c>
      <c r="I247">
        <v>12</v>
      </c>
      <c r="J247">
        <v>39</v>
      </c>
      <c r="K247">
        <v>16</v>
      </c>
    </row>
    <row r="248" spans="1:11" x14ac:dyDescent="0.3">
      <c r="A248" t="s">
        <v>11</v>
      </c>
      <c r="B248" t="s">
        <v>26</v>
      </c>
      <c r="C248" t="s">
        <v>124</v>
      </c>
      <c r="D248" t="s">
        <v>438</v>
      </c>
      <c r="E248" s="5">
        <v>45812.958333333343</v>
      </c>
      <c r="F248">
        <v>19.296481</v>
      </c>
      <c r="G248">
        <v>72.840923000000004</v>
      </c>
      <c r="H248" t="s">
        <v>770</v>
      </c>
      <c r="I248">
        <v>3</v>
      </c>
      <c r="J248">
        <v>85</v>
      </c>
      <c r="K248">
        <v>49</v>
      </c>
    </row>
    <row r="249" spans="1:11" x14ac:dyDescent="0.3">
      <c r="A249" t="s">
        <v>11</v>
      </c>
      <c r="B249" t="s">
        <v>26</v>
      </c>
      <c r="C249" t="s">
        <v>125</v>
      </c>
      <c r="D249" t="s">
        <v>439</v>
      </c>
      <c r="E249" s="5">
        <v>45812.958333333343</v>
      </c>
      <c r="F249">
        <v>19.786089</v>
      </c>
      <c r="G249">
        <v>72.757970999999998</v>
      </c>
      <c r="H249" t="s">
        <v>774</v>
      </c>
      <c r="I249">
        <v>2</v>
      </c>
      <c r="J249">
        <v>34</v>
      </c>
      <c r="K249">
        <v>20</v>
      </c>
    </row>
    <row r="250" spans="1:11" x14ac:dyDescent="0.3">
      <c r="A250" t="s">
        <v>11</v>
      </c>
      <c r="B250" t="s">
        <v>26</v>
      </c>
      <c r="C250" t="s">
        <v>125</v>
      </c>
      <c r="D250" t="s">
        <v>439</v>
      </c>
      <c r="E250" s="5">
        <v>45812.958333333343</v>
      </c>
      <c r="F250">
        <v>19.786089</v>
      </c>
      <c r="G250">
        <v>72.757970999999998</v>
      </c>
      <c r="H250" t="s">
        <v>776</v>
      </c>
      <c r="I250">
        <v>1</v>
      </c>
      <c r="J250">
        <v>29</v>
      </c>
      <c r="K250">
        <v>14</v>
      </c>
    </row>
    <row r="251" spans="1:11" x14ac:dyDescent="0.3">
      <c r="A251" t="s">
        <v>11</v>
      </c>
      <c r="B251" t="s">
        <v>26</v>
      </c>
      <c r="C251" t="s">
        <v>126</v>
      </c>
      <c r="D251" t="s">
        <v>440</v>
      </c>
      <c r="E251" s="5">
        <v>45812.958333333343</v>
      </c>
      <c r="F251">
        <v>19.962900000000001</v>
      </c>
      <c r="G251">
        <v>79.298714000000004</v>
      </c>
      <c r="H251" t="s">
        <v>775</v>
      </c>
      <c r="I251">
        <v>75</v>
      </c>
      <c r="J251">
        <v>302</v>
      </c>
      <c r="K251">
        <v>164</v>
      </c>
    </row>
    <row r="252" spans="1:11" x14ac:dyDescent="0.3">
      <c r="A252" t="s">
        <v>11</v>
      </c>
      <c r="B252" t="s">
        <v>26</v>
      </c>
      <c r="C252" t="s">
        <v>126</v>
      </c>
      <c r="D252" t="s">
        <v>441</v>
      </c>
      <c r="E252" s="5">
        <v>45812.958333333343</v>
      </c>
      <c r="F252">
        <v>19.9775302</v>
      </c>
      <c r="G252">
        <v>79.2337086</v>
      </c>
      <c r="H252" t="s">
        <v>772</v>
      </c>
      <c r="I252">
        <v>31</v>
      </c>
      <c r="J252">
        <v>35</v>
      </c>
      <c r="K252">
        <v>33</v>
      </c>
    </row>
    <row r="253" spans="1:11" x14ac:dyDescent="0.3">
      <c r="A253" t="s">
        <v>11</v>
      </c>
      <c r="B253" t="s">
        <v>26</v>
      </c>
      <c r="C253" t="s">
        <v>126</v>
      </c>
      <c r="D253" t="s">
        <v>441</v>
      </c>
      <c r="E253" s="5">
        <v>45812.958333333343</v>
      </c>
      <c r="F253">
        <v>19.9775302</v>
      </c>
      <c r="G253">
        <v>79.2337086</v>
      </c>
      <c r="H253" t="s">
        <v>774</v>
      </c>
      <c r="I253">
        <v>1</v>
      </c>
      <c r="J253">
        <v>94</v>
      </c>
      <c r="K253">
        <v>45</v>
      </c>
    </row>
    <row r="254" spans="1:11" x14ac:dyDescent="0.3">
      <c r="A254" t="s">
        <v>11</v>
      </c>
      <c r="B254" t="s">
        <v>26</v>
      </c>
      <c r="C254" t="s">
        <v>126</v>
      </c>
      <c r="D254" t="s">
        <v>441</v>
      </c>
      <c r="E254" s="5">
        <v>45812.958333333343</v>
      </c>
      <c r="F254">
        <v>19.9775302</v>
      </c>
      <c r="G254">
        <v>79.2337086</v>
      </c>
      <c r="H254" t="s">
        <v>770</v>
      </c>
      <c r="I254">
        <v>1</v>
      </c>
      <c r="J254">
        <v>138</v>
      </c>
      <c r="K254">
        <v>69</v>
      </c>
    </row>
    <row r="255" spans="1:11" x14ac:dyDescent="0.3">
      <c r="A255" t="s">
        <v>11</v>
      </c>
      <c r="B255" t="s">
        <v>26</v>
      </c>
      <c r="C255" t="s">
        <v>127</v>
      </c>
      <c r="D255" t="s">
        <v>442</v>
      </c>
      <c r="E255" s="5">
        <v>45812.958333333343</v>
      </c>
      <c r="F255">
        <v>20.918945999999998</v>
      </c>
      <c r="G255">
        <v>74.776387999999997</v>
      </c>
      <c r="H255" t="s">
        <v>770</v>
      </c>
      <c r="I255">
        <v>26</v>
      </c>
      <c r="J255">
        <v>69</v>
      </c>
      <c r="K255">
        <v>54</v>
      </c>
    </row>
    <row r="256" spans="1:11" x14ac:dyDescent="0.3">
      <c r="A256" t="s">
        <v>11</v>
      </c>
      <c r="B256" t="s">
        <v>26</v>
      </c>
      <c r="C256" t="s">
        <v>128</v>
      </c>
      <c r="D256" t="s">
        <v>443</v>
      </c>
      <c r="E256" s="5">
        <v>45812.958333333343</v>
      </c>
      <c r="F256">
        <v>19.101220000000001</v>
      </c>
      <c r="G256">
        <v>74.73339</v>
      </c>
      <c r="H256" t="s">
        <v>771</v>
      </c>
      <c r="I256">
        <v>61</v>
      </c>
      <c r="J256">
        <v>367</v>
      </c>
      <c r="K256">
        <v>147</v>
      </c>
    </row>
    <row r="257" spans="1:11" x14ac:dyDescent="0.3">
      <c r="A257" t="s">
        <v>11</v>
      </c>
      <c r="B257" t="s">
        <v>26</v>
      </c>
      <c r="C257" t="s">
        <v>128</v>
      </c>
      <c r="D257" t="s">
        <v>443</v>
      </c>
      <c r="E257" s="5">
        <v>45812.958333333343</v>
      </c>
      <c r="F257">
        <v>19.101220000000001</v>
      </c>
      <c r="G257">
        <v>74.73339</v>
      </c>
      <c r="H257" t="s">
        <v>773</v>
      </c>
      <c r="I257">
        <v>5</v>
      </c>
      <c r="J257">
        <v>9</v>
      </c>
      <c r="K257">
        <v>6</v>
      </c>
    </row>
    <row r="258" spans="1:11" x14ac:dyDescent="0.3">
      <c r="A258" t="s">
        <v>11</v>
      </c>
      <c r="B258" t="s">
        <v>26</v>
      </c>
      <c r="C258" t="s">
        <v>129</v>
      </c>
      <c r="D258" t="s">
        <v>444</v>
      </c>
      <c r="E258" s="5">
        <v>45812.958333333343</v>
      </c>
      <c r="F258">
        <v>20.719515999999999</v>
      </c>
      <c r="G258">
        <v>77.000253000000001</v>
      </c>
      <c r="H258" t="s">
        <v>774</v>
      </c>
      <c r="I258">
        <v>11</v>
      </c>
      <c r="J258">
        <v>23</v>
      </c>
      <c r="K258">
        <v>18</v>
      </c>
    </row>
    <row r="259" spans="1:11" x14ac:dyDescent="0.3">
      <c r="A259" t="s">
        <v>11</v>
      </c>
      <c r="B259" t="s">
        <v>26</v>
      </c>
      <c r="C259" t="s">
        <v>130</v>
      </c>
      <c r="D259" t="s">
        <v>445</v>
      </c>
      <c r="E259" s="5">
        <v>45812.958333333343</v>
      </c>
      <c r="F259">
        <v>20.940235900000001</v>
      </c>
      <c r="G259">
        <v>77.789524799999995</v>
      </c>
      <c r="H259" t="s">
        <v>773</v>
      </c>
      <c r="I259">
        <v>1</v>
      </c>
      <c r="J259">
        <v>3</v>
      </c>
      <c r="K259">
        <v>2</v>
      </c>
    </row>
    <row r="260" spans="1:11" x14ac:dyDescent="0.3">
      <c r="A260" t="s">
        <v>11</v>
      </c>
      <c r="B260" t="s">
        <v>26</v>
      </c>
      <c r="C260" t="s">
        <v>130</v>
      </c>
      <c r="D260" t="s">
        <v>446</v>
      </c>
      <c r="E260" s="5">
        <v>45812.958333333343</v>
      </c>
      <c r="F260">
        <v>20.939198000000001</v>
      </c>
      <c r="G260">
        <v>77.765701000000007</v>
      </c>
      <c r="H260" t="s">
        <v>775</v>
      </c>
      <c r="I260">
        <v>26</v>
      </c>
      <c r="J260">
        <v>74</v>
      </c>
      <c r="K260">
        <v>52</v>
      </c>
    </row>
    <row r="261" spans="1:11" x14ac:dyDescent="0.3">
      <c r="A261" t="s">
        <v>11</v>
      </c>
      <c r="B261" t="s">
        <v>26</v>
      </c>
      <c r="C261" t="s">
        <v>130</v>
      </c>
      <c r="D261" t="s">
        <v>446</v>
      </c>
      <c r="E261" s="5">
        <v>45812.958333333343</v>
      </c>
      <c r="F261">
        <v>20.939198000000001</v>
      </c>
      <c r="G261">
        <v>77.765701000000007</v>
      </c>
      <c r="H261" t="s">
        <v>771</v>
      </c>
      <c r="I261">
        <v>61</v>
      </c>
      <c r="J261">
        <v>108</v>
      </c>
      <c r="K261">
        <v>86</v>
      </c>
    </row>
    <row r="262" spans="1:11" x14ac:dyDescent="0.3">
      <c r="A262" t="s">
        <v>11</v>
      </c>
      <c r="B262" t="s">
        <v>26</v>
      </c>
      <c r="C262" t="s">
        <v>131</v>
      </c>
      <c r="D262" t="s">
        <v>447</v>
      </c>
      <c r="E262" s="5">
        <v>45812.958333333343</v>
      </c>
      <c r="F262">
        <v>19.854616</v>
      </c>
      <c r="G262">
        <v>75.905894000000004</v>
      </c>
      <c r="H262" t="s">
        <v>771</v>
      </c>
    </row>
    <row r="263" spans="1:11" x14ac:dyDescent="0.3">
      <c r="A263" t="s">
        <v>11</v>
      </c>
      <c r="B263" t="s">
        <v>26</v>
      </c>
      <c r="C263" t="s">
        <v>131</v>
      </c>
      <c r="D263" t="s">
        <v>447</v>
      </c>
      <c r="E263" s="5">
        <v>45812.958333333343</v>
      </c>
      <c r="F263">
        <v>19.854616</v>
      </c>
      <c r="G263">
        <v>75.905894000000004</v>
      </c>
      <c r="H263" t="s">
        <v>773</v>
      </c>
      <c r="I263">
        <v>3</v>
      </c>
      <c r="J263">
        <v>4</v>
      </c>
      <c r="K263">
        <v>4</v>
      </c>
    </row>
    <row r="264" spans="1:11" x14ac:dyDescent="0.3">
      <c r="A264" t="s">
        <v>11</v>
      </c>
      <c r="B264" t="s">
        <v>26</v>
      </c>
      <c r="C264" t="s">
        <v>131</v>
      </c>
      <c r="D264" t="s">
        <v>447</v>
      </c>
      <c r="E264" s="5">
        <v>45812.958333333343</v>
      </c>
      <c r="F264">
        <v>19.854616</v>
      </c>
      <c r="G264">
        <v>75.905894000000004</v>
      </c>
      <c r="H264" t="s">
        <v>776</v>
      </c>
      <c r="I264">
        <v>7</v>
      </c>
      <c r="J264">
        <v>30</v>
      </c>
      <c r="K264">
        <v>13</v>
      </c>
    </row>
    <row r="265" spans="1:11" x14ac:dyDescent="0.3">
      <c r="A265" t="s">
        <v>11</v>
      </c>
      <c r="B265" t="s">
        <v>26</v>
      </c>
      <c r="C265" t="s">
        <v>132</v>
      </c>
      <c r="D265" t="s">
        <v>448</v>
      </c>
      <c r="E265" s="5">
        <v>45812.958333333343</v>
      </c>
      <c r="F265">
        <v>19.25292</v>
      </c>
      <c r="G265">
        <v>73.142019000000005</v>
      </c>
      <c r="H265" t="s">
        <v>776</v>
      </c>
      <c r="I265">
        <v>6</v>
      </c>
      <c r="J265">
        <v>16</v>
      </c>
      <c r="K265">
        <v>8</v>
      </c>
    </row>
    <row r="266" spans="1:11" x14ac:dyDescent="0.3">
      <c r="A266" t="s">
        <v>11</v>
      </c>
      <c r="B266" t="s">
        <v>26</v>
      </c>
      <c r="C266" t="s">
        <v>132</v>
      </c>
      <c r="D266" t="s">
        <v>449</v>
      </c>
      <c r="E266" s="5">
        <v>45812.958333333343</v>
      </c>
      <c r="F266">
        <v>19.192056000000001</v>
      </c>
      <c r="G266">
        <v>72.958518799999993</v>
      </c>
      <c r="H266" t="s">
        <v>775</v>
      </c>
    </row>
    <row r="267" spans="1:11" x14ac:dyDescent="0.3">
      <c r="A267" t="s">
        <v>11</v>
      </c>
      <c r="B267" t="s">
        <v>26</v>
      </c>
      <c r="C267" t="s">
        <v>121</v>
      </c>
      <c r="D267" t="s">
        <v>450</v>
      </c>
      <c r="E267" s="5">
        <v>45812.958333333343</v>
      </c>
      <c r="F267">
        <v>16.6870449</v>
      </c>
      <c r="G267">
        <v>74.250587199999998</v>
      </c>
      <c r="H267" t="s">
        <v>772</v>
      </c>
      <c r="I267">
        <v>1</v>
      </c>
      <c r="J267">
        <v>23</v>
      </c>
      <c r="K267">
        <v>15</v>
      </c>
    </row>
    <row r="268" spans="1:11" x14ac:dyDescent="0.3">
      <c r="A268" t="s">
        <v>11</v>
      </c>
      <c r="B268" t="s">
        <v>26</v>
      </c>
      <c r="C268" t="s">
        <v>49</v>
      </c>
      <c r="D268" t="s">
        <v>451</v>
      </c>
      <c r="E268" s="5">
        <v>45812.958333333343</v>
      </c>
      <c r="F268">
        <v>19.863755999999999</v>
      </c>
      <c r="G268">
        <v>75.321188000000006</v>
      </c>
      <c r="H268" t="s">
        <v>774</v>
      </c>
      <c r="I268">
        <v>17</v>
      </c>
      <c r="J268">
        <v>51</v>
      </c>
      <c r="K268">
        <v>24</v>
      </c>
    </row>
    <row r="269" spans="1:11" x14ac:dyDescent="0.3">
      <c r="A269" t="s">
        <v>11</v>
      </c>
      <c r="B269" t="s">
        <v>26</v>
      </c>
      <c r="C269" t="s">
        <v>49</v>
      </c>
      <c r="D269" t="s">
        <v>451</v>
      </c>
      <c r="E269" s="5">
        <v>45812.958333333343</v>
      </c>
      <c r="F269">
        <v>19.863755999999999</v>
      </c>
      <c r="G269">
        <v>75.321188000000006</v>
      </c>
      <c r="H269" t="s">
        <v>770</v>
      </c>
      <c r="I269">
        <v>12</v>
      </c>
      <c r="J269">
        <v>143</v>
      </c>
      <c r="K269">
        <v>69</v>
      </c>
    </row>
    <row r="270" spans="1:11" x14ac:dyDescent="0.3">
      <c r="A270" t="s">
        <v>11</v>
      </c>
      <c r="B270" t="s">
        <v>26</v>
      </c>
      <c r="C270" t="s">
        <v>133</v>
      </c>
      <c r="D270" t="s">
        <v>452</v>
      </c>
      <c r="E270" s="5">
        <v>45812.958333333343</v>
      </c>
      <c r="F270">
        <v>19.024390199999999</v>
      </c>
      <c r="G270">
        <v>73.040672099999995</v>
      </c>
      <c r="H270" t="s">
        <v>775</v>
      </c>
      <c r="I270">
        <v>27</v>
      </c>
      <c r="J270">
        <v>96</v>
      </c>
      <c r="K270">
        <v>66</v>
      </c>
    </row>
    <row r="271" spans="1:11" x14ac:dyDescent="0.3">
      <c r="A271" t="s">
        <v>11</v>
      </c>
      <c r="B271" t="s">
        <v>26</v>
      </c>
      <c r="C271" t="s">
        <v>133</v>
      </c>
      <c r="D271" t="s">
        <v>452</v>
      </c>
      <c r="E271" s="5">
        <v>45812.958333333343</v>
      </c>
      <c r="F271">
        <v>19.024390199999999</v>
      </c>
      <c r="G271">
        <v>73.040672099999995</v>
      </c>
      <c r="H271" t="s">
        <v>772</v>
      </c>
      <c r="I271">
        <v>8</v>
      </c>
      <c r="J271">
        <v>25</v>
      </c>
      <c r="K271">
        <v>17</v>
      </c>
    </row>
    <row r="272" spans="1:11" x14ac:dyDescent="0.3">
      <c r="A272" t="s">
        <v>11</v>
      </c>
      <c r="B272" t="s">
        <v>26</v>
      </c>
      <c r="C272" t="s">
        <v>49</v>
      </c>
      <c r="D272" t="s">
        <v>453</v>
      </c>
      <c r="E272" s="5">
        <v>45812.958333333343</v>
      </c>
      <c r="F272">
        <v>19.875620000000001</v>
      </c>
      <c r="G272">
        <v>75.387309999999999</v>
      </c>
      <c r="H272" t="s">
        <v>775</v>
      </c>
      <c r="I272">
        <v>28</v>
      </c>
      <c r="J272">
        <v>79</v>
      </c>
      <c r="K272">
        <v>49</v>
      </c>
    </row>
    <row r="273" spans="1:11" x14ac:dyDescent="0.3">
      <c r="A273" t="s">
        <v>11</v>
      </c>
      <c r="B273" t="s">
        <v>26</v>
      </c>
      <c r="C273" t="s">
        <v>49</v>
      </c>
      <c r="D273" t="s">
        <v>453</v>
      </c>
      <c r="E273" s="5">
        <v>45812.958333333343</v>
      </c>
      <c r="F273">
        <v>19.875620000000001</v>
      </c>
      <c r="G273">
        <v>75.387309999999999</v>
      </c>
      <c r="H273" t="s">
        <v>773</v>
      </c>
      <c r="I273">
        <v>1</v>
      </c>
      <c r="J273">
        <v>2</v>
      </c>
      <c r="K273">
        <v>2</v>
      </c>
    </row>
    <row r="274" spans="1:11" x14ac:dyDescent="0.3">
      <c r="A274" t="s">
        <v>11</v>
      </c>
      <c r="B274" t="s">
        <v>26</v>
      </c>
      <c r="C274" t="s">
        <v>49</v>
      </c>
      <c r="D274" t="s">
        <v>451</v>
      </c>
      <c r="E274" s="5">
        <v>45812.958333333343</v>
      </c>
      <c r="F274">
        <v>19.863755999999999</v>
      </c>
      <c r="G274">
        <v>75.321188000000006</v>
      </c>
      <c r="H274" t="s">
        <v>775</v>
      </c>
      <c r="I274">
        <v>57</v>
      </c>
      <c r="J274">
        <v>174</v>
      </c>
      <c r="K274">
        <v>87</v>
      </c>
    </row>
    <row r="275" spans="1:11" x14ac:dyDescent="0.3">
      <c r="A275" t="s">
        <v>11</v>
      </c>
      <c r="B275" t="s">
        <v>26</v>
      </c>
      <c r="C275" t="s">
        <v>49</v>
      </c>
      <c r="D275" t="s">
        <v>451</v>
      </c>
      <c r="E275" s="5">
        <v>45812.958333333343</v>
      </c>
      <c r="F275">
        <v>19.863755999999999</v>
      </c>
      <c r="G275">
        <v>75.321188000000006</v>
      </c>
      <c r="H275" t="s">
        <v>771</v>
      </c>
      <c r="I275">
        <v>50</v>
      </c>
      <c r="J275">
        <v>174</v>
      </c>
      <c r="K275">
        <v>87</v>
      </c>
    </row>
    <row r="276" spans="1:11" x14ac:dyDescent="0.3">
      <c r="A276" t="s">
        <v>11</v>
      </c>
      <c r="B276" t="s">
        <v>26</v>
      </c>
      <c r="C276" t="s">
        <v>121</v>
      </c>
      <c r="D276" t="s">
        <v>450</v>
      </c>
      <c r="E276" s="5">
        <v>45812.958333333343</v>
      </c>
      <c r="F276">
        <v>16.6870449</v>
      </c>
      <c r="G276">
        <v>74.250587199999998</v>
      </c>
      <c r="H276" t="s">
        <v>774</v>
      </c>
      <c r="I276">
        <v>2</v>
      </c>
      <c r="J276">
        <v>8</v>
      </c>
      <c r="K276">
        <v>4</v>
      </c>
    </row>
    <row r="277" spans="1:11" x14ac:dyDescent="0.3">
      <c r="A277" t="s">
        <v>11</v>
      </c>
      <c r="B277" t="s">
        <v>26</v>
      </c>
      <c r="C277" t="s">
        <v>121</v>
      </c>
      <c r="D277" t="s">
        <v>435</v>
      </c>
      <c r="E277" s="5">
        <v>45812.958333333343</v>
      </c>
      <c r="F277">
        <v>16.714374500000002</v>
      </c>
      <c r="G277">
        <v>74.242639800000006</v>
      </c>
      <c r="H277" t="s">
        <v>774</v>
      </c>
      <c r="I277">
        <v>1</v>
      </c>
      <c r="J277">
        <v>3</v>
      </c>
      <c r="K277">
        <v>1</v>
      </c>
    </row>
    <row r="278" spans="1:11" x14ac:dyDescent="0.3">
      <c r="A278" t="s">
        <v>11</v>
      </c>
      <c r="B278" t="s">
        <v>26</v>
      </c>
      <c r="C278" t="s">
        <v>121</v>
      </c>
      <c r="D278" t="s">
        <v>435</v>
      </c>
      <c r="E278" s="5">
        <v>45812.958333333343</v>
      </c>
      <c r="F278">
        <v>16.714374500000002</v>
      </c>
      <c r="G278">
        <v>74.242639800000006</v>
      </c>
      <c r="H278" t="s">
        <v>776</v>
      </c>
      <c r="I278">
        <v>13</v>
      </c>
      <c r="J278">
        <v>20</v>
      </c>
      <c r="K278">
        <v>18</v>
      </c>
    </row>
    <row r="279" spans="1:11" x14ac:dyDescent="0.3">
      <c r="A279" t="s">
        <v>11</v>
      </c>
      <c r="B279" t="s">
        <v>26</v>
      </c>
      <c r="C279" t="s">
        <v>133</v>
      </c>
      <c r="D279" t="s">
        <v>452</v>
      </c>
      <c r="E279" s="5">
        <v>45812.958333333343</v>
      </c>
      <c r="F279">
        <v>19.024390199999999</v>
      </c>
      <c r="G279">
        <v>73.040672099999995</v>
      </c>
      <c r="H279" t="s">
        <v>770</v>
      </c>
      <c r="I279">
        <v>6</v>
      </c>
      <c r="J279">
        <v>165</v>
      </c>
      <c r="K279">
        <v>88</v>
      </c>
    </row>
    <row r="280" spans="1:11" x14ac:dyDescent="0.3">
      <c r="A280" t="s">
        <v>11</v>
      </c>
      <c r="B280" t="s">
        <v>26</v>
      </c>
      <c r="C280" t="s">
        <v>134</v>
      </c>
      <c r="D280" t="s">
        <v>454</v>
      </c>
      <c r="E280" s="5">
        <v>45812.958333333343</v>
      </c>
      <c r="F280">
        <v>19.309073000000001</v>
      </c>
      <c r="G280">
        <v>73.057222999999993</v>
      </c>
      <c r="H280" t="s">
        <v>775</v>
      </c>
      <c r="I280">
        <v>43</v>
      </c>
      <c r="J280">
        <v>213</v>
      </c>
      <c r="K280">
        <v>98</v>
      </c>
    </row>
    <row r="281" spans="1:11" x14ac:dyDescent="0.3">
      <c r="A281" t="s">
        <v>11</v>
      </c>
      <c r="B281" t="s">
        <v>26</v>
      </c>
      <c r="C281" t="s">
        <v>134</v>
      </c>
      <c r="D281" t="s">
        <v>454</v>
      </c>
      <c r="E281" s="5">
        <v>45812.958333333343</v>
      </c>
      <c r="F281">
        <v>19.309073000000001</v>
      </c>
      <c r="G281">
        <v>73.057222999999993</v>
      </c>
      <c r="H281" t="s">
        <v>772</v>
      </c>
      <c r="I281">
        <v>26</v>
      </c>
      <c r="J281">
        <v>53</v>
      </c>
      <c r="K281">
        <v>34</v>
      </c>
    </row>
    <row r="282" spans="1:11" x14ac:dyDescent="0.3">
      <c r="A282" t="s">
        <v>11</v>
      </c>
      <c r="B282" t="s">
        <v>26</v>
      </c>
      <c r="C282" t="s">
        <v>134</v>
      </c>
      <c r="D282" t="s">
        <v>454</v>
      </c>
      <c r="E282" s="5">
        <v>45812.958333333343</v>
      </c>
      <c r="F282">
        <v>19.309073000000001</v>
      </c>
      <c r="G282">
        <v>73.057222999999993</v>
      </c>
      <c r="H282" t="s">
        <v>773</v>
      </c>
      <c r="I282">
        <v>2</v>
      </c>
      <c r="J282">
        <v>6</v>
      </c>
      <c r="K282">
        <v>3</v>
      </c>
    </row>
    <row r="283" spans="1:11" x14ac:dyDescent="0.3">
      <c r="A283" t="s">
        <v>11</v>
      </c>
      <c r="B283" t="s">
        <v>26</v>
      </c>
      <c r="C283" t="s">
        <v>135</v>
      </c>
      <c r="D283" t="s">
        <v>455</v>
      </c>
      <c r="E283" s="5">
        <v>45812.958333333343</v>
      </c>
      <c r="F283">
        <v>19.083694000000001</v>
      </c>
      <c r="G283">
        <v>72.920967000000005</v>
      </c>
      <c r="H283" t="s">
        <v>776</v>
      </c>
      <c r="I283">
        <v>2</v>
      </c>
      <c r="J283">
        <v>62</v>
      </c>
      <c r="K283">
        <v>8</v>
      </c>
    </row>
    <row r="284" spans="1:11" x14ac:dyDescent="0.3">
      <c r="A284" t="s">
        <v>11</v>
      </c>
      <c r="B284" t="s">
        <v>26</v>
      </c>
      <c r="C284" t="s">
        <v>135</v>
      </c>
      <c r="D284" t="s">
        <v>456</v>
      </c>
      <c r="E284" s="5">
        <v>45812.958333333343</v>
      </c>
      <c r="F284">
        <v>19.2058</v>
      </c>
      <c r="G284">
        <v>72.868200000000002</v>
      </c>
      <c r="H284" t="s">
        <v>771</v>
      </c>
    </row>
    <row r="285" spans="1:11" x14ac:dyDescent="0.3">
      <c r="A285" t="s">
        <v>11</v>
      </c>
      <c r="B285" t="s">
        <v>26</v>
      </c>
      <c r="C285" t="s">
        <v>135</v>
      </c>
      <c r="D285" t="s">
        <v>457</v>
      </c>
      <c r="E285" s="5">
        <v>45812.958333333343</v>
      </c>
      <c r="F285">
        <v>19.215858999999998</v>
      </c>
      <c r="G285">
        <v>72.831717999999995</v>
      </c>
      <c r="H285" t="s">
        <v>772</v>
      </c>
      <c r="I285">
        <v>7</v>
      </c>
      <c r="J285">
        <v>81</v>
      </c>
      <c r="K285">
        <v>27</v>
      </c>
    </row>
    <row r="286" spans="1:11" x14ac:dyDescent="0.3">
      <c r="A286" t="s">
        <v>11</v>
      </c>
      <c r="B286" t="s">
        <v>26</v>
      </c>
      <c r="C286" t="s">
        <v>135</v>
      </c>
      <c r="D286" t="s">
        <v>457</v>
      </c>
      <c r="E286" s="5">
        <v>45812.958333333343</v>
      </c>
      <c r="F286">
        <v>19.215858999999998</v>
      </c>
      <c r="G286">
        <v>72.831717999999995</v>
      </c>
      <c r="H286" t="s">
        <v>776</v>
      </c>
      <c r="I286">
        <v>6</v>
      </c>
      <c r="J286">
        <v>42</v>
      </c>
      <c r="K286">
        <v>13</v>
      </c>
    </row>
    <row r="287" spans="1:11" x14ac:dyDescent="0.3">
      <c r="A287" t="s">
        <v>11</v>
      </c>
      <c r="B287" t="s">
        <v>26</v>
      </c>
      <c r="C287" t="s">
        <v>135</v>
      </c>
      <c r="D287" t="s">
        <v>458</v>
      </c>
      <c r="E287" s="5">
        <v>45812.958333333343</v>
      </c>
      <c r="F287">
        <v>19.063214299999999</v>
      </c>
      <c r="G287">
        <v>72.8456324</v>
      </c>
      <c r="H287" t="s">
        <v>776</v>
      </c>
      <c r="I287">
        <v>1</v>
      </c>
      <c r="J287">
        <v>31</v>
      </c>
      <c r="K287">
        <v>5</v>
      </c>
    </row>
    <row r="288" spans="1:11" x14ac:dyDescent="0.3">
      <c r="A288" t="s">
        <v>11</v>
      </c>
      <c r="B288" t="s">
        <v>26</v>
      </c>
      <c r="C288" t="s">
        <v>135</v>
      </c>
      <c r="D288" t="s">
        <v>459</v>
      </c>
      <c r="E288" s="5">
        <v>45812.958333333343</v>
      </c>
      <c r="F288">
        <v>19.383199999999999</v>
      </c>
      <c r="G288">
        <v>72.820400000000006</v>
      </c>
      <c r="H288" t="s">
        <v>775</v>
      </c>
      <c r="I288">
        <v>17</v>
      </c>
      <c r="J288">
        <v>70</v>
      </c>
      <c r="K288">
        <v>36</v>
      </c>
    </row>
    <row r="289" spans="1:11" x14ac:dyDescent="0.3">
      <c r="A289" t="s">
        <v>11</v>
      </c>
      <c r="B289" t="s">
        <v>26</v>
      </c>
      <c r="C289" t="s">
        <v>135</v>
      </c>
      <c r="D289" t="s">
        <v>459</v>
      </c>
      <c r="E289" s="5">
        <v>45812.958333333343</v>
      </c>
      <c r="F289">
        <v>19.383199999999999</v>
      </c>
      <c r="G289">
        <v>72.820400000000006</v>
      </c>
      <c r="H289" t="s">
        <v>776</v>
      </c>
      <c r="I289">
        <v>48</v>
      </c>
      <c r="J289">
        <v>72</v>
      </c>
      <c r="K289">
        <v>52</v>
      </c>
    </row>
    <row r="290" spans="1:11" x14ac:dyDescent="0.3">
      <c r="A290" t="s">
        <v>11</v>
      </c>
      <c r="B290" t="s">
        <v>26</v>
      </c>
      <c r="C290" t="s">
        <v>135</v>
      </c>
      <c r="D290" t="s">
        <v>460</v>
      </c>
      <c r="E290" s="5">
        <v>45812.958333333343</v>
      </c>
      <c r="F290">
        <v>19.108609999999999</v>
      </c>
      <c r="G290">
        <v>72.836219999999997</v>
      </c>
      <c r="H290" t="s">
        <v>775</v>
      </c>
      <c r="I290">
        <v>24</v>
      </c>
      <c r="J290">
        <v>72</v>
      </c>
      <c r="K290">
        <v>43</v>
      </c>
    </row>
    <row r="291" spans="1:11" x14ac:dyDescent="0.3">
      <c r="A291" t="s">
        <v>11</v>
      </c>
      <c r="B291" t="s">
        <v>26</v>
      </c>
      <c r="C291" t="s">
        <v>135</v>
      </c>
      <c r="D291" t="s">
        <v>460</v>
      </c>
      <c r="E291" s="5">
        <v>45812.958333333343</v>
      </c>
      <c r="F291">
        <v>19.108609999999999</v>
      </c>
      <c r="G291">
        <v>72.836219999999997</v>
      </c>
      <c r="H291" t="s">
        <v>771</v>
      </c>
      <c r="I291">
        <v>39</v>
      </c>
      <c r="J291">
        <v>107</v>
      </c>
      <c r="K291">
        <v>66</v>
      </c>
    </row>
    <row r="292" spans="1:11" x14ac:dyDescent="0.3">
      <c r="A292" t="s">
        <v>11</v>
      </c>
      <c r="B292" t="s">
        <v>26</v>
      </c>
      <c r="C292" t="s">
        <v>135</v>
      </c>
      <c r="D292" t="s">
        <v>460</v>
      </c>
      <c r="E292" s="5">
        <v>45812.958333333343</v>
      </c>
      <c r="F292">
        <v>19.108609999999999</v>
      </c>
      <c r="G292">
        <v>72.836219999999997</v>
      </c>
      <c r="H292" t="s">
        <v>774</v>
      </c>
      <c r="I292">
        <v>36</v>
      </c>
      <c r="J292">
        <v>37</v>
      </c>
      <c r="K292">
        <v>36</v>
      </c>
    </row>
    <row r="293" spans="1:11" x14ac:dyDescent="0.3">
      <c r="A293" t="s">
        <v>11</v>
      </c>
      <c r="B293" t="s">
        <v>26</v>
      </c>
      <c r="C293" t="s">
        <v>135</v>
      </c>
      <c r="D293" t="s">
        <v>461</v>
      </c>
      <c r="E293" s="5">
        <v>45812.958333333343</v>
      </c>
      <c r="F293">
        <v>19.065930999999999</v>
      </c>
      <c r="G293">
        <v>72.862131000000005</v>
      </c>
      <c r="H293" t="s">
        <v>773</v>
      </c>
      <c r="I293">
        <v>6</v>
      </c>
      <c r="J293">
        <v>13</v>
      </c>
      <c r="K293">
        <v>9</v>
      </c>
    </row>
    <row r="294" spans="1:11" x14ac:dyDescent="0.3">
      <c r="A294" t="s">
        <v>11</v>
      </c>
      <c r="B294" t="s">
        <v>26</v>
      </c>
      <c r="C294" t="s">
        <v>135</v>
      </c>
      <c r="D294" t="s">
        <v>461</v>
      </c>
      <c r="E294" s="5">
        <v>45812.958333333343</v>
      </c>
      <c r="F294">
        <v>19.065930999999999</v>
      </c>
      <c r="G294">
        <v>72.862131000000005</v>
      </c>
      <c r="H294" t="s">
        <v>770</v>
      </c>
      <c r="I294">
        <v>4</v>
      </c>
      <c r="J294">
        <v>70</v>
      </c>
      <c r="K294">
        <v>44</v>
      </c>
    </row>
    <row r="295" spans="1:11" x14ac:dyDescent="0.3">
      <c r="A295" t="s">
        <v>11</v>
      </c>
      <c r="B295" t="s">
        <v>26</v>
      </c>
      <c r="C295" t="s">
        <v>135</v>
      </c>
      <c r="D295" t="s">
        <v>462</v>
      </c>
      <c r="E295" s="5">
        <v>45812.958333333343</v>
      </c>
      <c r="F295">
        <v>19.232410000000002</v>
      </c>
      <c r="G295">
        <v>72.868949999999998</v>
      </c>
      <c r="H295" t="s">
        <v>772</v>
      </c>
      <c r="I295">
        <v>31</v>
      </c>
      <c r="J295">
        <v>128</v>
      </c>
      <c r="K295">
        <v>62</v>
      </c>
    </row>
    <row r="296" spans="1:11" x14ac:dyDescent="0.3">
      <c r="A296" t="s">
        <v>11</v>
      </c>
      <c r="B296" t="s">
        <v>26</v>
      </c>
      <c r="C296" t="s">
        <v>135</v>
      </c>
      <c r="D296" t="s">
        <v>462</v>
      </c>
      <c r="E296" s="5">
        <v>45812.958333333343</v>
      </c>
      <c r="F296">
        <v>19.232410000000002</v>
      </c>
      <c r="G296">
        <v>72.868949999999998</v>
      </c>
      <c r="H296" t="s">
        <v>773</v>
      </c>
      <c r="I296">
        <v>6</v>
      </c>
      <c r="J296">
        <v>7</v>
      </c>
      <c r="K296">
        <v>6</v>
      </c>
    </row>
    <row r="297" spans="1:11" x14ac:dyDescent="0.3">
      <c r="A297" t="s">
        <v>11</v>
      </c>
      <c r="B297" t="s">
        <v>26</v>
      </c>
      <c r="C297" t="s">
        <v>135</v>
      </c>
      <c r="D297" t="s">
        <v>463</v>
      </c>
      <c r="E297" s="5">
        <v>45812.958333333343</v>
      </c>
      <c r="F297">
        <v>19.137499999999999</v>
      </c>
      <c r="G297">
        <v>72.915056000000007</v>
      </c>
      <c r="H297" t="s">
        <v>774</v>
      </c>
      <c r="I297">
        <v>23</v>
      </c>
      <c r="J297">
        <v>27</v>
      </c>
      <c r="K297">
        <v>26</v>
      </c>
    </row>
    <row r="298" spans="1:11" x14ac:dyDescent="0.3">
      <c r="A298" t="s">
        <v>11</v>
      </c>
      <c r="B298" t="s">
        <v>26</v>
      </c>
      <c r="C298" t="s">
        <v>135</v>
      </c>
      <c r="D298" t="s">
        <v>464</v>
      </c>
      <c r="E298" s="5">
        <v>45812.958333333343</v>
      </c>
      <c r="F298">
        <v>19.060497999999999</v>
      </c>
      <c r="G298">
        <v>72.923355999999998</v>
      </c>
      <c r="H298" t="s">
        <v>775</v>
      </c>
      <c r="I298">
        <v>39</v>
      </c>
      <c r="J298">
        <v>89</v>
      </c>
      <c r="K298">
        <v>61</v>
      </c>
    </row>
    <row r="299" spans="1:11" x14ac:dyDescent="0.3">
      <c r="A299" t="s">
        <v>11</v>
      </c>
      <c r="B299" t="s">
        <v>26</v>
      </c>
      <c r="C299" t="s">
        <v>135</v>
      </c>
      <c r="D299" t="s">
        <v>464</v>
      </c>
      <c r="E299" s="5">
        <v>45812.958333333343</v>
      </c>
      <c r="F299">
        <v>19.060497999999999</v>
      </c>
      <c r="G299">
        <v>72.923355999999998</v>
      </c>
      <c r="H299" t="s">
        <v>772</v>
      </c>
      <c r="I299">
        <v>10</v>
      </c>
      <c r="J299">
        <v>37</v>
      </c>
      <c r="K299">
        <v>23</v>
      </c>
    </row>
    <row r="300" spans="1:11" x14ac:dyDescent="0.3">
      <c r="A300" t="s">
        <v>11</v>
      </c>
      <c r="B300" t="s">
        <v>26</v>
      </c>
      <c r="C300" t="s">
        <v>135</v>
      </c>
      <c r="D300" t="s">
        <v>464</v>
      </c>
      <c r="E300" s="5">
        <v>45812.958333333343</v>
      </c>
      <c r="F300">
        <v>19.060497999999999</v>
      </c>
      <c r="G300">
        <v>72.923355999999998</v>
      </c>
      <c r="H300" t="s">
        <v>774</v>
      </c>
      <c r="I300">
        <v>1</v>
      </c>
      <c r="J300">
        <v>7</v>
      </c>
      <c r="K300">
        <v>3</v>
      </c>
    </row>
    <row r="301" spans="1:11" x14ac:dyDescent="0.3">
      <c r="A301" t="s">
        <v>11</v>
      </c>
      <c r="B301" t="s">
        <v>26</v>
      </c>
      <c r="C301" t="s">
        <v>135</v>
      </c>
      <c r="D301" t="s">
        <v>465</v>
      </c>
      <c r="E301" s="5">
        <v>45812.958333333343</v>
      </c>
      <c r="F301">
        <v>19.1878657</v>
      </c>
      <c r="G301">
        <v>72.8304069</v>
      </c>
      <c r="H301" t="s">
        <v>771</v>
      </c>
      <c r="I301">
        <v>42</v>
      </c>
      <c r="J301">
        <v>84</v>
      </c>
      <c r="K301">
        <v>57</v>
      </c>
    </row>
    <row r="302" spans="1:11" x14ac:dyDescent="0.3">
      <c r="A302" t="s">
        <v>11</v>
      </c>
      <c r="B302" t="s">
        <v>26</v>
      </c>
      <c r="C302" t="s">
        <v>135</v>
      </c>
      <c r="D302" t="s">
        <v>466</v>
      </c>
      <c r="E302" s="5">
        <v>45812.958333333343</v>
      </c>
      <c r="F302">
        <v>18.897756000000001</v>
      </c>
      <c r="G302">
        <v>72.813320000000004</v>
      </c>
      <c r="H302" t="s">
        <v>771</v>
      </c>
      <c r="I302">
        <v>50</v>
      </c>
      <c r="J302">
        <v>97</v>
      </c>
      <c r="K302">
        <v>69</v>
      </c>
    </row>
    <row r="303" spans="1:11" x14ac:dyDescent="0.3">
      <c r="A303" t="s">
        <v>11</v>
      </c>
      <c r="B303" t="s">
        <v>26</v>
      </c>
      <c r="C303" t="s">
        <v>135</v>
      </c>
      <c r="D303" t="s">
        <v>466</v>
      </c>
      <c r="E303" s="5">
        <v>45812.958333333343</v>
      </c>
      <c r="F303">
        <v>18.897756000000001</v>
      </c>
      <c r="G303">
        <v>72.813320000000004</v>
      </c>
      <c r="H303" t="s">
        <v>770</v>
      </c>
      <c r="I303">
        <v>14</v>
      </c>
      <c r="J303">
        <v>61</v>
      </c>
      <c r="K303">
        <v>52</v>
      </c>
    </row>
    <row r="304" spans="1:11" x14ac:dyDescent="0.3">
      <c r="A304" t="s">
        <v>11</v>
      </c>
      <c r="B304" t="s">
        <v>26</v>
      </c>
      <c r="C304" t="s">
        <v>135</v>
      </c>
      <c r="D304" t="s">
        <v>467</v>
      </c>
      <c r="E304" s="5">
        <v>45812.958333333343</v>
      </c>
      <c r="F304">
        <v>19.197089999999999</v>
      </c>
      <c r="G304">
        <v>72.822040000000001</v>
      </c>
      <c r="H304" t="s">
        <v>774</v>
      </c>
      <c r="I304">
        <v>3</v>
      </c>
      <c r="J304">
        <v>8</v>
      </c>
      <c r="K304">
        <v>5</v>
      </c>
    </row>
    <row r="305" spans="1:11" x14ac:dyDescent="0.3">
      <c r="A305" t="s">
        <v>11</v>
      </c>
      <c r="B305" t="s">
        <v>26</v>
      </c>
      <c r="C305" t="s">
        <v>135</v>
      </c>
      <c r="D305" t="s">
        <v>468</v>
      </c>
      <c r="E305" s="5">
        <v>45812.958333333343</v>
      </c>
      <c r="F305">
        <v>18.967020000000002</v>
      </c>
      <c r="G305">
        <v>72.842140000000001</v>
      </c>
      <c r="H305" t="s">
        <v>775</v>
      </c>
      <c r="I305">
        <v>39</v>
      </c>
      <c r="J305">
        <v>81</v>
      </c>
      <c r="K305">
        <v>56</v>
      </c>
    </row>
    <row r="306" spans="1:11" x14ac:dyDescent="0.3">
      <c r="A306" t="s">
        <v>11</v>
      </c>
      <c r="B306" t="s">
        <v>26</v>
      </c>
      <c r="C306" t="s">
        <v>135</v>
      </c>
      <c r="D306" t="s">
        <v>468</v>
      </c>
      <c r="E306" s="5">
        <v>45812.958333333343</v>
      </c>
      <c r="F306">
        <v>18.967020000000002</v>
      </c>
      <c r="G306">
        <v>72.842140000000001</v>
      </c>
      <c r="H306" t="s">
        <v>773</v>
      </c>
      <c r="I306">
        <v>7</v>
      </c>
      <c r="J306">
        <v>11</v>
      </c>
      <c r="K306">
        <v>8</v>
      </c>
    </row>
    <row r="307" spans="1:11" x14ac:dyDescent="0.3">
      <c r="A307" t="s">
        <v>11</v>
      </c>
      <c r="B307" t="s">
        <v>26</v>
      </c>
      <c r="C307" t="s">
        <v>135</v>
      </c>
      <c r="D307" t="s">
        <v>469</v>
      </c>
      <c r="E307" s="5">
        <v>45812.958333333343</v>
      </c>
      <c r="F307">
        <v>19.11074</v>
      </c>
      <c r="G307">
        <v>72.860839999999996</v>
      </c>
      <c r="H307" t="s">
        <v>776</v>
      </c>
      <c r="I307">
        <v>34</v>
      </c>
      <c r="J307">
        <v>101</v>
      </c>
      <c r="K307">
        <v>43</v>
      </c>
    </row>
    <row r="308" spans="1:11" x14ac:dyDescent="0.3">
      <c r="A308" t="s">
        <v>11</v>
      </c>
      <c r="B308" t="s">
        <v>26</v>
      </c>
      <c r="C308" t="s">
        <v>135</v>
      </c>
      <c r="D308" t="s">
        <v>470</v>
      </c>
      <c r="E308" s="5">
        <v>45812.958333333343</v>
      </c>
      <c r="F308">
        <v>19.10078</v>
      </c>
      <c r="G308">
        <v>72.874619999999993</v>
      </c>
      <c r="H308" t="s">
        <v>773</v>
      </c>
      <c r="I308">
        <v>1</v>
      </c>
      <c r="J308">
        <v>2</v>
      </c>
      <c r="K308">
        <v>2</v>
      </c>
    </row>
    <row r="309" spans="1:11" x14ac:dyDescent="0.3">
      <c r="A309" t="s">
        <v>11</v>
      </c>
      <c r="B309" t="s">
        <v>26</v>
      </c>
      <c r="C309" t="s">
        <v>135</v>
      </c>
      <c r="D309" t="s">
        <v>471</v>
      </c>
      <c r="E309" s="5">
        <v>45812.958333333343</v>
      </c>
      <c r="F309">
        <v>19.165332299999999</v>
      </c>
      <c r="G309">
        <v>72.922099000000003</v>
      </c>
      <c r="H309" t="s">
        <v>773</v>
      </c>
      <c r="I309">
        <v>1</v>
      </c>
      <c r="J309">
        <v>3</v>
      </c>
      <c r="K309">
        <v>2</v>
      </c>
    </row>
    <row r="310" spans="1:11" x14ac:dyDescent="0.3">
      <c r="A310" t="s">
        <v>11</v>
      </c>
      <c r="B310" t="s">
        <v>26</v>
      </c>
      <c r="C310" t="s">
        <v>135</v>
      </c>
      <c r="D310" t="s">
        <v>472</v>
      </c>
      <c r="E310" s="5">
        <v>45812.958333333343</v>
      </c>
      <c r="F310">
        <v>18.91</v>
      </c>
      <c r="G310">
        <v>72.819999999999993</v>
      </c>
      <c r="H310" t="s">
        <v>774</v>
      </c>
    </row>
    <row r="311" spans="1:11" x14ac:dyDescent="0.3">
      <c r="A311" t="s">
        <v>11</v>
      </c>
      <c r="B311" t="s">
        <v>26</v>
      </c>
      <c r="C311" t="s">
        <v>136</v>
      </c>
      <c r="D311" t="s">
        <v>473</v>
      </c>
      <c r="E311" s="5">
        <v>45812.958333333343</v>
      </c>
      <c r="F311">
        <v>18.640051</v>
      </c>
      <c r="G311">
        <v>73.848956000000001</v>
      </c>
      <c r="H311" t="s">
        <v>772</v>
      </c>
      <c r="I311">
        <v>15</v>
      </c>
      <c r="J311">
        <v>104</v>
      </c>
      <c r="K311">
        <v>59</v>
      </c>
    </row>
    <row r="312" spans="1:11" x14ac:dyDescent="0.3">
      <c r="A312" t="s">
        <v>11</v>
      </c>
      <c r="B312" t="s">
        <v>26</v>
      </c>
      <c r="C312" t="s">
        <v>136</v>
      </c>
      <c r="D312" t="s">
        <v>474</v>
      </c>
      <c r="E312" s="5">
        <v>45812.958333333343</v>
      </c>
      <c r="F312">
        <v>18.60577</v>
      </c>
      <c r="G312">
        <v>73.749976000000004</v>
      </c>
      <c r="H312" t="s">
        <v>772</v>
      </c>
      <c r="I312">
        <v>22</v>
      </c>
      <c r="J312">
        <v>61</v>
      </c>
      <c r="K312">
        <v>38</v>
      </c>
    </row>
    <row r="313" spans="1:11" x14ac:dyDescent="0.3">
      <c r="A313" t="s">
        <v>11</v>
      </c>
      <c r="B313" t="s">
        <v>26</v>
      </c>
      <c r="C313" t="s">
        <v>136</v>
      </c>
      <c r="D313" t="s">
        <v>474</v>
      </c>
      <c r="E313" s="5">
        <v>45812.958333333343</v>
      </c>
      <c r="F313">
        <v>18.60577</v>
      </c>
      <c r="G313">
        <v>73.749976000000004</v>
      </c>
      <c r="H313" t="s">
        <v>770</v>
      </c>
      <c r="I313">
        <v>1</v>
      </c>
      <c r="J313">
        <v>184</v>
      </c>
      <c r="K313">
        <v>116</v>
      </c>
    </row>
    <row r="314" spans="1:11" x14ac:dyDescent="0.3">
      <c r="A314" t="s">
        <v>11</v>
      </c>
      <c r="B314" t="s">
        <v>26</v>
      </c>
      <c r="C314" t="s">
        <v>136</v>
      </c>
      <c r="D314" t="s">
        <v>475</v>
      </c>
      <c r="E314" s="5">
        <v>45812.958333333343</v>
      </c>
      <c r="F314">
        <v>18.501792999999999</v>
      </c>
      <c r="G314">
        <v>73.927531999999999</v>
      </c>
      <c r="H314" t="s">
        <v>771</v>
      </c>
      <c r="I314">
        <v>33</v>
      </c>
      <c r="J314">
        <v>149</v>
      </c>
      <c r="K314">
        <v>107</v>
      </c>
    </row>
    <row r="315" spans="1:11" x14ac:dyDescent="0.3">
      <c r="A315" t="s">
        <v>11</v>
      </c>
      <c r="B315" t="s">
        <v>26</v>
      </c>
      <c r="C315" t="s">
        <v>136</v>
      </c>
      <c r="D315" t="s">
        <v>476</v>
      </c>
      <c r="E315" s="5">
        <v>45812.958333333343</v>
      </c>
      <c r="F315">
        <v>18.454450000000001</v>
      </c>
      <c r="G315">
        <v>73.854155000000006</v>
      </c>
      <c r="H315" t="s">
        <v>775</v>
      </c>
      <c r="I315">
        <v>36</v>
      </c>
      <c r="J315">
        <v>108</v>
      </c>
      <c r="K315">
        <v>93</v>
      </c>
    </row>
    <row r="316" spans="1:11" x14ac:dyDescent="0.3">
      <c r="A316" t="s">
        <v>11</v>
      </c>
      <c r="B316" t="s">
        <v>26</v>
      </c>
      <c r="C316" t="s">
        <v>136</v>
      </c>
      <c r="D316" t="s">
        <v>476</v>
      </c>
      <c r="E316" s="5">
        <v>45812.958333333343</v>
      </c>
      <c r="F316">
        <v>18.454450000000001</v>
      </c>
      <c r="G316">
        <v>73.854155000000006</v>
      </c>
      <c r="H316" t="s">
        <v>772</v>
      </c>
      <c r="I316">
        <v>26</v>
      </c>
      <c r="J316">
        <v>52</v>
      </c>
      <c r="K316">
        <v>42</v>
      </c>
    </row>
    <row r="317" spans="1:11" x14ac:dyDescent="0.3">
      <c r="A317" t="s">
        <v>11</v>
      </c>
      <c r="B317" t="s">
        <v>26</v>
      </c>
      <c r="C317" t="s">
        <v>137</v>
      </c>
      <c r="D317" t="s">
        <v>477</v>
      </c>
      <c r="E317" s="5">
        <v>45812.958333333343</v>
      </c>
      <c r="F317">
        <v>19.113505100000001</v>
      </c>
      <c r="G317">
        <v>73.008977999999999</v>
      </c>
      <c r="H317" t="s">
        <v>771</v>
      </c>
    </row>
    <row r="318" spans="1:11" x14ac:dyDescent="0.3">
      <c r="A318" t="s">
        <v>11</v>
      </c>
      <c r="B318" t="s">
        <v>26</v>
      </c>
      <c r="C318" t="s">
        <v>137</v>
      </c>
      <c r="D318" t="s">
        <v>478</v>
      </c>
      <c r="E318" s="5">
        <v>45812.958333333343</v>
      </c>
      <c r="F318">
        <v>19.057575199999999</v>
      </c>
      <c r="G318">
        <v>73.015136699999999</v>
      </c>
      <c r="H318" t="s">
        <v>770</v>
      </c>
      <c r="I318">
        <v>1</v>
      </c>
      <c r="J318">
        <v>69</v>
      </c>
      <c r="K318">
        <v>40</v>
      </c>
    </row>
    <row r="319" spans="1:11" x14ac:dyDescent="0.3">
      <c r="A319" t="s">
        <v>11</v>
      </c>
      <c r="B319" t="s">
        <v>26</v>
      </c>
      <c r="C319" t="s">
        <v>137</v>
      </c>
      <c r="D319" t="s">
        <v>479</v>
      </c>
      <c r="E319" s="5">
        <v>45812.958333333343</v>
      </c>
      <c r="F319">
        <v>19.025790000000001</v>
      </c>
      <c r="G319">
        <v>73.102969999999999</v>
      </c>
      <c r="H319" t="s">
        <v>771</v>
      </c>
      <c r="I319">
        <v>59</v>
      </c>
      <c r="J319">
        <v>207</v>
      </c>
      <c r="K319">
        <v>94</v>
      </c>
    </row>
    <row r="320" spans="1:11" x14ac:dyDescent="0.3">
      <c r="A320" t="s">
        <v>11</v>
      </c>
      <c r="B320" t="s">
        <v>26</v>
      </c>
      <c r="C320" t="s">
        <v>137</v>
      </c>
      <c r="D320" t="s">
        <v>479</v>
      </c>
      <c r="E320" s="5">
        <v>45812.958333333343</v>
      </c>
      <c r="F320">
        <v>19.025790000000001</v>
      </c>
      <c r="G320">
        <v>73.102969999999999</v>
      </c>
      <c r="H320" t="s">
        <v>776</v>
      </c>
      <c r="I320">
        <v>4</v>
      </c>
      <c r="J320">
        <v>40</v>
      </c>
      <c r="K320">
        <v>7</v>
      </c>
    </row>
    <row r="321" spans="1:11" x14ac:dyDescent="0.3">
      <c r="A321" t="s">
        <v>11</v>
      </c>
      <c r="B321" t="s">
        <v>26</v>
      </c>
      <c r="C321" t="s">
        <v>137</v>
      </c>
      <c r="D321" t="s">
        <v>480</v>
      </c>
      <c r="E321" s="5">
        <v>45812.958333333343</v>
      </c>
      <c r="F321">
        <v>19.062999999999999</v>
      </c>
      <c r="G321">
        <v>73.120900000000006</v>
      </c>
      <c r="H321" t="s">
        <v>776</v>
      </c>
      <c r="I321">
        <v>5</v>
      </c>
      <c r="J321">
        <v>14</v>
      </c>
      <c r="K321">
        <v>8</v>
      </c>
    </row>
    <row r="322" spans="1:11" x14ac:dyDescent="0.3">
      <c r="A322" t="s">
        <v>11</v>
      </c>
      <c r="B322" t="s">
        <v>26</v>
      </c>
      <c r="C322" t="s">
        <v>138</v>
      </c>
      <c r="D322" t="s">
        <v>481</v>
      </c>
      <c r="E322" s="5">
        <v>45812.958333333343</v>
      </c>
      <c r="F322">
        <v>21.121801000000001</v>
      </c>
      <c r="G322">
        <v>79.049520000000001</v>
      </c>
      <c r="H322" t="s">
        <v>770</v>
      </c>
      <c r="I322">
        <v>3</v>
      </c>
      <c r="J322">
        <v>141</v>
      </c>
      <c r="K322">
        <v>63</v>
      </c>
    </row>
    <row r="323" spans="1:11" x14ac:dyDescent="0.3">
      <c r="A323" t="s">
        <v>11</v>
      </c>
      <c r="B323" t="s">
        <v>26</v>
      </c>
      <c r="C323" t="s">
        <v>138</v>
      </c>
      <c r="D323" t="s">
        <v>482</v>
      </c>
      <c r="E323" s="5">
        <v>45812.958333333343</v>
      </c>
      <c r="F323">
        <v>21.143383</v>
      </c>
      <c r="G323">
        <v>79.048912000000001</v>
      </c>
      <c r="H323" t="s">
        <v>776</v>
      </c>
      <c r="I323">
        <v>10</v>
      </c>
      <c r="J323">
        <v>72</v>
      </c>
      <c r="K323">
        <v>32</v>
      </c>
    </row>
    <row r="324" spans="1:11" x14ac:dyDescent="0.3">
      <c r="A324" t="s">
        <v>11</v>
      </c>
      <c r="B324" t="s">
        <v>26</v>
      </c>
      <c r="C324" t="s">
        <v>139</v>
      </c>
      <c r="D324" t="s">
        <v>483</v>
      </c>
      <c r="E324" s="5">
        <v>45812.958333333343</v>
      </c>
      <c r="F324">
        <v>19.173852</v>
      </c>
      <c r="G324">
        <v>77.296290999999997</v>
      </c>
      <c r="H324" t="s">
        <v>772</v>
      </c>
      <c r="I324">
        <v>12</v>
      </c>
      <c r="J324">
        <v>91</v>
      </c>
      <c r="K324">
        <v>33</v>
      </c>
    </row>
    <row r="325" spans="1:11" x14ac:dyDescent="0.3">
      <c r="A325" t="s">
        <v>11</v>
      </c>
      <c r="B325" t="s">
        <v>26</v>
      </c>
      <c r="C325" t="s">
        <v>140</v>
      </c>
      <c r="D325" t="s">
        <v>484</v>
      </c>
      <c r="E325" s="5">
        <v>45812.958333333343</v>
      </c>
      <c r="F325">
        <v>20.0073285</v>
      </c>
      <c r="G325">
        <v>73.776242699999997</v>
      </c>
      <c r="H325" t="s">
        <v>773</v>
      </c>
      <c r="I325">
        <v>4</v>
      </c>
      <c r="J325">
        <v>5</v>
      </c>
      <c r="K325">
        <v>5</v>
      </c>
    </row>
    <row r="326" spans="1:11" x14ac:dyDescent="0.3">
      <c r="A326" t="s">
        <v>11</v>
      </c>
      <c r="B326" t="s">
        <v>26</v>
      </c>
      <c r="C326" t="s">
        <v>140</v>
      </c>
      <c r="D326" t="s">
        <v>484</v>
      </c>
      <c r="E326" s="5">
        <v>45812.958333333343</v>
      </c>
      <c r="F326">
        <v>20.0073285</v>
      </c>
      <c r="G326">
        <v>73.776242699999997</v>
      </c>
      <c r="H326" t="s">
        <v>774</v>
      </c>
      <c r="I326">
        <v>4</v>
      </c>
      <c r="J326">
        <v>12</v>
      </c>
      <c r="K326">
        <v>7</v>
      </c>
    </row>
    <row r="327" spans="1:11" x14ac:dyDescent="0.3">
      <c r="A327" t="s">
        <v>11</v>
      </c>
      <c r="B327" t="s">
        <v>26</v>
      </c>
      <c r="C327" t="s">
        <v>141</v>
      </c>
      <c r="D327" t="s">
        <v>485</v>
      </c>
      <c r="E327" s="5">
        <v>45812.958333333343</v>
      </c>
      <c r="F327">
        <v>18.616318</v>
      </c>
      <c r="G327">
        <v>73.765797000000006</v>
      </c>
      <c r="H327" t="s">
        <v>774</v>
      </c>
      <c r="I327">
        <v>4</v>
      </c>
      <c r="J327">
        <v>18</v>
      </c>
      <c r="K327">
        <v>8</v>
      </c>
    </row>
    <row r="328" spans="1:11" x14ac:dyDescent="0.3">
      <c r="A328" t="s">
        <v>11</v>
      </c>
      <c r="B328" t="s">
        <v>26</v>
      </c>
      <c r="C328" t="s">
        <v>141</v>
      </c>
      <c r="D328" t="s">
        <v>485</v>
      </c>
      <c r="E328" s="5">
        <v>45812.958333333343</v>
      </c>
      <c r="F328">
        <v>18.616318</v>
      </c>
      <c r="G328">
        <v>73.765797000000006</v>
      </c>
      <c r="H328" t="s">
        <v>776</v>
      </c>
      <c r="I328">
        <v>16</v>
      </c>
      <c r="J328">
        <v>108</v>
      </c>
      <c r="K328">
        <v>35</v>
      </c>
    </row>
    <row r="329" spans="1:11" x14ac:dyDescent="0.3">
      <c r="A329" t="s">
        <v>11</v>
      </c>
      <c r="B329" t="s">
        <v>26</v>
      </c>
      <c r="C329" t="s">
        <v>136</v>
      </c>
      <c r="D329" t="s">
        <v>473</v>
      </c>
      <c r="E329" s="5">
        <v>45812.958333333343</v>
      </c>
      <c r="F329">
        <v>18.640051</v>
      </c>
      <c r="G329">
        <v>73.848956000000001</v>
      </c>
      <c r="H329" t="s">
        <v>771</v>
      </c>
      <c r="I329">
        <v>65</v>
      </c>
      <c r="J329">
        <v>176</v>
      </c>
      <c r="K329">
        <v>120</v>
      </c>
    </row>
    <row r="330" spans="1:11" x14ac:dyDescent="0.3">
      <c r="A330" t="s">
        <v>11</v>
      </c>
      <c r="B330" t="s">
        <v>26</v>
      </c>
      <c r="C330" t="s">
        <v>136</v>
      </c>
      <c r="D330" t="s">
        <v>486</v>
      </c>
      <c r="E330" s="5">
        <v>45812.958333333343</v>
      </c>
      <c r="F330">
        <v>18.536456999999999</v>
      </c>
      <c r="G330">
        <v>73.805453999999997</v>
      </c>
      <c r="H330" t="s">
        <v>775</v>
      </c>
      <c r="I330">
        <v>25</v>
      </c>
      <c r="J330">
        <v>75</v>
      </c>
      <c r="K330">
        <v>50</v>
      </c>
    </row>
    <row r="331" spans="1:11" x14ac:dyDescent="0.3">
      <c r="A331" t="s">
        <v>11</v>
      </c>
      <c r="B331" t="s">
        <v>26</v>
      </c>
      <c r="C331" t="s">
        <v>136</v>
      </c>
      <c r="D331" t="s">
        <v>486</v>
      </c>
      <c r="E331" s="5">
        <v>45812.958333333343</v>
      </c>
      <c r="F331">
        <v>18.536456999999999</v>
      </c>
      <c r="G331">
        <v>73.805453999999997</v>
      </c>
      <c r="H331" t="s">
        <v>771</v>
      </c>
      <c r="I331">
        <v>45</v>
      </c>
      <c r="J331">
        <v>101</v>
      </c>
      <c r="K331">
        <v>72</v>
      </c>
    </row>
    <row r="332" spans="1:11" x14ac:dyDescent="0.3">
      <c r="A332" t="s">
        <v>11</v>
      </c>
      <c r="B332" t="s">
        <v>26</v>
      </c>
      <c r="C332" t="s">
        <v>136</v>
      </c>
      <c r="D332" t="s">
        <v>487</v>
      </c>
      <c r="E332" s="5">
        <v>45812.958333333343</v>
      </c>
      <c r="F332">
        <v>18.530085</v>
      </c>
      <c r="G332">
        <v>73.849598</v>
      </c>
      <c r="H332" t="s">
        <v>771</v>
      </c>
      <c r="I332">
        <v>104</v>
      </c>
      <c r="J332">
        <v>161</v>
      </c>
      <c r="K332">
        <v>132</v>
      </c>
    </row>
    <row r="333" spans="1:11" x14ac:dyDescent="0.3">
      <c r="A333" t="s">
        <v>11</v>
      </c>
      <c r="B333" t="s">
        <v>26</v>
      </c>
      <c r="C333" t="s">
        <v>141</v>
      </c>
      <c r="D333" t="s">
        <v>488</v>
      </c>
      <c r="E333" s="5">
        <v>45812.958333333343</v>
      </c>
      <c r="F333">
        <v>18.63673</v>
      </c>
      <c r="G333">
        <v>73.824870000000004</v>
      </c>
      <c r="H333" t="s">
        <v>773</v>
      </c>
    </row>
    <row r="334" spans="1:11" x14ac:dyDescent="0.3">
      <c r="A334" t="s">
        <v>11</v>
      </c>
      <c r="B334" t="s">
        <v>26</v>
      </c>
      <c r="C334" t="s">
        <v>141</v>
      </c>
      <c r="D334" t="s">
        <v>488</v>
      </c>
      <c r="E334" s="5">
        <v>45812.958333333343</v>
      </c>
      <c r="F334">
        <v>18.63673</v>
      </c>
      <c r="G334">
        <v>73.824870000000004</v>
      </c>
      <c r="H334" t="s">
        <v>776</v>
      </c>
      <c r="I334">
        <v>12</v>
      </c>
      <c r="J334">
        <v>100</v>
      </c>
      <c r="K334">
        <v>20</v>
      </c>
    </row>
    <row r="335" spans="1:11" x14ac:dyDescent="0.3">
      <c r="A335" t="s">
        <v>11</v>
      </c>
      <c r="B335" t="s">
        <v>26</v>
      </c>
      <c r="C335" t="s">
        <v>141</v>
      </c>
      <c r="D335" t="s">
        <v>489</v>
      </c>
      <c r="E335" s="5">
        <v>45812.958333333343</v>
      </c>
      <c r="F335">
        <v>18.590509999999998</v>
      </c>
      <c r="G335">
        <v>73.77946</v>
      </c>
      <c r="H335" t="s">
        <v>773</v>
      </c>
      <c r="I335">
        <v>16</v>
      </c>
      <c r="J335">
        <v>56</v>
      </c>
      <c r="K335">
        <v>28</v>
      </c>
    </row>
    <row r="336" spans="1:11" x14ac:dyDescent="0.3">
      <c r="A336" t="s">
        <v>11</v>
      </c>
      <c r="B336" t="s">
        <v>26</v>
      </c>
      <c r="C336" t="s">
        <v>140</v>
      </c>
      <c r="D336" t="s">
        <v>490</v>
      </c>
      <c r="E336" s="5">
        <v>45812.958333333343</v>
      </c>
      <c r="F336">
        <v>20.021502999999999</v>
      </c>
      <c r="G336">
        <v>73.813844000000003</v>
      </c>
      <c r="H336" t="s">
        <v>773</v>
      </c>
      <c r="I336">
        <v>2</v>
      </c>
      <c r="J336">
        <v>10</v>
      </c>
      <c r="K336">
        <v>5</v>
      </c>
    </row>
    <row r="337" spans="1:11" x14ac:dyDescent="0.3">
      <c r="A337" t="s">
        <v>11</v>
      </c>
      <c r="B337" t="s">
        <v>26</v>
      </c>
      <c r="C337" t="s">
        <v>140</v>
      </c>
      <c r="D337" t="s">
        <v>490</v>
      </c>
      <c r="E337" s="5">
        <v>45812.958333333343</v>
      </c>
      <c r="F337">
        <v>20.021502999999999</v>
      </c>
      <c r="G337">
        <v>73.813844000000003</v>
      </c>
      <c r="H337" t="s">
        <v>776</v>
      </c>
      <c r="I337">
        <v>8</v>
      </c>
      <c r="J337">
        <v>36</v>
      </c>
      <c r="K337">
        <v>16</v>
      </c>
    </row>
    <row r="338" spans="1:11" x14ac:dyDescent="0.3">
      <c r="A338" t="s">
        <v>11</v>
      </c>
      <c r="B338" t="s">
        <v>26</v>
      </c>
      <c r="C338" t="s">
        <v>140</v>
      </c>
      <c r="D338" t="s">
        <v>491</v>
      </c>
      <c r="E338" s="5">
        <v>45812.958333333343</v>
      </c>
      <c r="F338">
        <v>19.950220000000002</v>
      </c>
      <c r="G338">
        <v>73.731480000000005</v>
      </c>
      <c r="H338" t="s">
        <v>773</v>
      </c>
      <c r="I338">
        <v>4</v>
      </c>
      <c r="J338">
        <v>6</v>
      </c>
      <c r="K338">
        <v>5</v>
      </c>
    </row>
    <row r="339" spans="1:11" x14ac:dyDescent="0.3">
      <c r="A339" t="s">
        <v>11</v>
      </c>
      <c r="B339" t="s">
        <v>26</v>
      </c>
      <c r="C339" t="s">
        <v>140</v>
      </c>
      <c r="D339" t="s">
        <v>492</v>
      </c>
      <c r="E339" s="5">
        <v>45812.958333333343</v>
      </c>
      <c r="F339">
        <v>19.959134599999999</v>
      </c>
      <c r="G339">
        <v>73.778800799999999</v>
      </c>
      <c r="H339" t="s">
        <v>775</v>
      </c>
      <c r="I339">
        <v>38</v>
      </c>
      <c r="J339">
        <v>76</v>
      </c>
      <c r="K339">
        <v>55</v>
      </c>
    </row>
    <row r="340" spans="1:11" x14ac:dyDescent="0.3">
      <c r="A340" t="s">
        <v>11</v>
      </c>
      <c r="B340" t="s">
        <v>26</v>
      </c>
      <c r="C340" t="s">
        <v>140</v>
      </c>
      <c r="D340" t="s">
        <v>492</v>
      </c>
      <c r="E340" s="5">
        <v>45812.958333333343</v>
      </c>
      <c r="F340">
        <v>19.959134599999999</v>
      </c>
      <c r="G340">
        <v>73.778800799999999</v>
      </c>
      <c r="H340" t="s">
        <v>776</v>
      </c>
      <c r="I340">
        <v>8</v>
      </c>
      <c r="J340">
        <v>26</v>
      </c>
      <c r="K340">
        <v>16</v>
      </c>
    </row>
    <row r="341" spans="1:11" x14ac:dyDescent="0.3">
      <c r="A341" t="s">
        <v>11</v>
      </c>
      <c r="B341" t="s">
        <v>26</v>
      </c>
      <c r="C341" t="s">
        <v>142</v>
      </c>
      <c r="D341" t="s">
        <v>493</v>
      </c>
      <c r="E341" s="5">
        <v>45812.958333333343</v>
      </c>
      <c r="F341">
        <v>19.265594</v>
      </c>
      <c r="G341">
        <v>76.761463000000006</v>
      </c>
      <c r="H341" t="s">
        <v>776</v>
      </c>
      <c r="I341">
        <v>10</v>
      </c>
      <c r="J341">
        <v>40</v>
      </c>
      <c r="K341">
        <v>33</v>
      </c>
    </row>
    <row r="342" spans="1:11" x14ac:dyDescent="0.3">
      <c r="A342" t="s">
        <v>11</v>
      </c>
      <c r="B342" t="s">
        <v>26</v>
      </c>
      <c r="C342" t="s">
        <v>142</v>
      </c>
      <c r="D342" t="s">
        <v>493</v>
      </c>
      <c r="E342" s="5">
        <v>45812.958333333343</v>
      </c>
      <c r="F342">
        <v>19.265594</v>
      </c>
      <c r="G342">
        <v>76.761463000000006</v>
      </c>
      <c r="H342" t="s">
        <v>770</v>
      </c>
      <c r="I342">
        <v>31</v>
      </c>
      <c r="J342">
        <v>99</v>
      </c>
      <c r="K342">
        <v>73</v>
      </c>
    </row>
    <row r="343" spans="1:11" x14ac:dyDescent="0.3">
      <c r="A343" t="s">
        <v>11</v>
      </c>
      <c r="B343" t="s">
        <v>27</v>
      </c>
      <c r="C343" t="s">
        <v>143</v>
      </c>
      <c r="D343" t="s">
        <v>494</v>
      </c>
      <c r="E343" s="5">
        <v>45812.958333333343</v>
      </c>
      <c r="F343">
        <v>20.488910000000001</v>
      </c>
      <c r="G343">
        <v>85.847679999999997</v>
      </c>
      <c r="H343" t="s">
        <v>776</v>
      </c>
      <c r="I343">
        <v>94</v>
      </c>
      <c r="J343">
        <v>100</v>
      </c>
      <c r="K343">
        <v>97</v>
      </c>
    </row>
    <row r="344" spans="1:11" x14ac:dyDescent="0.3">
      <c r="A344" t="s">
        <v>11</v>
      </c>
      <c r="B344" t="s">
        <v>27</v>
      </c>
      <c r="C344" t="s">
        <v>144</v>
      </c>
      <c r="D344" t="s">
        <v>495</v>
      </c>
      <c r="E344" s="5">
        <v>45812.958333333343</v>
      </c>
      <c r="F344">
        <v>21.643899999999999</v>
      </c>
      <c r="G344">
        <v>85.599355000000003</v>
      </c>
      <c r="H344" t="s">
        <v>775</v>
      </c>
      <c r="I344">
        <v>34</v>
      </c>
      <c r="J344">
        <v>66</v>
      </c>
      <c r="K344">
        <v>50</v>
      </c>
    </row>
    <row r="345" spans="1:11" x14ac:dyDescent="0.3">
      <c r="A345" t="s">
        <v>11</v>
      </c>
      <c r="B345" t="s">
        <v>27</v>
      </c>
      <c r="C345" t="s">
        <v>144</v>
      </c>
      <c r="D345" t="s">
        <v>495</v>
      </c>
      <c r="E345" s="5">
        <v>45812.958333333343</v>
      </c>
      <c r="F345">
        <v>21.643899999999999</v>
      </c>
      <c r="G345">
        <v>85.599355000000003</v>
      </c>
      <c r="H345" t="s">
        <v>772</v>
      </c>
      <c r="I345">
        <v>1</v>
      </c>
      <c r="J345">
        <v>14</v>
      </c>
      <c r="K345">
        <v>8</v>
      </c>
    </row>
    <row r="346" spans="1:11" x14ac:dyDescent="0.3">
      <c r="A346" t="s">
        <v>11</v>
      </c>
      <c r="B346" t="s">
        <v>27</v>
      </c>
      <c r="C346" t="s">
        <v>144</v>
      </c>
      <c r="D346" t="s">
        <v>495</v>
      </c>
      <c r="E346" s="5">
        <v>45812.958333333343</v>
      </c>
      <c r="F346">
        <v>21.643899999999999</v>
      </c>
      <c r="G346">
        <v>85.599355000000003</v>
      </c>
      <c r="H346" t="s">
        <v>774</v>
      </c>
      <c r="I346">
        <v>7</v>
      </c>
      <c r="J346">
        <v>28</v>
      </c>
      <c r="K346">
        <v>10</v>
      </c>
    </row>
    <row r="347" spans="1:11" x14ac:dyDescent="0.3">
      <c r="A347" t="s">
        <v>11</v>
      </c>
      <c r="B347" t="s">
        <v>27</v>
      </c>
      <c r="C347" t="s">
        <v>144</v>
      </c>
      <c r="D347" t="s">
        <v>495</v>
      </c>
      <c r="E347" s="5">
        <v>45812.958333333343</v>
      </c>
      <c r="F347">
        <v>21.643899999999999</v>
      </c>
      <c r="G347">
        <v>85.599355000000003</v>
      </c>
      <c r="H347" t="s">
        <v>776</v>
      </c>
      <c r="I347">
        <v>15</v>
      </c>
      <c r="J347">
        <v>55</v>
      </c>
      <c r="K347">
        <v>51</v>
      </c>
    </row>
    <row r="348" spans="1:11" x14ac:dyDescent="0.3">
      <c r="A348" t="s">
        <v>11</v>
      </c>
      <c r="B348" t="s">
        <v>27</v>
      </c>
      <c r="C348" t="s">
        <v>144</v>
      </c>
      <c r="D348" t="s">
        <v>495</v>
      </c>
      <c r="E348" s="5">
        <v>45812.958333333343</v>
      </c>
      <c r="F348">
        <v>21.643899999999999</v>
      </c>
      <c r="G348">
        <v>85.599355000000003</v>
      </c>
      <c r="H348" t="s">
        <v>770</v>
      </c>
      <c r="I348">
        <v>4</v>
      </c>
      <c r="J348">
        <v>37</v>
      </c>
      <c r="K348">
        <v>31</v>
      </c>
    </row>
    <row r="349" spans="1:11" x14ac:dyDescent="0.3">
      <c r="A349" t="s">
        <v>11</v>
      </c>
      <c r="B349" t="s">
        <v>27</v>
      </c>
      <c r="C349" t="s">
        <v>145</v>
      </c>
      <c r="D349" t="s">
        <v>496</v>
      </c>
      <c r="E349" s="5">
        <v>45812.958333333343</v>
      </c>
      <c r="F349">
        <v>21.847279</v>
      </c>
      <c r="G349">
        <v>85.416905</v>
      </c>
      <c r="H349" t="s">
        <v>772</v>
      </c>
    </row>
    <row r="350" spans="1:11" x14ac:dyDescent="0.3">
      <c r="A350" t="s">
        <v>11</v>
      </c>
      <c r="B350" t="s">
        <v>27</v>
      </c>
      <c r="C350" t="s">
        <v>146</v>
      </c>
      <c r="D350" t="s">
        <v>497</v>
      </c>
      <c r="E350" s="5">
        <v>45812.958333333343</v>
      </c>
      <c r="F350">
        <v>22.265816000000001</v>
      </c>
      <c r="G350">
        <v>86.174829000000003</v>
      </c>
      <c r="H350" t="s">
        <v>774</v>
      </c>
    </row>
    <row r="351" spans="1:11" x14ac:dyDescent="0.3">
      <c r="A351" t="s">
        <v>11</v>
      </c>
      <c r="B351" t="s">
        <v>27</v>
      </c>
      <c r="C351" t="s">
        <v>147</v>
      </c>
      <c r="D351" t="s">
        <v>498</v>
      </c>
      <c r="E351" s="5">
        <v>45812.958333333343</v>
      </c>
      <c r="F351">
        <v>22.18972222</v>
      </c>
      <c r="G351">
        <v>84.862777780000002</v>
      </c>
      <c r="H351" t="s">
        <v>774</v>
      </c>
    </row>
    <row r="352" spans="1:11" x14ac:dyDescent="0.3">
      <c r="A352" t="s">
        <v>11</v>
      </c>
      <c r="B352" t="s">
        <v>27</v>
      </c>
      <c r="C352" t="s">
        <v>147</v>
      </c>
      <c r="D352" t="s">
        <v>498</v>
      </c>
      <c r="E352" s="5">
        <v>45812.958333333343</v>
      </c>
      <c r="F352">
        <v>22.18972222</v>
      </c>
      <c r="G352">
        <v>84.862777780000002</v>
      </c>
      <c r="H352" t="s">
        <v>776</v>
      </c>
      <c r="I352">
        <v>9</v>
      </c>
      <c r="J352">
        <v>34</v>
      </c>
      <c r="K352">
        <v>19</v>
      </c>
    </row>
    <row r="353" spans="1:11" x14ac:dyDescent="0.3">
      <c r="A353" t="s">
        <v>11</v>
      </c>
      <c r="B353" t="s">
        <v>27</v>
      </c>
      <c r="C353" t="s">
        <v>148</v>
      </c>
      <c r="D353" t="s">
        <v>499</v>
      </c>
      <c r="E353" s="5">
        <v>45812.958333333343</v>
      </c>
      <c r="F353">
        <v>21.511610000000001</v>
      </c>
      <c r="G353">
        <v>86.890879999999996</v>
      </c>
      <c r="H353" t="s">
        <v>775</v>
      </c>
      <c r="I353">
        <v>20</v>
      </c>
      <c r="J353">
        <v>97</v>
      </c>
      <c r="K353">
        <v>64</v>
      </c>
    </row>
    <row r="354" spans="1:11" x14ac:dyDescent="0.3">
      <c r="A354" t="s">
        <v>11</v>
      </c>
      <c r="B354" t="s">
        <v>27</v>
      </c>
      <c r="C354" t="s">
        <v>148</v>
      </c>
      <c r="D354" t="s">
        <v>499</v>
      </c>
      <c r="E354" s="5">
        <v>45812.958333333343</v>
      </c>
      <c r="F354">
        <v>21.511610000000001</v>
      </c>
      <c r="G354">
        <v>86.890879999999996</v>
      </c>
      <c r="H354" t="s">
        <v>774</v>
      </c>
      <c r="I354">
        <v>7</v>
      </c>
      <c r="J354">
        <v>23</v>
      </c>
      <c r="K354">
        <v>12</v>
      </c>
    </row>
    <row r="355" spans="1:11" x14ac:dyDescent="0.3">
      <c r="A355" t="s">
        <v>11</v>
      </c>
      <c r="B355" t="s">
        <v>27</v>
      </c>
      <c r="C355" t="s">
        <v>149</v>
      </c>
      <c r="D355" t="s">
        <v>500</v>
      </c>
      <c r="E355" s="5">
        <v>45812.958333333343</v>
      </c>
      <c r="F355">
        <v>22.116605400000001</v>
      </c>
      <c r="G355">
        <v>85.394554600000006</v>
      </c>
      <c r="H355" t="s">
        <v>775</v>
      </c>
      <c r="I355">
        <v>67</v>
      </c>
      <c r="J355">
        <v>283</v>
      </c>
      <c r="K355">
        <v>169</v>
      </c>
    </row>
    <row r="356" spans="1:11" x14ac:dyDescent="0.3">
      <c r="A356" t="s">
        <v>11</v>
      </c>
      <c r="B356" t="s">
        <v>27</v>
      </c>
      <c r="C356" t="s">
        <v>150</v>
      </c>
      <c r="D356" t="s">
        <v>501</v>
      </c>
      <c r="E356" s="5">
        <v>45812.958333333343</v>
      </c>
      <c r="F356">
        <v>21.941841</v>
      </c>
      <c r="G356">
        <v>86.728318000000002</v>
      </c>
      <c r="H356" t="s">
        <v>772</v>
      </c>
      <c r="I356">
        <v>1</v>
      </c>
      <c r="J356">
        <v>29</v>
      </c>
      <c r="K356">
        <v>11</v>
      </c>
    </row>
    <row r="357" spans="1:11" x14ac:dyDescent="0.3">
      <c r="A357" t="s">
        <v>11</v>
      </c>
      <c r="B357" t="s">
        <v>27</v>
      </c>
      <c r="C357" t="s">
        <v>150</v>
      </c>
      <c r="D357" t="s">
        <v>501</v>
      </c>
      <c r="E357" s="5">
        <v>45812.958333333343</v>
      </c>
      <c r="F357">
        <v>21.941841</v>
      </c>
      <c r="G357">
        <v>86.728318000000002</v>
      </c>
      <c r="H357" t="s">
        <v>776</v>
      </c>
      <c r="I357">
        <v>104</v>
      </c>
      <c r="J357">
        <v>132</v>
      </c>
      <c r="K357">
        <v>118</v>
      </c>
    </row>
    <row r="358" spans="1:11" x14ac:dyDescent="0.3">
      <c r="A358" t="s">
        <v>11</v>
      </c>
      <c r="B358" t="s">
        <v>27</v>
      </c>
      <c r="C358" t="s">
        <v>151</v>
      </c>
      <c r="D358" t="s">
        <v>502</v>
      </c>
      <c r="E358" s="5">
        <v>45812.958333333343</v>
      </c>
      <c r="F358">
        <v>20.240790000000001</v>
      </c>
      <c r="G358">
        <v>85.836783999999994</v>
      </c>
      <c r="H358" t="s">
        <v>775</v>
      </c>
      <c r="I358">
        <v>25</v>
      </c>
      <c r="J358">
        <v>92</v>
      </c>
      <c r="K358">
        <v>53</v>
      </c>
    </row>
    <row r="359" spans="1:11" x14ac:dyDescent="0.3">
      <c r="A359" t="s">
        <v>11</v>
      </c>
      <c r="B359" t="s">
        <v>27</v>
      </c>
      <c r="C359" t="s">
        <v>151</v>
      </c>
      <c r="D359" t="s">
        <v>502</v>
      </c>
      <c r="E359" s="5">
        <v>45812.958333333343</v>
      </c>
      <c r="F359">
        <v>20.240790000000001</v>
      </c>
      <c r="G359">
        <v>85.836783999999994</v>
      </c>
      <c r="H359" t="s">
        <v>773</v>
      </c>
      <c r="I359">
        <v>4</v>
      </c>
      <c r="J359">
        <v>7</v>
      </c>
      <c r="K359">
        <v>5</v>
      </c>
    </row>
    <row r="360" spans="1:11" x14ac:dyDescent="0.3">
      <c r="A360" t="s">
        <v>11</v>
      </c>
      <c r="B360" t="s">
        <v>27</v>
      </c>
      <c r="C360" t="s">
        <v>151</v>
      </c>
      <c r="D360" t="s">
        <v>502</v>
      </c>
      <c r="E360" s="5">
        <v>45812.958333333343</v>
      </c>
      <c r="F360">
        <v>20.240790000000001</v>
      </c>
      <c r="G360">
        <v>85.836783999999994</v>
      </c>
      <c r="H360" t="s">
        <v>776</v>
      </c>
      <c r="I360">
        <v>41</v>
      </c>
      <c r="J360">
        <v>71</v>
      </c>
      <c r="K360">
        <v>55</v>
      </c>
    </row>
    <row r="361" spans="1:11" x14ac:dyDescent="0.3">
      <c r="A361" t="s">
        <v>11</v>
      </c>
      <c r="B361" t="s">
        <v>27</v>
      </c>
      <c r="C361" t="s">
        <v>151</v>
      </c>
      <c r="D361" t="s">
        <v>502</v>
      </c>
      <c r="E361" s="5">
        <v>45812.958333333343</v>
      </c>
      <c r="F361">
        <v>20.240790000000001</v>
      </c>
      <c r="G361">
        <v>85.836783999999994</v>
      </c>
      <c r="H361" t="s">
        <v>770</v>
      </c>
      <c r="I361">
        <v>11</v>
      </c>
      <c r="J361">
        <v>67</v>
      </c>
      <c r="K361">
        <v>37</v>
      </c>
    </row>
    <row r="362" spans="1:11" x14ac:dyDescent="0.3">
      <c r="A362" t="s">
        <v>11</v>
      </c>
      <c r="B362" t="s">
        <v>27</v>
      </c>
      <c r="C362" t="s">
        <v>151</v>
      </c>
      <c r="D362" t="s">
        <v>503</v>
      </c>
      <c r="E362" s="5">
        <v>45812.958333333343</v>
      </c>
      <c r="F362">
        <v>20.346520000000002</v>
      </c>
      <c r="G362">
        <v>85.816299999999998</v>
      </c>
      <c r="H362" t="s">
        <v>772</v>
      </c>
      <c r="I362">
        <v>9</v>
      </c>
      <c r="J362">
        <v>37</v>
      </c>
      <c r="K362">
        <v>20</v>
      </c>
    </row>
    <row r="363" spans="1:11" x14ac:dyDescent="0.3">
      <c r="A363" t="s">
        <v>11</v>
      </c>
      <c r="B363" t="s">
        <v>27</v>
      </c>
      <c r="C363" t="s">
        <v>151</v>
      </c>
      <c r="D363" t="s">
        <v>503</v>
      </c>
      <c r="E363" s="5">
        <v>45812.958333333343</v>
      </c>
      <c r="F363">
        <v>20.346520000000002</v>
      </c>
      <c r="G363">
        <v>85.816299999999998</v>
      </c>
      <c r="H363" t="s">
        <v>776</v>
      </c>
      <c r="I363">
        <v>24</v>
      </c>
      <c r="J363">
        <v>68</v>
      </c>
      <c r="K363">
        <v>35</v>
      </c>
    </row>
    <row r="364" spans="1:11" x14ac:dyDescent="0.3">
      <c r="A364" t="s">
        <v>11</v>
      </c>
      <c r="B364" t="s">
        <v>27</v>
      </c>
      <c r="C364" t="s">
        <v>152</v>
      </c>
      <c r="D364" t="s">
        <v>504</v>
      </c>
      <c r="E364" s="5">
        <v>45812.958333333343</v>
      </c>
      <c r="F364">
        <v>22.061567029999999</v>
      </c>
      <c r="G364">
        <v>85.474096130000007</v>
      </c>
      <c r="H364" t="s">
        <v>776</v>
      </c>
      <c r="I364">
        <v>22</v>
      </c>
      <c r="J364">
        <v>38</v>
      </c>
      <c r="K364">
        <v>26</v>
      </c>
    </row>
    <row r="365" spans="1:11" x14ac:dyDescent="0.3">
      <c r="A365" t="s">
        <v>11</v>
      </c>
      <c r="B365" t="s">
        <v>27</v>
      </c>
      <c r="C365" t="s">
        <v>153</v>
      </c>
      <c r="D365" t="s">
        <v>505</v>
      </c>
      <c r="E365" s="5">
        <v>45812.958333333343</v>
      </c>
      <c r="F365">
        <v>21.800499599999998</v>
      </c>
      <c r="G365">
        <v>83.839697700000002</v>
      </c>
      <c r="H365" t="s">
        <v>772</v>
      </c>
      <c r="I365">
        <v>19</v>
      </c>
      <c r="J365">
        <v>20</v>
      </c>
      <c r="K365">
        <v>19</v>
      </c>
    </row>
    <row r="366" spans="1:11" x14ac:dyDescent="0.3">
      <c r="A366" t="s">
        <v>11</v>
      </c>
      <c r="B366" t="s">
        <v>27</v>
      </c>
      <c r="C366" t="s">
        <v>153</v>
      </c>
      <c r="D366" t="s">
        <v>505</v>
      </c>
      <c r="E366" s="5">
        <v>45812.958333333343</v>
      </c>
      <c r="F366">
        <v>21.800499599999998</v>
      </c>
      <c r="G366">
        <v>83.839697700000002</v>
      </c>
      <c r="H366" t="s">
        <v>773</v>
      </c>
      <c r="I366">
        <v>6</v>
      </c>
      <c r="J366">
        <v>7</v>
      </c>
      <c r="K366">
        <v>6</v>
      </c>
    </row>
    <row r="367" spans="1:11" x14ac:dyDescent="0.3">
      <c r="A367" t="s">
        <v>11</v>
      </c>
      <c r="B367" t="s">
        <v>27</v>
      </c>
      <c r="C367" t="s">
        <v>153</v>
      </c>
      <c r="D367" t="s">
        <v>505</v>
      </c>
      <c r="E367" s="5">
        <v>45812.958333333343</v>
      </c>
      <c r="F367">
        <v>21.800499599999998</v>
      </c>
      <c r="G367">
        <v>83.839697700000002</v>
      </c>
      <c r="H367" t="s">
        <v>774</v>
      </c>
      <c r="I367">
        <v>9</v>
      </c>
      <c r="J367">
        <v>9</v>
      </c>
      <c r="K367">
        <v>9</v>
      </c>
    </row>
    <row r="368" spans="1:11" x14ac:dyDescent="0.3">
      <c r="A368" t="s">
        <v>11</v>
      </c>
      <c r="B368" t="s">
        <v>27</v>
      </c>
      <c r="C368" t="s">
        <v>154</v>
      </c>
      <c r="D368" t="s">
        <v>506</v>
      </c>
      <c r="E368" s="5">
        <v>45812.958333333343</v>
      </c>
      <c r="F368">
        <v>20.941849999999999</v>
      </c>
      <c r="G368">
        <v>86.115099999999998</v>
      </c>
      <c r="H368" t="s">
        <v>773</v>
      </c>
      <c r="I368">
        <v>1</v>
      </c>
      <c r="J368">
        <v>2</v>
      </c>
      <c r="K368">
        <v>1</v>
      </c>
    </row>
    <row r="369" spans="1:11" x14ac:dyDescent="0.3">
      <c r="A369" t="s">
        <v>11</v>
      </c>
      <c r="B369" t="s">
        <v>27</v>
      </c>
      <c r="C369" t="s">
        <v>154</v>
      </c>
      <c r="D369" t="s">
        <v>506</v>
      </c>
      <c r="E369" s="5">
        <v>45812.958333333343</v>
      </c>
      <c r="F369">
        <v>20.941849999999999</v>
      </c>
      <c r="G369">
        <v>86.115099999999998</v>
      </c>
      <c r="H369" t="s">
        <v>774</v>
      </c>
      <c r="I369">
        <v>2</v>
      </c>
      <c r="J369">
        <v>34</v>
      </c>
      <c r="K369">
        <v>9</v>
      </c>
    </row>
    <row r="370" spans="1:11" x14ac:dyDescent="0.3">
      <c r="A370" t="s">
        <v>11</v>
      </c>
      <c r="B370" t="s">
        <v>27</v>
      </c>
      <c r="C370" t="s">
        <v>154</v>
      </c>
      <c r="D370" t="s">
        <v>506</v>
      </c>
      <c r="E370" s="5">
        <v>45812.958333333343</v>
      </c>
      <c r="F370">
        <v>20.941849999999999</v>
      </c>
      <c r="G370">
        <v>86.115099999999998</v>
      </c>
      <c r="H370" t="s">
        <v>776</v>
      </c>
      <c r="I370">
        <v>8</v>
      </c>
      <c r="J370">
        <v>30</v>
      </c>
      <c r="K370">
        <v>22</v>
      </c>
    </row>
    <row r="371" spans="1:11" x14ac:dyDescent="0.3">
      <c r="A371" t="s">
        <v>11</v>
      </c>
      <c r="B371" t="s">
        <v>26</v>
      </c>
      <c r="C371" t="s">
        <v>155</v>
      </c>
      <c r="D371" t="s">
        <v>507</v>
      </c>
      <c r="E371" s="5">
        <v>45812.958333333343</v>
      </c>
      <c r="F371">
        <v>19.235581</v>
      </c>
      <c r="G371">
        <v>73.159120999999999</v>
      </c>
      <c r="H371" t="s">
        <v>774</v>
      </c>
      <c r="I371">
        <v>4</v>
      </c>
      <c r="J371">
        <v>34</v>
      </c>
      <c r="K371">
        <v>16</v>
      </c>
    </row>
    <row r="372" spans="1:11" x14ac:dyDescent="0.3">
      <c r="A372" t="s">
        <v>11</v>
      </c>
      <c r="B372" t="s">
        <v>28</v>
      </c>
      <c r="C372" t="s">
        <v>156</v>
      </c>
      <c r="D372" t="s">
        <v>508</v>
      </c>
      <c r="E372" s="5">
        <v>45812.958333333343</v>
      </c>
      <c r="F372">
        <v>24.820738899999998</v>
      </c>
      <c r="G372">
        <v>93.942308499999996</v>
      </c>
      <c r="H372" t="s">
        <v>771</v>
      </c>
    </row>
    <row r="373" spans="1:11" x14ac:dyDescent="0.3">
      <c r="A373" t="s">
        <v>11</v>
      </c>
      <c r="B373" t="s">
        <v>28</v>
      </c>
      <c r="C373" t="s">
        <v>156</v>
      </c>
      <c r="D373" t="s">
        <v>508</v>
      </c>
      <c r="E373" s="5">
        <v>45812.958333333343</v>
      </c>
      <c r="F373">
        <v>24.820738899999998</v>
      </c>
      <c r="G373">
        <v>93.942308499999996</v>
      </c>
      <c r="H373" t="s">
        <v>772</v>
      </c>
    </row>
    <row r="374" spans="1:11" x14ac:dyDescent="0.3">
      <c r="A374" t="s">
        <v>11</v>
      </c>
      <c r="B374" t="s">
        <v>28</v>
      </c>
      <c r="C374" t="s">
        <v>156</v>
      </c>
      <c r="D374" t="s">
        <v>508</v>
      </c>
      <c r="E374" s="5">
        <v>45812.958333333343</v>
      </c>
      <c r="F374">
        <v>24.820738899999998</v>
      </c>
      <c r="G374">
        <v>93.942308499999996</v>
      </c>
      <c r="H374" t="s">
        <v>773</v>
      </c>
    </row>
    <row r="375" spans="1:11" x14ac:dyDescent="0.3">
      <c r="A375" t="s">
        <v>11</v>
      </c>
      <c r="B375" t="s">
        <v>26</v>
      </c>
      <c r="C375" t="s">
        <v>157</v>
      </c>
      <c r="D375" t="s">
        <v>509</v>
      </c>
      <c r="E375" s="5">
        <v>45812.958333333343</v>
      </c>
      <c r="F375">
        <v>17.6599188</v>
      </c>
      <c r="G375">
        <v>75.906390599999995</v>
      </c>
      <c r="H375" t="s">
        <v>771</v>
      </c>
      <c r="I375">
        <v>127</v>
      </c>
      <c r="J375">
        <v>127</v>
      </c>
      <c r="K375">
        <v>127</v>
      </c>
    </row>
    <row r="376" spans="1:11" x14ac:dyDescent="0.3">
      <c r="A376" t="s">
        <v>11</v>
      </c>
      <c r="B376" t="s">
        <v>26</v>
      </c>
      <c r="C376" t="s">
        <v>157</v>
      </c>
      <c r="D376" t="s">
        <v>509</v>
      </c>
      <c r="E376" s="5">
        <v>45812.958333333343</v>
      </c>
      <c r="F376">
        <v>17.6599188</v>
      </c>
      <c r="G376">
        <v>75.906390599999995</v>
      </c>
      <c r="H376" t="s">
        <v>772</v>
      </c>
      <c r="I376">
        <v>55</v>
      </c>
      <c r="J376">
        <v>55</v>
      </c>
      <c r="K376">
        <v>55</v>
      </c>
    </row>
    <row r="377" spans="1:11" x14ac:dyDescent="0.3">
      <c r="A377" t="s">
        <v>11</v>
      </c>
      <c r="B377" t="s">
        <v>26</v>
      </c>
      <c r="C377" t="s">
        <v>158</v>
      </c>
      <c r="D377" t="s">
        <v>510</v>
      </c>
      <c r="E377" s="5">
        <v>45812.958333333343</v>
      </c>
      <c r="F377">
        <v>19.222279</v>
      </c>
      <c r="G377">
        <v>72.957978999999995</v>
      </c>
      <c r="H377" t="s">
        <v>772</v>
      </c>
      <c r="I377">
        <v>11</v>
      </c>
      <c r="J377">
        <v>92</v>
      </c>
      <c r="K377">
        <v>42</v>
      </c>
    </row>
    <row r="378" spans="1:11" x14ac:dyDescent="0.3">
      <c r="A378" t="s">
        <v>11</v>
      </c>
      <c r="B378" t="s">
        <v>26</v>
      </c>
      <c r="C378" t="s">
        <v>136</v>
      </c>
      <c r="D378" t="s">
        <v>487</v>
      </c>
      <c r="E378" s="5">
        <v>45812.958333333343</v>
      </c>
      <c r="F378">
        <v>18.530085</v>
      </c>
      <c r="G378">
        <v>73.849598</v>
      </c>
      <c r="H378" t="s">
        <v>770</v>
      </c>
      <c r="I378">
        <v>1</v>
      </c>
      <c r="J378">
        <v>99</v>
      </c>
      <c r="K378">
        <v>54</v>
      </c>
    </row>
    <row r="379" spans="1:11" x14ac:dyDescent="0.3">
      <c r="A379" t="s">
        <v>11</v>
      </c>
      <c r="B379" t="s">
        <v>26</v>
      </c>
      <c r="C379" t="s">
        <v>136</v>
      </c>
      <c r="D379" t="s">
        <v>511</v>
      </c>
      <c r="E379" s="5">
        <v>45812.958333333343</v>
      </c>
      <c r="F379">
        <v>18.547056000000001</v>
      </c>
      <c r="G379">
        <v>73.826908000000003</v>
      </c>
      <c r="H379" t="s">
        <v>773</v>
      </c>
      <c r="I379">
        <v>1</v>
      </c>
      <c r="J379">
        <v>4</v>
      </c>
      <c r="K379">
        <v>2</v>
      </c>
    </row>
    <row r="380" spans="1:11" x14ac:dyDescent="0.3">
      <c r="A380" t="s">
        <v>11</v>
      </c>
      <c r="B380" t="s">
        <v>26</v>
      </c>
      <c r="C380" t="s">
        <v>157</v>
      </c>
      <c r="D380" t="s">
        <v>512</v>
      </c>
      <c r="E380" s="5">
        <v>45812.958333333343</v>
      </c>
      <c r="F380">
        <v>17.633626400000001</v>
      </c>
      <c r="G380">
        <v>75.913249500000006</v>
      </c>
      <c r="H380" t="s">
        <v>772</v>
      </c>
      <c r="I380">
        <v>7</v>
      </c>
      <c r="J380">
        <v>99</v>
      </c>
      <c r="K380">
        <v>24</v>
      </c>
    </row>
    <row r="381" spans="1:11" x14ac:dyDescent="0.3">
      <c r="A381" t="s">
        <v>11</v>
      </c>
      <c r="B381" t="s">
        <v>26</v>
      </c>
      <c r="C381" t="s">
        <v>157</v>
      </c>
      <c r="D381" t="s">
        <v>512</v>
      </c>
      <c r="E381" s="5">
        <v>45812.958333333343</v>
      </c>
      <c r="F381">
        <v>17.633626400000001</v>
      </c>
      <c r="G381">
        <v>75.913249500000006</v>
      </c>
      <c r="H381" t="s">
        <v>770</v>
      </c>
      <c r="I381">
        <v>27</v>
      </c>
      <c r="J381">
        <v>94</v>
      </c>
      <c r="K381">
        <v>68</v>
      </c>
    </row>
    <row r="382" spans="1:11" x14ac:dyDescent="0.3">
      <c r="A382" t="s">
        <v>11</v>
      </c>
      <c r="B382" t="s">
        <v>29</v>
      </c>
      <c r="C382" t="s">
        <v>159</v>
      </c>
      <c r="D382" t="s">
        <v>513</v>
      </c>
      <c r="E382" s="5">
        <v>45812.958333333343</v>
      </c>
      <c r="F382">
        <v>23.717634199999999</v>
      </c>
      <c r="G382">
        <v>92.719284099999996</v>
      </c>
      <c r="H382" t="s">
        <v>776</v>
      </c>
      <c r="I382">
        <v>3</v>
      </c>
      <c r="J382">
        <v>3</v>
      </c>
      <c r="K382">
        <v>3</v>
      </c>
    </row>
    <row r="383" spans="1:11" x14ac:dyDescent="0.3">
      <c r="A383" t="s">
        <v>11</v>
      </c>
      <c r="B383" t="s">
        <v>30</v>
      </c>
      <c r="C383" t="s">
        <v>160</v>
      </c>
      <c r="D383" t="s">
        <v>514</v>
      </c>
      <c r="E383" s="5">
        <v>45812.958333333343</v>
      </c>
      <c r="F383">
        <v>30.902799999999999</v>
      </c>
      <c r="G383">
        <v>75.808599999999998</v>
      </c>
      <c r="H383" t="s">
        <v>770</v>
      </c>
      <c r="I383">
        <v>4</v>
      </c>
      <c r="J383">
        <v>26</v>
      </c>
      <c r="K383">
        <v>14</v>
      </c>
    </row>
    <row r="384" spans="1:11" x14ac:dyDescent="0.3">
      <c r="A384" t="s">
        <v>11</v>
      </c>
      <c r="B384" t="s">
        <v>30</v>
      </c>
      <c r="C384" t="s">
        <v>161</v>
      </c>
      <c r="D384" t="s">
        <v>515</v>
      </c>
      <c r="E384" s="5">
        <v>45812.958333333343</v>
      </c>
      <c r="F384">
        <v>30.649961000000001</v>
      </c>
      <c r="G384">
        <v>76.331441999999996</v>
      </c>
      <c r="H384" t="s">
        <v>773</v>
      </c>
      <c r="I384">
        <v>6</v>
      </c>
      <c r="J384">
        <v>8</v>
      </c>
      <c r="K384">
        <v>7</v>
      </c>
    </row>
    <row r="385" spans="1:11" x14ac:dyDescent="0.3">
      <c r="A385" t="s">
        <v>11</v>
      </c>
      <c r="B385" t="s">
        <v>30</v>
      </c>
      <c r="C385" t="s">
        <v>161</v>
      </c>
      <c r="D385" t="s">
        <v>515</v>
      </c>
      <c r="E385" s="5">
        <v>45812.958333333343</v>
      </c>
      <c r="F385">
        <v>30.649961000000001</v>
      </c>
      <c r="G385">
        <v>76.331441999999996</v>
      </c>
      <c r="H385" t="s">
        <v>774</v>
      </c>
      <c r="I385">
        <v>17</v>
      </c>
      <c r="J385">
        <v>33</v>
      </c>
      <c r="K385">
        <v>23</v>
      </c>
    </row>
    <row r="386" spans="1:11" x14ac:dyDescent="0.3">
      <c r="A386" t="s">
        <v>11</v>
      </c>
      <c r="B386" t="s">
        <v>30</v>
      </c>
      <c r="C386" t="s">
        <v>161</v>
      </c>
      <c r="D386" t="s">
        <v>515</v>
      </c>
      <c r="E386" s="5">
        <v>45812.958333333343</v>
      </c>
      <c r="F386">
        <v>30.649961000000001</v>
      </c>
      <c r="G386">
        <v>76.331441999999996</v>
      </c>
      <c r="H386" t="s">
        <v>770</v>
      </c>
      <c r="I386">
        <v>46</v>
      </c>
      <c r="J386">
        <v>53</v>
      </c>
      <c r="K386">
        <v>49</v>
      </c>
    </row>
    <row r="387" spans="1:11" x14ac:dyDescent="0.3">
      <c r="A387" t="s">
        <v>11</v>
      </c>
      <c r="B387" t="s">
        <v>30</v>
      </c>
      <c r="C387" t="s">
        <v>162</v>
      </c>
      <c r="D387" t="s">
        <v>516</v>
      </c>
      <c r="E387" s="5">
        <v>45812.958333333343</v>
      </c>
      <c r="F387">
        <v>30.349388000000001</v>
      </c>
      <c r="G387">
        <v>76.366641999999999</v>
      </c>
      <c r="H387" t="s">
        <v>772</v>
      </c>
      <c r="I387">
        <v>21</v>
      </c>
      <c r="J387">
        <v>86</v>
      </c>
      <c r="K387">
        <v>34</v>
      </c>
    </row>
    <row r="388" spans="1:11" x14ac:dyDescent="0.3">
      <c r="A388" t="s">
        <v>11</v>
      </c>
      <c r="B388" t="s">
        <v>30</v>
      </c>
      <c r="C388" t="s">
        <v>162</v>
      </c>
      <c r="D388" t="s">
        <v>516</v>
      </c>
      <c r="E388" s="5">
        <v>45812.958333333343</v>
      </c>
      <c r="F388">
        <v>30.349388000000001</v>
      </c>
      <c r="G388">
        <v>76.366641999999999</v>
      </c>
      <c r="H388" t="s">
        <v>774</v>
      </c>
      <c r="I388">
        <v>10</v>
      </c>
      <c r="J388">
        <v>39</v>
      </c>
      <c r="K388">
        <v>17</v>
      </c>
    </row>
    <row r="389" spans="1:11" x14ac:dyDescent="0.3">
      <c r="A389" t="s">
        <v>11</v>
      </c>
      <c r="B389" t="s">
        <v>30</v>
      </c>
      <c r="C389" t="s">
        <v>162</v>
      </c>
      <c r="D389" t="s">
        <v>516</v>
      </c>
      <c r="E389" s="5">
        <v>45812.958333333343</v>
      </c>
      <c r="F389">
        <v>30.349388000000001</v>
      </c>
      <c r="G389">
        <v>76.366641999999999</v>
      </c>
      <c r="H389" t="s">
        <v>770</v>
      </c>
      <c r="I389">
        <v>45</v>
      </c>
      <c r="J389">
        <v>58</v>
      </c>
      <c r="K389">
        <v>48</v>
      </c>
    </row>
    <row r="390" spans="1:11" x14ac:dyDescent="0.3">
      <c r="A390" t="s">
        <v>11</v>
      </c>
      <c r="B390" t="s">
        <v>30</v>
      </c>
      <c r="C390" t="s">
        <v>163</v>
      </c>
      <c r="D390" t="s">
        <v>517</v>
      </c>
      <c r="E390" s="5">
        <v>45812.958333333343</v>
      </c>
      <c r="F390">
        <v>31.0325454</v>
      </c>
      <c r="G390">
        <v>76.562304600000004</v>
      </c>
      <c r="H390" t="s">
        <v>775</v>
      </c>
      <c r="I390">
        <v>34</v>
      </c>
      <c r="J390">
        <v>157</v>
      </c>
      <c r="K390">
        <v>91</v>
      </c>
    </row>
    <row r="391" spans="1:11" x14ac:dyDescent="0.3">
      <c r="A391" t="s">
        <v>11</v>
      </c>
      <c r="B391" t="s">
        <v>31</v>
      </c>
      <c r="C391" t="s">
        <v>164</v>
      </c>
      <c r="D391" t="s">
        <v>518</v>
      </c>
      <c r="E391" s="5">
        <v>45812.958333333343</v>
      </c>
      <c r="F391">
        <v>26.470859000000001</v>
      </c>
      <c r="G391">
        <v>74.646593999999993</v>
      </c>
      <c r="H391" t="s">
        <v>775</v>
      </c>
      <c r="I391">
        <v>32</v>
      </c>
      <c r="J391">
        <v>183</v>
      </c>
      <c r="K391">
        <v>98</v>
      </c>
    </row>
    <row r="392" spans="1:11" x14ac:dyDescent="0.3">
      <c r="A392" t="s">
        <v>11</v>
      </c>
      <c r="B392" t="s">
        <v>31</v>
      </c>
      <c r="C392" t="s">
        <v>164</v>
      </c>
      <c r="D392" t="s">
        <v>518</v>
      </c>
      <c r="E392" s="5">
        <v>45812.958333333343</v>
      </c>
      <c r="F392">
        <v>26.470859000000001</v>
      </c>
      <c r="G392">
        <v>74.646593999999993</v>
      </c>
      <c r="H392" t="s">
        <v>771</v>
      </c>
      <c r="I392">
        <v>78</v>
      </c>
      <c r="J392">
        <v>133</v>
      </c>
      <c r="K392">
        <v>102</v>
      </c>
    </row>
    <row r="393" spans="1:11" x14ac:dyDescent="0.3">
      <c r="A393" t="s">
        <v>11</v>
      </c>
      <c r="B393" t="s">
        <v>31</v>
      </c>
      <c r="C393" t="s">
        <v>164</v>
      </c>
      <c r="D393" t="s">
        <v>518</v>
      </c>
      <c r="E393" s="5">
        <v>45812.958333333343</v>
      </c>
      <c r="F393">
        <v>26.470859000000001</v>
      </c>
      <c r="G393">
        <v>74.646593999999993</v>
      </c>
      <c r="H393" t="s">
        <v>776</v>
      </c>
      <c r="I393">
        <v>14</v>
      </c>
      <c r="J393">
        <v>109</v>
      </c>
      <c r="K393">
        <v>51</v>
      </c>
    </row>
    <row r="394" spans="1:11" x14ac:dyDescent="0.3">
      <c r="A394" t="s">
        <v>11</v>
      </c>
      <c r="B394" t="s">
        <v>31</v>
      </c>
      <c r="C394" t="s">
        <v>164</v>
      </c>
      <c r="D394" t="s">
        <v>518</v>
      </c>
      <c r="E394" s="5">
        <v>45812.958333333343</v>
      </c>
      <c r="F394">
        <v>26.470859000000001</v>
      </c>
      <c r="G394">
        <v>74.646593999999993</v>
      </c>
      <c r="H394" t="s">
        <v>770</v>
      </c>
      <c r="I394">
        <v>26</v>
      </c>
      <c r="J394">
        <v>64</v>
      </c>
      <c r="K394">
        <v>44</v>
      </c>
    </row>
    <row r="395" spans="1:11" x14ac:dyDescent="0.3">
      <c r="A395" t="s">
        <v>11</v>
      </c>
      <c r="B395" t="s">
        <v>31</v>
      </c>
      <c r="C395" t="s">
        <v>165</v>
      </c>
      <c r="D395" t="s">
        <v>519</v>
      </c>
      <c r="E395" s="5">
        <v>45812.958333333343</v>
      </c>
      <c r="F395">
        <v>27.554793</v>
      </c>
      <c r="G395">
        <v>76.611536000000001</v>
      </c>
      <c r="H395" t="s">
        <v>775</v>
      </c>
      <c r="I395">
        <v>32</v>
      </c>
      <c r="J395">
        <v>76</v>
      </c>
      <c r="K395">
        <v>52</v>
      </c>
    </row>
    <row r="396" spans="1:11" x14ac:dyDescent="0.3">
      <c r="A396" t="s">
        <v>11</v>
      </c>
      <c r="B396" t="s">
        <v>27</v>
      </c>
      <c r="C396" t="s">
        <v>147</v>
      </c>
      <c r="D396" t="s">
        <v>520</v>
      </c>
      <c r="E396" s="5">
        <v>45812.958333333343</v>
      </c>
      <c r="F396">
        <v>22.220832999999999</v>
      </c>
      <c r="G396">
        <v>84.809443999999999</v>
      </c>
      <c r="H396" t="s">
        <v>772</v>
      </c>
      <c r="I396">
        <v>6</v>
      </c>
      <c r="J396">
        <v>11</v>
      </c>
      <c r="K396">
        <v>8</v>
      </c>
    </row>
    <row r="397" spans="1:11" x14ac:dyDescent="0.3">
      <c r="A397" t="s">
        <v>11</v>
      </c>
      <c r="B397" t="s">
        <v>27</v>
      </c>
      <c r="C397" t="s">
        <v>166</v>
      </c>
      <c r="D397" t="s">
        <v>521</v>
      </c>
      <c r="E397" s="5">
        <v>45812.958333333343</v>
      </c>
      <c r="F397">
        <v>21.606864999999999</v>
      </c>
      <c r="G397">
        <v>85.510537999999997</v>
      </c>
      <c r="H397" t="s">
        <v>772</v>
      </c>
      <c r="I397">
        <v>15</v>
      </c>
      <c r="J397">
        <v>22</v>
      </c>
      <c r="K397">
        <v>19</v>
      </c>
    </row>
    <row r="398" spans="1:11" x14ac:dyDescent="0.3">
      <c r="A398" t="s">
        <v>11</v>
      </c>
      <c r="B398" t="s">
        <v>27</v>
      </c>
      <c r="C398" t="s">
        <v>166</v>
      </c>
      <c r="D398" t="s">
        <v>521</v>
      </c>
      <c r="E398" s="5">
        <v>45812.958333333343</v>
      </c>
      <c r="F398">
        <v>21.606864999999999</v>
      </c>
      <c r="G398">
        <v>85.510537999999997</v>
      </c>
      <c r="H398" t="s">
        <v>776</v>
      </c>
      <c r="I398">
        <v>20</v>
      </c>
      <c r="J398">
        <v>38</v>
      </c>
      <c r="K398">
        <v>27</v>
      </c>
    </row>
    <row r="399" spans="1:11" x14ac:dyDescent="0.3">
      <c r="A399" t="s">
        <v>11</v>
      </c>
      <c r="B399" t="s">
        <v>27</v>
      </c>
      <c r="C399" t="s">
        <v>166</v>
      </c>
      <c r="D399" t="s">
        <v>521</v>
      </c>
      <c r="E399" s="5">
        <v>45812.958333333343</v>
      </c>
      <c r="F399">
        <v>21.606864999999999</v>
      </c>
      <c r="G399">
        <v>85.510537999999997</v>
      </c>
      <c r="H399" t="s">
        <v>770</v>
      </c>
      <c r="I399">
        <v>17</v>
      </c>
      <c r="J399">
        <v>55</v>
      </c>
      <c r="K399">
        <v>39</v>
      </c>
    </row>
    <row r="400" spans="1:11" x14ac:dyDescent="0.3">
      <c r="A400" t="s">
        <v>11</v>
      </c>
      <c r="B400" t="s">
        <v>27</v>
      </c>
      <c r="C400" t="s">
        <v>167</v>
      </c>
      <c r="D400" t="s">
        <v>522</v>
      </c>
      <c r="E400" s="5">
        <v>45812.958333333343</v>
      </c>
      <c r="F400">
        <v>20.936071099999999</v>
      </c>
      <c r="G400">
        <v>85.1707021</v>
      </c>
      <c r="H400" t="s">
        <v>771</v>
      </c>
      <c r="I400">
        <v>13</v>
      </c>
      <c r="J400">
        <v>196</v>
      </c>
      <c r="K400">
        <v>96</v>
      </c>
    </row>
    <row r="401" spans="1:11" x14ac:dyDescent="0.3">
      <c r="A401" t="s">
        <v>11</v>
      </c>
      <c r="B401" t="s">
        <v>27</v>
      </c>
      <c r="C401" t="s">
        <v>167</v>
      </c>
      <c r="D401" t="s">
        <v>522</v>
      </c>
      <c r="E401" s="5">
        <v>45812.958333333343</v>
      </c>
      <c r="F401">
        <v>20.936071099999999</v>
      </c>
      <c r="G401">
        <v>85.1707021</v>
      </c>
      <c r="H401" t="s">
        <v>776</v>
      </c>
      <c r="I401">
        <v>44</v>
      </c>
      <c r="J401">
        <v>108</v>
      </c>
      <c r="K401">
        <v>53</v>
      </c>
    </row>
    <row r="402" spans="1:11" x14ac:dyDescent="0.3">
      <c r="A402" t="s">
        <v>11</v>
      </c>
      <c r="B402" t="s">
        <v>32</v>
      </c>
      <c r="C402" t="s">
        <v>32</v>
      </c>
      <c r="D402" t="s">
        <v>523</v>
      </c>
      <c r="E402" s="5">
        <v>45812.958333333343</v>
      </c>
      <c r="F402">
        <v>11.930899999999999</v>
      </c>
      <c r="G402">
        <v>79.802700000000002</v>
      </c>
      <c r="H402" t="s">
        <v>770</v>
      </c>
      <c r="I402">
        <v>3</v>
      </c>
      <c r="J402">
        <v>56</v>
      </c>
      <c r="K402">
        <v>31</v>
      </c>
    </row>
    <row r="403" spans="1:11" x14ac:dyDescent="0.3">
      <c r="A403" t="s">
        <v>11</v>
      </c>
      <c r="B403" t="s">
        <v>30</v>
      </c>
      <c r="C403" t="s">
        <v>168</v>
      </c>
      <c r="D403" t="s">
        <v>524</v>
      </c>
      <c r="E403" s="5">
        <v>45812.958333333343</v>
      </c>
      <c r="F403">
        <v>31.62</v>
      </c>
      <c r="G403">
        <v>74.876512000000005</v>
      </c>
      <c r="H403" t="s">
        <v>776</v>
      </c>
      <c r="I403">
        <v>20</v>
      </c>
      <c r="J403">
        <v>180</v>
      </c>
      <c r="K403">
        <v>56</v>
      </c>
    </row>
    <row r="404" spans="1:11" x14ac:dyDescent="0.3">
      <c r="A404" t="s">
        <v>11</v>
      </c>
      <c r="B404" t="s">
        <v>30</v>
      </c>
      <c r="C404" t="s">
        <v>169</v>
      </c>
      <c r="D404" t="s">
        <v>525</v>
      </c>
      <c r="E404" s="5">
        <v>45812.958333333343</v>
      </c>
      <c r="F404">
        <v>30.736056000000001</v>
      </c>
      <c r="G404">
        <v>76.209693999999999</v>
      </c>
      <c r="H404" t="s">
        <v>771</v>
      </c>
      <c r="I404">
        <v>51</v>
      </c>
      <c r="J404">
        <v>111</v>
      </c>
      <c r="K404">
        <v>86</v>
      </c>
    </row>
    <row r="405" spans="1:11" x14ac:dyDescent="0.3">
      <c r="A405" t="s">
        <v>11</v>
      </c>
      <c r="B405" t="s">
        <v>31</v>
      </c>
      <c r="C405" t="s">
        <v>170</v>
      </c>
      <c r="D405" t="s">
        <v>526</v>
      </c>
      <c r="E405" s="5">
        <v>45812.958333333343</v>
      </c>
      <c r="F405">
        <v>28.207266000000001</v>
      </c>
      <c r="G405">
        <v>76.829265000000007</v>
      </c>
      <c r="H405" t="s">
        <v>772</v>
      </c>
      <c r="I405">
        <v>17</v>
      </c>
      <c r="J405">
        <v>111</v>
      </c>
      <c r="K405">
        <v>49</v>
      </c>
    </row>
    <row r="406" spans="1:11" x14ac:dyDescent="0.3">
      <c r="A406" t="s">
        <v>11</v>
      </c>
      <c r="B406" t="s">
        <v>31</v>
      </c>
      <c r="C406" t="s">
        <v>170</v>
      </c>
      <c r="D406" t="s">
        <v>526</v>
      </c>
      <c r="E406" s="5">
        <v>45812.958333333343</v>
      </c>
      <c r="F406">
        <v>28.207266000000001</v>
      </c>
      <c r="G406">
        <v>76.829265000000007</v>
      </c>
      <c r="H406" t="s">
        <v>773</v>
      </c>
      <c r="I406">
        <v>11</v>
      </c>
      <c r="J406">
        <v>15</v>
      </c>
      <c r="K406">
        <v>13</v>
      </c>
    </row>
    <row r="407" spans="1:11" x14ac:dyDescent="0.3">
      <c r="A407" t="s">
        <v>11</v>
      </c>
      <c r="B407" t="s">
        <v>31</v>
      </c>
      <c r="C407" t="s">
        <v>171</v>
      </c>
      <c r="D407" t="s">
        <v>527</v>
      </c>
      <c r="E407" s="5">
        <v>45812.958333333343</v>
      </c>
      <c r="F407">
        <v>28.018792000000001</v>
      </c>
      <c r="G407">
        <v>73.292658000000003</v>
      </c>
      <c r="H407" t="s">
        <v>772</v>
      </c>
      <c r="I407">
        <v>7</v>
      </c>
      <c r="J407">
        <v>124</v>
      </c>
      <c r="K407">
        <v>41</v>
      </c>
    </row>
    <row r="408" spans="1:11" x14ac:dyDescent="0.3">
      <c r="A408" t="s">
        <v>11</v>
      </c>
      <c r="B408" t="s">
        <v>31</v>
      </c>
      <c r="C408" t="s">
        <v>171</v>
      </c>
      <c r="D408" t="s">
        <v>527</v>
      </c>
      <c r="E408" s="5">
        <v>45812.958333333343</v>
      </c>
      <c r="F408">
        <v>28.018792000000001</v>
      </c>
      <c r="G408">
        <v>73.292658000000003</v>
      </c>
      <c r="H408" t="s">
        <v>773</v>
      </c>
      <c r="I408">
        <v>5</v>
      </c>
      <c r="J408">
        <v>12</v>
      </c>
      <c r="K408">
        <v>9</v>
      </c>
    </row>
    <row r="409" spans="1:11" x14ac:dyDescent="0.3">
      <c r="A409" t="s">
        <v>11</v>
      </c>
      <c r="B409" t="s">
        <v>31</v>
      </c>
      <c r="C409" t="s">
        <v>172</v>
      </c>
      <c r="D409" t="s">
        <v>528</v>
      </c>
      <c r="E409" s="5">
        <v>45812.958333333343</v>
      </c>
      <c r="F409">
        <v>27.215415</v>
      </c>
      <c r="G409">
        <v>77.50873</v>
      </c>
      <c r="H409" t="s">
        <v>773</v>
      </c>
      <c r="I409">
        <v>3</v>
      </c>
      <c r="J409">
        <v>16</v>
      </c>
      <c r="K409">
        <v>6</v>
      </c>
    </row>
    <row r="410" spans="1:11" x14ac:dyDescent="0.3">
      <c r="A410" t="s">
        <v>11</v>
      </c>
      <c r="B410" t="s">
        <v>31</v>
      </c>
      <c r="C410" t="s">
        <v>172</v>
      </c>
      <c r="D410" t="s">
        <v>528</v>
      </c>
      <c r="E410" s="5">
        <v>45812.958333333343</v>
      </c>
      <c r="F410">
        <v>27.215415</v>
      </c>
      <c r="G410">
        <v>77.50873</v>
      </c>
      <c r="H410" t="s">
        <v>774</v>
      </c>
      <c r="I410">
        <v>1</v>
      </c>
      <c r="J410">
        <v>31</v>
      </c>
      <c r="K410">
        <v>11</v>
      </c>
    </row>
    <row r="411" spans="1:11" x14ac:dyDescent="0.3">
      <c r="A411" t="s">
        <v>11</v>
      </c>
      <c r="B411" t="s">
        <v>31</v>
      </c>
      <c r="C411" t="s">
        <v>173</v>
      </c>
      <c r="D411" t="s">
        <v>529</v>
      </c>
      <c r="E411" s="5">
        <v>45812.958333333343</v>
      </c>
      <c r="F411">
        <v>25.339604999999999</v>
      </c>
      <c r="G411">
        <v>74.618882999999997</v>
      </c>
      <c r="H411" t="s">
        <v>771</v>
      </c>
      <c r="I411">
        <v>52</v>
      </c>
      <c r="J411">
        <v>315</v>
      </c>
      <c r="K411">
        <v>113</v>
      </c>
    </row>
    <row r="412" spans="1:11" x14ac:dyDescent="0.3">
      <c r="A412" t="s">
        <v>11</v>
      </c>
      <c r="B412" t="s">
        <v>31</v>
      </c>
      <c r="C412" t="s">
        <v>165</v>
      </c>
      <c r="D412" t="s">
        <v>519</v>
      </c>
      <c r="E412" s="5">
        <v>45812.958333333343</v>
      </c>
      <c r="F412">
        <v>27.554793</v>
      </c>
      <c r="G412">
        <v>76.611536000000001</v>
      </c>
      <c r="H412" t="s">
        <v>770</v>
      </c>
      <c r="I412">
        <v>11</v>
      </c>
      <c r="J412">
        <v>70</v>
      </c>
      <c r="K412">
        <v>54</v>
      </c>
    </row>
    <row r="413" spans="1:11" x14ac:dyDescent="0.3">
      <c r="A413" t="s">
        <v>11</v>
      </c>
      <c r="B413" t="s">
        <v>31</v>
      </c>
      <c r="C413" t="s">
        <v>174</v>
      </c>
      <c r="D413" t="s">
        <v>530</v>
      </c>
      <c r="E413" s="5">
        <v>45812.958333333343</v>
      </c>
      <c r="F413">
        <v>23.55519</v>
      </c>
      <c r="G413">
        <v>74.440010000000001</v>
      </c>
      <c r="H413" t="s">
        <v>775</v>
      </c>
      <c r="I413">
        <v>33</v>
      </c>
      <c r="J413">
        <v>91</v>
      </c>
      <c r="K413">
        <v>63</v>
      </c>
    </row>
    <row r="414" spans="1:11" x14ac:dyDescent="0.3">
      <c r="A414" t="s">
        <v>11</v>
      </c>
      <c r="B414" t="s">
        <v>31</v>
      </c>
      <c r="C414" t="s">
        <v>174</v>
      </c>
      <c r="D414" t="s">
        <v>530</v>
      </c>
      <c r="E414" s="5">
        <v>45812.958333333343</v>
      </c>
      <c r="F414">
        <v>23.55519</v>
      </c>
      <c r="G414">
        <v>74.440010000000001</v>
      </c>
      <c r="H414" t="s">
        <v>773</v>
      </c>
      <c r="I414">
        <v>4</v>
      </c>
      <c r="J414">
        <v>11</v>
      </c>
      <c r="K414">
        <v>7</v>
      </c>
    </row>
    <row r="415" spans="1:11" x14ac:dyDescent="0.3">
      <c r="A415" t="s">
        <v>11</v>
      </c>
      <c r="B415" t="s">
        <v>31</v>
      </c>
      <c r="C415" t="s">
        <v>175</v>
      </c>
      <c r="D415" t="s">
        <v>531</v>
      </c>
      <c r="E415" s="5">
        <v>45812.958333333343</v>
      </c>
      <c r="F415">
        <v>25.106006000000001</v>
      </c>
      <c r="G415">
        <v>76.469948000000002</v>
      </c>
      <c r="H415" t="s">
        <v>776</v>
      </c>
      <c r="I415">
        <v>2</v>
      </c>
      <c r="J415">
        <v>49</v>
      </c>
      <c r="K415">
        <v>16</v>
      </c>
    </row>
    <row r="416" spans="1:11" x14ac:dyDescent="0.3">
      <c r="A416" t="s">
        <v>11</v>
      </c>
      <c r="B416" t="s">
        <v>31</v>
      </c>
      <c r="C416" t="s">
        <v>176</v>
      </c>
      <c r="D416" t="s">
        <v>532</v>
      </c>
      <c r="E416" s="5">
        <v>45812.958333333343</v>
      </c>
      <c r="F416">
        <v>25.747299000000002</v>
      </c>
      <c r="G416">
        <v>71.393989000000005</v>
      </c>
      <c r="H416" t="s">
        <v>771</v>
      </c>
      <c r="I416">
        <v>75</v>
      </c>
      <c r="J416">
        <v>240</v>
      </c>
      <c r="K416">
        <v>116</v>
      </c>
    </row>
    <row r="417" spans="1:11" x14ac:dyDescent="0.3">
      <c r="A417" t="s">
        <v>11</v>
      </c>
      <c r="B417" t="s">
        <v>31</v>
      </c>
      <c r="C417" t="s">
        <v>177</v>
      </c>
      <c r="D417" t="s">
        <v>533</v>
      </c>
      <c r="E417" s="5">
        <v>45812.958333333343</v>
      </c>
      <c r="F417">
        <v>24.892047000000002</v>
      </c>
      <c r="G417">
        <v>74.623526999999996</v>
      </c>
      <c r="H417" t="s">
        <v>772</v>
      </c>
      <c r="I417">
        <v>7</v>
      </c>
      <c r="J417">
        <v>91</v>
      </c>
      <c r="K417">
        <v>43</v>
      </c>
    </row>
    <row r="418" spans="1:11" x14ac:dyDescent="0.3">
      <c r="A418" t="s">
        <v>11</v>
      </c>
      <c r="B418" t="s">
        <v>31</v>
      </c>
      <c r="C418" t="s">
        <v>177</v>
      </c>
      <c r="D418" t="s">
        <v>533</v>
      </c>
      <c r="E418" s="5">
        <v>45812.958333333343</v>
      </c>
      <c r="F418">
        <v>24.892047000000002</v>
      </c>
      <c r="G418">
        <v>74.623526999999996</v>
      </c>
      <c r="H418" t="s">
        <v>774</v>
      </c>
      <c r="I418">
        <v>4</v>
      </c>
      <c r="J418">
        <v>15</v>
      </c>
      <c r="K418">
        <v>10</v>
      </c>
    </row>
    <row r="419" spans="1:11" x14ac:dyDescent="0.3">
      <c r="A419" t="s">
        <v>11</v>
      </c>
      <c r="B419" t="s">
        <v>31</v>
      </c>
      <c r="C419" t="s">
        <v>177</v>
      </c>
      <c r="D419" t="s">
        <v>533</v>
      </c>
      <c r="E419" s="5">
        <v>45812.958333333343</v>
      </c>
      <c r="F419">
        <v>24.892047000000002</v>
      </c>
      <c r="G419">
        <v>74.623526999999996</v>
      </c>
      <c r="H419" t="s">
        <v>776</v>
      </c>
      <c r="I419">
        <v>15</v>
      </c>
      <c r="J419">
        <v>115</v>
      </c>
      <c r="K419">
        <v>49</v>
      </c>
    </row>
    <row r="420" spans="1:11" x14ac:dyDescent="0.3">
      <c r="A420" t="s">
        <v>11</v>
      </c>
      <c r="B420" t="s">
        <v>31</v>
      </c>
      <c r="C420" t="s">
        <v>178</v>
      </c>
      <c r="D420" t="s">
        <v>534</v>
      </c>
      <c r="E420" s="5">
        <v>45812.958333333343</v>
      </c>
      <c r="F420">
        <v>25.435773999999999</v>
      </c>
      <c r="G420">
        <v>75.644272000000001</v>
      </c>
      <c r="H420" t="s">
        <v>773</v>
      </c>
      <c r="I420">
        <v>10</v>
      </c>
      <c r="J420">
        <v>18</v>
      </c>
      <c r="K420">
        <v>15</v>
      </c>
    </row>
    <row r="421" spans="1:11" x14ac:dyDescent="0.3">
      <c r="A421" t="s">
        <v>11</v>
      </c>
      <c r="B421" t="s">
        <v>31</v>
      </c>
      <c r="C421" t="s">
        <v>178</v>
      </c>
      <c r="D421" t="s">
        <v>534</v>
      </c>
      <c r="E421" s="5">
        <v>45812.958333333343</v>
      </c>
      <c r="F421">
        <v>25.435773999999999</v>
      </c>
      <c r="G421">
        <v>75.644272000000001</v>
      </c>
      <c r="H421" t="s">
        <v>774</v>
      </c>
      <c r="I421">
        <v>9</v>
      </c>
      <c r="J421">
        <v>19</v>
      </c>
      <c r="K421">
        <v>13</v>
      </c>
    </row>
    <row r="422" spans="1:11" x14ac:dyDescent="0.3">
      <c r="A422" t="s">
        <v>11</v>
      </c>
      <c r="B422" t="s">
        <v>31</v>
      </c>
      <c r="C422" t="s">
        <v>179</v>
      </c>
      <c r="D422" t="s">
        <v>535</v>
      </c>
      <c r="E422" s="5">
        <v>45812.958333333343</v>
      </c>
      <c r="F422">
        <v>26.9164092</v>
      </c>
      <c r="G422">
        <v>75.7994901</v>
      </c>
      <c r="H422" t="s">
        <v>771</v>
      </c>
      <c r="I422">
        <v>106</v>
      </c>
      <c r="J422">
        <v>169</v>
      </c>
      <c r="K422">
        <v>126</v>
      </c>
    </row>
    <row r="423" spans="1:11" x14ac:dyDescent="0.3">
      <c r="A423" t="s">
        <v>11</v>
      </c>
      <c r="B423" t="s">
        <v>31</v>
      </c>
      <c r="C423" t="s">
        <v>179</v>
      </c>
      <c r="D423" t="s">
        <v>535</v>
      </c>
      <c r="E423" s="5">
        <v>45812.958333333343</v>
      </c>
      <c r="F423">
        <v>26.9164092</v>
      </c>
      <c r="G423">
        <v>75.7994901</v>
      </c>
      <c r="H423" t="s">
        <v>773</v>
      </c>
      <c r="I423">
        <v>2</v>
      </c>
      <c r="J423">
        <v>22</v>
      </c>
      <c r="K423">
        <v>8</v>
      </c>
    </row>
    <row r="424" spans="1:11" x14ac:dyDescent="0.3">
      <c r="A424" t="s">
        <v>11</v>
      </c>
      <c r="B424" t="s">
        <v>31</v>
      </c>
      <c r="C424" t="s">
        <v>179</v>
      </c>
      <c r="D424" t="s">
        <v>536</v>
      </c>
      <c r="E424" s="5">
        <v>45812.958333333343</v>
      </c>
      <c r="F424">
        <v>26.786681999999999</v>
      </c>
      <c r="G424">
        <v>75.827928</v>
      </c>
      <c r="H424" t="s">
        <v>775</v>
      </c>
      <c r="I424">
        <v>25</v>
      </c>
      <c r="J424">
        <v>345</v>
      </c>
      <c r="K424">
        <v>129</v>
      </c>
    </row>
    <row r="425" spans="1:11" x14ac:dyDescent="0.3">
      <c r="A425" t="s">
        <v>11</v>
      </c>
      <c r="B425" t="s">
        <v>31</v>
      </c>
      <c r="C425" t="s">
        <v>179</v>
      </c>
      <c r="D425" t="s">
        <v>536</v>
      </c>
      <c r="E425" s="5">
        <v>45812.958333333343</v>
      </c>
      <c r="F425">
        <v>26.786681999999999</v>
      </c>
      <c r="G425">
        <v>75.827928</v>
      </c>
      <c r="H425" t="s">
        <v>771</v>
      </c>
      <c r="I425">
        <v>74</v>
      </c>
      <c r="J425">
        <v>294</v>
      </c>
      <c r="K425">
        <v>139</v>
      </c>
    </row>
    <row r="426" spans="1:11" x14ac:dyDescent="0.3">
      <c r="A426" t="s">
        <v>11</v>
      </c>
      <c r="B426" t="s">
        <v>31</v>
      </c>
      <c r="C426" t="s">
        <v>179</v>
      </c>
      <c r="D426" t="s">
        <v>536</v>
      </c>
      <c r="E426" s="5">
        <v>45812.958333333343</v>
      </c>
      <c r="F426">
        <v>26.786681999999999</v>
      </c>
      <c r="G426">
        <v>75.827928</v>
      </c>
      <c r="H426" t="s">
        <v>772</v>
      </c>
      <c r="I426">
        <v>17</v>
      </c>
      <c r="J426">
        <v>156</v>
      </c>
      <c r="K426">
        <v>74</v>
      </c>
    </row>
    <row r="427" spans="1:11" x14ac:dyDescent="0.3">
      <c r="A427" t="s">
        <v>11</v>
      </c>
      <c r="B427" t="s">
        <v>31</v>
      </c>
      <c r="C427" t="s">
        <v>179</v>
      </c>
      <c r="D427" t="s">
        <v>536</v>
      </c>
      <c r="E427" s="5">
        <v>45812.958333333343</v>
      </c>
      <c r="F427">
        <v>26.786681999999999</v>
      </c>
      <c r="G427">
        <v>75.827928</v>
      </c>
      <c r="H427" t="s">
        <v>774</v>
      </c>
      <c r="I427">
        <v>2</v>
      </c>
      <c r="J427">
        <v>5</v>
      </c>
      <c r="K427">
        <v>3</v>
      </c>
    </row>
    <row r="428" spans="1:11" x14ac:dyDescent="0.3">
      <c r="A428" t="s">
        <v>11</v>
      </c>
      <c r="B428" t="s">
        <v>31</v>
      </c>
      <c r="C428" t="s">
        <v>179</v>
      </c>
      <c r="D428" t="s">
        <v>537</v>
      </c>
      <c r="E428" s="5">
        <v>45812.958333333343</v>
      </c>
      <c r="F428">
        <v>26.960668999999999</v>
      </c>
      <c r="G428">
        <v>75.771816999999999</v>
      </c>
      <c r="H428" t="s">
        <v>772</v>
      </c>
      <c r="I428">
        <v>23</v>
      </c>
      <c r="J428">
        <v>145</v>
      </c>
      <c r="K428">
        <v>71</v>
      </c>
    </row>
    <row r="429" spans="1:11" x14ac:dyDescent="0.3">
      <c r="A429" t="s">
        <v>11</v>
      </c>
      <c r="B429" t="s">
        <v>31</v>
      </c>
      <c r="C429" t="s">
        <v>179</v>
      </c>
      <c r="D429" t="s">
        <v>538</v>
      </c>
      <c r="E429" s="5">
        <v>45812.958333333343</v>
      </c>
      <c r="F429">
        <v>26.950292900000001</v>
      </c>
      <c r="G429">
        <v>75.730942999999996</v>
      </c>
      <c r="H429" t="s">
        <v>773</v>
      </c>
      <c r="I429">
        <v>4</v>
      </c>
      <c r="J429">
        <v>11</v>
      </c>
      <c r="K429">
        <v>7</v>
      </c>
    </row>
    <row r="430" spans="1:11" x14ac:dyDescent="0.3">
      <c r="A430" t="s">
        <v>11</v>
      </c>
      <c r="B430" t="s">
        <v>31</v>
      </c>
      <c r="C430" t="s">
        <v>180</v>
      </c>
      <c r="D430" t="s">
        <v>539</v>
      </c>
      <c r="E430" s="5">
        <v>45812.958333333343</v>
      </c>
      <c r="F430">
        <v>26.912329</v>
      </c>
      <c r="G430">
        <v>70.909167999999994</v>
      </c>
      <c r="H430" t="s">
        <v>770</v>
      </c>
      <c r="I430">
        <v>3</v>
      </c>
      <c r="J430">
        <v>104</v>
      </c>
      <c r="K430">
        <v>60</v>
      </c>
    </row>
    <row r="431" spans="1:11" x14ac:dyDescent="0.3">
      <c r="A431" t="s">
        <v>11</v>
      </c>
      <c r="B431" t="s">
        <v>31</v>
      </c>
      <c r="C431" t="s">
        <v>181</v>
      </c>
      <c r="D431" t="s">
        <v>540</v>
      </c>
      <c r="E431" s="5">
        <v>45812.958333333343</v>
      </c>
      <c r="F431">
        <v>25.344694</v>
      </c>
      <c r="G431">
        <v>72.626208000000005</v>
      </c>
      <c r="H431" t="s">
        <v>775</v>
      </c>
      <c r="I431">
        <v>32</v>
      </c>
      <c r="J431">
        <v>114</v>
      </c>
      <c r="K431">
        <v>49</v>
      </c>
    </row>
    <row r="432" spans="1:11" x14ac:dyDescent="0.3">
      <c r="A432" t="s">
        <v>11</v>
      </c>
      <c r="B432" t="s">
        <v>31</v>
      </c>
      <c r="C432" t="s">
        <v>181</v>
      </c>
      <c r="D432" t="s">
        <v>540</v>
      </c>
      <c r="E432" s="5">
        <v>45812.958333333343</v>
      </c>
      <c r="F432">
        <v>25.344694</v>
      </c>
      <c r="G432">
        <v>72.626208000000005</v>
      </c>
      <c r="H432" t="s">
        <v>773</v>
      </c>
      <c r="I432">
        <v>6</v>
      </c>
      <c r="J432">
        <v>9</v>
      </c>
      <c r="K432">
        <v>7</v>
      </c>
    </row>
    <row r="433" spans="1:11" x14ac:dyDescent="0.3">
      <c r="A433" t="s">
        <v>11</v>
      </c>
      <c r="B433" t="s">
        <v>31</v>
      </c>
      <c r="C433" t="s">
        <v>182</v>
      </c>
      <c r="D433" t="s">
        <v>541</v>
      </c>
      <c r="E433" s="5">
        <v>45812.958333333343</v>
      </c>
      <c r="F433">
        <v>24.588397000000001</v>
      </c>
      <c r="G433">
        <v>76.172781999999998</v>
      </c>
      <c r="H433" t="s">
        <v>771</v>
      </c>
      <c r="I433">
        <v>63</v>
      </c>
      <c r="J433">
        <v>292</v>
      </c>
      <c r="K433">
        <v>130</v>
      </c>
    </row>
    <row r="434" spans="1:11" x14ac:dyDescent="0.3">
      <c r="A434" t="s">
        <v>11</v>
      </c>
      <c r="B434" t="s">
        <v>31</v>
      </c>
      <c r="C434" t="s">
        <v>182</v>
      </c>
      <c r="D434" t="s">
        <v>541</v>
      </c>
      <c r="E434" s="5">
        <v>45812.958333333343</v>
      </c>
      <c r="F434">
        <v>24.588397000000001</v>
      </c>
      <c r="G434">
        <v>76.172781999999998</v>
      </c>
      <c r="H434" t="s">
        <v>773</v>
      </c>
      <c r="I434">
        <v>4</v>
      </c>
      <c r="J434">
        <v>8</v>
      </c>
      <c r="K434">
        <v>6</v>
      </c>
    </row>
    <row r="435" spans="1:11" x14ac:dyDescent="0.3">
      <c r="A435" t="s">
        <v>11</v>
      </c>
      <c r="B435" t="s">
        <v>31</v>
      </c>
      <c r="C435" t="s">
        <v>183</v>
      </c>
      <c r="D435" t="s">
        <v>542</v>
      </c>
      <c r="E435" s="5">
        <v>45812.958333333343</v>
      </c>
      <c r="F435">
        <v>28.108988</v>
      </c>
      <c r="G435">
        <v>75.386577000000003</v>
      </c>
      <c r="H435" t="s">
        <v>773</v>
      </c>
      <c r="I435">
        <v>4</v>
      </c>
      <c r="J435">
        <v>14</v>
      </c>
      <c r="K435">
        <v>11</v>
      </c>
    </row>
    <row r="436" spans="1:11" x14ac:dyDescent="0.3">
      <c r="A436" t="s">
        <v>11</v>
      </c>
      <c r="B436" t="s">
        <v>31</v>
      </c>
      <c r="C436" t="s">
        <v>183</v>
      </c>
      <c r="D436" t="s">
        <v>542</v>
      </c>
      <c r="E436" s="5">
        <v>45812.958333333343</v>
      </c>
      <c r="F436">
        <v>28.108988</v>
      </c>
      <c r="G436">
        <v>75.386577000000003</v>
      </c>
      <c r="H436" t="s">
        <v>774</v>
      </c>
      <c r="I436">
        <v>3</v>
      </c>
      <c r="J436">
        <v>11</v>
      </c>
      <c r="K436">
        <v>6</v>
      </c>
    </row>
    <row r="437" spans="1:11" x14ac:dyDescent="0.3">
      <c r="A437" t="s">
        <v>11</v>
      </c>
      <c r="B437" t="s">
        <v>31</v>
      </c>
      <c r="C437" t="s">
        <v>184</v>
      </c>
      <c r="D437" t="s">
        <v>543</v>
      </c>
      <c r="E437" s="5">
        <v>45812.958333333343</v>
      </c>
      <c r="F437">
        <v>26.268249000000001</v>
      </c>
      <c r="G437">
        <v>73.019385299999996</v>
      </c>
      <c r="H437" t="s">
        <v>772</v>
      </c>
      <c r="I437">
        <v>5</v>
      </c>
      <c r="J437">
        <v>25</v>
      </c>
      <c r="K437">
        <v>15</v>
      </c>
    </row>
    <row r="438" spans="1:11" x14ac:dyDescent="0.3">
      <c r="A438" t="s">
        <v>11</v>
      </c>
      <c r="B438" t="s">
        <v>31</v>
      </c>
      <c r="C438" t="s">
        <v>184</v>
      </c>
      <c r="D438" t="s">
        <v>544</v>
      </c>
      <c r="E438" s="5">
        <v>45812.958333333343</v>
      </c>
      <c r="F438">
        <v>26.215415</v>
      </c>
      <c r="G438">
        <v>73.070155999999997</v>
      </c>
      <c r="H438" t="s">
        <v>776</v>
      </c>
      <c r="I438">
        <v>8</v>
      </c>
      <c r="J438">
        <v>91</v>
      </c>
      <c r="K438">
        <v>35</v>
      </c>
    </row>
    <row r="439" spans="1:11" x14ac:dyDescent="0.3">
      <c r="A439" t="s">
        <v>11</v>
      </c>
      <c r="B439" t="s">
        <v>31</v>
      </c>
      <c r="C439" t="s">
        <v>184</v>
      </c>
      <c r="D439" t="s">
        <v>545</v>
      </c>
      <c r="E439" s="5">
        <v>45812.958333333343</v>
      </c>
      <c r="F439">
        <v>26.358805</v>
      </c>
      <c r="G439">
        <v>73.047443999999999</v>
      </c>
      <c r="H439" t="s">
        <v>772</v>
      </c>
      <c r="I439">
        <v>19</v>
      </c>
      <c r="J439">
        <v>88</v>
      </c>
      <c r="K439">
        <v>47</v>
      </c>
    </row>
    <row r="440" spans="1:11" x14ac:dyDescent="0.3">
      <c r="A440" t="s">
        <v>11</v>
      </c>
      <c r="B440" t="s">
        <v>31</v>
      </c>
      <c r="C440" t="s">
        <v>185</v>
      </c>
      <c r="D440" t="s">
        <v>546</v>
      </c>
      <c r="E440" s="5">
        <v>45812.958333333343</v>
      </c>
      <c r="F440">
        <v>25.771061</v>
      </c>
      <c r="G440">
        <v>73.340226999999999</v>
      </c>
      <c r="H440" t="s">
        <v>775</v>
      </c>
      <c r="I440">
        <v>94</v>
      </c>
      <c r="J440">
        <v>344</v>
      </c>
      <c r="K440">
        <v>172</v>
      </c>
    </row>
    <row r="441" spans="1:11" x14ac:dyDescent="0.3">
      <c r="A441" t="s">
        <v>11</v>
      </c>
      <c r="B441" t="s">
        <v>31</v>
      </c>
      <c r="C441" t="s">
        <v>185</v>
      </c>
      <c r="D441" t="s">
        <v>546</v>
      </c>
      <c r="E441" s="5">
        <v>45812.958333333343</v>
      </c>
      <c r="F441">
        <v>25.771061</v>
      </c>
      <c r="G441">
        <v>73.340226999999999</v>
      </c>
      <c r="H441" t="s">
        <v>776</v>
      </c>
      <c r="I441">
        <v>34</v>
      </c>
      <c r="J441">
        <v>105</v>
      </c>
      <c r="K441">
        <v>56</v>
      </c>
    </row>
    <row r="442" spans="1:11" x14ac:dyDescent="0.3">
      <c r="A442" t="s">
        <v>11</v>
      </c>
      <c r="B442" t="s">
        <v>31</v>
      </c>
      <c r="C442" t="s">
        <v>185</v>
      </c>
      <c r="D442" t="s">
        <v>546</v>
      </c>
      <c r="E442" s="5">
        <v>45812.958333333343</v>
      </c>
      <c r="F442">
        <v>25.771061</v>
      </c>
      <c r="G442">
        <v>73.340226999999999</v>
      </c>
      <c r="H442" t="s">
        <v>770</v>
      </c>
      <c r="I442">
        <v>10</v>
      </c>
      <c r="J442">
        <v>70</v>
      </c>
      <c r="K442">
        <v>47</v>
      </c>
    </row>
    <row r="443" spans="1:11" x14ac:dyDescent="0.3">
      <c r="A443" t="s">
        <v>11</v>
      </c>
      <c r="B443" t="s">
        <v>31</v>
      </c>
      <c r="C443" t="s">
        <v>186</v>
      </c>
      <c r="D443" t="s">
        <v>547</v>
      </c>
      <c r="E443" s="5">
        <v>45812.958333333343</v>
      </c>
      <c r="F443">
        <v>24.041198000000001</v>
      </c>
      <c r="G443">
        <v>74.780702000000005</v>
      </c>
      <c r="H443" t="s">
        <v>774</v>
      </c>
      <c r="I443">
        <v>3</v>
      </c>
      <c r="J443">
        <v>9</v>
      </c>
      <c r="K443">
        <v>5</v>
      </c>
    </row>
    <row r="444" spans="1:11" x14ac:dyDescent="0.3">
      <c r="A444" t="s">
        <v>11</v>
      </c>
      <c r="B444" t="s">
        <v>31</v>
      </c>
      <c r="C444" t="s">
        <v>186</v>
      </c>
      <c r="D444" t="s">
        <v>547</v>
      </c>
      <c r="E444" s="5">
        <v>45812.958333333343</v>
      </c>
      <c r="F444">
        <v>24.041198000000001</v>
      </c>
      <c r="G444">
        <v>74.780702000000005</v>
      </c>
      <c r="H444" t="s">
        <v>770</v>
      </c>
      <c r="I444">
        <v>19</v>
      </c>
      <c r="J444">
        <v>132</v>
      </c>
      <c r="K444">
        <v>107</v>
      </c>
    </row>
    <row r="445" spans="1:11" x14ac:dyDescent="0.3">
      <c r="A445" t="s">
        <v>11</v>
      </c>
      <c r="B445" t="s">
        <v>31</v>
      </c>
      <c r="C445" t="s">
        <v>187</v>
      </c>
      <c r="D445" t="s">
        <v>548</v>
      </c>
      <c r="E445" s="5">
        <v>45812.958333333343</v>
      </c>
      <c r="F445">
        <v>25.036359999999998</v>
      </c>
      <c r="G445">
        <v>73.883501999999993</v>
      </c>
      <c r="H445" t="s">
        <v>770</v>
      </c>
      <c r="I445">
        <v>51</v>
      </c>
      <c r="J445">
        <v>106</v>
      </c>
      <c r="K445">
        <v>80</v>
      </c>
    </row>
    <row r="446" spans="1:11" x14ac:dyDescent="0.3">
      <c r="A446" t="s">
        <v>11</v>
      </c>
      <c r="B446" t="s">
        <v>31</v>
      </c>
      <c r="C446" t="s">
        <v>188</v>
      </c>
      <c r="D446" t="s">
        <v>549</v>
      </c>
      <c r="E446" s="5">
        <v>45812.958333333343</v>
      </c>
      <c r="F446">
        <v>26.031442999999999</v>
      </c>
      <c r="G446">
        <v>76.359326999999993</v>
      </c>
      <c r="H446" t="s">
        <v>771</v>
      </c>
      <c r="I446">
        <v>115</v>
      </c>
      <c r="J446">
        <v>449</v>
      </c>
      <c r="K446">
        <v>196</v>
      </c>
    </row>
    <row r="447" spans="1:11" x14ac:dyDescent="0.3">
      <c r="A447" t="s">
        <v>11</v>
      </c>
      <c r="B447" t="s">
        <v>31</v>
      </c>
      <c r="C447" t="s">
        <v>188</v>
      </c>
      <c r="D447" t="s">
        <v>549</v>
      </c>
      <c r="E447" s="5">
        <v>45812.958333333343</v>
      </c>
      <c r="F447">
        <v>26.031442999999999</v>
      </c>
      <c r="G447">
        <v>76.359326999999993</v>
      </c>
      <c r="H447" t="s">
        <v>773</v>
      </c>
      <c r="I447">
        <v>17</v>
      </c>
      <c r="J447">
        <v>23</v>
      </c>
      <c r="K447">
        <v>19</v>
      </c>
    </row>
    <row r="448" spans="1:11" x14ac:dyDescent="0.3">
      <c r="A448" t="s">
        <v>11</v>
      </c>
      <c r="B448" t="s">
        <v>31</v>
      </c>
      <c r="C448" t="s">
        <v>189</v>
      </c>
      <c r="D448" t="s">
        <v>550</v>
      </c>
      <c r="E448" s="5">
        <v>45812.958333333343</v>
      </c>
      <c r="F448">
        <v>27.608912</v>
      </c>
      <c r="G448">
        <v>75.153301999999996</v>
      </c>
      <c r="H448" t="s">
        <v>776</v>
      </c>
      <c r="I448">
        <v>12</v>
      </c>
      <c r="J448">
        <v>80</v>
      </c>
      <c r="K448">
        <v>34</v>
      </c>
    </row>
    <row r="449" spans="1:11" x14ac:dyDescent="0.3">
      <c r="A449" t="s">
        <v>11</v>
      </c>
      <c r="B449" t="s">
        <v>31</v>
      </c>
      <c r="C449" t="s">
        <v>190</v>
      </c>
      <c r="D449" t="s">
        <v>551</v>
      </c>
      <c r="E449" s="5">
        <v>45812.958333333343</v>
      </c>
      <c r="F449">
        <v>23.837789000000001</v>
      </c>
      <c r="G449">
        <v>73.714926000000006</v>
      </c>
      <c r="H449" t="s">
        <v>772</v>
      </c>
      <c r="I449">
        <v>6</v>
      </c>
      <c r="J449">
        <v>29</v>
      </c>
      <c r="K449">
        <v>14</v>
      </c>
    </row>
    <row r="450" spans="1:11" x14ac:dyDescent="0.3">
      <c r="A450" t="s">
        <v>11</v>
      </c>
      <c r="B450" t="s">
        <v>31</v>
      </c>
      <c r="C450" t="s">
        <v>190</v>
      </c>
      <c r="D450" t="s">
        <v>551</v>
      </c>
      <c r="E450" s="5">
        <v>45812.958333333343</v>
      </c>
      <c r="F450">
        <v>23.837789000000001</v>
      </c>
      <c r="G450">
        <v>73.714926000000006</v>
      </c>
      <c r="H450" t="s">
        <v>773</v>
      </c>
      <c r="I450">
        <v>6</v>
      </c>
      <c r="J450">
        <v>8</v>
      </c>
      <c r="K450">
        <v>7</v>
      </c>
    </row>
    <row r="451" spans="1:11" x14ac:dyDescent="0.3">
      <c r="A451" t="s">
        <v>11</v>
      </c>
      <c r="B451" t="s">
        <v>31</v>
      </c>
      <c r="C451" t="s">
        <v>191</v>
      </c>
      <c r="D451" t="s">
        <v>552</v>
      </c>
      <c r="E451" s="5">
        <v>45812.958333333343</v>
      </c>
      <c r="F451">
        <v>29.610749999999999</v>
      </c>
      <c r="G451">
        <v>74.283608000000001</v>
      </c>
      <c r="H451" t="s">
        <v>775</v>
      </c>
      <c r="I451">
        <v>20</v>
      </c>
      <c r="J451">
        <v>323</v>
      </c>
      <c r="K451">
        <v>105</v>
      </c>
    </row>
    <row r="452" spans="1:11" x14ac:dyDescent="0.3">
      <c r="A452" t="s">
        <v>11</v>
      </c>
      <c r="B452" t="s">
        <v>31</v>
      </c>
      <c r="C452" t="s">
        <v>191</v>
      </c>
      <c r="D452" t="s">
        <v>552</v>
      </c>
      <c r="E452" s="5">
        <v>45812.958333333343</v>
      </c>
      <c r="F452">
        <v>29.610749999999999</v>
      </c>
      <c r="G452">
        <v>74.283608000000001</v>
      </c>
      <c r="H452" t="s">
        <v>771</v>
      </c>
      <c r="I452">
        <v>75</v>
      </c>
      <c r="J452">
        <v>260</v>
      </c>
      <c r="K452">
        <v>136</v>
      </c>
    </row>
    <row r="453" spans="1:11" x14ac:dyDescent="0.3">
      <c r="A453" t="s">
        <v>11</v>
      </c>
      <c r="B453" t="s">
        <v>31</v>
      </c>
      <c r="C453" t="s">
        <v>192</v>
      </c>
      <c r="D453" t="s">
        <v>553</v>
      </c>
      <c r="E453" s="5">
        <v>45812.958333333343</v>
      </c>
      <c r="F453">
        <v>26.895551999999999</v>
      </c>
      <c r="G453">
        <v>76.334753000000006</v>
      </c>
      <c r="H453" t="s">
        <v>773</v>
      </c>
      <c r="I453">
        <v>7</v>
      </c>
      <c r="J453">
        <v>9</v>
      </c>
      <c r="K453">
        <v>8</v>
      </c>
    </row>
    <row r="454" spans="1:11" x14ac:dyDescent="0.3">
      <c r="A454" t="s">
        <v>11</v>
      </c>
      <c r="B454" t="s">
        <v>31</v>
      </c>
      <c r="C454" t="s">
        <v>193</v>
      </c>
      <c r="D454" t="s">
        <v>554</v>
      </c>
      <c r="E454" s="5">
        <v>45812.958333333343</v>
      </c>
      <c r="F454">
        <v>26.699556999999999</v>
      </c>
      <c r="G454">
        <v>77.898881000000003</v>
      </c>
      <c r="H454" t="s">
        <v>775</v>
      </c>
      <c r="I454">
        <v>22</v>
      </c>
      <c r="J454">
        <v>98</v>
      </c>
      <c r="K454">
        <v>50</v>
      </c>
    </row>
    <row r="455" spans="1:11" x14ac:dyDescent="0.3">
      <c r="A455" t="s">
        <v>11</v>
      </c>
      <c r="B455" t="s">
        <v>31</v>
      </c>
      <c r="C455" t="s">
        <v>193</v>
      </c>
      <c r="D455" t="s">
        <v>554</v>
      </c>
      <c r="E455" s="5">
        <v>45812.958333333343</v>
      </c>
      <c r="F455">
        <v>26.699556999999999</v>
      </c>
      <c r="G455">
        <v>77.898881000000003</v>
      </c>
      <c r="H455" t="s">
        <v>771</v>
      </c>
      <c r="I455">
        <v>61</v>
      </c>
      <c r="J455">
        <v>230</v>
      </c>
      <c r="K455">
        <v>126</v>
      </c>
    </row>
    <row r="456" spans="1:11" x14ac:dyDescent="0.3">
      <c r="A456" t="s">
        <v>11</v>
      </c>
      <c r="B456" t="s">
        <v>31</v>
      </c>
      <c r="C456" t="s">
        <v>194</v>
      </c>
      <c r="D456" t="s">
        <v>555</v>
      </c>
      <c r="E456" s="5">
        <v>45812.958333333343</v>
      </c>
      <c r="F456">
        <v>26.506177000000001</v>
      </c>
      <c r="G456">
        <v>77.025988999999996</v>
      </c>
      <c r="H456" t="s">
        <v>775</v>
      </c>
      <c r="I456">
        <v>16</v>
      </c>
      <c r="J456">
        <v>138</v>
      </c>
      <c r="K456">
        <v>50</v>
      </c>
    </row>
    <row r="457" spans="1:11" x14ac:dyDescent="0.3">
      <c r="A457" t="s">
        <v>11</v>
      </c>
      <c r="B457" t="s">
        <v>31</v>
      </c>
      <c r="C457" t="s">
        <v>195</v>
      </c>
      <c r="D457" t="s">
        <v>556</v>
      </c>
      <c r="E457" s="5">
        <v>45812.958333333343</v>
      </c>
      <c r="F457">
        <v>25.196024000000001</v>
      </c>
      <c r="G457">
        <v>75.855667999999994</v>
      </c>
      <c r="H457" t="s">
        <v>772</v>
      </c>
      <c r="I457">
        <v>15</v>
      </c>
      <c r="J457">
        <v>118</v>
      </c>
      <c r="K457">
        <v>53</v>
      </c>
    </row>
    <row r="458" spans="1:11" x14ac:dyDescent="0.3">
      <c r="A458" t="s">
        <v>11</v>
      </c>
      <c r="B458" t="s">
        <v>31</v>
      </c>
      <c r="C458" t="s">
        <v>196</v>
      </c>
      <c r="D458" t="s">
        <v>557</v>
      </c>
      <c r="E458" s="5">
        <v>45812.958333333343</v>
      </c>
      <c r="F458">
        <v>28.296139</v>
      </c>
      <c r="G458">
        <v>74.961696000000003</v>
      </c>
      <c r="H458" t="s">
        <v>773</v>
      </c>
      <c r="I458">
        <v>5</v>
      </c>
      <c r="J458">
        <v>8</v>
      </c>
      <c r="K458">
        <v>6</v>
      </c>
    </row>
    <row r="459" spans="1:11" x14ac:dyDescent="0.3">
      <c r="A459" t="s">
        <v>11</v>
      </c>
      <c r="B459" t="s">
        <v>31</v>
      </c>
      <c r="C459" t="s">
        <v>196</v>
      </c>
      <c r="D459" t="s">
        <v>557</v>
      </c>
      <c r="E459" s="5">
        <v>45812.958333333343</v>
      </c>
      <c r="F459">
        <v>28.296139</v>
      </c>
      <c r="G459">
        <v>74.961696000000003</v>
      </c>
      <c r="H459" t="s">
        <v>776</v>
      </c>
      <c r="I459">
        <v>4</v>
      </c>
      <c r="J459">
        <v>8</v>
      </c>
      <c r="K459">
        <v>7</v>
      </c>
    </row>
    <row r="460" spans="1:11" x14ac:dyDescent="0.3">
      <c r="A460" t="s">
        <v>11</v>
      </c>
      <c r="B460" t="s">
        <v>33</v>
      </c>
      <c r="C460" t="s">
        <v>197</v>
      </c>
      <c r="D460" t="s">
        <v>558</v>
      </c>
      <c r="E460" s="5">
        <v>45812.958333333343</v>
      </c>
      <c r="F460">
        <v>12.9533</v>
      </c>
      <c r="G460">
        <v>80.235699999999994</v>
      </c>
      <c r="H460" t="s">
        <v>772</v>
      </c>
      <c r="I460">
        <v>2</v>
      </c>
      <c r="J460">
        <v>9</v>
      </c>
      <c r="K460">
        <v>5</v>
      </c>
    </row>
    <row r="461" spans="1:11" x14ac:dyDescent="0.3">
      <c r="A461" t="s">
        <v>11</v>
      </c>
      <c r="B461" t="s">
        <v>33</v>
      </c>
      <c r="C461" t="s">
        <v>197</v>
      </c>
      <c r="D461" t="s">
        <v>559</v>
      </c>
      <c r="E461" s="5">
        <v>45812.958333333343</v>
      </c>
      <c r="F461">
        <v>13.1036</v>
      </c>
      <c r="G461">
        <v>80.290899999999993</v>
      </c>
      <c r="H461" t="s">
        <v>776</v>
      </c>
      <c r="I461">
        <v>14</v>
      </c>
      <c r="J461">
        <v>55</v>
      </c>
      <c r="K461">
        <v>23</v>
      </c>
    </row>
    <row r="462" spans="1:11" x14ac:dyDescent="0.3">
      <c r="A462" t="s">
        <v>11</v>
      </c>
      <c r="B462" t="s">
        <v>33</v>
      </c>
      <c r="C462" t="s">
        <v>197</v>
      </c>
      <c r="D462" t="s">
        <v>559</v>
      </c>
      <c r="E462" s="5">
        <v>45812.958333333343</v>
      </c>
      <c r="F462">
        <v>13.1036</v>
      </c>
      <c r="G462">
        <v>80.290899999999993</v>
      </c>
      <c r="H462" t="s">
        <v>770</v>
      </c>
      <c r="I462">
        <v>3</v>
      </c>
      <c r="J462">
        <v>29</v>
      </c>
      <c r="K462">
        <v>16</v>
      </c>
    </row>
    <row r="463" spans="1:11" x14ac:dyDescent="0.3">
      <c r="A463" t="s">
        <v>11</v>
      </c>
      <c r="B463" t="s">
        <v>33</v>
      </c>
      <c r="C463" t="s">
        <v>197</v>
      </c>
      <c r="D463" t="s">
        <v>560</v>
      </c>
      <c r="E463" s="5">
        <v>45812.958333333343</v>
      </c>
      <c r="F463">
        <v>13.005218899999999</v>
      </c>
      <c r="G463">
        <v>80.239812499999999</v>
      </c>
      <c r="H463" t="s">
        <v>773</v>
      </c>
      <c r="I463">
        <v>4</v>
      </c>
      <c r="J463">
        <v>4</v>
      </c>
      <c r="K463">
        <v>4</v>
      </c>
    </row>
    <row r="464" spans="1:11" x14ac:dyDescent="0.3">
      <c r="A464" t="s">
        <v>11</v>
      </c>
      <c r="B464" t="s">
        <v>33</v>
      </c>
      <c r="C464" t="s">
        <v>198</v>
      </c>
      <c r="D464" t="s">
        <v>561</v>
      </c>
      <c r="E464" s="5">
        <v>45812.958333333343</v>
      </c>
      <c r="F464">
        <v>11.0328</v>
      </c>
      <c r="G464">
        <v>77.034899999999993</v>
      </c>
      <c r="H464" t="s">
        <v>775</v>
      </c>
      <c r="I464">
        <v>16</v>
      </c>
      <c r="J464">
        <v>53</v>
      </c>
      <c r="K464">
        <v>38</v>
      </c>
    </row>
    <row r="465" spans="1:11" x14ac:dyDescent="0.3">
      <c r="A465" t="s">
        <v>11</v>
      </c>
      <c r="B465" t="s">
        <v>33</v>
      </c>
      <c r="C465" t="s">
        <v>198</v>
      </c>
      <c r="D465" t="s">
        <v>562</v>
      </c>
      <c r="E465" s="5">
        <v>45812.958333333343</v>
      </c>
      <c r="F465">
        <v>10.942451</v>
      </c>
      <c r="G465">
        <v>76.978995999999995</v>
      </c>
      <c r="H465" t="s">
        <v>771</v>
      </c>
      <c r="I465">
        <v>24</v>
      </c>
      <c r="J465">
        <v>48</v>
      </c>
      <c r="K465">
        <v>34</v>
      </c>
    </row>
    <row r="466" spans="1:11" x14ac:dyDescent="0.3">
      <c r="A466" t="s">
        <v>11</v>
      </c>
      <c r="B466" t="s">
        <v>33</v>
      </c>
      <c r="C466" t="s">
        <v>198</v>
      </c>
      <c r="D466" t="s">
        <v>562</v>
      </c>
      <c r="E466" s="5">
        <v>45812.958333333343</v>
      </c>
      <c r="F466">
        <v>10.942451</v>
      </c>
      <c r="G466">
        <v>76.978995999999995</v>
      </c>
      <c r="H466" t="s">
        <v>774</v>
      </c>
      <c r="I466">
        <v>19</v>
      </c>
      <c r="J466">
        <v>20</v>
      </c>
      <c r="K466">
        <v>20</v>
      </c>
    </row>
    <row r="467" spans="1:11" x14ac:dyDescent="0.3">
      <c r="A467" t="s">
        <v>11</v>
      </c>
      <c r="B467" t="s">
        <v>33</v>
      </c>
      <c r="C467" t="s">
        <v>199</v>
      </c>
      <c r="D467" t="s">
        <v>563</v>
      </c>
      <c r="E467" s="5">
        <v>45812.958333333343</v>
      </c>
      <c r="F467">
        <v>10.96782</v>
      </c>
      <c r="G467">
        <v>78.080882000000003</v>
      </c>
      <c r="H467" t="s">
        <v>775</v>
      </c>
      <c r="I467">
        <v>10</v>
      </c>
      <c r="J467">
        <v>38</v>
      </c>
      <c r="K467">
        <v>26</v>
      </c>
    </row>
    <row r="468" spans="1:11" x14ac:dyDescent="0.3">
      <c r="A468" t="s">
        <v>11</v>
      </c>
      <c r="B468" t="s">
        <v>33</v>
      </c>
      <c r="C468" t="s">
        <v>199</v>
      </c>
      <c r="D468" t="s">
        <v>563</v>
      </c>
      <c r="E468" s="5">
        <v>45812.958333333343</v>
      </c>
      <c r="F468">
        <v>10.96782</v>
      </c>
      <c r="G468">
        <v>78.080882000000003</v>
      </c>
      <c r="H468" t="s">
        <v>774</v>
      </c>
      <c r="I468">
        <v>8</v>
      </c>
      <c r="J468">
        <v>34</v>
      </c>
      <c r="K468">
        <v>12</v>
      </c>
    </row>
    <row r="469" spans="1:11" x14ac:dyDescent="0.3">
      <c r="A469" t="s">
        <v>11</v>
      </c>
      <c r="B469" t="s">
        <v>33</v>
      </c>
      <c r="C469" t="s">
        <v>200</v>
      </c>
      <c r="D469" t="s">
        <v>564</v>
      </c>
      <c r="E469" s="5">
        <v>45812.958333333343</v>
      </c>
      <c r="F469">
        <v>10.798548</v>
      </c>
      <c r="G469">
        <v>79.838211999999999</v>
      </c>
      <c r="H469" t="s">
        <v>772</v>
      </c>
      <c r="I469">
        <v>5</v>
      </c>
      <c r="J469">
        <v>5</v>
      </c>
      <c r="K469">
        <v>5</v>
      </c>
    </row>
    <row r="470" spans="1:11" x14ac:dyDescent="0.3">
      <c r="A470" t="s">
        <v>11</v>
      </c>
      <c r="B470" t="s">
        <v>33</v>
      </c>
      <c r="C470" t="s">
        <v>200</v>
      </c>
      <c r="D470" t="s">
        <v>564</v>
      </c>
      <c r="E470" s="5">
        <v>45812.958333333343</v>
      </c>
      <c r="F470">
        <v>10.798548</v>
      </c>
      <c r="G470">
        <v>79.838211999999999</v>
      </c>
      <c r="H470" t="s">
        <v>774</v>
      </c>
      <c r="I470">
        <v>4</v>
      </c>
      <c r="J470">
        <v>8</v>
      </c>
      <c r="K470">
        <v>6</v>
      </c>
    </row>
    <row r="471" spans="1:11" x14ac:dyDescent="0.3">
      <c r="A471" t="s">
        <v>11</v>
      </c>
      <c r="B471" t="s">
        <v>33</v>
      </c>
      <c r="C471" t="s">
        <v>201</v>
      </c>
      <c r="D471" t="s">
        <v>565</v>
      </c>
      <c r="E471" s="5">
        <v>45812.958333333343</v>
      </c>
      <c r="F471">
        <v>11.273992</v>
      </c>
      <c r="G471">
        <v>78.163544999999999</v>
      </c>
      <c r="H471" t="s">
        <v>775</v>
      </c>
    </row>
    <row r="472" spans="1:11" x14ac:dyDescent="0.3">
      <c r="A472" t="s">
        <v>11</v>
      </c>
      <c r="B472" t="s">
        <v>34</v>
      </c>
      <c r="C472" t="s">
        <v>202</v>
      </c>
      <c r="D472" t="s">
        <v>566</v>
      </c>
      <c r="E472" s="5">
        <v>45812.958333333343</v>
      </c>
      <c r="F472">
        <v>27.338529999999999</v>
      </c>
      <c r="G472">
        <v>88.614098999999996</v>
      </c>
      <c r="H472" t="s">
        <v>773</v>
      </c>
      <c r="I472">
        <v>1</v>
      </c>
      <c r="J472">
        <v>1</v>
      </c>
      <c r="K472">
        <v>1</v>
      </c>
    </row>
    <row r="473" spans="1:11" x14ac:dyDescent="0.3">
      <c r="A473" t="s">
        <v>11</v>
      </c>
      <c r="B473" t="s">
        <v>33</v>
      </c>
      <c r="C473" t="s">
        <v>203</v>
      </c>
      <c r="D473" t="s">
        <v>567</v>
      </c>
      <c r="E473" s="5">
        <v>45812.958333333343</v>
      </c>
      <c r="F473">
        <v>11.068250000000001</v>
      </c>
      <c r="G473">
        <v>79.070329999999998</v>
      </c>
      <c r="H473" t="s">
        <v>775</v>
      </c>
      <c r="I473">
        <v>22</v>
      </c>
      <c r="J473">
        <v>47</v>
      </c>
      <c r="K473">
        <v>37</v>
      </c>
    </row>
    <row r="474" spans="1:11" x14ac:dyDescent="0.3">
      <c r="A474" t="s">
        <v>11</v>
      </c>
      <c r="B474" t="s">
        <v>33</v>
      </c>
      <c r="C474" t="s">
        <v>203</v>
      </c>
      <c r="D474" t="s">
        <v>567</v>
      </c>
      <c r="E474" s="5">
        <v>45812.958333333343</v>
      </c>
      <c r="F474">
        <v>11.068250000000001</v>
      </c>
      <c r="G474">
        <v>79.070329999999998</v>
      </c>
      <c r="H474" t="s">
        <v>772</v>
      </c>
      <c r="I474">
        <v>10</v>
      </c>
      <c r="J474">
        <v>10</v>
      </c>
      <c r="K474">
        <v>10</v>
      </c>
    </row>
    <row r="475" spans="1:11" x14ac:dyDescent="0.3">
      <c r="A475" t="s">
        <v>11</v>
      </c>
      <c r="B475" t="s">
        <v>33</v>
      </c>
      <c r="C475" t="s">
        <v>204</v>
      </c>
      <c r="D475" t="s">
        <v>568</v>
      </c>
      <c r="E475" s="5">
        <v>45812.958333333343</v>
      </c>
      <c r="F475">
        <v>10.358535</v>
      </c>
      <c r="G475">
        <v>77.984320999999994</v>
      </c>
      <c r="H475" t="s">
        <v>775</v>
      </c>
      <c r="I475">
        <v>28</v>
      </c>
      <c r="J475">
        <v>62</v>
      </c>
      <c r="K475">
        <v>41</v>
      </c>
    </row>
    <row r="476" spans="1:11" x14ac:dyDescent="0.3">
      <c r="A476" t="s">
        <v>11</v>
      </c>
      <c r="B476" t="s">
        <v>33</v>
      </c>
      <c r="C476" t="s">
        <v>205</v>
      </c>
      <c r="D476" t="s">
        <v>569</v>
      </c>
      <c r="E476" s="5">
        <v>45812.958333333343</v>
      </c>
      <c r="F476">
        <v>12.746998</v>
      </c>
      <c r="G476">
        <v>77.813811000000001</v>
      </c>
      <c r="H476" t="s">
        <v>775</v>
      </c>
      <c r="I476">
        <v>28</v>
      </c>
      <c r="J476">
        <v>165</v>
      </c>
      <c r="K476">
        <v>73</v>
      </c>
    </row>
    <row r="477" spans="1:11" x14ac:dyDescent="0.3">
      <c r="A477" t="s">
        <v>11</v>
      </c>
      <c r="B477" t="s">
        <v>33</v>
      </c>
      <c r="C477" t="s">
        <v>205</v>
      </c>
      <c r="D477" t="s">
        <v>569</v>
      </c>
      <c r="E477" s="5">
        <v>45812.958333333343</v>
      </c>
      <c r="F477">
        <v>12.746998</v>
      </c>
      <c r="G477">
        <v>77.813811000000001</v>
      </c>
      <c r="H477" t="s">
        <v>771</v>
      </c>
      <c r="I477">
        <v>31</v>
      </c>
      <c r="J477">
        <v>136</v>
      </c>
      <c r="K477">
        <v>79</v>
      </c>
    </row>
    <row r="478" spans="1:11" x14ac:dyDescent="0.3">
      <c r="A478" t="s">
        <v>11</v>
      </c>
      <c r="B478" t="s">
        <v>31</v>
      </c>
      <c r="C478" t="s">
        <v>206</v>
      </c>
      <c r="D478" t="s">
        <v>570</v>
      </c>
      <c r="E478" s="5">
        <v>45812.958333333343</v>
      </c>
      <c r="F478">
        <v>29.931623999999999</v>
      </c>
      <c r="G478">
        <v>73.864510999999993</v>
      </c>
      <c r="H478" t="s">
        <v>772</v>
      </c>
      <c r="I478">
        <v>31</v>
      </c>
      <c r="J478">
        <v>127</v>
      </c>
      <c r="K478">
        <v>80</v>
      </c>
    </row>
    <row r="479" spans="1:11" x14ac:dyDescent="0.3">
      <c r="A479" t="s">
        <v>11</v>
      </c>
      <c r="B479" t="s">
        <v>31</v>
      </c>
      <c r="C479" t="s">
        <v>207</v>
      </c>
      <c r="D479" t="s">
        <v>571</v>
      </c>
      <c r="E479" s="5">
        <v>45812.958333333343</v>
      </c>
      <c r="F479">
        <v>26.159932999999999</v>
      </c>
      <c r="G479">
        <v>75.780517000000003</v>
      </c>
      <c r="H479" t="s">
        <v>770</v>
      </c>
      <c r="I479">
        <v>1</v>
      </c>
      <c r="J479">
        <v>85</v>
      </c>
      <c r="K479">
        <v>46</v>
      </c>
    </row>
    <row r="480" spans="1:11" x14ac:dyDescent="0.3">
      <c r="A480" t="s">
        <v>11</v>
      </c>
      <c r="B480" t="s">
        <v>33</v>
      </c>
      <c r="C480" t="s">
        <v>197</v>
      </c>
      <c r="D480" t="s">
        <v>572</v>
      </c>
      <c r="E480" s="5">
        <v>45812.958333333343</v>
      </c>
      <c r="F480">
        <v>12.9099161</v>
      </c>
      <c r="G480">
        <v>80.107653799999994</v>
      </c>
      <c r="H480" t="s">
        <v>774</v>
      </c>
      <c r="I480">
        <v>15</v>
      </c>
      <c r="J480">
        <v>16</v>
      </c>
      <c r="K480">
        <v>15</v>
      </c>
    </row>
    <row r="481" spans="1:11" x14ac:dyDescent="0.3">
      <c r="A481" t="s">
        <v>11</v>
      </c>
      <c r="B481" t="s">
        <v>33</v>
      </c>
      <c r="C481" t="s">
        <v>197</v>
      </c>
      <c r="D481" t="s">
        <v>573</v>
      </c>
      <c r="E481" s="5">
        <v>45812.958333333343</v>
      </c>
      <c r="F481">
        <v>13.127800000000001</v>
      </c>
      <c r="G481">
        <v>80.264200000000002</v>
      </c>
      <c r="H481" t="s">
        <v>773</v>
      </c>
      <c r="I481">
        <v>4</v>
      </c>
      <c r="J481">
        <v>6</v>
      </c>
      <c r="K481">
        <v>5</v>
      </c>
    </row>
    <row r="482" spans="1:11" x14ac:dyDescent="0.3">
      <c r="A482" t="s">
        <v>11</v>
      </c>
      <c r="B482" t="s">
        <v>33</v>
      </c>
      <c r="C482" t="s">
        <v>197</v>
      </c>
      <c r="D482" t="s">
        <v>574</v>
      </c>
      <c r="E482" s="5">
        <v>45812.958333333343</v>
      </c>
      <c r="F482">
        <v>13.1662</v>
      </c>
      <c r="G482">
        <v>80.258399999999995</v>
      </c>
      <c r="H482" t="s">
        <v>776</v>
      </c>
      <c r="I482">
        <v>24</v>
      </c>
      <c r="J482">
        <v>72</v>
      </c>
      <c r="K482">
        <v>39</v>
      </c>
    </row>
    <row r="483" spans="1:11" x14ac:dyDescent="0.3">
      <c r="A483" t="s">
        <v>11</v>
      </c>
      <c r="B483" t="s">
        <v>33</v>
      </c>
      <c r="C483" t="s">
        <v>197</v>
      </c>
      <c r="D483" t="s">
        <v>575</v>
      </c>
      <c r="E483" s="5">
        <v>45812.958333333343</v>
      </c>
      <c r="F483">
        <v>13.164543999999999</v>
      </c>
      <c r="G483">
        <v>80.26285</v>
      </c>
      <c r="H483" t="s">
        <v>774</v>
      </c>
      <c r="I483">
        <v>7</v>
      </c>
      <c r="J483">
        <v>20</v>
      </c>
      <c r="K483">
        <v>14</v>
      </c>
    </row>
    <row r="484" spans="1:11" x14ac:dyDescent="0.3">
      <c r="A484" t="s">
        <v>11</v>
      </c>
      <c r="B484" t="s">
        <v>33</v>
      </c>
      <c r="C484" t="s">
        <v>208</v>
      </c>
      <c r="D484" t="s">
        <v>576</v>
      </c>
      <c r="E484" s="5">
        <v>45812.958333333343</v>
      </c>
      <c r="F484">
        <v>11.6829898</v>
      </c>
      <c r="G484">
        <v>79.753209900000002</v>
      </c>
      <c r="H484" t="s">
        <v>771</v>
      </c>
      <c r="I484">
        <v>12</v>
      </c>
      <c r="J484">
        <v>36</v>
      </c>
      <c r="K484">
        <v>22</v>
      </c>
    </row>
    <row r="485" spans="1:11" x14ac:dyDescent="0.3">
      <c r="A485" t="s">
        <v>11</v>
      </c>
      <c r="B485" t="s">
        <v>33</v>
      </c>
      <c r="C485" t="s">
        <v>203</v>
      </c>
      <c r="D485" t="s">
        <v>567</v>
      </c>
      <c r="E485" s="5">
        <v>45812.958333333343</v>
      </c>
      <c r="F485">
        <v>11.068250000000001</v>
      </c>
      <c r="G485">
        <v>79.070329999999998</v>
      </c>
      <c r="H485" t="s">
        <v>770</v>
      </c>
      <c r="I485">
        <v>3</v>
      </c>
      <c r="J485">
        <v>23</v>
      </c>
      <c r="K485">
        <v>16</v>
      </c>
    </row>
    <row r="486" spans="1:11" x14ac:dyDescent="0.3">
      <c r="A486" t="s">
        <v>11</v>
      </c>
      <c r="B486" t="s">
        <v>33</v>
      </c>
      <c r="C486" t="s">
        <v>209</v>
      </c>
      <c r="D486" t="s">
        <v>577</v>
      </c>
      <c r="E486" s="5">
        <v>45812.958333333343</v>
      </c>
      <c r="F486">
        <v>10.830158000000001</v>
      </c>
      <c r="G486">
        <v>78.691849000000005</v>
      </c>
      <c r="H486" t="s">
        <v>773</v>
      </c>
      <c r="I486">
        <v>2</v>
      </c>
      <c r="J486">
        <v>3</v>
      </c>
      <c r="K486">
        <v>3</v>
      </c>
    </row>
    <row r="487" spans="1:11" x14ac:dyDescent="0.3">
      <c r="A487" t="s">
        <v>11</v>
      </c>
      <c r="B487" t="s">
        <v>33</v>
      </c>
      <c r="C487" t="s">
        <v>210</v>
      </c>
      <c r="D487" t="s">
        <v>578</v>
      </c>
      <c r="E487" s="5">
        <v>45812.958333333343</v>
      </c>
      <c r="F487">
        <v>8.7284419999999994</v>
      </c>
      <c r="G487">
        <v>77.696200000000005</v>
      </c>
      <c r="H487" t="s">
        <v>773</v>
      </c>
      <c r="I487">
        <v>1</v>
      </c>
      <c r="J487">
        <v>2</v>
      </c>
      <c r="K487">
        <v>1</v>
      </c>
    </row>
    <row r="488" spans="1:11" x14ac:dyDescent="0.3">
      <c r="A488" t="s">
        <v>11</v>
      </c>
      <c r="B488" t="s">
        <v>33</v>
      </c>
      <c r="C488" t="s">
        <v>211</v>
      </c>
      <c r="D488" t="s">
        <v>579</v>
      </c>
      <c r="E488" s="5">
        <v>45812.958333333343</v>
      </c>
      <c r="F488">
        <v>11.0973603</v>
      </c>
      <c r="G488">
        <v>77.322867299999999</v>
      </c>
      <c r="H488" t="s">
        <v>775</v>
      </c>
      <c r="I488">
        <v>1</v>
      </c>
      <c r="J488">
        <v>24</v>
      </c>
      <c r="K488">
        <v>6</v>
      </c>
    </row>
    <row r="489" spans="1:11" x14ac:dyDescent="0.3">
      <c r="A489" t="s">
        <v>11</v>
      </c>
      <c r="B489" t="s">
        <v>33</v>
      </c>
      <c r="C489" t="s">
        <v>211</v>
      </c>
      <c r="D489" t="s">
        <v>579</v>
      </c>
      <c r="E489" s="5">
        <v>45812.958333333343</v>
      </c>
      <c r="F489">
        <v>11.0973603</v>
      </c>
      <c r="G489">
        <v>77.322867299999999</v>
      </c>
      <c r="H489" t="s">
        <v>772</v>
      </c>
      <c r="I489">
        <v>4</v>
      </c>
      <c r="J489">
        <v>9</v>
      </c>
      <c r="K489">
        <v>6</v>
      </c>
    </row>
    <row r="490" spans="1:11" x14ac:dyDescent="0.3">
      <c r="A490" t="s">
        <v>11</v>
      </c>
      <c r="B490" t="s">
        <v>33</v>
      </c>
      <c r="C490" t="s">
        <v>212</v>
      </c>
      <c r="D490" t="s">
        <v>580</v>
      </c>
      <c r="E490" s="5">
        <v>45812.958333333343</v>
      </c>
      <c r="F490">
        <v>9.5593819999999994</v>
      </c>
      <c r="G490">
        <v>77.948828000000006</v>
      </c>
      <c r="H490" t="s">
        <v>775</v>
      </c>
      <c r="I490">
        <v>23</v>
      </c>
      <c r="J490">
        <v>95</v>
      </c>
      <c r="K490">
        <v>42</v>
      </c>
    </row>
    <row r="491" spans="1:11" x14ac:dyDescent="0.3">
      <c r="A491" t="s">
        <v>11</v>
      </c>
      <c r="B491" t="s">
        <v>33</v>
      </c>
      <c r="C491" t="s">
        <v>212</v>
      </c>
      <c r="D491" t="s">
        <v>580</v>
      </c>
      <c r="E491" s="5">
        <v>45812.958333333343</v>
      </c>
      <c r="F491">
        <v>9.5593819999999994</v>
      </c>
      <c r="G491">
        <v>77.948828000000006</v>
      </c>
      <c r="H491" t="s">
        <v>771</v>
      </c>
      <c r="I491">
        <v>32</v>
      </c>
      <c r="J491">
        <v>113</v>
      </c>
      <c r="K491">
        <v>55</v>
      </c>
    </row>
    <row r="492" spans="1:11" x14ac:dyDescent="0.3">
      <c r="A492" t="s">
        <v>11</v>
      </c>
      <c r="B492" t="s">
        <v>33</v>
      </c>
      <c r="C492" t="s">
        <v>212</v>
      </c>
      <c r="D492" t="s">
        <v>580</v>
      </c>
      <c r="E492" s="5">
        <v>45812.958333333343</v>
      </c>
      <c r="F492">
        <v>9.5593819999999994</v>
      </c>
      <c r="G492">
        <v>77.948828000000006</v>
      </c>
      <c r="H492" t="s">
        <v>773</v>
      </c>
      <c r="I492">
        <v>6</v>
      </c>
      <c r="J492">
        <v>7</v>
      </c>
      <c r="K492">
        <v>7</v>
      </c>
    </row>
    <row r="493" spans="1:11" x14ac:dyDescent="0.3">
      <c r="A493" t="s">
        <v>11</v>
      </c>
      <c r="B493" t="s">
        <v>35</v>
      </c>
      <c r="C493" t="s">
        <v>213</v>
      </c>
      <c r="D493" t="s">
        <v>581</v>
      </c>
      <c r="E493" s="5">
        <v>45812.958333333343</v>
      </c>
      <c r="F493">
        <v>17.544899000000001</v>
      </c>
      <c r="G493">
        <v>78.486948999999996</v>
      </c>
      <c r="H493" t="s">
        <v>772</v>
      </c>
      <c r="I493">
        <v>18</v>
      </c>
      <c r="J493">
        <v>19</v>
      </c>
      <c r="K493">
        <v>18</v>
      </c>
    </row>
    <row r="494" spans="1:11" x14ac:dyDescent="0.3">
      <c r="A494" t="s">
        <v>11</v>
      </c>
      <c r="B494" t="s">
        <v>35</v>
      </c>
      <c r="C494" t="s">
        <v>213</v>
      </c>
      <c r="D494" t="s">
        <v>581</v>
      </c>
      <c r="E494" s="5">
        <v>45812.958333333343</v>
      </c>
      <c r="F494">
        <v>17.544899000000001</v>
      </c>
      <c r="G494">
        <v>78.486948999999996</v>
      </c>
      <c r="H494" t="s">
        <v>774</v>
      </c>
      <c r="I494">
        <v>4</v>
      </c>
      <c r="J494">
        <v>10</v>
      </c>
      <c r="K494">
        <v>6</v>
      </c>
    </row>
    <row r="495" spans="1:11" x14ac:dyDescent="0.3">
      <c r="A495" t="s">
        <v>11</v>
      </c>
      <c r="B495" t="s">
        <v>35</v>
      </c>
      <c r="C495" t="s">
        <v>213</v>
      </c>
      <c r="D495" t="s">
        <v>581</v>
      </c>
      <c r="E495" s="5">
        <v>45812.958333333343</v>
      </c>
      <c r="F495">
        <v>17.544899000000001</v>
      </c>
      <c r="G495">
        <v>78.486948999999996</v>
      </c>
      <c r="H495" t="s">
        <v>770</v>
      </c>
      <c r="I495">
        <v>16</v>
      </c>
      <c r="J495">
        <v>60</v>
      </c>
      <c r="K495">
        <v>46</v>
      </c>
    </row>
    <row r="496" spans="1:11" x14ac:dyDescent="0.3">
      <c r="A496" t="s">
        <v>11</v>
      </c>
      <c r="B496" t="s">
        <v>35</v>
      </c>
      <c r="C496" t="s">
        <v>213</v>
      </c>
      <c r="D496" t="s">
        <v>582</v>
      </c>
      <c r="E496" s="5">
        <v>45812.958333333343</v>
      </c>
      <c r="F496">
        <v>17.372060000000001</v>
      </c>
      <c r="G496">
        <v>78.50864</v>
      </c>
      <c r="H496" t="s">
        <v>776</v>
      </c>
      <c r="I496">
        <v>12</v>
      </c>
      <c r="J496">
        <v>56</v>
      </c>
      <c r="K496">
        <v>45</v>
      </c>
    </row>
    <row r="497" spans="1:11" x14ac:dyDescent="0.3">
      <c r="A497" t="s">
        <v>11</v>
      </c>
      <c r="B497" t="s">
        <v>35</v>
      </c>
      <c r="C497" t="s">
        <v>213</v>
      </c>
      <c r="D497" t="s">
        <v>583</v>
      </c>
      <c r="E497" s="5">
        <v>45812.958333333343</v>
      </c>
      <c r="F497">
        <v>17.528544</v>
      </c>
      <c r="G497">
        <v>78.286195000000006</v>
      </c>
      <c r="H497" t="s">
        <v>775</v>
      </c>
      <c r="I497">
        <v>60</v>
      </c>
      <c r="J497">
        <v>68</v>
      </c>
      <c r="K497">
        <v>65</v>
      </c>
    </row>
    <row r="498" spans="1:11" x14ac:dyDescent="0.3">
      <c r="A498" t="s">
        <v>11</v>
      </c>
      <c r="B498" t="s">
        <v>35</v>
      </c>
      <c r="C498" t="s">
        <v>213</v>
      </c>
      <c r="D498" t="s">
        <v>583</v>
      </c>
      <c r="E498" s="5">
        <v>45812.958333333343</v>
      </c>
      <c r="F498">
        <v>17.528544</v>
      </c>
      <c r="G498">
        <v>78.286195000000006</v>
      </c>
      <c r="H498" t="s">
        <v>771</v>
      </c>
      <c r="I498">
        <v>50</v>
      </c>
      <c r="J498">
        <v>68</v>
      </c>
      <c r="K498">
        <v>62</v>
      </c>
    </row>
    <row r="499" spans="1:11" x14ac:dyDescent="0.3">
      <c r="A499" t="s">
        <v>11</v>
      </c>
      <c r="B499" t="s">
        <v>35</v>
      </c>
      <c r="C499" t="s">
        <v>213</v>
      </c>
      <c r="D499" t="s">
        <v>584</v>
      </c>
      <c r="E499" s="5">
        <v>45812.958333333343</v>
      </c>
      <c r="F499">
        <v>17.540890999999998</v>
      </c>
      <c r="G499">
        <v>78.358528000000007</v>
      </c>
      <c r="H499" t="s">
        <v>771</v>
      </c>
      <c r="I499">
        <v>58</v>
      </c>
      <c r="J499">
        <v>118</v>
      </c>
      <c r="K499">
        <v>88</v>
      </c>
    </row>
    <row r="500" spans="1:11" x14ac:dyDescent="0.3">
      <c r="A500" t="s">
        <v>11</v>
      </c>
      <c r="B500" t="s">
        <v>35</v>
      </c>
      <c r="C500" t="s">
        <v>213</v>
      </c>
      <c r="D500" t="s">
        <v>584</v>
      </c>
      <c r="E500" s="5">
        <v>45812.958333333343</v>
      </c>
      <c r="F500">
        <v>17.540890999999998</v>
      </c>
      <c r="G500">
        <v>78.358528000000007</v>
      </c>
      <c r="H500" t="s">
        <v>774</v>
      </c>
      <c r="I500">
        <v>4</v>
      </c>
      <c r="J500">
        <v>13</v>
      </c>
      <c r="K500">
        <v>7</v>
      </c>
    </row>
    <row r="501" spans="1:11" x14ac:dyDescent="0.3">
      <c r="A501" t="s">
        <v>11</v>
      </c>
      <c r="B501" t="s">
        <v>35</v>
      </c>
      <c r="C501" t="s">
        <v>213</v>
      </c>
      <c r="D501" t="s">
        <v>584</v>
      </c>
      <c r="E501" s="5">
        <v>45812.958333333343</v>
      </c>
      <c r="F501">
        <v>17.540890999999998</v>
      </c>
      <c r="G501">
        <v>78.358528000000007</v>
      </c>
      <c r="H501" t="s">
        <v>770</v>
      </c>
      <c r="I501">
        <v>48</v>
      </c>
      <c r="J501">
        <v>49</v>
      </c>
      <c r="K501">
        <v>49</v>
      </c>
    </row>
    <row r="502" spans="1:11" x14ac:dyDescent="0.3">
      <c r="A502" t="s">
        <v>11</v>
      </c>
      <c r="B502" t="s">
        <v>35</v>
      </c>
      <c r="C502" t="s">
        <v>213</v>
      </c>
      <c r="D502" t="s">
        <v>585</v>
      </c>
      <c r="E502" s="5">
        <v>45812.958333333343</v>
      </c>
      <c r="F502">
        <v>17.470431000000001</v>
      </c>
      <c r="G502">
        <v>78.566958999999997</v>
      </c>
      <c r="H502" t="s">
        <v>771</v>
      </c>
      <c r="I502">
        <v>76</v>
      </c>
      <c r="J502">
        <v>101</v>
      </c>
      <c r="K502">
        <v>85</v>
      </c>
    </row>
    <row r="503" spans="1:11" x14ac:dyDescent="0.3">
      <c r="A503" t="s">
        <v>11</v>
      </c>
      <c r="B503" t="s">
        <v>35</v>
      </c>
      <c r="C503" t="s">
        <v>213</v>
      </c>
      <c r="D503" t="s">
        <v>586</v>
      </c>
      <c r="E503" s="5">
        <v>45812.958333333343</v>
      </c>
      <c r="F503">
        <v>17.531689499999999</v>
      </c>
      <c r="G503">
        <v>78.218939000000006</v>
      </c>
      <c r="H503" t="s">
        <v>773</v>
      </c>
      <c r="I503">
        <v>1</v>
      </c>
      <c r="J503">
        <v>2</v>
      </c>
      <c r="K503">
        <v>2</v>
      </c>
    </row>
    <row r="504" spans="1:11" x14ac:dyDescent="0.3">
      <c r="A504" t="s">
        <v>11</v>
      </c>
      <c r="B504" t="s">
        <v>33</v>
      </c>
      <c r="C504" t="s">
        <v>214</v>
      </c>
      <c r="D504" t="s">
        <v>587</v>
      </c>
      <c r="E504" s="5">
        <v>45812.958333333343</v>
      </c>
      <c r="F504">
        <v>12.952707</v>
      </c>
      <c r="G504">
        <v>79.303939999999997</v>
      </c>
      <c r="H504" t="s">
        <v>775</v>
      </c>
      <c r="I504">
        <v>22</v>
      </c>
      <c r="J504">
        <v>66</v>
      </c>
      <c r="K504">
        <v>42</v>
      </c>
    </row>
    <row r="505" spans="1:11" x14ac:dyDescent="0.3">
      <c r="A505" t="s">
        <v>11</v>
      </c>
      <c r="B505" t="s">
        <v>33</v>
      </c>
      <c r="C505" t="s">
        <v>214</v>
      </c>
      <c r="D505" t="s">
        <v>587</v>
      </c>
      <c r="E505" s="5">
        <v>45812.958333333343</v>
      </c>
      <c r="F505">
        <v>12.952707</v>
      </c>
      <c r="G505">
        <v>79.303939999999997</v>
      </c>
      <c r="H505" t="s">
        <v>776</v>
      </c>
      <c r="I505">
        <v>16</v>
      </c>
      <c r="J505">
        <v>20</v>
      </c>
      <c r="K505">
        <v>18</v>
      </c>
    </row>
    <row r="506" spans="1:11" x14ac:dyDescent="0.3">
      <c r="A506" t="s">
        <v>11</v>
      </c>
      <c r="B506" t="s">
        <v>33</v>
      </c>
      <c r="C506" t="s">
        <v>215</v>
      </c>
      <c r="D506" t="s">
        <v>588</v>
      </c>
      <c r="E506" s="5">
        <v>45812.958333333343</v>
      </c>
      <c r="F506">
        <v>8.8164280000000002</v>
      </c>
      <c r="G506">
        <v>78.099039000000005</v>
      </c>
      <c r="H506" t="s">
        <v>771</v>
      </c>
      <c r="I506">
        <v>19</v>
      </c>
      <c r="J506">
        <v>90</v>
      </c>
      <c r="K506">
        <v>43</v>
      </c>
    </row>
    <row r="507" spans="1:11" x14ac:dyDescent="0.3">
      <c r="A507" t="s">
        <v>11</v>
      </c>
      <c r="B507" t="s">
        <v>36</v>
      </c>
      <c r="C507" t="s">
        <v>216</v>
      </c>
      <c r="D507" t="s">
        <v>589</v>
      </c>
      <c r="E507" s="5">
        <v>45812.958333333343</v>
      </c>
      <c r="F507">
        <v>27.237110000000001</v>
      </c>
      <c r="G507">
        <v>78.019360000000006</v>
      </c>
      <c r="H507" t="s">
        <v>774</v>
      </c>
      <c r="I507">
        <v>8</v>
      </c>
      <c r="J507">
        <v>32</v>
      </c>
      <c r="K507">
        <v>15</v>
      </c>
    </row>
    <row r="508" spans="1:11" x14ac:dyDescent="0.3">
      <c r="A508" t="s">
        <v>11</v>
      </c>
      <c r="B508" t="s">
        <v>36</v>
      </c>
      <c r="C508" t="s">
        <v>216</v>
      </c>
      <c r="D508" t="s">
        <v>590</v>
      </c>
      <c r="E508" s="5">
        <v>45812.958333333343</v>
      </c>
      <c r="F508">
        <v>27.106971999999999</v>
      </c>
      <c r="G508">
        <v>78.000111000000004</v>
      </c>
      <c r="H508" t="s">
        <v>775</v>
      </c>
      <c r="I508">
        <v>26</v>
      </c>
      <c r="J508">
        <v>323</v>
      </c>
      <c r="K508">
        <v>110</v>
      </c>
    </row>
    <row r="509" spans="1:11" x14ac:dyDescent="0.3">
      <c r="A509" t="s">
        <v>11</v>
      </c>
      <c r="B509" t="s">
        <v>36</v>
      </c>
      <c r="C509" t="s">
        <v>216</v>
      </c>
      <c r="D509" t="s">
        <v>591</v>
      </c>
      <c r="E509" s="5">
        <v>45812.958333333343</v>
      </c>
      <c r="F509">
        <v>27.198658330000001</v>
      </c>
      <c r="G509">
        <v>78.005980559999998</v>
      </c>
      <c r="H509" t="s">
        <v>771</v>
      </c>
      <c r="I509">
        <v>123</v>
      </c>
      <c r="J509">
        <v>436</v>
      </c>
      <c r="K509">
        <v>191</v>
      </c>
    </row>
    <row r="510" spans="1:11" x14ac:dyDescent="0.3">
      <c r="A510" t="s">
        <v>11</v>
      </c>
      <c r="B510" t="s">
        <v>33</v>
      </c>
      <c r="C510" t="s">
        <v>217</v>
      </c>
      <c r="D510" t="s">
        <v>592</v>
      </c>
      <c r="E510" s="5">
        <v>45812.958333333343</v>
      </c>
      <c r="F510">
        <v>9.3639899999999994</v>
      </c>
      <c r="G510">
        <v>78.831976999999995</v>
      </c>
      <c r="H510" t="s">
        <v>772</v>
      </c>
      <c r="I510">
        <v>5</v>
      </c>
      <c r="J510">
        <v>5</v>
      </c>
      <c r="K510">
        <v>5</v>
      </c>
    </row>
    <row r="511" spans="1:11" x14ac:dyDescent="0.3">
      <c r="A511" t="s">
        <v>11</v>
      </c>
      <c r="B511" t="s">
        <v>35</v>
      </c>
      <c r="C511" t="s">
        <v>213</v>
      </c>
      <c r="D511" t="s">
        <v>593</v>
      </c>
      <c r="E511" s="5">
        <v>45812.958333333343</v>
      </c>
      <c r="F511">
        <v>17.455945799999999</v>
      </c>
      <c r="G511">
        <v>78.433215200000006</v>
      </c>
      <c r="H511" t="s">
        <v>770</v>
      </c>
      <c r="I511">
        <v>6</v>
      </c>
      <c r="J511">
        <v>18</v>
      </c>
      <c r="K511">
        <v>13</v>
      </c>
    </row>
    <row r="512" spans="1:11" x14ac:dyDescent="0.3">
      <c r="A512" t="s">
        <v>11</v>
      </c>
      <c r="B512" t="s">
        <v>35</v>
      </c>
      <c r="C512" t="s">
        <v>213</v>
      </c>
      <c r="D512" t="s">
        <v>594</v>
      </c>
      <c r="E512" s="5">
        <v>45812.958333333343</v>
      </c>
      <c r="F512">
        <v>17.417093999999999</v>
      </c>
      <c r="G512">
        <v>78.457436999999999</v>
      </c>
      <c r="H512" t="s">
        <v>770</v>
      </c>
      <c r="I512">
        <v>11</v>
      </c>
      <c r="J512">
        <v>11</v>
      </c>
      <c r="K512">
        <v>11</v>
      </c>
    </row>
    <row r="513" spans="1:11" x14ac:dyDescent="0.3">
      <c r="A513" t="s">
        <v>11</v>
      </c>
      <c r="B513" t="s">
        <v>36</v>
      </c>
      <c r="C513" t="s">
        <v>218</v>
      </c>
      <c r="D513" t="s">
        <v>595</v>
      </c>
      <c r="E513" s="5">
        <v>45812.958333333343</v>
      </c>
      <c r="F513">
        <v>28.359580999999999</v>
      </c>
      <c r="G513">
        <v>79.414455000000004</v>
      </c>
      <c r="H513" t="s">
        <v>770</v>
      </c>
      <c r="I513">
        <v>16</v>
      </c>
      <c r="J513">
        <v>22</v>
      </c>
      <c r="K513">
        <v>17</v>
      </c>
    </row>
    <row r="514" spans="1:11" x14ac:dyDescent="0.3">
      <c r="A514" t="s">
        <v>11</v>
      </c>
      <c r="B514" t="s">
        <v>36</v>
      </c>
      <c r="C514" t="s">
        <v>218</v>
      </c>
      <c r="D514" t="s">
        <v>596</v>
      </c>
      <c r="E514" s="5">
        <v>45812.958333333343</v>
      </c>
      <c r="F514">
        <v>28.389109359999999</v>
      </c>
      <c r="G514">
        <v>79.429637080000006</v>
      </c>
      <c r="H514" t="s">
        <v>776</v>
      </c>
      <c r="I514">
        <v>8</v>
      </c>
      <c r="J514">
        <v>77</v>
      </c>
      <c r="K514">
        <v>32</v>
      </c>
    </row>
    <row r="515" spans="1:11" x14ac:dyDescent="0.3">
      <c r="A515" t="s">
        <v>11</v>
      </c>
      <c r="B515" t="s">
        <v>36</v>
      </c>
      <c r="C515" t="s">
        <v>219</v>
      </c>
      <c r="D515" t="s">
        <v>597</v>
      </c>
      <c r="E515" s="5">
        <v>45812.958333333343</v>
      </c>
      <c r="F515">
        <v>28.406963000000001</v>
      </c>
      <c r="G515">
        <v>77.849830999999995</v>
      </c>
      <c r="H515" t="s">
        <v>775</v>
      </c>
      <c r="I515">
        <v>47</v>
      </c>
      <c r="J515">
        <v>344</v>
      </c>
      <c r="K515">
        <v>165</v>
      </c>
    </row>
    <row r="516" spans="1:11" x14ac:dyDescent="0.3">
      <c r="A516" t="s">
        <v>11</v>
      </c>
      <c r="B516" t="s">
        <v>36</v>
      </c>
      <c r="C516" t="s">
        <v>219</v>
      </c>
      <c r="D516" t="s">
        <v>597</v>
      </c>
      <c r="E516" s="5">
        <v>45812.958333333343</v>
      </c>
      <c r="F516">
        <v>28.406963000000001</v>
      </c>
      <c r="G516">
        <v>77.849830999999995</v>
      </c>
      <c r="H516" t="s">
        <v>771</v>
      </c>
      <c r="I516">
        <v>113</v>
      </c>
      <c r="J516">
        <v>441</v>
      </c>
      <c r="K516">
        <v>211</v>
      </c>
    </row>
    <row r="517" spans="1:11" x14ac:dyDescent="0.3">
      <c r="A517" t="s">
        <v>11</v>
      </c>
      <c r="B517" t="s">
        <v>36</v>
      </c>
      <c r="C517" t="s">
        <v>220</v>
      </c>
      <c r="D517" t="s">
        <v>598</v>
      </c>
      <c r="E517" s="5">
        <v>45812.958333333343</v>
      </c>
      <c r="F517">
        <v>27.168897000000001</v>
      </c>
      <c r="G517">
        <v>78.376959999999997</v>
      </c>
      <c r="H517" t="s">
        <v>770</v>
      </c>
      <c r="I517">
        <v>3</v>
      </c>
      <c r="J517">
        <v>5</v>
      </c>
      <c r="K517">
        <v>5</v>
      </c>
    </row>
    <row r="518" spans="1:11" x14ac:dyDescent="0.3">
      <c r="A518" t="s">
        <v>11</v>
      </c>
      <c r="B518" t="s">
        <v>36</v>
      </c>
      <c r="C518" t="s">
        <v>220</v>
      </c>
      <c r="D518" t="s">
        <v>599</v>
      </c>
      <c r="E518" s="5">
        <v>45812.958333333343</v>
      </c>
      <c r="F518">
        <v>27.159400000000002</v>
      </c>
      <c r="G518">
        <v>78.395300000000006</v>
      </c>
      <c r="H518" t="s">
        <v>775</v>
      </c>
      <c r="I518">
        <v>44</v>
      </c>
      <c r="J518">
        <v>202</v>
      </c>
      <c r="K518">
        <v>85</v>
      </c>
    </row>
    <row r="519" spans="1:11" x14ac:dyDescent="0.3">
      <c r="A519" t="s">
        <v>11</v>
      </c>
      <c r="B519" t="s">
        <v>36</v>
      </c>
      <c r="C519" t="s">
        <v>221</v>
      </c>
      <c r="D519" t="s">
        <v>600</v>
      </c>
      <c r="E519" s="5">
        <v>45812.958333333343</v>
      </c>
      <c r="F519">
        <v>28.646232999999999</v>
      </c>
      <c r="G519">
        <v>77.358074999999999</v>
      </c>
      <c r="H519" t="s">
        <v>771</v>
      </c>
      <c r="I519">
        <v>64</v>
      </c>
      <c r="J519">
        <v>323</v>
      </c>
      <c r="K519">
        <v>141</v>
      </c>
    </row>
    <row r="520" spans="1:11" x14ac:dyDescent="0.3">
      <c r="A520" t="s">
        <v>11</v>
      </c>
      <c r="B520" t="s">
        <v>36</v>
      </c>
      <c r="C520" t="s">
        <v>221</v>
      </c>
      <c r="D520" t="s">
        <v>601</v>
      </c>
      <c r="E520" s="5">
        <v>45812.958333333343</v>
      </c>
      <c r="F520">
        <v>28.757294000000002</v>
      </c>
      <c r="G520">
        <v>77.278791999999996</v>
      </c>
      <c r="H520" t="s">
        <v>771</v>
      </c>
      <c r="I520">
        <v>103</v>
      </c>
      <c r="J520">
        <v>446</v>
      </c>
      <c r="K520">
        <v>273</v>
      </c>
    </row>
    <row r="521" spans="1:11" x14ac:dyDescent="0.3">
      <c r="A521" t="s">
        <v>11</v>
      </c>
      <c r="B521" t="s">
        <v>36</v>
      </c>
      <c r="C521" t="s">
        <v>221</v>
      </c>
      <c r="D521" t="s">
        <v>601</v>
      </c>
      <c r="E521" s="5">
        <v>45812.958333333343</v>
      </c>
      <c r="F521">
        <v>28.757294000000002</v>
      </c>
      <c r="G521">
        <v>77.278791999999996</v>
      </c>
      <c r="H521" t="s">
        <v>774</v>
      </c>
      <c r="I521">
        <v>2</v>
      </c>
      <c r="J521">
        <v>70</v>
      </c>
      <c r="K521">
        <v>32</v>
      </c>
    </row>
    <row r="522" spans="1:11" x14ac:dyDescent="0.3">
      <c r="A522" t="s">
        <v>11</v>
      </c>
      <c r="B522" t="s">
        <v>36</v>
      </c>
      <c r="C522" t="s">
        <v>221</v>
      </c>
      <c r="D522" t="s">
        <v>601</v>
      </c>
      <c r="E522" s="5">
        <v>45812.958333333343</v>
      </c>
      <c r="F522">
        <v>28.757294000000002</v>
      </c>
      <c r="G522">
        <v>77.278791999999996</v>
      </c>
      <c r="H522" t="s">
        <v>770</v>
      </c>
      <c r="I522">
        <v>1</v>
      </c>
      <c r="J522">
        <v>95</v>
      </c>
      <c r="K522">
        <v>57</v>
      </c>
    </row>
    <row r="523" spans="1:11" x14ac:dyDescent="0.3">
      <c r="A523" t="s">
        <v>11</v>
      </c>
      <c r="B523" t="s">
        <v>36</v>
      </c>
      <c r="C523" t="s">
        <v>221</v>
      </c>
      <c r="D523" t="s">
        <v>602</v>
      </c>
      <c r="E523" s="5">
        <v>45812.958333333343</v>
      </c>
      <c r="F523">
        <v>28.685382000000001</v>
      </c>
      <c r="G523">
        <v>77.453839000000002</v>
      </c>
      <c r="H523" t="s">
        <v>771</v>
      </c>
      <c r="I523">
        <v>109</v>
      </c>
      <c r="J523">
        <v>364</v>
      </c>
      <c r="K523">
        <v>210</v>
      </c>
    </row>
    <row r="524" spans="1:11" x14ac:dyDescent="0.3">
      <c r="A524" t="s">
        <v>11</v>
      </c>
      <c r="B524" t="s">
        <v>36</v>
      </c>
      <c r="C524" t="s">
        <v>221</v>
      </c>
      <c r="D524" t="s">
        <v>602</v>
      </c>
      <c r="E524" s="5">
        <v>45812.958333333343</v>
      </c>
      <c r="F524">
        <v>28.685382000000001</v>
      </c>
      <c r="G524">
        <v>77.453839000000002</v>
      </c>
      <c r="H524" t="s">
        <v>773</v>
      </c>
      <c r="I524">
        <v>7</v>
      </c>
      <c r="J524">
        <v>12</v>
      </c>
      <c r="K524">
        <v>8</v>
      </c>
    </row>
    <row r="525" spans="1:11" x14ac:dyDescent="0.3">
      <c r="A525" t="s">
        <v>11</v>
      </c>
      <c r="B525" t="s">
        <v>36</v>
      </c>
      <c r="C525" t="s">
        <v>221</v>
      </c>
      <c r="D525" t="s">
        <v>603</v>
      </c>
      <c r="E525" s="5">
        <v>45812.958333333343</v>
      </c>
      <c r="F525">
        <v>28.660334599999999</v>
      </c>
      <c r="G525">
        <v>77.357256300000003</v>
      </c>
      <c r="H525" t="s">
        <v>776</v>
      </c>
      <c r="I525">
        <v>32</v>
      </c>
      <c r="J525">
        <v>131</v>
      </c>
      <c r="K525">
        <v>62</v>
      </c>
    </row>
    <row r="526" spans="1:11" x14ac:dyDescent="0.3">
      <c r="A526" t="s">
        <v>11</v>
      </c>
      <c r="B526" t="s">
        <v>36</v>
      </c>
      <c r="C526" t="s">
        <v>221</v>
      </c>
      <c r="D526" t="s">
        <v>603</v>
      </c>
      <c r="E526" s="5">
        <v>45812.958333333343</v>
      </c>
      <c r="F526">
        <v>28.660334599999999</v>
      </c>
      <c r="G526">
        <v>77.357256300000003</v>
      </c>
      <c r="H526" t="s">
        <v>770</v>
      </c>
      <c r="I526">
        <v>4</v>
      </c>
      <c r="J526">
        <v>145</v>
      </c>
      <c r="K526">
        <v>83</v>
      </c>
    </row>
    <row r="527" spans="1:11" x14ac:dyDescent="0.3">
      <c r="A527" t="s">
        <v>11</v>
      </c>
      <c r="B527" t="s">
        <v>36</v>
      </c>
      <c r="C527" t="s">
        <v>222</v>
      </c>
      <c r="D527" t="s">
        <v>604</v>
      </c>
      <c r="E527" s="5">
        <v>45812.958333333343</v>
      </c>
      <c r="F527">
        <v>26.730136000000002</v>
      </c>
      <c r="G527">
        <v>83.433858999999998</v>
      </c>
      <c r="H527" t="s">
        <v>775</v>
      </c>
      <c r="I527">
        <v>17</v>
      </c>
      <c r="J527">
        <v>134</v>
      </c>
      <c r="K527">
        <v>70</v>
      </c>
    </row>
    <row r="528" spans="1:11" x14ac:dyDescent="0.3">
      <c r="A528" t="s">
        <v>11</v>
      </c>
      <c r="B528" t="s">
        <v>36</v>
      </c>
      <c r="C528" t="s">
        <v>216</v>
      </c>
      <c r="D528" t="s">
        <v>605</v>
      </c>
      <c r="E528" s="5">
        <v>45812.958333333343</v>
      </c>
      <c r="F528">
        <v>27.194120000000002</v>
      </c>
      <c r="G528">
        <v>77.962370000000007</v>
      </c>
      <c r="H528" t="s">
        <v>771</v>
      </c>
      <c r="I528">
        <v>50</v>
      </c>
      <c r="J528">
        <v>187</v>
      </c>
      <c r="K528">
        <v>116</v>
      </c>
    </row>
    <row r="529" spans="1:11" x14ac:dyDescent="0.3">
      <c r="A529" t="s">
        <v>11</v>
      </c>
      <c r="B529" t="s">
        <v>36</v>
      </c>
      <c r="C529" t="s">
        <v>216</v>
      </c>
      <c r="D529" t="s">
        <v>605</v>
      </c>
      <c r="E529" s="5">
        <v>45812.958333333343</v>
      </c>
      <c r="F529">
        <v>27.194120000000002</v>
      </c>
      <c r="G529">
        <v>77.962370000000007</v>
      </c>
      <c r="H529" t="s">
        <v>770</v>
      </c>
      <c r="I529">
        <v>1</v>
      </c>
      <c r="J529">
        <v>4</v>
      </c>
      <c r="K529">
        <v>2</v>
      </c>
    </row>
    <row r="530" spans="1:11" x14ac:dyDescent="0.3">
      <c r="A530" t="s">
        <v>11</v>
      </c>
      <c r="B530" t="s">
        <v>36</v>
      </c>
      <c r="C530" t="s">
        <v>216</v>
      </c>
      <c r="D530" t="s">
        <v>606</v>
      </c>
      <c r="E530" s="5">
        <v>45812.958333333343</v>
      </c>
      <c r="F530">
        <v>27.169338</v>
      </c>
      <c r="G530">
        <v>78.035820000000001</v>
      </c>
      <c r="H530" t="s">
        <v>774</v>
      </c>
    </row>
    <row r="531" spans="1:11" x14ac:dyDescent="0.3">
      <c r="A531" t="s">
        <v>11</v>
      </c>
      <c r="B531" t="s">
        <v>36</v>
      </c>
      <c r="C531" t="s">
        <v>216</v>
      </c>
      <c r="D531" t="s">
        <v>606</v>
      </c>
      <c r="E531" s="5">
        <v>45812.958333333343</v>
      </c>
      <c r="F531">
        <v>27.169338</v>
      </c>
      <c r="G531">
        <v>78.035820000000001</v>
      </c>
      <c r="H531" t="s">
        <v>776</v>
      </c>
    </row>
    <row r="532" spans="1:11" x14ac:dyDescent="0.3">
      <c r="A532" t="s">
        <v>11</v>
      </c>
      <c r="B532" t="s">
        <v>36</v>
      </c>
      <c r="C532" t="s">
        <v>216</v>
      </c>
      <c r="D532" t="s">
        <v>606</v>
      </c>
      <c r="E532" s="5">
        <v>45812.958333333343</v>
      </c>
      <c r="F532">
        <v>27.169338</v>
      </c>
      <c r="G532">
        <v>78.035820000000001</v>
      </c>
      <c r="H532" t="s">
        <v>770</v>
      </c>
    </row>
    <row r="533" spans="1:11" x14ac:dyDescent="0.3">
      <c r="A533" t="s">
        <v>11</v>
      </c>
      <c r="B533" t="s">
        <v>36</v>
      </c>
      <c r="C533" t="s">
        <v>222</v>
      </c>
      <c r="D533" t="s">
        <v>604</v>
      </c>
      <c r="E533" s="5">
        <v>45812.958333333343</v>
      </c>
      <c r="F533">
        <v>26.730136000000002</v>
      </c>
      <c r="G533">
        <v>83.433858999999998</v>
      </c>
      <c r="H533" t="s">
        <v>776</v>
      </c>
      <c r="I533">
        <v>6</v>
      </c>
      <c r="J533">
        <v>11</v>
      </c>
      <c r="K533">
        <v>7</v>
      </c>
    </row>
    <row r="534" spans="1:11" x14ac:dyDescent="0.3">
      <c r="A534" t="s">
        <v>11</v>
      </c>
      <c r="B534" t="s">
        <v>36</v>
      </c>
      <c r="C534" t="s">
        <v>223</v>
      </c>
      <c r="D534" t="s">
        <v>607</v>
      </c>
      <c r="E534" s="5">
        <v>45812.958333333343</v>
      </c>
      <c r="F534">
        <v>28.557054000000001</v>
      </c>
      <c r="G534">
        <v>77.453663000000006</v>
      </c>
      <c r="H534" t="s">
        <v>772</v>
      </c>
      <c r="I534">
        <v>29</v>
      </c>
      <c r="J534">
        <v>171</v>
      </c>
      <c r="K534">
        <v>82</v>
      </c>
    </row>
    <row r="535" spans="1:11" x14ac:dyDescent="0.3">
      <c r="A535" t="s">
        <v>11</v>
      </c>
      <c r="B535" t="s">
        <v>36</v>
      </c>
      <c r="C535" t="s">
        <v>224</v>
      </c>
      <c r="D535" t="s">
        <v>608</v>
      </c>
      <c r="E535" s="5">
        <v>45812.958333333343</v>
      </c>
      <c r="F535">
        <v>28.725645</v>
      </c>
      <c r="G535">
        <v>77.749674999999996</v>
      </c>
      <c r="H535" t="s">
        <v>770</v>
      </c>
      <c r="I535">
        <v>5</v>
      </c>
      <c r="J535">
        <v>178</v>
      </c>
      <c r="K535">
        <v>110</v>
      </c>
    </row>
    <row r="536" spans="1:11" x14ac:dyDescent="0.3">
      <c r="A536" t="s">
        <v>11</v>
      </c>
      <c r="B536" t="s">
        <v>36</v>
      </c>
      <c r="C536" t="s">
        <v>225</v>
      </c>
      <c r="D536" t="s">
        <v>609</v>
      </c>
      <c r="E536" s="5">
        <v>45812.958333333343</v>
      </c>
      <c r="F536">
        <v>25.454699999999999</v>
      </c>
      <c r="G536">
        <v>78.603899999999996</v>
      </c>
      <c r="H536" t="s">
        <v>771</v>
      </c>
      <c r="I536">
        <v>87</v>
      </c>
      <c r="J536">
        <v>152</v>
      </c>
      <c r="K536">
        <v>117</v>
      </c>
    </row>
    <row r="537" spans="1:11" x14ac:dyDescent="0.3">
      <c r="A537" t="s">
        <v>11</v>
      </c>
      <c r="B537" t="s">
        <v>36</v>
      </c>
      <c r="C537" t="s">
        <v>226</v>
      </c>
      <c r="D537" t="s">
        <v>610</v>
      </c>
      <c r="E537" s="5">
        <v>45812.958333333343</v>
      </c>
      <c r="F537">
        <v>26.509954</v>
      </c>
      <c r="G537">
        <v>80.249611999999999</v>
      </c>
      <c r="H537" t="s">
        <v>773</v>
      </c>
      <c r="I537">
        <v>2</v>
      </c>
      <c r="J537">
        <v>2</v>
      </c>
      <c r="K537">
        <v>2</v>
      </c>
    </row>
    <row r="538" spans="1:11" x14ac:dyDescent="0.3">
      <c r="A538" t="s">
        <v>11</v>
      </c>
      <c r="B538" t="s">
        <v>36</v>
      </c>
      <c r="C538" t="s">
        <v>226</v>
      </c>
      <c r="D538" t="s">
        <v>611</v>
      </c>
      <c r="E538" s="5">
        <v>45812.958333333343</v>
      </c>
      <c r="F538">
        <v>26.470313600000001</v>
      </c>
      <c r="G538">
        <v>80.322986299999997</v>
      </c>
      <c r="H538" t="s">
        <v>776</v>
      </c>
      <c r="I538">
        <v>26</v>
      </c>
      <c r="J538">
        <v>56</v>
      </c>
      <c r="K538">
        <v>35</v>
      </c>
    </row>
    <row r="539" spans="1:11" x14ac:dyDescent="0.3">
      <c r="A539" t="s">
        <v>11</v>
      </c>
      <c r="B539" t="s">
        <v>36</v>
      </c>
      <c r="C539" t="s">
        <v>227</v>
      </c>
      <c r="D539" t="s">
        <v>612</v>
      </c>
      <c r="E539" s="5">
        <v>45812.958333333343</v>
      </c>
      <c r="F539">
        <v>28.964949000000001</v>
      </c>
      <c r="G539">
        <v>77.278761000000003</v>
      </c>
      <c r="H539" t="s">
        <v>772</v>
      </c>
      <c r="I539">
        <v>18</v>
      </c>
      <c r="J539">
        <v>119</v>
      </c>
      <c r="K539">
        <v>58</v>
      </c>
    </row>
    <row r="540" spans="1:11" x14ac:dyDescent="0.3">
      <c r="A540" t="s">
        <v>11</v>
      </c>
      <c r="B540" t="s">
        <v>36</v>
      </c>
      <c r="C540" t="s">
        <v>227</v>
      </c>
      <c r="D540" t="s">
        <v>612</v>
      </c>
      <c r="E540" s="5">
        <v>45812.958333333343</v>
      </c>
      <c r="F540">
        <v>28.964949000000001</v>
      </c>
      <c r="G540">
        <v>77.278761000000003</v>
      </c>
      <c r="H540" t="s">
        <v>773</v>
      </c>
      <c r="I540">
        <v>2</v>
      </c>
      <c r="J540">
        <v>9</v>
      </c>
      <c r="K540">
        <v>5</v>
      </c>
    </row>
    <row r="541" spans="1:11" x14ac:dyDescent="0.3">
      <c r="A541" t="s">
        <v>11</v>
      </c>
      <c r="B541" t="s">
        <v>36</v>
      </c>
      <c r="C541" t="s">
        <v>228</v>
      </c>
      <c r="D541" t="s">
        <v>613</v>
      </c>
      <c r="E541" s="5">
        <v>45812.958333333343</v>
      </c>
      <c r="F541">
        <v>28.2348927</v>
      </c>
      <c r="G541">
        <v>77.868300199999993</v>
      </c>
      <c r="H541" t="s">
        <v>771</v>
      </c>
    </row>
    <row r="542" spans="1:11" x14ac:dyDescent="0.3">
      <c r="A542" t="s">
        <v>11</v>
      </c>
      <c r="B542" t="s">
        <v>36</v>
      </c>
      <c r="C542" t="s">
        <v>228</v>
      </c>
      <c r="D542" t="s">
        <v>613</v>
      </c>
      <c r="E542" s="5">
        <v>45812.958333333343</v>
      </c>
      <c r="F542">
        <v>28.2348927</v>
      </c>
      <c r="G542">
        <v>77.868300199999993</v>
      </c>
      <c r="H542" t="s">
        <v>772</v>
      </c>
      <c r="I542">
        <v>3</v>
      </c>
      <c r="J542">
        <v>4</v>
      </c>
      <c r="K542">
        <v>3</v>
      </c>
    </row>
    <row r="543" spans="1:11" x14ac:dyDescent="0.3">
      <c r="A543" t="s">
        <v>11</v>
      </c>
      <c r="B543" t="s">
        <v>36</v>
      </c>
      <c r="C543" t="s">
        <v>229</v>
      </c>
      <c r="D543" t="s">
        <v>614</v>
      </c>
      <c r="E543" s="5">
        <v>45812.958333333343</v>
      </c>
      <c r="F543">
        <v>26.766432999999999</v>
      </c>
      <c r="G543">
        <v>80.927299000000005</v>
      </c>
      <c r="H543" t="s">
        <v>770</v>
      </c>
      <c r="I543">
        <v>2</v>
      </c>
      <c r="J543">
        <v>100</v>
      </c>
      <c r="K543">
        <v>72</v>
      </c>
    </row>
    <row r="544" spans="1:11" x14ac:dyDescent="0.3">
      <c r="A544" t="s">
        <v>11</v>
      </c>
      <c r="B544" t="s">
        <v>36</v>
      </c>
      <c r="C544" t="s">
        <v>229</v>
      </c>
      <c r="D544" t="s">
        <v>615</v>
      </c>
      <c r="E544" s="5">
        <v>45812.958333333343</v>
      </c>
      <c r="F544">
        <v>26.907229999999998</v>
      </c>
      <c r="G544">
        <v>80.985789999999994</v>
      </c>
      <c r="H544" t="s">
        <v>775</v>
      </c>
      <c r="I544">
        <v>18</v>
      </c>
      <c r="J544">
        <v>122</v>
      </c>
      <c r="K544">
        <v>44</v>
      </c>
    </row>
    <row r="545" spans="1:11" x14ac:dyDescent="0.3">
      <c r="A545" t="s">
        <v>11</v>
      </c>
      <c r="B545" t="s">
        <v>36</v>
      </c>
      <c r="C545" t="s">
        <v>229</v>
      </c>
      <c r="D545" t="s">
        <v>616</v>
      </c>
      <c r="E545" s="5">
        <v>45812.958333333343</v>
      </c>
      <c r="F545">
        <v>26.833997220000001</v>
      </c>
      <c r="G545">
        <v>80.891736100000003</v>
      </c>
      <c r="H545" t="s">
        <v>774</v>
      </c>
      <c r="I545">
        <v>1</v>
      </c>
      <c r="J545">
        <v>48</v>
      </c>
      <c r="K545">
        <v>9</v>
      </c>
    </row>
    <row r="546" spans="1:11" x14ac:dyDescent="0.3">
      <c r="A546" t="s">
        <v>11</v>
      </c>
      <c r="B546" t="s">
        <v>36</v>
      </c>
      <c r="C546" t="s">
        <v>230</v>
      </c>
      <c r="D546" t="s">
        <v>617</v>
      </c>
      <c r="E546" s="5">
        <v>45812.958333333343</v>
      </c>
      <c r="F546">
        <v>28.999264</v>
      </c>
      <c r="G546">
        <v>77.759035400000002</v>
      </c>
      <c r="H546" t="s">
        <v>776</v>
      </c>
      <c r="I546">
        <v>18</v>
      </c>
      <c r="J546">
        <v>103</v>
      </c>
      <c r="K546">
        <v>48</v>
      </c>
    </row>
    <row r="547" spans="1:11" x14ac:dyDescent="0.3">
      <c r="A547" t="s">
        <v>11</v>
      </c>
      <c r="B547" t="s">
        <v>36</v>
      </c>
      <c r="C547" t="s">
        <v>230</v>
      </c>
      <c r="D547" t="s">
        <v>617</v>
      </c>
      <c r="E547" s="5">
        <v>45812.958333333343</v>
      </c>
      <c r="F547">
        <v>28.999264</v>
      </c>
      <c r="G547">
        <v>77.759035400000002</v>
      </c>
      <c r="H547" t="s">
        <v>770</v>
      </c>
      <c r="I547">
        <v>7</v>
      </c>
      <c r="J547">
        <v>177</v>
      </c>
      <c r="K547">
        <v>114</v>
      </c>
    </row>
    <row r="548" spans="1:11" x14ac:dyDescent="0.3">
      <c r="A548" t="s">
        <v>11</v>
      </c>
      <c r="B548" t="s">
        <v>36</v>
      </c>
      <c r="C548" t="s">
        <v>231</v>
      </c>
      <c r="D548" t="s">
        <v>618</v>
      </c>
      <c r="E548" s="5">
        <v>45812.958333333343</v>
      </c>
      <c r="F548">
        <v>28.835260000000002</v>
      </c>
      <c r="G548">
        <v>78.744600000000005</v>
      </c>
      <c r="H548" t="s">
        <v>774</v>
      </c>
    </row>
    <row r="549" spans="1:11" x14ac:dyDescent="0.3">
      <c r="A549" t="s">
        <v>11</v>
      </c>
      <c r="B549" t="s">
        <v>36</v>
      </c>
      <c r="C549" t="s">
        <v>231</v>
      </c>
      <c r="D549" t="s">
        <v>618</v>
      </c>
      <c r="E549" s="5">
        <v>45812.958333333343</v>
      </c>
      <c r="F549">
        <v>28.835260000000002</v>
      </c>
      <c r="G549">
        <v>78.744600000000005</v>
      </c>
      <c r="H549" t="s">
        <v>770</v>
      </c>
      <c r="I549">
        <v>7</v>
      </c>
      <c r="J549">
        <v>22</v>
      </c>
      <c r="K549">
        <v>7</v>
      </c>
    </row>
    <row r="550" spans="1:11" x14ac:dyDescent="0.3">
      <c r="A550" t="s">
        <v>11</v>
      </c>
      <c r="B550" t="s">
        <v>36</v>
      </c>
      <c r="C550" t="s">
        <v>231</v>
      </c>
      <c r="D550" t="s">
        <v>619</v>
      </c>
      <c r="E550" s="5">
        <v>45812.958333333343</v>
      </c>
      <c r="F550">
        <v>28.840738999999999</v>
      </c>
      <c r="G550">
        <v>78.697530999999998</v>
      </c>
      <c r="H550" t="s">
        <v>775</v>
      </c>
      <c r="I550">
        <v>22</v>
      </c>
      <c r="J550">
        <v>130</v>
      </c>
      <c r="K550">
        <v>67</v>
      </c>
    </row>
    <row r="551" spans="1:11" x14ac:dyDescent="0.3">
      <c r="A551" t="s">
        <v>11</v>
      </c>
      <c r="B551" t="s">
        <v>36</v>
      </c>
      <c r="C551" t="s">
        <v>231</v>
      </c>
      <c r="D551" t="s">
        <v>619</v>
      </c>
      <c r="E551" s="5">
        <v>45812.958333333343</v>
      </c>
      <c r="F551">
        <v>28.840738999999999</v>
      </c>
      <c r="G551">
        <v>78.697530999999998</v>
      </c>
      <c r="H551" t="s">
        <v>776</v>
      </c>
      <c r="I551">
        <v>28</v>
      </c>
      <c r="J551">
        <v>110</v>
      </c>
      <c r="K551">
        <v>67</v>
      </c>
    </row>
    <row r="552" spans="1:11" x14ac:dyDescent="0.3">
      <c r="A552" t="s">
        <v>11</v>
      </c>
      <c r="B552" t="s">
        <v>36</v>
      </c>
      <c r="C552" t="s">
        <v>231</v>
      </c>
      <c r="D552" t="s">
        <v>620</v>
      </c>
      <c r="E552" s="5">
        <v>45812.958333333343</v>
      </c>
      <c r="F552">
        <v>28.856663999999999</v>
      </c>
      <c r="G552">
        <v>78.772638000000001</v>
      </c>
      <c r="H552" t="s">
        <v>774</v>
      </c>
      <c r="I552">
        <v>17</v>
      </c>
      <c r="J552">
        <v>104</v>
      </c>
      <c r="K552">
        <v>46</v>
      </c>
    </row>
    <row r="553" spans="1:11" x14ac:dyDescent="0.3">
      <c r="A553" t="s">
        <v>11</v>
      </c>
      <c r="B553" t="s">
        <v>36</v>
      </c>
      <c r="C553" t="s">
        <v>229</v>
      </c>
      <c r="D553" t="s">
        <v>621</v>
      </c>
      <c r="E553" s="5">
        <v>45812.958333333343</v>
      </c>
      <c r="F553">
        <v>26.868120000000001</v>
      </c>
      <c r="G553">
        <v>81.005118999999993</v>
      </c>
      <c r="H553" t="s">
        <v>770</v>
      </c>
      <c r="I553">
        <v>37</v>
      </c>
      <c r="J553">
        <v>52</v>
      </c>
      <c r="K553">
        <v>49</v>
      </c>
    </row>
    <row r="554" spans="1:11" x14ac:dyDescent="0.3">
      <c r="A554" t="s">
        <v>11</v>
      </c>
      <c r="B554" t="s">
        <v>36</v>
      </c>
      <c r="C554" t="s">
        <v>229</v>
      </c>
      <c r="D554" t="s">
        <v>622</v>
      </c>
      <c r="E554" s="5">
        <v>45812.958333333343</v>
      </c>
      <c r="F554">
        <v>26.906110999999999</v>
      </c>
      <c r="G554">
        <v>80.948222000000001</v>
      </c>
      <c r="H554" t="s">
        <v>771</v>
      </c>
      <c r="I554">
        <v>100</v>
      </c>
      <c r="J554">
        <v>268</v>
      </c>
      <c r="K554">
        <v>138</v>
      </c>
    </row>
    <row r="555" spans="1:11" x14ac:dyDescent="0.3">
      <c r="A555" t="s">
        <v>11</v>
      </c>
      <c r="B555" t="s">
        <v>36</v>
      </c>
      <c r="C555" t="s">
        <v>230</v>
      </c>
      <c r="D555" t="s">
        <v>623</v>
      </c>
      <c r="E555" s="5">
        <v>45812.958333333343</v>
      </c>
      <c r="F555">
        <v>29.063510000000001</v>
      </c>
      <c r="G555">
        <v>77.709722999999997</v>
      </c>
      <c r="H555" t="s">
        <v>774</v>
      </c>
      <c r="I555">
        <v>17</v>
      </c>
      <c r="J555">
        <v>78</v>
      </c>
      <c r="K555">
        <v>40</v>
      </c>
    </row>
    <row r="556" spans="1:11" x14ac:dyDescent="0.3">
      <c r="A556" t="s">
        <v>11</v>
      </c>
      <c r="B556" t="s">
        <v>36</v>
      </c>
      <c r="C556" t="s">
        <v>231</v>
      </c>
      <c r="D556" t="s">
        <v>618</v>
      </c>
      <c r="E556" s="5">
        <v>45812.958333333343</v>
      </c>
      <c r="F556">
        <v>28.835260000000002</v>
      </c>
      <c r="G556">
        <v>78.744600000000005</v>
      </c>
      <c r="H556" t="s">
        <v>771</v>
      </c>
    </row>
    <row r="557" spans="1:11" x14ac:dyDescent="0.3">
      <c r="A557" t="s">
        <v>11</v>
      </c>
      <c r="B557" t="s">
        <v>36</v>
      </c>
      <c r="C557" t="s">
        <v>230</v>
      </c>
      <c r="D557" t="s">
        <v>624</v>
      </c>
      <c r="E557" s="5">
        <v>45812.958333333343</v>
      </c>
      <c r="F557">
        <v>28.953588199999999</v>
      </c>
      <c r="G557">
        <v>77.762294100000005</v>
      </c>
      <c r="H557" t="s">
        <v>772</v>
      </c>
      <c r="I557">
        <v>12</v>
      </c>
      <c r="J557">
        <v>91</v>
      </c>
      <c r="K557">
        <v>35</v>
      </c>
    </row>
    <row r="558" spans="1:11" x14ac:dyDescent="0.3">
      <c r="A558" t="s">
        <v>11</v>
      </c>
      <c r="B558" t="s">
        <v>36</v>
      </c>
      <c r="C558" t="s">
        <v>230</v>
      </c>
      <c r="D558" t="s">
        <v>624</v>
      </c>
      <c r="E558" s="5">
        <v>45812.958333333343</v>
      </c>
      <c r="F558">
        <v>28.953588199999999</v>
      </c>
      <c r="G558">
        <v>77.762294100000005</v>
      </c>
      <c r="H558" t="s">
        <v>776</v>
      </c>
      <c r="I558">
        <v>19</v>
      </c>
      <c r="J558">
        <v>104</v>
      </c>
      <c r="K558">
        <v>44</v>
      </c>
    </row>
    <row r="559" spans="1:11" x14ac:dyDescent="0.3">
      <c r="A559" t="s">
        <v>11</v>
      </c>
      <c r="B559" t="s">
        <v>36</v>
      </c>
      <c r="C559" t="s">
        <v>232</v>
      </c>
      <c r="D559" t="s">
        <v>625</v>
      </c>
      <c r="E559" s="5">
        <v>45812.958333333343</v>
      </c>
      <c r="F559">
        <v>28.544760799999999</v>
      </c>
      <c r="G559">
        <v>77.323125700000006</v>
      </c>
      <c r="H559" t="s">
        <v>772</v>
      </c>
      <c r="I559">
        <v>10</v>
      </c>
      <c r="J559">
        <v>111</v>
      </c>
      <c r="K559">
        <v>65</v>
      </c>
    </row>
    <row r="560" spans="1:11" x14ac:dyDescent="0.3">
      <c r="A560" t="s">
        <v>11</v>
      </c>
      <c r="B560" t="s">
        <v>36</v>
      </c>
      <c r="C560" t="s">
        <v>232</v>
      </c>
      <c r="D560" t="s">
        <v>625</v>
      </c>
      <c r="E560" s="5">
        <v>45812.958333333343</v>
      </c>
      <c r="F560">
        <v>28.544760799999999</v>
      </c>
      <c r="G560">
        <v>77.323125700000006</v>
      </c>
      <c r="H560" t="s">
        <v>770</v>
      </c>
      <c r="I560">
        <v>1</v>
      </c>
      <c r="J560">
        <v>159</v>
      </c>
      <c r="K560">
        <v>81</v>
      </c>
    </row>
    <row r="561" spans="1:11" x14ac:dyDescent="0.3">
      <c r="A561" t="s">
        <v>11</v>
      </c>
      <c r="B561" t="s">
        <v>36</v>
      </c>
      <c r="C561" t="s">
        <v>231</v>
      </c>
      <c r="D561" t="s">
        <v>626</v>
      </c>
      <c r="E561" s="5">
        <v>45812.958333333343</v>
      </c>
      <c r="F561">
        <v>28.802624999999999</v>
      </c>
      <c r="G561">
        <v>78.753727999999995</v>
      </c>
      <c r="H561" t="s">
        <v>772</v>
      </c>
      <c r="I561">
        <v>27</v>
      </c>
      <c r="J561">
        <v>27</v>
      </c>
      <c r="K561">
        <v>27</v>
      </c>
    </row>
    <row r="562" spans="1:11" x14ac:dyDescent="0.3">
      <c r="A562" t="s">
        <v>11</v>
      </c>
      <c r="B562" t="s">
        <v>36</v>
      </c>
      <c r="C562" t="s">
        <v>232</v>
      </c>
      <c r="D562" t="s">
        <v>627</v>
      </c>
      <c r="E562" s="5">
        <v>45812.958333333343</v>
      </c>
      <c r="F562">
        <v>28.569230000000001</v>
      </c>
      <c r="G562">
        <v>77.393848000000006</v>
      </c>
      <c r="H562" t="s">
        <v>776</v>
      </c>
      <c r="I562">
        <v>4</v>
      </c>
      <c r="J562">
        <v>151</v>
      </c>
      <c r="K562">
        <v>150</v>
      </c>
    </row>
    <row r="563" spans="1:11" x14ac:dyDescent="0.3">
      <c r="A563" t="s">
        <v>11</v>
      </c>
      <c r="B563" t="s">
        <v>36</v>
      </c>
      <c r="C563" t="s">
        <v>233</v>
      </c>
      <c r="D563" t="s">
        <v>628</v>
      </c>
      <c r="E563" s="5">
        <v>45812.958333333343</v>
      </c>
      <c r="F563">
        <v>25.425602000000001</v>
      </c>
      <c r="G563">
        <v>81.917152000000002</v>
      </c>
      <c r="H563" t="s">
        <v>773</v>
      </c>
      <c r="I563">
        <v>5</v>
      </c>
      <c r="J563">
        <v>5</v>
      </c>
      <c r="K563">
        <v>5</v>
      </c>
    </row>
    <row r="564" spans="1:11" x14ac:dyDescent="0.3">
      <c r="A564" t="s">
        <v>11</v>
      </c>
      <c r="B564" t="s">
        <v>36</v>
      </c>
      <c r="C564" t="s">
        <v>234</v>
      </c>
      <c r="D564" t="s">
        <v>629</v>
      </c>
      <c r="E564" s="5">
        <v>45812.958333333343</v>
      </c>
      <c r="F564">
        <v>25.323930000000001</v>
      </c>
      <c r="G564">
        <v>82.996870000000001</v>
      </c>
      <c r="H564" t="s">
        <v>771</v>
      </c>
      <c r="I564">
        <v>39</v>
      </c>
      <c r="J564">
        <v>215</v>
      </c>
      <c r="K564">
        <v>120</v>
      </c>
    </row>
    <row r="565" spans="1:11" x14ac:dyDescent="0.3">
      <c r="A565" t="s">
        <v>11</v>
      </c>
      <c r="B565" t="s">
        <v>36</v>
      </c>
      <c r="C565" t="s">
        <v>234</v>
      </c>
      <c r="D565" t="s">
        <v>629</v>
      </c>
      <c r="E565" s="5">
        <v>45812.958333333343</v>
      </c>
      <c r="F565">
        <v>25.323930000000001</v>
      </c>
      <c r="G565">
        <v>82.996870000000001</v>
      </c>
      <c r="H565" t="s">
        <v>772</v>
      </c>
      <c r="I565">
        <v>2</v>
      </c>
      <c r="J565">
        <v>4</v>
      </c>
      <c r="K565">
        <v>2</v>
      </c>
    </row>
    <row r="566" spans="1:11" x14ac:dyDescent="0.3">
      <c r="A566" t="s">
        <v>11</v>
      </c>
      <c r="B566" t="s">
        <v>36</v>
      </c>
      <c r="C566" t="s">
        <v>235</v>
      </c>
      <c r="D566" t="s">
        <v>630</v>
      </c>
      <c r="E566" s="5">
        <v>45812.958333333343</v>
      </c>
      <c r="F566">
        <v>27.571408999999999</v>
      </c>
      <c r="G566">
        <v>77.655756999999994</v>
      </c>
      <c r="H566" t="s">
        <v>774</v>
      </c>
      <c r="I566">
        <v>29</v>
      </c>
      <c r="J566">
        <v>34</v>
      </c>
      <c r="K566">
        <v>31</v>
      </c>
    </row>
    <row r="567" spans="1:11" x14ac:dyDescent="0.3">
      <c r="A567" t="s">
        <v>11</v>
      </c>
      <c r="B567" t="s">
        <v>37</v>
      </c>
      <c r="C567" t="s">
        <v>236</v>
      </c>
      <c r="D567" t="s">
        <v>631</v>
      </c>
      <c r="E567" s="5">
        <v>45812.958333333343</v>
      </c>
      <c r="F567">
        <v>30.269444</v>
      </c>
      <c r="G567">
        <v>78.044167000000002</v>
      </c>
      <c r="H567" t="s">
        <v>771</v>
      </c>
      <c r="I567">
        <v>64</v>
      </c>
      <c r="J567">
        <v>150</v>
      </c>
      <c r="K567">
        <v>96</v>
      </c>
    </row>
    <row r="568" spans="1:11" x14ac:dyDescent="0.3">
      <c r="A568" t="s">
        <v>11</v>
      </c>
      <c r="B568" t="s">
        <v>37</v>
      </c>
      <c r="C568" t="s">
        <v>236</v>
      </c>
      <c r="D568" t="s">
        <v>631</v>
      </c>
      <c r="E568" s="5">
        <v>45812.958333333343</v>
      </c>
      <c r="F568">
        <v>30.269444</v>
      </c>
      <c r="G568">
        <v>78.044167000000002</v>
      </c>
      <c r="H568" t="s">
        <v>776</v>
      </c>
      <c r="I568">
        <v>13</v>
      </c>
      <c r="J568">
        <v>27</v>
      </c>
      <c r="K568">
        <v>19</v>
      </c>
    </row>
    <row r="569" spans="1:11" x14ac:dyDescent="0.3">
      <c r="A569" t="s">
        <v>11</v>
      </c>
      <c r="B569" t="s">
        <v>37</v>
      </c>
      <c r="C569" t="s">
        <v>237</v>
      </c>
      <c r="D569" t="s">
        <v>632</v>
      </c>
      <c r="E569" s="5">
        <v>45812.958333333343</v>
      </c>
      <c r="F569">
        <v>29.212411400000001</v>
      </c>
      <c r="G569">
        <v>78.961175299999994</v>
      </c>
      <c r="H569" t="s">
        <v>771</v>
      </c>
      <c r="I569">
        <v>65</v>
      </c>
      <c r="J569">
        <v>154</v>
      </c>
      <c r="K569">
        <v>102</v>
      </c>
    </row>
    <row r="570" spans="1:11" x14ac:dyDescent="0.3">
      <c r="A570" t="s">
        <v>11</v>
      </c>
      <c r="B570" t="s">
        <v>38</v>
      </c>
      <c r="C570" t="s">
        <v>238</v>
      </c>
      <c r="D570" t="s">
        <v>633</v>
      </c>
      <c r="E570" s="5">
        <v>45812.958333333343</v>
      </c>
      <c r="F570">
        <v>23.508763999999999</v>
      </c>
      <c r="G570">
        <v>87.354439999999997</v>
      </c>
      <c r="H570" t="s">
        <v>772</v>
      </c>
      <c r="I570">
        <v>8</v>
      </c>
      <c r="J570">
        <v>32</v>
      </c>
      <c r="K570">
        <v>19</v>
      </c>
    </row>
    <row r="571" spans="1:11" x14ac:dyDescent="0.3">
      <c r="A571" t="s">
        <v>11</v>
      </c>
      <c r="B571" t="s">
        <v>38</v>
      </c>
      <c r="C571" t="s">
        <v>238</v>
      </c>
      <c r="D571" t="s">
        <v>633</v>
      </c>
      <c r="E571" s="5">
        <v>45812.958333333343</v>
      </c>
      <c r="F571">
        <v>23.508763999999999</v>
      </c>
      <c r="G571">
        <v>87.354439999999997</v>
      </c>
      <c r="H571" t="s">
        <v>774</v>
      </c>
      <c r="I571">
        <v>4</v>
      </c>
      <c r="J571">
        <v>23</v>
      </c>
      <c r="K571">
        <v>12</v>
      </c>
    </row>
    <row r="572" spans="1:11" x14ac:dyDescent="0.3">
      <c r="A572" t="s">
        <v>11</v>
      </c>
      <c r="B572" t="s">
        <v>38</v>
      </c>
      <c r="C572" t="s">
        <v>238</v>
      </c>
      <c r="D572" t="s">
        <v>633</v>
      </c>
      <c r="E572" s="5">
        <v>45812.958333333343</v>
      </c>
      <c r="F572">
        <v>23.508763999999999</v>
      </c>
      <c r="G572">
        <v>87.354439999999997</v>
      </c>
      <c r="H572" t="s">
        <v>770</v>
      </c>
      <c r="I572">
        <v>12</v>
      </c>
      <c r="J572">
        <v>96</v>
      </c>
      <c r="K572">
        <v>63</v>
      </c>
    </row>
    <row r="573" spans="1:11" x14ac:dyDescent="0.3">
      <c r="A573" t="s">
        <v>11</v>
      </c>
      <c r="B573" t="s">
        <v>38</v>
      </c>
      <c r="C573" t="s">
        <v>239</v>
      </c>
      <c r="D573" t="s">
        <v>634</v>
      </c>
      <c r="E573" s="5">
        <v>45812.958333333343</v>
      </c>
      <c r="F573">
        <v>22.060469999999999</v>
      </c>
      <c r="G573">
        <v>88.109736999999996</v>
      </c>
      <c r="H573" t="s">
        <v>774</v>
      </c>
      <c r="I573">
        <v>5</v>
      </c>
      <c r="J573">
        <v>24</v>
      </c>
      <c r="K573">
        <v>15</v>
      </c>
    </row>
    <row r="574" spans="1:11" x14ac:dyDescent="0.3">
      <c r="A574" t="s">
        <v>11</v>
      </c>
      <c r="B574" t="s">
        <v>38</v>
      </c>
      <c r="C574" t="s">
        <v>239</v>
      </c>
      <c r="D574" t="s">
        <v>634</v>
      </c>
      <c r="E574" s="5">
        <v>45812.958333333343</v>
      </c>
      <c r="F574">
        <v>22.060469999999999</v>
      </c>
      <c r="G574">
        <v>88.109736999999996</v>
      </c>
      <c r="H574" t="s">
        <v>776</v>
      </c>
      <c r="I574">
        <v>23</v>
      </c>
      <c r="J574">
        <v>31</v>
      </c>
      <c r="K574">
        <v>24</v>
      </c>
    </row>
    <row r="575" spans="1:11" x14ac:dyDescent="0.3">
      <c r="A575" t="s">
        <v>11</v>
      </c>
      <c r="B575" t="s">
        <v>38</v>
      </c>
      <c r="C575" t="s">
        <v>240</v>
      </c>
      <c r="D575" t="s">
        <v>635</v>
      </c>
      <c r="E575" s="5">
        <v>45812.958333333343</v>
      </c>
      <c r="F575">
        <v>22.629801</v>
      </c>
      <c r="G575">
        <v>88.352017000000004</v>
      </c>
      <c r="H575" t="s">
        <v>771</v>
      </c>
      <c r="I575">
        <v>49</v>
      </c>
      <c r="J575">
        <v>111</v>
      </c>
      <c r="K575">
        <v>71</v>
      </c>
    </row>
    <row r="576" spans="1:11" x14ac:dyDescent="0.3">
      <c r="A576" t="s">
        <v>11</v>
      </c>
      <c r="B576" t="s">
        <v>38</v>
      </c>
      <c r="C576" t="s">
        <v>241</v>
      </c>
      <c r="D576" t="s">
        <v>636</v>
      </c>
      <c r="E576" s="5">
        <v>45812.958333333343</v>
      </c>
      <c r="F576">
        <v>23.697935999999999</v>
      </c>
      <c r="G576">
        <v>86.944395</v>
      </c>
      <c r="H576" t="s">
        <v>775</v>
      </c>
      <c r="I576">
        <v>62</v>
      </c>
      <c r="J576">
        <v>271</v>
      </c>
      <c r="K576">
        <v>130</v>
      </c>
    </row>
    <row r="577" spans="1:11" x14ac:dyDescent="0.3">
      <c r="A577" t="s">
        <v>11</v>
      </c>
      <c r="B577" t="s">
        <v>38</v>
      </c>
      <c r="C577" t="s">
        <v>241</v>
      </c>
      <c r="D577" t="s">
        <v>636</v>
      </c>
      <c r="E577" s="5">
        <v>45812.958333333343</v>
      </c>
      <c r="F577">
        <v>23.697935999999999</v>
      </c>
      <c r="G577">
        <v>86.944395</v>
      </c>
      <c r="H577" t="s">
        <v>770</v>
      </c>
      <c r="I577">
        <v>3</v>
      </c>
      <c r="J577">
        <v>79</v>
      </c>
      <c r="K577">
        <v>55</v>
      </c>
    </row>
    <row r="578" spans="1:11" x14ac:dyDescent="0.3">
      <c r="A578" t="s">
        <v>11</v>
      </c>
      <c r="B578" t="s">
        <v>38</v>
      </c>
      <c r="C578" t="s">
        <v>242</v>
      </c>
      <c r="D578" t="s">
        <v>637</v>
      </c>
      <c r="E578" s="5">
        <v>45812.958333333343</v>
      </c>
      <c r="F578">
        <v>22.760558100000001</v>
      </c>
      <c r="G578">
        <v>88.361758899999998</v>
      </c>
      <c r="H578" t="s">
        <v>771</v>
      </c>
      <c r="I578">
        <v>42</v>
      </c>
      <c r="J578">
        <v>101</v>
      </c>
      <c r="K578">
        <v>84</v>
      </c>
    </row>
    <row r="579" spans="1:11" x14ac:dyDescent="0.3">
      <c r="A579" t="s">
        <v>11</v>
      </c>
      <c r="B579" t="s">
        <v>38</v>
      </c>
      <c r="C579" t="s">
        <v>242</v>
      </c>
      <c r="D579" t="s">
        <v>637</v>
      </c>
      <c r="E579" s="5">
        <v>45812.958333333343</v>
      </c>
      <c r="F579">
        <v>22.760558100000001</v>
      </c>
      <c r="G579">
        <v>88.361758899999998</v>
      </c>
      <c r="H579" t="s">
        <v>770</v>
      </c>
      <c r="I579">
        <v>9</v>
      </c>
      <c r="J579">
        <v>66</v>
      </c>
      <c r="K579">
        <v>37</v>
      </c>
    </row>
    <row r="580" spans="1:11" x14ac:dyDescent="0.3">
      <c r="A580" t="s">
        <v>11</v>
      </c>
      <c r="B580" t="s">
        <v>38</v>
      </c>
      <c r="C580" t="s">
        <v>238</v>
      </c>
      <c r="D580" t="s">
        <v>638</v>
      </c>
      <c r="E580" s="5">
        <v>45812.958333333343</v>
      </c>
      <c r="F580">
        <v>23.567923</v>
      </c>
      <c r="G580">
        <v>87.306843000000001</v>
      </c>
      <c r="H580" t="s">
        <v>776</v>
      </c>
      <c r="I580">
        <v>37</v>
      </c>
      <c r="J580">
        <v>60</v>
      </c>
      <c r="K580">
        <v>41</v>
      </c>
    </row>
    <row r="581" spans="1:11" x14ac:dyDescent="0.3">
      <c r="A581" t="s">
        <v>11</v>
      </c>
      <c r="B581" t="s">
        <v>38</v>
      </c>
      <c r="C581" t="s">
        <v>240</v>
      </c>
      <c r="D581" t="s">
        <v>639</v>
      </c>
      <c r="E581" s="5">
        <v>45812.958333333343</v>
      </c>
      <c r="F581">
        <v>22.554953999999999</v>
      </c>
      <c r="G581">
        <v>88.292568000000003</v>
      </c>
      <c r="H581" t="s">
        <v>771</v>
      </c>
      <c r="I581">
        <v>34</v>
      </c>
      <c r="J581">
        <v>95</v>
      </c>
      <c r="K581">
        <v>73</v>
      </c>
    </row>
    <row r="582" spans="1:11" x14ac:dyDescent="0.3">
      <c r="A582" t="s">
        <v>11</v>
      </c>
      <c r="B582" t="s">
        <v>38</v>
      </c>
      <c r="C582" t="s">
        <v>240</v>
      </c>
      <c r="D582" t="s">
        <v>639</v>
      </c>
      <c r="E582" s="5">
        <v>45812.958333333343</v>
      </c>
      <c r="F582">
        <v>22.554953999999999</v>
      </c>
      <c r="G582">
        <v>88.292568000000003</v>
      </c>
      <c r="H582" t="s">
        <v>776</v>
      </c>
      <c r="I582">
        <v>26</v>
      </c>
      <c r="J582">
        <v>33</v>
      </c>
      <c r="K582">
        <v>29</v>
      </c>
    </row>
    <row r="583" spans="1:11" x14ac:dyDescent="0.3">
      <c r="A583" t="s">
        <v>11</v>
      </c>
      <c r="B583" t="s">
        <v>38</v>
      </c>
      <c r="C583" t="s">
        <v>240</v>
      </c>
      <c r="D583" t="s">
        <v>640</v>
      </c>
      <c r="E583" s="5">
        <v>45812.958333333343</v>
      </c>
      <c r="F583">
        <v>22.602557099999999</v>
      </c>
      <c r="G583">
        <v>88.310566399999999</v>
      </c>
      <c r="H583" t="s">
        <v>775</v>
      </c>
      <c r="I583">
        <v>6</v>
      </c>
      <c r="J583">
        <v>88</v>
      </c>
      <c r="K583">
        <v>43</v>
      </c>
    </row>
    <row r="584" spans="1:11" x14ac:dyDescent="0.3">
      <c r="A584" t="s">
        <v>11</v>
      </c>
      <c r="B584" t="s">
        <v>38</v>
      </c>
      <c r="C584" t="s">
        <v>240</v>
      </c>
      <c r="D584" t="s">
        <v>640</v>
      </c>
      <c r="E584" s="5">
        <v>45812.958333333343</v>
      </c>
      <c r="F584">
        <v>22.602557099999999</v>
      </c>
      <c r="G584">
        <v>88.310566399999999</v>
      </c>
      <c r="H584" t="s">
        <v>771</v>
      </c>
      <c r="I584">
        <v>27</v>
      </c>
      <c r="J584">
        <v>129</v>
      </c>
      <c r="K584">
        <v>78</v>
      </c>
    </row>
    <row r="585" spans="1:11" x14ac:dyDescent="0.3">
      <c r="A585" t="s">
        <v>11</v>
      </c>
      <c r="B585" t="s">
        <v>36</v>
      </c>
      <c r="C585" t="s">
        <v>234</v>
      </c>
      <c r="D585" t="s">
        <v>641</v>
      </c>
      <c r="E585" s="5">
        <v>45812.958333333343</v>
      </c>
      <c r="F585">
        <v>25.301777999999999</v>
      </c>
      <c r="G585">
        <v>82.996789000000007</v>
      </c>
      <c r="H585" t="s">
        <v>775</v>
      </c>
      <c r="I585">
        <v>9</v>
      </c>
      <c r="J585">
        <v>74</v>
      </c>
      <c r="K585">
        <v>40</v>
      </c>
    </row>
    <row r="586" spans="1:11" x14ac:dyDescent="0.3">
      <c r="A586" t="s">
        <v>11</v>
      </c>
      <c r="B586" t="s">
        <v>36</v>
      </c>
      <c r="C586" t="s">
        <v>234</v>
      </c>
      <c r="D586" t="s">
        <v>641</v>
      </c>
      <c r="E586" s="5">
        <v>45812.958333333343</v>
      </c>
      <c r="F586">
        <v>25.301777999999999</v>
      </c>
      <c r="G586">
        <v>82.996789000000007</v>
      </c>
      <c r="H586" t="s">
        <v>770</v>
      </c>
      <c r="I586">
        <v>3</v>
      </c>
      <c r="J586">
        <v>41</v>
      </c>
      <c r="K586">
        <v>30</v>
      </c>
    </row>
    <row r="587" spans="1:11" x14ac:dyDescent="0.3">
      <c r="A587" t="s">
        <v>11</v>
      </c>
      <c r="B587" t="s">
        <v>36</v>
      </c>
      <c r="C587" t="s">
        <v>234</v>
      </c>
      <c r="D587" t="s">
        <v>642</v>
      </c>
      <c r="E587" s="5">
        <v>45812.958333333343</v>
      </c>
      <c r="F587">
        <v>25.262326000000002</v>
      </c>
      <c r="G587">
        <v>82.995407999999998</v>
      </c>
      <c r="H587" t="s">
        <v>774</v>
      </c>
      <c r="I587">
        <v>15</v>
      </c>
      <c r="J587">
        <v>40</v>
      </c>
      <c r="K587">
        <v>22</v>
      </c>
    </row>
    <row r="588" spans="1:11" x14ac:dyDescent="0.3">
      <c r="A588" t="s">
        <v>11</v>
      </c>
      <c r="B588" t="s">
        <v>38</v>
      </c>
      <c r="C588" t="s">
        <v>241</v>
      </c>
      <c r="D588" t="s">
        <v>643</v>
      </c>
      <c r="E588" s="5">
        <v>45812.958333333343</v>
      </c>
      <c r="F588">
        <v>23.685296999999998</v>
      </c>
      <c r="G588">
        <v>86.945967999999993</v>
      </c>
      <c r="H588" t="s">
        <v>776</v>
      </c>
      <c r="I588">
        <v>29</v>
      </c>
      <c r="J588">
        <v>116</v>
      </c>
      <c r="K588">
        <v>44</v>
      </c>
    </row>
    <row r="589" spans="1:11" x14ac:dyDescent="0.3">
      <c r="A589" t="s">
        <v>11</v>
      </c>
      <c r="B589" t="s">
        <v>36</v>
      </c>
      <c r="C589" t="s">
        <v>234</v>
      </c>
      <c r="D589" t="s">
        <v>644</v>
      </c>
      <c r="E589" s="5">
        <v>45812.958333333343</v>
      </c>
      <c r="F589">
        <v>25.350598600000001</v>
      </c>
      <c r="G589">
        <v>82.908307399999998</v>
      </c>
      <c r="H589" t="s">
        <v>776</v>
      </c>
      <c r="I589">
        <v>4</v>
      </c>
      <c r="J589">
        <v>39</v>
      </c>
      <c r="K589">
        <v>9</v>
      </c>
    </row>
    <row r="590" spans="1:11" x14ac:dyDescent="0.3">
      <c r="A590" t="s">
        <v>11</v>
      </c>
      <c r="B590" t="s">
        <v>38</v>
      </c>
      <c r="C590" t="s">
        <v>243</v>
      </c>
      <c r="D590" t="s">
        <v>645</v>
      </c>
      <c r="E590" s="5">
        <v>45812.958333333343</v>
      </c>
      <c r="F590">
        <v>22.536750699999999</v>
      </c>
      <c r="G590">
        <v>88.363802199999995</v>
      </c>
      <c r="H590" t="s">
        <v>772</v>
      </c>
      <c r="I590">
        <v>14</v>
      </c>
      <c r="J590">
        <v>23</v>
      </c>
      <c r="K590">
        <v>18</v>
      </c>
    </row>
    <row r="591" spans="1:11" x14ac:dyDescent="0.3">
      <c r="A591" t="s">
        <v>11</v>
      </c>
      <c r="B591" t="s">
        <v>38</v>
      </c>
      <c r="C591" t="s">
        <v>243</v>
      </c>
      <c r="D591" t="s">
        <v>645</v>
      </c>
      <c r="E591" s="5">
        <v>45812.958333333343</v>
      </c>
      <c r="F591">
        <v>22.536750699999999</v>
      </c>
      <c r="G591">
        <v>88.363802199999995</v>
      </c>
      <c r="H591" t="s">
        <v>770</v>
      </c>
      <c r="I591">
        <v>13</v>
      </c>
      <c r="J591">
        <v>72</v>
      </c>
      <c r="K591">
        <v>35</v>
      </c>
    </row>
    <row r="592" spans="1:11" x14ac:dyDescent="0.3">
      <c r="A592" t="s">
        <v>11</v>
      </c>
      <c r="B592" t="s">
        <v>38</v>
      </c>
      <c r="C592" t="s">
        <v>243</v>
      </c>
      <c r="D592" t="s">
        <v>646</v>
      </c>
      <c r="E592" s="5">
        <v>45812.958333333343</v>
      </c>
      <c r="F592">
        <v>22.58157048</v>
      </c>
      <c r="G592">
        <v>88.410024570000004</v>
      </c>
      <c r="H592" t="s">
        <v>775</v>
      </c>
      <c r="I592">
        <v>34</v>
      </c>
      <c r="J592">
        <v>52</v>
      </c>
      <c r="K592">
        <v>42</v>
      </c>
    </row>
    <row r="593" spans="1:11" x14ac:dyDescent="0.3">
      <c r="A593" t="s">
        <v>11</v>
      </c>
      <c r="B593" t="s">
        <v>38</v>
      </c>
      <c r="C593" t="s">
        <v>243</v>
      </c>
      <c r="D593" t="s">
        <v>646</v>
      </c>
      <c r="E593" s="5">
        <v>45812.958333333343</v>
      </c>
      <c r="F593">
        <v>22.58157048</v>
      </c>
      <c r="G593">
        <v>88.410024570000004</v>
      </c>
      <c r="H593" t="s">
        <v>776</v>
      </c>
      <c r="I593">
        <v>21</v>
      </c>
      <c r="J593">
        <v>24</v>
      </c>
      <c r="K593">
        <v>22</v>
      </c>
    </row>
    <row r="594" spans="1:11" x14ac:dyDescent="0.3">
      <c r="A594" t="s">
        <v>11</v>
      </c>
      <c r="B594" t="s">
        <v>38</v>
      </c>
      <c r="C594" t="s">
        <v>243</v>
      </c>
      <c r="D594" t="s">
        <v>647</v>
      </c>
      <c r="E594" s="5">
        <v>45812.958333333343</v>
      </c>
      <c r="F594">
        <v>22.499289999999998</v>
      </c>
      <c r="G594">
        <v>88.369169999999997</v>
      </c>
      <c r="H594" t="s">
        <v>775</v>
      </c>
      <c r="I594">
        <v>60</v>
      </c>
      <c r="J594">
        <v>97</v>
      </c>
      <c r="K594">
        <v>80</v>
      </c>
    </row>
    <row r="595" spans="1:11" x14ac:dyDescent="0.3">
      <c r="A595" t="s">
        <v>11</v>
      </c>
      <c r="B595" t="s">
        <v>38</v>
      </c>
      <c r="C595" t="s">
        <v>243</v>
      </c>
      <c r="D595" t="s">
        <v>647</v>
      </c>
      <c r="E595" s="5">
        <v>45812.958333333343</v>
      </c>
      <c r="F595">
        <v>22.499289999999998</v>
      </c>
      <c r="G595">
        <v>88.369169999999997</v>
      </c>
      <c r="H595" t="s">
        <v>770</v>
      </c>
      <c r="I595">
        <v>15</v>
      </c>
      <c r="J595">
        <v>83</v>
      </c>
      <c r="K595">
        <v>42</v>
      </c>
    </row>
    <row r="596" spans="1:11" x14ac:dyDescent="0.3">
      <c r="A596" t="s">
        <v>11</v>
      </c>
      <c r="B596" t="s">
        <v>38</v>
      </c>
      <c r="C596" t="s">
        <v>243</v>
      </c>
      <c r="D596" t="s">
        <v>648</v>
      </c>
      <c r="E596" s="5">
        <v>45812.958333333343</v>
      </c>
      <c r="F596">
        <v>22.627846999999999</v>
      </c>
      <c r="G596">
        <v>88.380668999999997</v>
      </c>
      <c r="H596" t="s">
        <v>771</v>
      </c>
      <c r="I596">
        <v>34</v>
      </c>
      <c r="J596">
        <v>79</v>
      </c>
      <c r="K596">
        <v>60</v>
      </c>
    </row>
    <row r="597" spans="1:11" x14ac:dyDescent="0.3">
      <c r="A597" t="s">
        <v>11</v>
      </c>
      <c r="B597" t="s">
        <v>38</v>
      </c>
      <c r="C597" t="s">
        <v>243</v>
      </c>
      <c r="D597" t="s">
        <v>648</v>
      </c>
      <c r="E597" s="5">
        <v>45812.958333333343</v>
      </c>
      <c r="F597">
        <v>22.627846999999999</v>
      </c>
      <c r="G597">
        <v>88.380668999999997</v>
      </c>
      <c r="H597" t="s">
        <v>774</v>
      </c>
      <c r="I597">
        <v>10</v>
      </c>
      <c r="J597">
        <v>13</v>
      </c>
      <c r="K597">
        <v>11</v>
      </c>
    </row>
    <row r="598" spans="1:11" x14ac:dyDescent="0.3">
      <c r="A598" t="s">
        <v>11</v>
      </c>
      <c r="B598" t="s">
        <v>38</v>
      </c>
      <c r="C598" t="s">
        <v>243</v>
      </c>
      <c r="D598" t="s">
        <v>648</v>
      </c>
      <c r="E598" s="5">
        <v>45812.958333333343</v>
      </c>
      <c r="F598">
        <v>22.627846999999999</v>
      </c>
      <c r="G598">
        <v>88.380668999999997</v>
      </c>
      <c r="H598" t="s">
        <v>776</v>
      </c>
      <c r="I598">
        <v>24</v>
      </c>
      <c r="J598">
        <v>28</v>
      </c>
      <c r="K598">
        <v>25</v>
      </c>
    </row>
    <row r="599" spans="1:11" x14ac:dyDescent="0.3">
      <c r="A599" t="s">
        <v>11</v>
      </c>
      <c r="B599" t="s">
        <v>38</v>
      </c>
      <c r="C599" t="s">
        <v>243</v>
      </c>
      <c r="D599" t="s">
        <v>649</v>
      </c>
      <c r="E599" s="5">
        <v>45812.958333333343</v>
      </c>
      <c r="F599">
        <v>22.511060000000001</v>
      </c>
      <c r="G599">
        <v>88.351420000000005</v>
      </c>
      <c r="H599" t="s">
        <v>774</v>
      </c>
      <c r="I599">
        <v>3</v>
      </c>
      <c r="J599">
        <v>37</v>
      </c>
      <c r="K599">
        <v>16</v>
      </c>
    </row>
    <row r="600" spans="1:11" x14ac:dyDescent="0.3">
      <c r="A600" t="s">
        <v>11</v>
      </c>
      <c r="B600" t="s">
        <v>38</v>
      </c>
      <c r="C600" t="s">
        <v>243</v>
      </c>
      <c r="D600" t="s">
        <v>649</v>
      </c>
      <c r="E600" s="5">
        <v>45812.958333333343</v>
      </c>
      <c r="F600">
        <v>22.511060000000001</v>
      </c>
      <c r="G600">
        <v>88.351420000000005</v>
      </c>
      <c r="H600" t="s">
        <v>770</v>
      </c>
      <c r="I600">
        <v>16</v>
      </c>
      <c r="J600">
        <v>127</v>
      </c>
      <c r="K600">
        <v>54</v>
      </c>
    </row>
    <row r="601" spans="1:11" x14ac:dyDescent="0.3">
      <c r="A601" t="s">
        <v>11</v>
      </c>
      <c r="B601" t="s">
        <v>38</v>
      </c>
      <c r="C601" t="s">
        <v>243</v>
      </c>
      <c r="D601" t="s">
        <v>650</v>
      </c>
      <c r="E601" s="5">
        <v>45812.958333333343</v>
      </c>
      <c r="F601">
        <v>22.544808199999999</v>
      </c>
      <c r="G601">
        <v>88.340369100000004</v>
      </c>
      <c r="H601" t="s">
        <v>772</v>
      </c>
      <c r="I601">
        <v>24</v>
      </c>
      <c r="J601">
        <v>29</v>
      </c>
      <c r="K601">
        <v>26</v>
      </c>
    </row>
    <row r="602" spans="1:11" x14ac:dyDescent="0.3">
      <c r="A602" t="s">
        <v>11</v>
      </c>
      <c r="B602" t="s">
        <v>38</v>
      </c>
      <c r="C602" t="s">
        <v>243</v>
      </c>
      <c r="D602" t="s">
        <v>650</v>
      </c>
      <c r="E602" s="5">
        <v>45812.958333333343</v>
      </c>
      <c r="F602">
        <v>22.544808199999999</v>
      </c>
      <c r="G602">
        <v>88.340369100000004</v>
      </c>
      <c r="H602" t="s">
        <v>776</v>
      </c>
      <c r="I602">
        <v>14</v>
      </c>
      <c r="J602">
        <v>57</v>
      </c>
      <c r="K602">
        <v>35</v>
      </c>
    </row>
    <row r="603" spans="1:11" x14ac:dyDescent="0.3">
      <c r="A603" t="s">
        <v>11</v>
      </c>
      <c r="B603" t="s">
        <v>38</v>
      </c>
      <c r="C603" t="s">
        <v>244</v>
      </c>
      <c r="D603" t="s">
        <v>651</v>
      </c>
      <c r="E603" s="5">
        <v>45812.958333333343</v>
      </c>
      <c r="F603">
        <v>26.6879226</v>
      </c>
      <c r="G603">
        <v>88.415249500000002</v>
      </c>
      <c r="H603" t="s">
        <v>774</v>
      </c>
      <c r="I603">
        <v>15</v>
      </c>
      <c r="J603">
        <v>19</v>
      </c>
      <c r="K603">
        <v>17</v>
      </c>
    </row>
    <row r="604" spans="1:11" x14ac:dyDescent="0.3">
      <c r="A604" t="s">
        <v>11</v>
      </c>
      <c r="B604" t="s">
        <v>38</v>
      </c>
      <c r="C604" t="s">
        <v>244</v>
      </c>
      <c r="D604" t="s">
        <v>651</v>
      </c>
      <c r="E604" s="5">
        <v>45812.958333333343</v>
      </c>
      <c r="F604">
        <v>26.6879226</v>
      </c>
      <c r="G604">
        <v>88.415249500000002</v>
      </c>
      <c r="H604" t="s">
        <v>776</v>
      </c>
      <c r="I604">
        <v>40</v>
      </c>
      <c r="J604">
        <v>100</v>
      </c>
      <c r="K604">
        <v>51</v>
      </c>
    </row>
    <row r="605" spans="1:11" x14ac:dyDescent="0.3">
      <c r="A605" t="s">
        <v>11</v>
      </c>
      <c r="B605" t="s">
        <v>38</v>
      </c>
      <c r="C605" t="s">
        <v>244</v>
      </c>
      <c r="D605" t="s">
        <v>651</v>
      </c>
      <c r="E605" s="5">
        <v>45812.958333333343</v>
      </c>
      <c r="F605">
        <v>26.6879226</v>
      </c>
      <c r="G605">
        <v>88.415249500000002</v>
      </c>
      <c r="H605" t="s">
        <v>770</v>
      </c>
      <c r="I605">
        <v>14</v>
      </c>
      <c r="J605">
        <v>55</v>
      </c>
      <c r="K605">
        <v>44</v>
      </c>
    </row>
    <row r="606" spans="1:11" x14ac:dyDescent="0.3">
      <c r="A606" t="s">
        <v>11</v>
      </c>
      <c r="B606" t="s">
        <v>14</v>
      </c>
      <c r="C606" t="s">
        <v>245</v>
      </c>
      <c r="D606" t="s">
        <v>652</v>
      </c>
      <c r="E606" s="5">
        <v>45812.958333333343</v>
      </c>
      <c r="F606">
        <v>16.987286699999999</v>
      </c>
      <c r="G606">
        <v>81.736317600000007</v>
      </c>
      <c r="H606" t="s">
        <v>770</v>
      </c>
      <c r="I606">
        <v>6</v>
      </c>
      <c r="J606">
        <v>9</v>
      </c>
      <c r="K606">
        <v>7</v>
      </c>
    </row>
    <row r="607" spans="1:11" x14ac:dyDescent="0.3">
      <c r="A607" t="s">
        <v>11</v>
      </c>
      <c r="B607" t="s">
        <v>14</v>
      </c>
      <c r="C607" t="s">
        <v>53</v>
      </c>
      <c r="D607" t="s">
        <v>302</v>
      </c>
      <c r="E607" s="5">
        <v>45812.958333333343</v>
      </c>
      <c r="F607">
        <v>13.67</v>
      </c>
      <c r="G607">
        <v>79.349999999999994</v>
      </c>
      <c r="H607" t="s">
        <v>772</v>
      </c>
      <c r="I607">
        <v>12</v>
      </c>
      <c r="J607">
        <v>25</v>
      </c>
      <c r="K607">
        <v>18</v>
      </c>
    </row>
    <row r="608" spans="1:11" x14ac:dyDescent="0.3">
      <c r="A608" t="s">
        <v>11</v>
      </c>
      <c r="B608" t="s">
        <v>14</v>
      </c>
      <c r="C608" t="s">
        <v>53</v>
      </c>
      <c r="D608" t="s">
        <v>302</v>
      </c>
      <c r="E608" s="5">
        <v>45812.958333333343</v>
      </c>
      <c r="F608">
        <v>13.67</v>
      </c>
      <c r="G608">
        <v>79.349999999999994</v>
      </c>
      <c r="H608" t="s">
        <v>774</v>
      </c>
      <c r="I608">
        <v>3</v>
      </c>
      <c r="J608">
        <v>13</v>
      </c>
      <c r="K608">
        <v>7</v>
      </c>
    </row>
    <row r="609" spans="1:11" x14ac:dyDescent="0.3">
      <c r="A609" t="s">
        <v>11</v>
      </c>
      <c r="B609" t="s">
        <v>14</v>
      </c>
      <c r="C609" t="s">
        <v>54</v>
      </c>
      <c r="D609" t="s">
        <v>303</v>
      </c>
      <c r="E609" s="5">
        <v>45812.958333333343</v>
      </c>
      <c r="F609">
        <v>13.615387</v>
      </c>
      <c r="G609">
        <v>79.409229999999994</v>
      </c>
      <c r="H609" t="s">
        <v>772</v>
      </c>
      <c r="I609">
        <v>3</v>
      </c>
      <c r="J609">
        <v>3</v>
      </c>
      <c r="K609">
        <v>3</v>
      </c>
    </row>
    <row r="610" spans="1:11" x14ac:dyDescent="0.3">
      <c r="A610" t="s">
        <v>11</v>
      </c>
      <c r="B610" t="s">
        <v>14</v>
      </c>
      <c r="C610" t="s">
        <v>54</v>
      </c>
      <c r="D610" t="s">
        <v>303</v>
      </c>
      <c r="E610" s="5">
        <v>45812.958333333343</v>
      </c>
      <c r="F610">
        <v>13.615387</v>
      </c>
      <c r="G610">
        <v>79.409229999999994</v>
      </c>
      <c r="H610" t="s">
        <v>773</v>
      </c>
      <c r="I610">
        <v>3</v>
      </c>
      <c r="J610">
        <v>3</v>
      </c>
      <c r="K610">
        <v>3</v>
      </c>
    </row>
    <row r="611" spans="1:11" x14ac:dyDescent="0.3">
      <c r="A611" t="s">
        <v>11</v>
      </c>
      <c r="B611" t="s">
        <v>14</v>
      </c>
      <c r="C611" t="s">
        <v>54</v>
      </c>
      <c r="D611" t="s">
        <v>303</v>
      </c>
      <c r="E611" s="5">
        <v>45812.958333333343</v>
      </c>
      <c r="F611">
        <v>13.615387</v>
      </c>
      <c r="G611">
        <v>79.409229999999994</v>
      </c>
      <c r="H611" t="s">
        <v>774</v>
      </c>
      <c r="I611">
        <v>10</v>
      </c>
      <c r="J611">
        <v>11</v>
      </c>
      <c r="K611">
        <v>10</v>
      </c>
    </row>
    <row r="612" spans="1:11" x14ac:dyDescent="0.3">
      <c r="A612" t="s">
        <v>11</v>
      </c>
      <c r="B612" t="s">
        <v>14</v>
      </c>
      <c r="C612" t="s">
        <v>50</v>
      </c>
      <c r="D612" t="s">
        <v>653</v>
      </c>
      <c r="E612" s="5">
        <v>45812.958333333343</v>
      </c>
      <c r="F612">
        <v>16.536107000000001</v>
      </c>
      <c r="G612">
        <v>80.594233000000003</v>
      </c>
      <c r="H612" t="s">
        <v>775</v>
      </c>
      <c r="I612">
        <v>47</v>
      </c>
      <c r="J612">
        <v>65</v>
      </c>
      <c r="K612">
        <v>54</v>
      </c>
    </row>
    <row r="613" spans="1:11" x14ac:dyDescent="0.3">
      <c r="A613" t="s">
        <v>11</v>
      </c>
      <c r="B613" t="s">
        <v>14</v>
      </c>
      <c r="C613" t="s">
        <v>50</v>
      </c>
      <c r="D613" t="s">
        <v>653</v>
      </c>
      <c r="E613" s="5">
        <v>45812.958333333343</v>
      </c>
      <c r="F613">
        <v>16.536107000000001</v>
      </c>
      <c r="G613">
        <v>80.594233000000003</v>
      </c>
      <c r="H613" t="s">
        <v>774</v>
      </c>
      <c r="I613">
        <v>6</v>
      </c>
      <c r="J613">
        <v>8</v>
      </c>
      <c r="K613">
        <v>7</v>
      </c>
    </row>
    <row r="614" spans="1:11" x14ac:dyDescent="0.3">
      <c r="A614" t="s">
        <v>11</v>
      </c>
      <c r="B614" t="s">
        <v>13</v>
      </c>
      <c r="C614" t="s">
        <v>48</v>
      </c>
      <c r="D614" t="s">
        <v>297</v>
      </c>
      <c r="E614" s="5">
        <v>45812.958333333343</v>
      </c>
      <c r="F614">
        <v>25.562609500000001</v>
      </c>
      <c r="G614">
        <v>84.663263999999998</v>
      </c>
      <c r="H614" t="s">
        <v>774</v>
      </c>
    </row>
    <row r="615" spans="1:11" x14ac:dyDescent="0.3">
      <c r="A615" t="s">
        <v>11</v>
      </c>
      <c r="B615" t="s">
        <v>13</v>
      </c>
      <c r="C615" t="s">
        <v>49</v>
      </c>
      <c r="D615" t="s">
        <v>298</v>
      </c>
      <c r="E615" s="5">
        <v>45812.958333333343</v>
      </c>
      <c r="F615">
        <v>24.757459999999998</v>
      </c>
      <c r="G615">
        <v>84.366208</v>
      </c>
      <c r="H615" t="s">
        <v>772</v>
      </c>
      <c r="I615">
        <v>2</v>
      </c>
      <c r="J615">
        <v>3</v>
      </c>
      <c r="K615">
        <v>2</v>
      </c>
    </row>
    <row r="616" spans="1:11" x14ac:dyDescent="0.3">
      <c r="A616" t="s">
        <v>11</v>
      </c>
      <c r="B616" t="s">
        <v>13</v>
      </c>
      <c r="C616" t="s">
        <v>49</v>
      </c>
      <c r="D616" t="s">
        <v>298</v>
      </c>
      <c r="E616" s="5">
        <v>45812.958333333343</v>
      </c>
      <c r="F616">
        <v>24.757459999999998</v>
      </c>
      <c r="G616">
        <v>84.366208</v>
      </c>
      <c r="H616" t="s">
        <v>774</v>
      </c>
      <c r="I616">
        <v>11</v>
      </c>
      <c r="J616">
        <v>19</v>
      </c>
      <c r="K616">
        <v>15</v>
      </c>
    </row>
    <row r="617" spans="1:11" x14ac:dyDescent="0.3">
      <c r="A617" t="s">
        <v>11</v>
      </c>
      <c r="B617" t="s">
        <v>13</v>
      </c>
      <c r="C617" t="s">
        <v>246</v>
      </c>
      <c r="D617" t="s">
        <v>654</v>
      </c>
      <c r="E617" s="5">
        <v>45812.958333333343</v>
      </c>
      <c r="F617">
        <v>25.427420229999999</v>
      </c>
      <c r="G617">
        <v>86.138860789999995</v>
      </c>
      <c r="H617" t="s">
        <v>771</v>
      </c>
      <c r="I617">
        <v>86</v>
      </c>
      <c r="J617">
        <v>211</v>
      </c>
      <c r="K617">
        <v>140</v>
      </c>
    </row>
    <row r="618" spans="1:11" x14ac:dyDescent="0.3">
      <c r="A618" t="s">
        <v>11</v>
      </c>
      <c r="B618" t="s">
        <v>13</v>
      </c>
      <c r="C618" t="s">
        <v>246</v>
      </c>
      <c r="D618" t="s">
        <v>654</v>
      </c>
      <c r="E618" s="5">
        <v>45812.958333333343</v>
      </c>
      <c r="F618">
        <v>25.427420229999999</v>
      </c>
      <c r="G618">
        <v>86.138860789999995</v>
      </c>
      <c r="H618" t="s">
        <v>773</v>
      </c>
      <c r="I618">
        <v>11</v>
      </c>
      <c r="J618">
        <v>11</v>
      </c>
      <c r="K618">
        <v>11</v>
      </c>
    </row>
    <row r="619" spans="1:11" x14ac:dyDescent="0.3">
      <c r="A619" t="s">
        <v>11</v>
      </c>
      <c r="B619" t="s">
        <v>14</v>
      </c>
      <c r="C619" t="s">
        <v>55</v>
      </c>
      <c r="D619" t="s">
        <v>305</v>
      </c>
      <c r="E619" s="5">
        <v>45812.958333333343</v>
      </c>
      <c r="F619">
        <v>14.675886</v>
      </c>
      <c r="G619">
        <v>77.593027000000006</v>
      </c>
      <c r="H619" t="s">
        <v>773</v>
      </c>
      <c r="I619">
        <v>6</v>
      </c>
      <c r="J619">
        <v>14</v>
      </c>
      <c r="K619">
        <v>9</v>
      </c>
    </row>
    <row r="620" spans="1:11" x14ac:dyDescent="0.3">
      <c r="A620" t="s">
        <v>11</v>
      </c>
      <c r="B620" t="s">
        <v>14</v>
      </c>
      <c r="C620" t="s">
        <v>56</v>
      </c>
      <c r="D620" t="s">
        <v>306</v>
      </c>
      <c r="E620" s="5">
        <v>45812.958333333343</v>
      </c>
      <c r="F620">
        <v>13.204879999999999</v>
      </c>
      <c r="G620">
        <v>79.097888999999995</v>
      </c>
      <c r="H620" t="s">
        <v>776</v>
      </c>
      <c r="I620">
        <v>7</v>
      </c>
      <c r="J620">
        <v>34</v>
      </c>
      <c r="K620">
        <v>9</v>
      </c>
    </row>
    <row r="621" spans="1:11" x14ac:dyDescent="0.3">
      <c r="A621" t="s">
        <v>11</v>
      </c>
      <c r="B621" t="s">
        <v>14</v>
      </c>
      <c r="C621" t="s">
        <v>247</v>
      </c>
      <c r="D621" t="s">
        <v>655</v>
      </c>
      <c r="E621" s="5">
        <v>45812.958333333343</v>
      </c>
      <c r="F621">
        <v>14.465052</v>
      </c>
      <c r="G621">
        <v>78.824186999999995</v>
      </c>
      <c r="H621" t="s">
        <v>773</v>
      </c>
      <c r="I621">
        <v>4</v>
      </c>
      <c r="J621">
        <v>5</v>
      </c>
      <c r="K621">
        <v>5</v>
      </c>
    </row>
    <row r="622" spans="1:11" x14ac:dyDescent="0.3">
      <c r="A622" t="s">
        <v>11</v>
      </c>
      <c r="B622" t="s">
        <v>14</v>
      </c>
      <c r="C622" t="s">
        <v>50</v>
      </c>
      <c r="D622" t="s">
        <v>304</v>
      </c>
      <c r="E622" s="5">
        <v>45812.958333333343</v>
      </c>
      <c r="F622">
        <v>16.486692000000001</v>
      </c>
      <c r="G622">
        <v>80.699436000000006</v>
      </c>
      <c r="H622" t="s">
        <v>770</v>
      </c>
      <c r="I622">
        <v>26</v>
      </c>
      <c r="J622">
        <v>43</v>
      </c>
      <c r="K622">
        <v>30</v>
      </c>
    </row>
    <row r="623" spans="1:11" x14ac:dyDescent="0.3">
      <c r="A623" t="s">
        <v>11</v>
      </c>
      <c r="B623" t="s">
        <v>14</v>
      </c>
      <c r="C623" t="s">
        <v>50</v>
      </c>
      <c r="D623" t="s">
        <v>656</v>
      </c>
      <c r="E623" s="5">
        <v>45812.958333333343</v>
      </c>
      <c r="F623">
        <v>16.509716999999998</v>
      </c>
      <c r="G623">
        <v>80.612222000000003</v>
      </c>
      <c r="H623" t="s">
        <v>775</v>
      </c>
      <c r="I623">
        <v>54</v>
      </c>
      <c r="J623">
        <v>82</v>
      </c>
      <c r="K623">
        <v>69</v>
      </c>
    </row>
    <row r="624" spans="1:11" x14ac:dyDescent="0.3">
      <c r="A624" t="s">
        <v>11</v>
      </c>
      <c r="B624" t="s">
        <v>14</v>
      </c>
      <c r="C624" t="s">
        <v>50</v>
      </c>
      <c r="D624" t="s">
        <v>656</v>
      </c>
      <c r="E624" s="5">
        <v>45812.958333333343</v>
      </c>
      <c r="F624">
        <v>16.509716999999998</v>
      </c>
      <c r="G624">
        <v>80.612222000000003</v>
      </c>
      <c r="H624" t="s">
        <v>773</v>
      </c>
      <c r="I624">
        <v>2</v>
      </c>
      <c r="J624">
        <v>5</v>
      </c>
      <c r="K624">
        <v>3</v>
      </c>
    </row>
    <row r="625" spans="1:11" x14ac:dyDescent="0.3">
      <c r="A625" t="s">
        <v>11</v>
      </c>
      <c r="B625" t="s">
        <v>13</v>
      </c>
      <c r="C625" t="s">
        <v>57</v>
      </c>
      <c r="D625" t="s">
        <v>307</v>
      </c>
      <c r="E625" s="5">
        <v>45812.958333333343</v>
      </c>
      <c r="F625">
        <v>26.803650000000001</v>
      </c>
      <c r="G625">
        <v>84.519540000000006</v>
      </c>
      <c r="H625" t="s">
        <v>770</v>
      </c>
      <c r="I625">
        <v>22</v>
      </c>
      <c r="J625">
        <v>29</v>
      </c>
      <c r="K625">
        <v>26</v>
      </c>
    </row>
    <row r="626" spans="1:11" x14ac:dyDescent="0.3">
      <c r="A626" t="s">
        <v>11</v>
      </c>
      <c r="B626" t="s">
        <v>13</v>
      </c>
      <c r="C626" t="s">
        <v>58</v>
      </c>
      <c r="D626" t="s">
        <v>657</v>
      </c>
      <c r="E626" s="5">
        <v>45812.958333333343</v>
      </c>
      <c r="F626">
        <v>25.251013</v>
      </c>
      <c r="G626">
        <v>86.989001000000002</v>
      </c>
      <c r="H626" t="s">
        <v>774</v>
      </c>
      <c r="I626">
        <v>28</v>
      </c>
      <c r="J626">
        <v>53</v>
      </c>
      <c r="K626">
        <v>41</v>
      </c>
    </row>
    <row r="627" spans="1:11" x14ac:dyDescent="0.3">
      <c r="A627" t="s">
        <v>11</v>
      </c>
      <c r="B627" t="s">
        <v>14</v>
      </c>
      <c r="C627" t="s">
        <v>248</v>
      </c>
      <c r="D627" t="s">
        <v>658</v>
      </c>
      <c r="E627" s="5">
        <v>45812.958333333343</v>
      </c>
      <c r="F627">
        <v>16.515083300000001</v>
      </c>
      <c r="G627">
        <v>80.518166699999995</v>
      </c>
      <c r="H627" t="s">
        <v>775</v>
      </c>
      <c r="I627">
        <v>10</v>
      </c>
      <c r="J627">
        <v>45</v>
      </c>
      <c r="K627">
        <v>26</v>
      </c>
    </row>
    <row r="628" spans="1:11" x14ac:dyDescent="0.3">
      <c r="A628" t="s">
        <v>11</v>
      </c>
      <c r="B628" t="s">
        <v>14</v>
      </c>
      <c r="C628" t="s">
        <v>248</v>
      </c>
      <c r="D628" t="s">
        <v>658</v>
      </c>
      <c r="E628" s="5">
        <v>45812.958333333343</v>
      </c>
      <c r="F628">
        <v>16.515083300000001</v>
      </c>
      <c r="G628">
        <v>80.518166699999995</v>
      </c>
      <c r="H628" t="s">
        <v>773</v>
      </c>
      <c r="I628">
        <v>1</v>
      </c>
      <c r="J628">
        <v>3</v>
      </c>
      <c r="K628">
        <v>2</v>
      </c>
    </row>
    <row r="629" spans="1:11" x14ac:dyDescent="0.3">
      <c r="A629" t="s">
        <v>11</v>
      </c>
      <c r="B629" t="s">
        <v>12</v>
      </c>
      <c r="C629" t="s">
        <v>59</v>
      </c>
      <c r="D629" t="s">
        <v>310</v>
      </c>
      <c r="E629" s="5">
        <v>45812.958333333343</v>
      </c>
      <c r="F629">
        <v>26.10887</v>
      </c>
      <c r="G629">
        <v>91.589544000000004</v>
      </c>
      <c r="H629" t="s">
        <v>772</v>
      </c>
      <c r="I629">
        <v>18</v>
      </c>
      <c r="J629">
        <v>23</v>
      </c>
      <c r="K629">
        <v>21</v>
      </c>
    </row>
    <row r="630" spans="1:11" x14ac:dyDescent="0.3">
      <c r="A630" t="s">
        <v>11</v>
      </c>
      <c r="B630" t="s">
        <v>12</v>
      </c>
      <c r="C630" t="s">
        <v>59</v>
      </c>
      <c r="D630" t="s">
        <v>310</v>
      </c>
      <c r="E630" s="5">
        <v>45812.958333333343</v>
      </c>
      <c r="F630">
        <v>26.10887</v>
      </c>
      <c r="G630">
        <v>91.589544000000004</v>
      </c>
      <c r="H630" t="s">
        <v>773</v>
      </c>
      <c r="I630">
        <v>15</v>
      </c>
      <c r="J630">
        <v>23</v>
      </c>
      <c r="K630">
        <v>17</v>
      </c>
    </row>
    <row r="631" spans="1:11" x14ac:dyDescent="0.3">
      <c r="A631" t="s">
        <v>11</v>
      </c>
      <c r="B631" t="s">
        <v>14</v>
      </c>
      <c r="C631" t="s">
        <v>51</v>
      </c>
      <c r="D631" t="s">
        <v>300</v>
      </c>
      <c r="E631" s="5">
        <v>45812.958333333343</v>
      </c>
      <c r="F631">
        <v>17.72</v>
      </c>
      <c r="G631">
        <v>83.3</v>
      </c>
      <c r="H631" t="s">
        <v>770</v>
      </c>
      <c r="I631">
        <v>8</v>
      </c>
      <c r="J631">
        <v>18</v>
      </c>
      <c r="K631">
        <v>11</v>
      </c>
    </row>
    <row r="632" spans="1:11" x14ac:dyDescent="0.3">
      <c r="A632" t="s">
        <v>11</v>
      </c>
      <c r="B632" t="s">
        <v>12</v>
      </c>
      <c r="C632" t="s">
        <v>46</v>
      </c>
      <c r="D632" t="s">
        <v>295</v>
      </c>
      <c r="E632" s="5">
        <v>45812.958333333343</v>
      </c>
      <c r="F632">
        <v>26.987634</v>
      </c>
      <c r="G632">
        <v>94.636573999999996</v>
      </c>
      <c r="H632" t="s">
        <v>771</v>
      </c>
      <c r="I632">
        <v>36</v>
      </c>
      <c r="J632">
        <v>95</v>
      </c>
      <c r="K632">
        <v>56</v>
      </c>
    </row>
    <row r="633" spans="1:11" x14ac:dyDescent="0.3">
      <c r="A633" t="s">
        <v>11</v>
      </c>
      <c r="B633" t="s">
        <v>12</v>
      </c>
      <c r="C633" t="s">
        <v>43</v>
      </c>
      <c r="D633" t="s">
        <v>292</v>
      </c>
      <c r="E633" s="5">
        <v>45812.958333333343</v>
      </c>
      <c r="F633">
        <v>26.349081999999999</v>
      </c>
      <c r="G633">
        <v>92.684489999999997</v>
      </c>
      <c r="H633" t="s">
        <v>774</v>
      </c>
      <c r="I633">
        <v>3</v>
      </c>
      <c r="J633">
        <v>23</v>
      </c>
      <c r="K633">
        <v>13</v>
      </c>
    </row>
    <row r="634" spans="1:11" x14ac:dyDescent="0.3">
      <c r="A634" t="s">
        <v>11</v>
      </c>
      <c r="B634" t="s">
        <v>13</v>
      </c>
      <c r="C634" t="s">
        <v>61</v>
      </c>
      <c r="D634" t="s">
        <v>313</v>
      </c>
      <c r="E634" s="5">
        <v>45812.958333333343</v>
      </c>
      <c r="F634">
        <v>25.596727000000001</v>
      </c>
      <c r="G634">
        <v>85.085623999999996</v>
      </c>
      <c r="H634" t="s">
        <v>776</v>
      </c>
      <c r="I634">
        <v>3</v>
      </c>
      <c r="J634">
        <v>103</v>
      </c>
      <c r="K634">
        <v>18</v>
      </c>
    </row>
    <row r="635" spans="1:11" x14ac:dyDescent="0.3">
      <c r="A635" t="s">
        <v>11</v>
      </c>
      <c r="B635" t="s">
        <v>13</v>
      </c>
      <c r="C635" t="s">
        <v>62</v>
      </c>
      <c r="D635" t="s">
        <v>314</v>
      </c>
      <c r="E635" s="5">
        <v>45812.958333333343</v>
      </c>
      <c r="F635">
        <v>25.366336</v>
      </c>
      <c r="G635">
        <v>87.117468000000002</v>
      </c>
      <c r="H635" t="s">
        <v>772</v>
      </c>
      <c r="I635">
        <v>16</v>
      </c>
      <c r="J635">
        <v>20</v>
      </c>
      <c r="K635">
        <v>19</v>
      </c>
    </row>
    <row r="636" spans="1:11" x14ac:dyDescent="0.3">
      <c r="A636" t="s">
        <v>11</v>
      </c>
      <c r="B636" t="s">
        <v>13</v>
      </c>
      <c r="C636" t="s">
        <v>63</v>
      </c>
      <c r="D636" t="s">
        <v>315</v>
      </c>
      <c r="E636" s="5">
        <v>45812.958333333343</v>
      </c>
      <c r="F636">
        <v>25.032800000000002</v>
      </c>
      <c r="G636">
        <v>85.419479999999993</v>
      </c>
      <c r="H636" t="s">
        <v>771</v>
      </c>
    </row>
    <row r="637" spans="1:11" x14ac:dyDescent="0.3">
      <c r="A637" t="s">
        <v>11</v>
      </c>
      <c r="B637" t="s">
        <v>13</v>
      </c>
      <c r="C637" t="s">
        <v>64</v>
      </c>
      <c r="D637" t="s">
        <v>316</v>
      </c>
      <c r="E637" s="5">
        <v>45812.958333333343</v>
      </c>
      <c r="F637">
        <v>25.892357000000001</v>
      </c>
      <c r="G637">
        <v>86.590325000000007</v>
      </c>
      <c r="H637" t="s">
        <v>771</v>
      </c>
      <c r="I637">
        <v>82</v>
      </c>
      <c r="J637">
        <v>189</v>
      </c>
      <c r="K637">
        <v>126</v>
      </c>
    </row>
    <row r="638" spans="1:11" x14ac:dyDescent="0.3">
      <c r="A638" t="s">
        <v>11</v>
      </c>
      <c r="B638" t="s">
        <v>13</v>
      </c>
      <c r="C638" t="s">
        <v>64</v>
      </c>
      <c r="D638" t="s">
        <v>316</v>
      </c>
      <c r="E638" s="5">
        <v>45812.958333333343</v>
      </c>
      <c r="F638">
        <v>25.892357000000001</v>
      </c>
      <c r="G638">
        <v>86.590325000000007</v>
      </c>
      <c r="H638" t="s">
        <v>773</v>
      </c>
      <c r="I638">
        <v>4</v>
      </c>
      <c r="J638">
        <v>4</v>
      </c>
      <c r="K638">
        <v>4</v>
      </c>
    </row>
    <row r="639" spans="1:11" x14ac:dyDescent="0.3">
      <c r="A639" t="s">
        <v>11</v>
      </c>
      <c r="B639" t="s">
        <v>13</v>
      </c>
      <c r="C639" t="s">
        <v>64</v>
      </c>
      <c r="D639" t="s">
        <v>316</v>
      </c>
      <c r="E639" s="5">
        <v>45812.958333333343</v>
      </c>
      <c r="F639">
        <v>25.892357000000001</v>
      </c>
      <c r="G639">
        <v>86.590325000000007</v>
      </c>
      <c r="H639" t="s">
        <v>776</v>
      </c>
      <c r="I639">
        <v>4</v>
      </c>
      <c r="J639">
        <v>58</v>
      </c>
      <c r="K639">
        <v>18</v>
      </c>
    </row>
    <row r="640" spans="1:11" x14ac:dyDescent="0.3">
      <c r="A640" t="s">
        <v>11</v>
      </c>
      <c r="B640" t="s">
        <v>13</v>
      </c>
      <c r="C640" t="s">
        <v>74</v>
      </c>
      <c r="D640" t="s">
        <v>330</v>
      </c>
      <c r="E640" s="5">
        <v>45812.958333333343</v>
      </c>
      <c r="F640">
        <v>25.859655</v>
      </c>
      <c r="G640">
        <v>85.779439999999994</v>
      </c>
      <c r="H640" t="s">
        <v>771</v>
      </c>
      <c r="I640">
        <v>55</v>
      </c>
      <c r="J640">
        <v>184</v>
      </c>
      <c r="K640">
        <v>114</v>
      </c>
    </row>
    <row r="641" spans="1:11" x14ac:dyDescent="0.3">
      <c r="A641" t="s">
        <v>11</v>
      </c>
      <c r="B641" t="s">
        <v>13</v>
      </c>
      <c r="C641" t="s">
        <v>74</v>
      </c>
      <c r="D641" t="s">
        <v>330</v>
      </c>
      <c r="E641" s="5">
        <v>45812.958333333343</v>
      </c>
      <c r="F641">
        <v>25.859655</v>
      </c>
      <c r="G641">
        <v>85.779439999999994</v>
      </c>
      <c r="H641" t="s">
        <v>772</v>
      </c>
      <c r="I641">
        <v>1</v>
      </c>
      <c r="J641">
        <v>2</v>
      </c>
      <c r="K641">
        <v>1</v>
      </c>
    </row>
    <row r="642" spans="1:11" x14ac:dyDescent="0.3">
      <c r="A642" t="s">
        <v>11</v>
      </c>
      <c r="B642" t="s">
        <v>13</v>
      </c>
      <c r="C642" t="s">
        <v>74</v>
      </c>
      <c r="D642" t="s">
        <v>330</v>
      </c>
      <c r="E642" s="5">
        <v>45812.958333333343</v>
      </c>
      <c r="F642">
        <v>25.859655</v>
      </c>
      <c r="G642">
        <v>85.779439999999994</v>
      </c>
      <c r="H642" t="s">
        <v>773</v>
      </c>
      <c r="I642">
        <v>2</v>
      </c>
      <c r="J642">
        <v>2</v>
      </c>
      <c r="K642">
        <v>2</v>
      </c>
    </row>
    <row r="643" spans="1:11" x14ac:dyDescent="0.3">
      <c r="A643" t="s">
        <v>11</v>
      </c>
      <c r="B643" t="s">
        <v>13</v>
      </c>
      <c r="C643" t="s">
        <v>71</v>
      </c>
      <c r="D643" t="s">
        <v>325</v>
      </c>
      <c r="E643" s="5">
        <v>45812.958333333343</v>
      </c>
      <c r="F643">
        <v>26.114419999999999</v>
      </c>
      <c r="G643">
        <v>85.398129999999995</v>
      </c>
      <c r="H643" t="s">
        <v>773</v>
      </c>
      <c r="I643">
        <v>10</v>
      </c>
      <c r="J643">
        <v>15</v>
      </c>
      <c r="K643">
        <v>12</v>
      </c>
    </row>
    <row r="644" spans="1:11" x14ac:dyDescent="0.3">
      <c r="A644" t="s">
        <v>11</v>
      </c>
      <c r="B644" t="s">
        <v>13</v>
      </c>
      <c r="C644" t="s">
        <v>71</v>
      </c>
      <c r="D644" t="s">
        <v>659</v>
      </c>
      <c r="E644" s="5">
        <v>45812.958333333343</v>
      </c>
      <c r="F644">
        <v>26.140334500000002</v>
      </c>
      <c r="G644">
        <v>85.365019200000006</v>
      </c>
      <c r="H644" t="s">
        <v>772</v>
      </c>
      <c r="I644">
        <v>17</v>
      </c>
      <c r="J644">
        <v>17</v>
      </c>
      <c r="K644">
        <v>17</v>
      </c>
    </row>
    <row r="645" spans="1:11" x14ac:dyDescent="0.3">
      <c r="A645" t="s">
        <v>11</v>
      </c>
      <c r="B645" t="s">
        <v>13</v>
      </c>
      <c r="C645" t="s">
        <v>71</v>
      </c>
      <c r="D645" t="s">
        <v>660</v>
      </c>
      <c r="E645" s="5">
        <v>45812.958333333343</v>
      </c>
      <c r="F645">
        <v>26.120899999999999</v>
      </c>
      <c r="G645">
        <v>85.364699999999999</v>
      </c>
      <c r="H645" t="s">
        <v>775</v>
      </c>
      <c r="I645">
        <v>17</v>
      </c>
      <c r="J645">
        <v>75</v>
      </c>
      <c r="K645">
        <v>44</v>
      </c>
    </row>
    <row r="646" spans="1:11" x14ac:dyDescent="0.3">
      <c r="A646" t="s">
        <v>11</v>
      </c>
      <c r="B646" t="s">
        <v>13</v>
      </c>
      <c r="C646" t="s">
        <v>71</v>
      </c>
      <c r="D646" t="s">
        <v>660</v>
      </c>
      <c r="E646" s="5">
        <v>45812.958333333343</v>
      </c>
      <c r="F646">
        <v>26.120899999999999</v>
      </c>
      <c r="G646">
        <v>85.364699999999999</v>
      </c>
      <c r="H646" t="s">
        <v>772</v>
      </c>
      <c r="I646">
        <v>3</v>
      </c>
      <c r="J646">
        <v>9</v>
      </c>
      <c r="K646">
        <v>7</v>
      </c>
    </row>
    <row r="647" spans="1:11" x14ac:dyDescent="0.3">
      <c r="A647" t="s">
        <v>11</v>
      </c>
      <c r="B647" t="s">
        <v>13</v>
      </c>
      <c r="C647" t="s">
        <v>71</v>
      </c>
      <c r="D647" t="s">
        <v>660</v>
      </c>
      <c r="E647" s="5">
        <v>45812.958333333343</v>
      </c>
      <c r="F647">
        <v>26.120899999999999</v>
      </c>
      <c r="G647">
        <v>85.364699999999999</v>
      </c>
      <c r="H647" t="s">
        <v>776</v>
      </c>
      <c r="I647">
        <v>8</v>
      </c>
      <c r="J647">
        <v>24</v>
      </c>
      <c r="K647">
        <v>14</v>
      </c>
    </row>
    <row r="648" spans="1:11" x14ac:dyDescent="0.3">
      <c r="A648" t="s">
        <v>11</v>
      </c>
      <c r="B648" t="s">
        <v>13</v>
      </c>
      <c r="C648" t="s">
        <v>71</v>
      </c>
      <c r="D648" t="s">
        <v>660</v>
      </c>
      <c r="E648" s="5">
        <v>45812.958333333343</v>
      </c>
      <c r="F648">
        <v>26.120899999999999</v>
      </c>
      <c r="G648">
        <v>85.364699999999999</v>
      </c>
      <c r="H648" t="s">
        <v>770</v>
      </c>
      <c r="I648">
        <v>16</v>
      </c>
      <c r="J648">
        <v>93</v>
      </c>
      <c r="K648">
        <v>51</v>
      </c>
    </row>
    <row r="649" spans="1:11" x14ac:dyDescent="0.3">
      <c r="A649" t="s">
        <v>11</v>
      </c>
      <c r="B649" t="s">
        <v>13</v>
      </c>
      <c r="C649" t="s">
        <v>61</v>
      </c>
      <c r="D649" t="s">
        <v>326</v>
      </c>
      <c r="E649" s="5">
        <v>45812.958333333343</v>
      </c>
      <c r="F649">
        <v>25.586562000000001</v>
      </c>
      <c r="G649">
        <v>85.043586000000005</v>
      </c>
      <c r="H649" t="s">
        <v>775</v>
      </c>
      <c r="I649">
        <v>86</v>
      </c>
      <c r="J649">
        <v>400</v>
      </c>
      <c r="K649">
        <v>190</v>
      </c>
    </row>
    <row r="650" spans="1:11" x14ac:dyDescent="0.3">
      <c r="A650" t="s">
        <v>11</v>
      </c>
      <c r="B650" t="s">
        <v>13</v>
      </c>
      <c r="C650" t="s">
        <v>61</v>
      </c>
      <c r="D650" t="s">
        <v>326</v>
      </c>
      <c r="E650" s="5">
        <v>45812.958333333343</v>
      </c>
      <c r="F650">
        <v>25.586562000000001</v>
      </c>
      <c r="G650">
        <v>85.043586000000005</v>
      </c>
      <c r="H650" t="s">
        <v>772</v>
      </c>
      <c r="I650">
        <v>27</v>
      </c>
      <c r="J650">
        <v>35</v>
      </c>
      <c r="K650">
        <v>32</v>
      </c>
    </row>
    <row r="651" spans="1:11" x14ac:dyDescent="0.3">
      <c r="A651" t="s">
        <v>11</v>
      </c>
      <c r="B651" t="s">
        <v>13</v>
      </c>
      <c r="C651" t="s">
        <v>61</v>
      </c>
      <c r="D651" t="s">
        <v>661</v>
      </c>
      <c r="E651" s="5">
        <v>45812.958333333343</v>
      </c>
      <c r="F651">
        <v>25.610368999999999</v>
      </c>
      <c r="G651">
        <v>85.132568000000006</v>
      </c>
      <c r="H651" t="s">
        <v>770</v>
      </c>
      <c r="I651">
        <v>41</v>
      </c>
      <c r="J651">
        <v>43</v>
      </c>
      <c r="K651">
        <v>42</v>
      </c>
    </row>
    <row r="652" spans="1:11" x14ac:dyDescent="0.3">
      <c r="A652" t="s">
        <v>11</v>
      </c>
      <c r="B652" t="s">
        <v>13</v>
      </c>
      <c r="C652" t="s">
        <v>61</v>
      </c>
      <c r="D652" t="s">
        <v>322</v>
      </c>
      <c r="E652" s="5">
        <v>45812.958333333343</v>
      </c>
      <c r="F652">
        <v>25.619651000000001</v>
      </c>
      <c r="G652">
        <v>85.147381999999993</v>
      </c>
      <c r="H652" t="s">
        <v>770</v>
      </c>
      <c r="I652">
        <v>6</v>
      </c>
      <c r="J652">
        <v>41</v>
      </c>
      <c r="K652">
        <v>26</v>
      </c>
    </row>
    <row r="653" spans="1:11" x14ac:dyDescent="0.3">
      <c r="A653" t="s">
        <v>11</v>
      </c>
      <c r="B653" t="s">
        <v>13</v>
      </c>
      <c r="C653" t="s">
        <v>61</v>
      </c>
      <c r="D653" t="s">
        <v>323</v>
      </c>
      <c r="E653" s="5">
        <v>45812.958333333343</v>
      </c>
      <c r="F653">
        <v>25.599485999999999</v>
      </c>
      <c r="G653">
        <v>85.113665999999995</v>
      </c>
      <c r="H653" t="s">
        <v>774</v>
      </c>
      <c r="I653">
        <v>1</v>
      </c>
      <c r="J653">
        <v>3</v>
      </c>
      <c r="K653">
        <v>1</v>
      </c>
    </row>
    <row r="654" spans="1:11" x14ac:dyDescent="0.3">
      <c r="A654" t="s">
        <v>11</v>
      </c>
      <c r="B654" t="s">
        <v>13</v>
      </c>
      <c r="C654" t="s">
        <v>61</v>
      </c>
      <c r="D654" t="s">
        <v>313</v>
      </c>
      <c r="E654" s="5">
        <v>45812.958333333343</v>
      </c>
      <c r="F654">
        <v>25.596727000000001</v>
      </c>
      <c r="G654">
        <v>85.085623999999996</v>
      </c>
      <c r="H654" t="s">
        <v>775</v>
      </c>
      <c r="I654">
        <v>67</v>
      </c>
      <c r="J654">
        <v>275</v>
      </c>
      <c r="K654">
        <v>152</v>
      </c>
    </row>
    <row r="655" spans="1:11" x14ac:dyDescent="0.3">
      <c r="A655" t="s">
        <v>11</v>
      </c>
      <c r="B655" t="s">
        <v>13</v>
      </c>
      <c r="C655" t="s">
        <v>61</v>
      </c>
      <c r="D655" t="s">
        <v>313</v>
      </c>
      <c r="E655" s="5">
        <v>45812.958333333343</v>
      </c>
      <c r="F655">
        <v>25.596727000000001</v>
      </c>
      <c r="G655">
        <v>85.085623999999996</v>
      </c>
      <c r="H655" t="s">
        <v>772</v>
      </c>
      <c r="I655">
        <v>40</v>
      </c>
      <c r="J655">
        <v>51</v>
      </c>
      <c r="K655">
        <v>45</v>
      </c>
    </row>
    <row r="656" spans="1:11" x14ac:dyDescent="0.3">
      <c r="A656" t="s">
        <v>11</v>
      </c>
      <c r="B656" t="s">
        <v>13</v>
      </c>
      <c r="C656" t="s">
        <v>61</v>
      </c>
      <c r="D656" t="s">
        <v>313</v>
      </c>
      <c r="E656" s="5">
        <v>45812.958333333343</v>
      </c>
      <c r="F656">
        <v>25.596727000000001</v>
      </c>
      <c r="G656">
        <v>85.085623999999996</v>
      </c>
      <c r="H656" t="s">
        <v>773</v>
      </c>
      <c r="I656">
        <v>6</v>
      </c>
      <c r="J656">
        <v>7</v>
      </c>
      <c r="K656">
        <v>6</v>
      </c>
    </row>
    <row r="657" spans="1:11" x14ac:dyDescent="0.3">
      <c r="A657" t="s">
        <v>11</v>
      </c>
      <c r="B657" t="s">
        <v>13</v>
      </c>
      <c r="C657" t="s">
        <v>69</v>
      </c>
      <c r="D657" t="s">
        <v>662</v>
      </c>
      <c r="E657" s="5">
        <v>45812.958333333343</v>
      </c>
      <c r="F657">
        <v>24.762518</v>
      </c>
      <c r="G657">
        <v>84.982348000000002</v>
      </c>
      <c r="H657" t="s">
        <v>773</v>
      </c>
      <c r="I657">
        <v>3</v>
      </c>
      <c r="J657">
        <v>4</v>
      </c>
      <c r="K657">
        <v>3</v>
      </c>
    </row>
    <row r="658" spans="1:11" x14ac:dyDescent="0.3">
      <c r="A658" t="s">
        <v>11</v>
      </c>
      <c r="B658" t="s">
        <v>13</v>
      </c>
      <c r="C658" t="s">
        <v>72</v>
      </c>
      <c r="D658" t="s">
        <v>327</v>
      </c>
      <c r="E658" s="5">
        <v>45812.958333333343</v>
      </c>
      <c r="F658">
        <v>25.697189000000002</v>
      </c>
      <c r="G658">
        <v>85.245900000000006</v>
      </c>
      <c r="H658" t="s">
        <v>773</v>
      </c>
      <c r="I658">
        <v>6</v>
      </c>
      <c r="J658">
        <v>8</v>
      </c>
      <c r="K658">
        <v>7</v>
      </c>
    </row>
    <row r="659" spans="1:11" x14ac:dyDescent="0.3">
      <c r="A659" t="s">
        <v>11</v>
      </c>
      <c r="B659" t="s">
        <v>13</v>
      </c>
      <c r="C659" t="s">
        <v>72</v>
      </c>
      <c r="D659" t="s">
        <v>327</v>
      </c>
      <c r="E659" s="5">
        <v>45812.958333333343</v>
      </c>
      <c r="F659">
        <v>25.697189000000002</v>
      </c>
      <c r="G659">
        <v>85.245900000000006</v>
      </c>
      <c r="H659" t="s">
        <v>776</v>
      </c>
      <c r="I659">
        <v>20</v>
      </c>
      <c r="J659">
        <v>68</v>
      </c>
      <c r="K659">
        <v>25</v>
      </c>
    </row>
    <row r="660" spans="1:11" x14ac:dyDescent="0.3">
      <c r="A660" t="s">
        <v>11</v>
      </c>
      <c r="B660" t="s">
        <v>13</v>
      </c>
      <c r="C660" t="s">
        <v>72</v>
      </c>
      <c r="D660" t="s">
        <v>327</v>
      </c>
      <c r="E660" s="5">
        <v>45812.958333333343</v>
      </c>
      <c r="F660">
        <v>25.697189000000002</v>
      </c>
      <c r="G660">
        <v>85.245900000000006</v>
      </c>
      <c r="H660" t="s">
        <v>770</v>
      </c>
      <c r="I660">
        <v>20</v>
      </c>
      <c r="J660">
        <v>186</v>
      </c>
      <c r="K660">
        <v>117</v>
      </c>
    </row>
    <row r="661" spans="1:11" x14ac:dyDescent="0.3">
      <c r="A661" t="s">
        <v>11</v>
      </c>
      <c r="B661" t="s">
        <v>13</v>
      </c>
      <c r="C661" t="s">
        <v>73</v>
      </c>
      <c r="D661" t="s">
        <v>328</v>
      </c>
      <c r="E661" s="5">
        <v>45812.958333333343</v>
      </c>
      <c r="F661">
        <v>25.560082999999999</v>
      </c>
      <c r="G661">
        <v>87.553264999999996</v>
      </c>
      <c r="H661" t="s">
        <v>773</v>
      </c>
      <c r="I661">
        <v>1</v>
      </c>
      <c r="J661">
        <v>1</v>
      </c>
      <c r="K661">
        <v>1</v>
      </c>
    </row>
    <row r="662" spans="1:11" x14ac:dyDescent="0.3">
      <c r="A662" t="s">
        <v>11</v>
      </c>
      <c r="B662" t="s">
        <v>13</v>
      </c>
      <c r="C662" t="s">
        <v>249</v>
      </c>
      <c r="D662" t="s">
        <v>663</v>
      </c>
      <c r="E662" s="5">
        <v>45812.958333333343</v>
      </c>
      <c r="F662">
        <v>26.630859999999998</v>
      </c>
      <c r="G662">
        <v>84.900509999999997</v>
      </c>
      <c r="H662" t="s">
        <v>771</v>
      </c>
      <c r="I662">
        <v>20</v>
      </c>
      <c r="J662">
        <v>150</v>
      </c>
      <c r="K662">
        <v>69</v>
      </c>
    </row>
    <row r="663" spans="1:11" x14ac:dyDescent="0.3">
      <c r="A663" t="s">
        <v>11</v>
      </c>
      <c r="B663" t="s">
        <v>13</v>
      </c>
      <c r="C663" t="s">
        <v>249</v>
      </c>
      <c r="D663" t="s">
        <v>663</v>
      </c>
      <c r="E663" s="5">
        <v>45812.958333333343</v>
      </c>
      <c r="F663">
        <v>26.630859999999998</v>
      </c>
      <c r="G663">
        <v>84.900509999999997</v>
      </c>
      <c r="H663" t="s">
        <v>774</v>
      </c>
      <c r="I663">
        <v>12</v>
      </c>
      <c r="J663">
        <v>16</v>
      </c>
      <c r="K663">
        <v>14</v>
      </c>
    </row>
    <row r="664" spans="1:11" x14ac:dyDescent="0.3">
      <c r="A664" t="s">
        <v>11</v>
      </c>
      <c r="B664" t="s">
        <v>13</v>
      </c>
      <c r="C664" t="s">
        <v>249</v>
      </c>
      <c r="D664" t="s">
        <v>663</v>
      </c>
      <c r="E664" s="5">
        <v>45812.958333333343</v>
      </c>
      <c r="F664">
        <v>26.630859999999998</v>
      </c>
      <c r="G664">
        <v>84.900509999999997</v>
      </c>
      <c r="H664" t="s">
        <v>770</v>
      </c>
      <c r="I664">
        <v>12</v>
      </c>
      <c r="J664">
        <v>17</v>
      </c>
      <c r="K664">
        <v>15</v>
      </c>
    </row>
    <row r="665" spans="1:11" x14ac:dyDescent="0.3">
      <c r="A665" t="s">
        <v>11</v>
      </c>
      <c r="B665" t="s">
        <v>13</v>
      </c>
      <c r="C665" t="s">
        <v>67</v>
      </c>
      <c r="D665" t="s">
        <v>319</v>
      </c>
      <c r="E665" s="5">
        <v>45812.958333333343</v>
      </c>
      <c r="F665">
        <v>25.376776</v>
      </c>
      <c r="G665">
        <v>86.471523000000005</v>
      </c>
      <c r="H665" t="s">
        <v>770</v>
      </c>
      <c r="I665">
        <v>1</v>
      </c>
      <c r="J665">
        <v>7</v>
      </c>
      <c r="K665">
        <v>5</v>
      </c>
    </row>
    <row r="666" spans="1:11" x14ac:dyDescent="0.3">
      <c r="A666" t="s">
        <v>11</v>
      </c>
      <c r="B666" t="s">
        <v>13</v>
      </c>
      <c r="C666" t="s">
        <v>66</v>
      </c>
      <c r="D666" t="s">
        <v>318</v>
      </c>
      <c r="E666" s="5">
        <v>45812.958333333343</v>
      </c>
      <c r="F666">
        <v>27.308327999999999</v>
      </c>
      <c r="G666">
        <v>84.531741999999994</v>
      </c>
      <c r="H666" t="s">
        <v>771</v>
      </c>
      <c r="I666">
        <v>66</v>
      </c>
      <c r="J666">
        <v>228</v>
      </c>
      <c r="K666">
        <v>122</v>
      </c>
    </row>
    <row r="667" spans="1:11" x14ac:dyDescent="0.3">
      <c r="A667" t="s">
        <v>11</v>
      </c>
      <c r="B667" t="s">
        <v>13</v>
      </c>
      <c r="C667" t="s">
        <v>66</v>
      </c>
      <c r="D667" t="s">
        <v>318</v>
      </c>
      <c r="E667" s="5">
        <v>45812.958333333343</v>
      </c>
      <c r="F667">
        <v>27.308327999999999</v>
      </c>
      <c r="G667">
        <v>84.531741999999994</v>
      </c>
      <c r="H667" t="s">
        <v>772</v>
      </c>
      <c r="I667">
        <v>7</v>
      </c>
      <c r="J667">
        <v>13</v>
      </c>
      <c r="K667">
        <v>9</v>
      </c>
    </row>
    <row r="668" spans="1:11" x14ac:dyDescent="0.3">
      <c r="A668" t="s">
        <v>11</v>
      </c>
      <c r="B668" t="s">
        <v>13</v>
      </c>
      <c r="C668" t="s">
        <v>66</v>
      </c>
      <c r="D668" t="s">
        <v>318</v>
      </c>
      <c r="E668" s="5">
        <v>45812.958333333343</v>
      </c>
      <c r="F668">
        <v>27.308327999999999</v>
      </c>
      <c r="G668">
        <v>84.531741999999994</v>
      </c>
      <c r="H668" t="s">
        <v>773</v>
      </c>
      <c r="I668">
        <v>1</v>
      </c>
      <c r="J668">
        <v>2</v>
      </c>
      <c r="K668">
        <v>1</v>
      </c>
    </row>
    <row r="669" spans="1:11" x14ac:dyDescent="0.3">
      <c r="A669" t="s">
        <v>11</v>
      </c>
      <c r="B669" t="s">
        <v>13</v>
      </c>
      <c r="C669" t="s">
        <v>58</v>
      </c>
      <c r="D669" t="s">
        <v>308</v>
      </c>
      <c r="E669" s="5">
        <v>45812.958333333343</v>
      </c>
      <c r="F669">
        <v>25.265194000000001</v>
      </c>
      <c r="G669">
        <v>87.012946999999997</v>
      </c>
      <c r="H669" t="s">
        <v>776</v>
      </c>
      <c r="I669">
        <v>20</v>
      </c>
      <c r="J669">
        <v>35</v>
      </c>
      <c r="K669">
        <v>28</v>
      </c>
    </row>
    <row r="670" spans="1:11" x14ac:dyDescent="0.3">
      <c r="A670" t="s">
        <v>11</v>
      </c>
      <c r="B670" t="s">
        <v>13</v>
      </c>
      <c r="C670" t="s">
        <v>70</v>
      </c>
      <c r="D670" t="s">
        <v>324</v>
      </c>
      <c r="E670" s="5">
        <v>45812.958333333343</v>
      </c>
      <c r="F670">
        <v>25.567519999999998</v>
      </c>
      <c r="G670">
        <v>83.966379000000003</v>
      </c>
      <c r="H670" t="s">
        <v>773</v>
      </c>
      <c r="I670">
        <v>4</v>
      </c>
      <c r="J670">
        <v>4</v>
      </c>
      <c r="K670">
        <v>4</v>
      </c>
    </row>
    <row r="671" spans="1:11" x14ac:dyDescent="0.3">
      <c r="A671" t="s">
        <v>11</v>
      </c>
      <c r="B671" t="s">
        <v>13</v>
      </c>
      <c r="C671" t="s">
        <v>68</v>
      </c>
      <c r="D671" t="s">
        <v>320</v>
      </c>
      <c r="E671" s="5">
        <v>45812.958333333343</v>
      </c>
      <c r="F671">
        <v>25.780825700000001</v>
      </c>
      <c r="G671">
        <v>84.744676799999993</v>
      </c>
      <c r="H671" t="s">
        <v>771</v>
      </c>
    </row>
    <row r="672" spans="1:11" x14ac:dyDescent="0.3">
      <c r="A672" t="s">
        <v>11</v>
      </c>
      <c r="B672" t="s">
        <v>13</v>
      </c>
      <c r="C672" t="s">
        <v>58</v>
      </c>
      <c r="D672" t="s">
        <v>308</v>
      </c>
      <c r="E672" s="5">
        <v>45812.958333333343</v>
      </c>
      <c r="F672">
        <v>25.265194000000001</v>
      </c>
      <c r="G672">
        <v>87.012946999999997</v>
      </c>
      <c r="H672" t="s">
        <v>773</v>
      </c>
      <c r="I672">
        <v>4</v>
      </c>
      <c r="J672">
        <v>4</v>
      </c>
      <c r="K672">
        <v>4</v>
      </c>
    </row>
    <row r="673" spans="1:11" x14ac:dyDescent="0.3">
      <c r="A673" t="s">
        <v>11</v>
      </c>
      <c r="B673" t="s">
        <v>18</v>
      </c>
      <c r="C673" t="s">
        <v>18</v>
      </c>
      <c r="D673" t="s">
        <v>339</v>
      </c>
      <c r="E673" s="5">
        <v>45812.958333333343</v>
      </c>
      <c r="F673">
        <v>28.815328999999998</v>
      </c>
      <c r="G673">
        <v>77.153009999999995</v>
      </c>
      <c r="H673" t="s">
        <v>772</v>
      </c>
      <c r="I673">
        <v>22</v>
      </c>
      <c r="J673">
        <v>102</v>
      </c>
      <c r="K673">
        <v>55</v>
      </c>
    </row>
    <row r="674" spans="1:11" x14ac:dyDescent="0.3">
      <c r="A674" t="s">
        <v>11</v>
      </c>
      <c r="B674" t="s">
        <v>18</v>
      </c>
      <c r="C674" t="s">
        <v>18</v>
      </c>
      <c r="D674" t="s">
        <v>339</v>
      </c>
      <c r="E674" s="5">
        <v>45812.958333333343</v>
      </c>
      <c r="F674">
        <v>28.815328999999998</v>
      </c>
      <c r="G674">
        <v>77.153009999999995</v>
      </c>
      <c r="H674" t="s">
        <v>774</v>
      </c>
      <c r="I674">
        <v>7</v>
      </c>
      <c r="J674">
        <v>105</v>
      </c>
      <c r="K674">
        <v>34</v>
      </c>
    </row>
    <row r="675" spans="1:11" x14ac:dyDescent="0.3">
      <c r="A675" t="s">
        <v>11</v>
      </c>
      <c r="B675" t="s">
        <v>18</v>
      </c>
      <c r="C675" t="s">
        <v>18</v>
      </c>
      <c r="D675" t="s">
        <v>664</v>
      </c>
      <c r="E675" s="5">
        <v>45812.958333333343</v>
      </c>
      <c r="F675">
        <v>28.647621999999998</v>
      </c>
      <c r="G675">
        <v>77.315809000000002</v>
      </c>
      <c r="H675" t="s">
        <v>773</v>
      </c>
      <c r="I675">
        <v>1</v>
      </c>
      <c r="J675">
        <v>10</v>
      </c>
      <c r="K675">
        <v>6</v>
      </c>
    </row>
    <row r="676" spans="1:11" x14ac:dyDescent="0.3">
      <c r="A676" t="s">
        <v>11</v>
      </c>
      <c r="B676" t="s">
        <v>18</v>
      </c>
      <c r="C676" t="s">
        <v>18</v>
      </c>
      <c r="D676" t="s">
        <v>664</v>
      </c>
      <c r="E676" s="5">
        <v>45812.958333333343</v>
      </c>
      <c r="F676">
        <v>28.647621999999998</v>
      </c>
      <c r="G676">
        <v>77.315809000000002</v>
      </c>
      <c r="H676" t="s">
        <v>770</v>
      </c>
      <c r="I676">
        <v>1</v>
      </c>
      <c r="J676">
        <v>44</v>
      </c>
      <c r="K676">
        <v>20</v>
      </c>
    </row>
    <row r="677" spans="1:11" x14ac:dyDescent="0.3">
      <c r="A677" t="s">
        <v>11</v>
      </c>
      <c r="B677" t="s">
        <v>18</v>
      </c>
      <c r="C677" t="s">
        <v>18</v>
      </c>
      <c r="D677" t="s">
        <v>340</v>
      </c>
      <c r="E677" s="5">
        <v>45812.958333333343</v>
      </c>
      <c r="F677">
        <v>28.695381000000001</v>
      </c>
      <c r="G677">
        <v>77.181664999999995</v>
      </c>
      <c r="H677" t="s">
        <v>775</v>
      </c>
      <c r="I677">
        <v>50</v>
      </c>
      <c r="J677">
        <v>402</v>
      </c>
      <c r="K677">
        <v>216</v>
      </c>
    </row>
    <row r="678" spans="1:11" x14ac:dyDescent="0.3">
      <c r="A678" t="s">
        <v>11</v>
      </c>
      <c r="B678" t="s">
        <v>18</v>
      </c>
      <c r="C678" t="s">
        <v>18</v>
      </c>
      <c r="D678" t="s">
        <v>340</v>
      </c>
      <c r="E678" s="5">
        <v>45812.958333333343</v>
      </c>
      <c r="F678">
        <v>28.695381000000001</v>
      </c>
      <c r="G678">
        <v>77.181664999999995</v>
      </c>
      <c r="H678" t="s">
        <v>771</v>
      </c>
      <c r="I678">
        <v>103</v>
      </c>
      <c r="J678">
        <v>403</v>
      </c>
      <c r="K678">
        <v>219</v>
      </c>
    </row>
    <row r="679" spans="1:11" x14ac:dyDescent="0.3">
      <c r="A679" t="s">
        <v>11</v>
      </c>
      <c r="B679" t="s">
        <v>18</v>
      </c>
      <c r="C679" t="s">
        <v>18</v>
      </c>
      <c r="D679" t="s">
        <v>340</v>
      </c>
      <c r="E679" s="5">
        <v>45812.958333333343</v>
      </c>
      <c r="F679">
        <v>28.695381000000001</v>
      </c>
      <c r="G679">
        <v>77.181664999999995</v>
      </c>
      <c r="H679" t="s">
        <v>774</v>
      </c>
      <c r="I679">
        <v>13</v>
      </c>
      <c r="J679">
        <v>91</v>
      </c>
      <c r="K679">
        <v>39</v>
      </c>
    </row>
    <row r="680" spans="1:11" x14ac:dyDescent="0.3">
      <c r="A680" t="s">
        <v>11</v>
      </c>
      <c r="B680" t="s">
        <v>18</v>
      </c>
      <c r="C680" t="s">
        <v>18</v>
      </c>
      <c r="D680" t="s">
        <v>340</v>
      </c>
      <c r="E680" s="5">
        <v>45812.958333333343</v>
      </c>
      <c r="F680">
        <v>28.695381000000001</v>
      </c>
      <c r="G680">
        <v>77.181664999999995</v>
      </c>
      <c r="H680" t="s">
        <v>776</v>
      </c>
      <c r="I680">
        <v>11</v>
      </c>
      <c r="J680">
        <v>119</v>
      </c>
      <c r="K680">
        <v>48</v>
      </c>
    </row>
    <row r="681" spans="1:11" x14ac:dyDescent="0.3">
      <c r="A681" t="s">
        <v>11</v>
      </c>
      <c r="B681" t="s">
        <v>18</v>
      </c>
      <c r="C681" t="s">
        <v>18</v>
      </c>
      <c r="D681" t="s">
        <v>341</v>
      </c>
      <c r="E681" s="5">
        <v>45812.958333333343</v>
      </c>
      <c r="F681">
        <v>28.776199999999999</v>
      </c>
      <c r="G681">
        <v>77.051074</v>
      </c>
      <c r="H681" t="s">
        <v>772</v>
      </c>
      <c r="I681">
        <v>9</v>
      </c>
      <c r="J681">
        <v>99</v>
      </c>
      <c r="K681">
        <v>44</v>
      </c>
    </row>
    <row r="682" spans="1:11" x14ac:dyDescent="0.3">
      <c r="A682" t="s">
        <v>11</v>
      </c>
      <c r="B682" t="s">
        <v>16</v>
      </c>
      <c r="C682" t="s">
        <v>78</v>
      </c>
      <c r="D682" t="s">
        <v>334</v>
      </c>
      <c r="E682" s="5">
        <v>45812.958333333343</v>
      </c>
      <c r="F682">
        <v>22.368195</v>
      </c>
      <c r="G682">
        <v>82.746431000000001</v>
      </c>
      <c r="H682" t="s">
        <v>776</v>
      </c>
    </row>
    <row r="683" spans="1:11" x14ac:dyDescent="0.3">
      <c r="A683" t="s">
        <v>11</v>
      </c>
      <c r="B683" t="s">
        <v>16</v>
      </c>
      <c r="C683" t="s">
        <v>78</v>
      </c>
      <c r="D683" t="s">
        <v>335</v>
      </c>
      <c r="E683" s="5">
        <v>45812.958333333343</v>
      </c>
      <c r="F683">
        <v>22.348441000000001</v>
      </c>
      <c r="G683">
        <v>82.549610999999999</v>
      </c>
      <c r="H683" t="s">
        <v>776</v>
      </c>
      <c r="I683">
        <v>15</v>
      </c>
      <c r="J683">
        <v>101</v>
      </c>
      <c r="K683">
        <v>28</v>
      </c>
    </row>
    <row r="684" spans="1:11" x14ac:dyDescent="0.3">
      <c r="A684" t="s">
        <v>11</v>
      </c>
      <c r="B684" t="s">
        <v>16</v>
      </c>
      <c r="C684" t="s">
        <v>250</v>
      </c>
      <c r="D684" t="s">
        <v>665</v>
      </c>
      <c r="E684" s="5">
        <v>45812.958333333343</v>
      </c>
      <c r="F684">
        <v>22.126650000000001</v>
      </c>
      <c r="G684">
        <v>83.483211999999995</v>
      </c>
      <c r="H684" t="s">
        <v>771</v>
      </c>
      <c r="I684">
        <v>72</v>
      </c>
      <c r="J684">
        <v>242</v>
      </c>
      <c r="K684">
        <v>114</v>
      </c>
    </row>
    <row r="685" spans="1:11" x14ac:dyDescent="0.3">
      <c r="A685" t="s">
        <v>11</v>
      </c>
      <c r="B685" t="s">
        <v>16</v>
      </c>
      <c r="C685" t="s">
        <v>251</v>
      </c>
      <c r="D685" t="s">
        <v>666</v>
      </c>
      <c r="E685" s="5">
        <v>45812.958333333343</v>
      </c>
      <c r="F685">
        <v>22.191017200000001</v>
      </c>
      <c r="G685">
        <v>83.519700900000004</v>
      </c>
      <c r="H685" t="s">
        <v>771</v>
      </c>
      <c r="I685">
        <v>60</v>
      </c>
      <c r="J685">
        <v>166</v>
      </c>
      <c r="K685">
        <v>103</v>
      </c>
    </row>
    <row r="686" spans="1:11" x14ac:dyDescent="0.3">
      <c r="A686" t="s">
        <v>11</v>
      </c>
      <c r="B686" t="s">
        <v>16</v>
      </c>
      <c r="C686" t="s">
        <v>251</v>
      </c>
      <c r="D686" t="s">
        <v>666</v>
      </c>
      <c r="E686" s="5">
        <v>45812.958333333343</v>
      </c>
      <c r="F686">
        <v>22.191017200000001</v>
      </c>
      <c r="G686">
        <v>83.519700900000004</v>
      </c>
      <c r="H686" t="s">
        <v>772</v>
      </c>
      <c r="I686">
        <v>14</v>
      </c>
      <c r="J686">
        <v>89</v>
      </c>
      <c r="K686">
        <v>47</v>
      </c>
    </row>
    <row r="687" spans="1:11" x14ac:dyDescent="0.3">
      <c r="A687" t="s">
        <v>11</v>
      </c>
      <c r="B687" t="s">
        <v>17</v>
      </c>
      <c r="C687" t="s">
        <v>17</v>
      </c>
      <c r="D687" t="s">
        <v>667</v>
      </c>
      <c r="E687" s="5">
        <v>45812.958333333343</v>
      </c>
      <c r="F687">
        <v>30.751462</v>
      </c>
      <c r="G687">
        <v>76.762878999999998</v>
      </c>
      <c r="H687" t="s">
        <v>775</v>
      </c>
      <c r="I687">
        <v>39</v>
      </c>
      <c r="J687">
        <v>120</v>
      </c>
      <c r="K687">
        <v>80</v>
      </c>
    </row>
    <row r="688" spans="1:11" x14ac:dyDescent="0.3">
      <c r="A688" t="s">
        <v>11</v>
      </c>
      <c r="B688" t="s">
        <v>17</v>
      </c>
      <c r="C688" t="s">
        <v>17</v>
      </c>
      <c r="D688" t="s">
        <v>667</v>
      </c>
      <c r="E688" s="5">
        <v>45812.958333333343</v>
      </c>
      <c r="F688">
        <v>30.751462</v>
      </c>
      <c r="G688">
        <v>76.762878999999998</v>
      </c>
      <c r="H688" t="s">
        <v>774</v>
      </c>
      <c r="I688">
        <v>2</v>
      </c>
      <c r="J688">
        <v>8</v>
      </c>
      <c r="K688">
        <v>6</v>
      </c>
    </row>
    <row r="689" spans="1:11" x14ac:dyDescent="0.3">
      <c r="A689" t="s">
        <v>11</v>
      </c>
      <c r="B689" t="s">
        <v>17</v>
      </c>
      <c r="C689" t="s">
        <v>17</v>
      </c>
      <c r="D689" t="s">
        <v>667</v>
      </c>
      <c r="E689" s="5">
        <v>45812.958333333343</v>
      </c>
      <c r="F689">
        <v>30.751462</v>
      </c>
      <c r="G689">
        <v>76.762878999999998</v>
      </c>
      <c r="H689" t="s">
        <v>776</v>
      </c>
      <c r="I689">
        <v>11</v>
      </c>
      <c r="J689">
        <v>40</v>
      </c>
      <c r="K689">
        <v>17</v>
      </c>
    </row>
    <row r="690" spans="1:11" x14ac:dyDescent="0.3">
      <c r="A690" t="s">
        <v>11</v>
      </c>
      <c r="B690" t="s">
        <v>17</v>
      </c>
      <c r="C690" t="s">
        <v>17</v>
      </c>
      <c r="D690" t="s">
        <v>667</v>
      </c>
      <c r="E690" s="5">
        <v>45812.958333333343</v>
      </c>
      <c r="F690">
        <v>30.751462</v>
      </c>
      <c r="G690">
        <v>76.762878999999998</v>
      </c>
      <c r="H690" t="s">
        <v>770</v>
      </c>
      <c r="I690">
        <v>2</v>
      </c>
      <c r="J690">
        <v>80</v>
      </c>
      <c r="K690">
        <v>53</v>
      </c>
    </row>
    <row r="691" spans="1:11" x14ac:dyDescent="0.3">
      <c r="A691" t="s">
        <v>11</v>
      </c>
      <c r="B691" t="s">
        <v>16</v>
      </c>
      <c r="C691" t="s">
        <v>75</v>
      </c>
      <c r="D691" t="s">
        <v>668</v>
      </c>
      <c r="E691" s="5">
        <v>45812.958333333343</v>
      </c>
      <c r="F691">
        <v>21.194814999999998</v>
      </c>
      <c r="G691">
        <v>81.314769999999996</v>
      </c>
      <c r="H691" t="s">
        <v>773</v>
      </c>
      <c r="I691">
        <v>3</v>
      </c>
      <c r="J691">
        <v>4</v>
      </c>
      <c r="K691">
        <v>4</v>
      </c>
    </row>
    <row r="692" spans="1:11" x14ac:dyDescent="0.3">
      <c r="A692" t="s">
        <v>11</v>
      </c>
      <c r="B692" t="s">
        <v>13</v>
      </c>
      <c r="C692" t="s">
        <v>79</v>
      </c>
      <c r="D692" t="s">
        <v>336</v>
      </c>
      <c r="E692" s="5">
        <v>45812.958333333343</v>
      </c>
      <c r="F692">
        <v>24.952822000000001</v>
      </c>
      <c r="G692">
        <v>84.002396000000005</v>
      </c>
      <c r="H692" t="s">
        <v>773</v>
      </c>
      <c r="I692">
        <v>3</v>
      </c>
      <c r="J692">
        <v>3</v>
      </c>
      <c r="K692">
        <v>3</v>
      </c>
    </row>
    <row r="693" spans="1:11" x14ac:dyDescent="0.3">
      <c r="A693" t="s">
        <v>11</v>
      </c>
      <c r="B693" t="s">
        <v>13</v>
      </c>
      <c r="C693" t="s">
        <v>79</v>
      </c>
      <c r="D693" t="s">
        <v>336</v>
      </c>
      <c r="E693" s="5">
        <v>45812.958333333343</v>
      </c>
      <c r="F693">
        <v>24.952822000000001</v>
      </c>
      <c r="G693">
        <v>84.002396000000005</v>
      </c>
      <c r="H693" t="s">
        <v>770</v>
      </c>
      <c r="I693">
        <v>3</v>
      </c>
      <c r="J693">
        <v>15</v>
      </c>
      <c r="K693">
        <v>8</v>
      </c>
    </row>
    <row r="694" spans="1:11" x14ac:dyDescent="0.3">
      <c r="A694" t="s">
        <v>11</v>
      </c>
      <c r="B694" t="s">
        <v>13</v>
      </c>
      <c r="C694" t="s">
        <v>80</v>
      </c>
      <c r="D694" t="s">
        <v>337</v>
      </c>
      <c r="E694" s="5">
        <v>45812.958333333343</v>
      </c>
      <c r="F694">
        <v>26.227166499999999</v>
      </c>
      <c r="G694">
        <v>84.357042699999994</v>
      </c>
      <c r="H694" t="s">
        <v>775</v>
      </c>
    </row>
    <row r="695" spans="1:11" x14ac:dyDescent="0.3">
      <c r="A695" t="s">
        <v>11</v>
      </c>
      <c r="B695" t="s">
        <v>13</v>
      </c>
      <c r="C695" t="s">
        <v>80</v>
      </c>
      <c r="D695" t="s">
        <v>337</v>
      </c>
      <c r="E695" s="5">
        <v>45812.958333333343</v>
      </c>
      <c r="F695">
        <v>26.227166499999999</v>
      </c>
      <c r="G695">
        <v>84.357042699999994</v>
      </c>
      <c r="H695" t="s">
        <v>771</v>
      </c>
    </row>
    <row r="696" spans="1:11" x14ac:dyDescent="0.3">
      <c r="A696" t="s">
        <v>11</v>
      </c>
      <c r="B696" t="s">
        <v>13</v>
      </c>
      <c r="C696" t="s">
        <v>80</v>
      </c>
      <c r="D696" t="s">
        <v>337</v>
      </c>
      <c r="E696" s="5">
        <v>45812.958333333343</v>
      </c>
      <c r="F696">
        <v>26.227166499999999</v>
      </c>
      <c r="G696">
        <v>84.357042699999994</v>
      </c>
      <c r="H696" t="s">
        <v>770</v>
      </c>
      <c r="I696">
        <v>3</v>
      </c>
      <c r="J696">
        <v>103</v>
      </c>
      <c r="K696">
        <v>27</v>
      </c>
    </row>
    <row r="697" spans="1:11" x14ac:dyDescent="0.3">
      <c r="A697" t="s">
        <v>11</v>
      </c>
      <c r="B697" t="s">
        <v>16</v>
      </c>
      <c r="C697" t="s">
        <v>251</v>
      </c>
      <c r="D697" t="s">
        <v>666</v>
      </c>
      <c r="E697" s="5">
        <v>45812.958333333343</v>
      </c>
      <c r="F697">
        <v>22.191017200000001</v>
      </c>
      <c r="G697">
        <v>83.519700900000004</v>
      </c>
      <c r="H697" t="s">
        <v>770</v>
      </c>
      <c r="I697">
        <v>13</v>
      </c>
      <c r="J697">
        <v>35</v>
      </c>
      <c r="K697">
        <v>27</v>
      </c>
    </row>
    <row r="698" spans="1:11" x14ac:dyDescent="0.3">
      <c r="A698" t="s">
        <v>11</v>
      </c>
      <c r="B698" t="s">
        <v>16</v>
      </c>
      <c r="C698" t="s">
        <v>81</v>
      </c>
      <c r="D698" t="s">
        <v>347</v>
      </c>
      <c r="E698" s="5">
        <v>45812.958333333343</v>
      </c>
      <c r="F698">
        <v>21.258814999999998</v>
      </c>
      <c r="G698">
        <v>81.578979000000004</v>
      </c>
      <c r="H698" t="s">
        <v>773</v>
      </c>
      <c r="I698">
        <v>7</v>
      </c>
      <c r="J698">
        <v>7</v>
      </c>
      <c r="K698">
        <v>7</v>
      </c>
    </row>
    <row r="699" spans="1:11" x14ac:dyDescent="0.3">
      <c r="A699" t="s">
        <v>11</v>
      </c>
      <c r="B699" t="s">
        <v>16</v>
      </c>
      <c r="C699" t="s">
        <v>81</v>
      </c>
      <c r="D699" t="s">
        <v>348</v>
      </c>
      <c r="E699" s="5">
        <v>45812.958333333343</v>
      </c>
      <c r="F699">
        <v>21.219664999999999</v>
      </c>
      <c r="G699">
        <v>81.630094</v>
      </c>
      <c r="H699" t="s">
        <v>776</v>
      </c>
      <c r="I699">
        <v>20</v>
      </c>
      <c r="J699">
        <v>78</v>
      </c>
      <c r="K699">
        <v>33</v>
      </c>
    </row>
    <row r="700" spans="1:11" x14ac:dyDescent="0.3">
      <c r="A700" t="s">
        <v>11</v>
      </c>
      <c r="B700" t="s">
        <v>16</v>
      </c>
      <c r="C700" t="s">
        <v>75</v>
      </c>
      <c r="D700" t="s">
        <v>346</v>
      </c>
      <c r="E700" s="5">
        <v>45812.958333333343</v>
      </c>
      <c r="F700">
        <v>21.185570999999999</v>
      </c>
      <c r="G700">
        <v>81.343175000000002</v>
      </c>
      <c r="H700" t="s">
        <v>772</v>
      </c>
      <c r="I700">
        <v>6</v>
      </c>
      <c r="J700">
        <v>9</v>
      </c>
      <c r="K700">
        <v>8</v>
      </c>
    </row>
    <row r="701" spans="1:11" x14ac:dyDescent="0.3">
      <c r="A701" t="s">
        <v>11</v>
      </c>
      <c r="B701" t="s">
        <v>16</v>
      </c>
      <c r="C701" t="s">
        <v>75</v>
      </c>
      <c r="D701" t="s">
        <v>331</v>
      </c>
      <c r="E701" s="5">
        <v>45812.958333333343</v>
      </c>
      <c r="F701">
        <v>21.224231</v>
      </c>
      <c r="G701">
        <v>81.408349999999999</v>
      </c>
      <c r="H701" t="s">
        <v>773</v>
      </c>
      <c r="I701">
        <v>3</v>
      </c>
      <c r="J701">
        <v>5</v>
      </c>
      <c r="K701">
        <v>4</v>
      </c>
    </row>
    <row r="702" spans="1:11" x14ac:dyDescent="0.3">
      <c r="A702" t="s">
        <v>11</v>
      </c>
      <c r="B702" t="s">
        <v>16</v>
      </c>
      <c r="C702" t="s">
        <v>75</v>
      </c>
      <c r="D702" t="s">
        <v>331</v>
      </c>
      <c r="E702" s="5">
        <v>45812.958333333343</v>
      </c>
      <c r="F702">
        <v>21.224231</v>
      </c>
      <c r="G702">
        <v>81.408349999999999</v>
      </c>
      <c r="H702" t="s">
        <v>774</v>
      </c>
      <c r="I702">
        <v>7</v>
      </c>
      <c r="J702">
        <v>32</v>
      </c>
      <c r="K702">
        <v>16</v>
      </c>
    </row>
    <row r="703" spans="1:11" x14ac:dyDescent="0.3">
      <c r="A703" t="s">
        <v>11</v>
      </c>
      <c r="B703" t="s">
        <v>16</v>
      </c>
      <c r="C703" t="s">
        <v>75</v>
      </c>
      <c r="D703" t="s">
        <v>331</v>
      </c>
      <c r="E703" s="5">
        <v>45812.958333333343</v>
      </c>
      <c r="F703">
        <v>21.224231</v>
      </c>
      <c r="G703">
        <v>81.408349999999999</v>
      </c>
      <c r="H703" t="s">
        <v>770</v>
      </c>
      <c r="I703">
        <v>18</v>
      </c>
      <c r="J703">
        <v>35</v>
      </c>
      <c r="K703">
        <v>26</v>
      </c>
    </row>
    <row r="704" spans="1:11" x14ac:dyDescent="0.3">
      <c r="A704" t="s">
        <v>11</v>
      </c>
      <c r="B704" t="s">
        <v>16</v>
      </c>
      <c r="C704" t="s">
        <v>252</v>
      </c>
      <c r="D704" t="s">
        <v>669</v>
      </c>
      <c r="E704" s="5">
        <v>45812.958333333343</v>
      </c>
      <c r="F704">
        <v>22.06631475</v>
      </c>
      <c r="G704">
        <v>83.33820077</v>
      </c>
      <c r="H704" t="s">
        <v>771</v>
      </c>
      <c r="I704">
        <v>41</v>
      </c>
      <c r="J704">
        <v>435</v>
      </c>
      <c r="K704">
        <v>147</v>
      </c>
    </row>
    <row r="705" spans="1:11" x14ac:dyDescent="0.3">
      <c r="A705" t="s">
        <v>11</v>
      </c>
      <c r="B705" t="s">
        <v>16</v>
      </c>
      <c r="C705" t="s">
        <v>252</v>
      </c>
      <c r="D705" t="s">
        <v>669</v>
      </c>
      <c r="E705" s="5">
        <v>45812.958333333343</v>
      </c>
      <c r="F705">
        <v>22.06631475</v>
      </c>
      <c r="G705">
        <v>83.33820077</v>
      </c>
      <c r="H705" t="s">
        <v>772</v>
      </c>
      <c r="I705">
        <v>17</v>
      </c>
      <c r="J705">
        <v>87</v>
      </c>
      <c r="K705">
        <v>50</v>
      </c>
    </row>
    <row r="706" spans="1:11" x14ac:dyDescent="0.3">
      <c r="A706" t="s">
        <v>11</v>
      </c>
      <c r="B706" t="s">
        <v>16</v>
      </c>
      <c r="C706" t="s">
        <v>252</v>
      </c>
      <c r="D706" t="s">
        <v>669</v>
      </c>
      <c r="E706" s="5">
        <v>45812.958333333343</v>
      </c>
      <c r="F706">
        <v>22.06631475</v>
      </c>
      <c r="G706">
        <v>83.33820077</v>
      </c>
      <c r="H706" t="s">
        <v>774</v>
      </c>
      <c r="I706">
        <v>6</v>
      </c>
      <c r="J706">
        <v>10</v>
      </c>
      <c r="K706">
        <v>7</v>
      </c>
    </row>
    <row r="707" spans="1:11" x14ac:dyDescent="0.3">
      <c r="A707" t="s">
        <v>11</v>
      </c>
      <c r="B707" t="s">
        <v>16</v>
      </c>
      <c r="C707" t="s">
        <v>81</v>
      </c>
      <c r="D707" t="s">
        <v>350</v>
      </c>
      <c r="E707" s="5">
        <v>45812.958333333343</v>
      </c>
      <c r="F707">
        <v>21.371751</v>
      </c>
      <c r="G707">
        <v>81.664929000000001</v>
      </c>
      <c r="H707" t="s">
        <v>775</v>
      </c>
      <c r="I707">
        <v>46</v>
      </c>
      <c r="J707">
        <v>304</v>
      </c>
      <c r="K707">
        <v>101</v>
      </c>
    </row>
    <row r="708" spans="1:11" x14ac:dyDescent="0.3">
      <c r="A708" t="s">
        <v>11</v>
      </c>
      <c r="B708" t="s">
        <v>16</v>
      </c>
      <c r="C708" t="s">
        <v>81</v>
      </c>
      <c r="D708" t="s">
        <v>349</v>
      </c>
      <c r="E708" s="5">
        <v>45812.958333333343</v>
      </c>
      <c r="F708">
        <v>21.237755</v>
      </c>
      <c r="G708">
        <v>81.705301000000006</v>
      </c>
      <c r="H708" t="s">
        <v>771</v>
      </c>
      <c r="I708">
        <v>43</v>
      </c>
      <c r="J708">
        <v>69</v>
      </c>
      <c r="K708">
        <v>56</v>
      </c>
    </row>
    <row r="709" spans="1:11" x14ac:dyDescent="0.3">
      <c r="A709" t="s">
        <v>11</v>
      </c>
      <c r="B709" t="s">
        <v>18</v>
      </c>
      <c r="C709" t="s">
        <v>18</v>
      </c>
      <c r="D709" t="s">
        <v>670</v>
      </c>
      <c r="E709" s="5">
        <v>45812.958333333343</v>
      </c>
      <c r="F709">
        <v>28.725650399999999</v>
      </c>
      <c r="G709">
        <v>77.201157300000006</v>
      </c>
      <c r="H709" t="s">
        <v>772</v>
      </c>
      <c r="I709">
        <v>15</v>
      </c>
      <c r="J709">
        <v>25</v>
      </c>
      <c r="K709">
        <v>20</v>
      </c>
    </row>
    <row r="710" spans="1:11" x14ac:dyDescent="0.3">
      <c r="A710" t="s">
        <v>11</v>
      </c>
      <c r="B710" t="s">
        <v>18</v>
      </c>
      <c r="C710" t="s">
        <v>18</v>
      </c>
      <c r="D710" t="s">
        <v>342</v>
      </c>
      <c r="E710" s="5">
        <v>45812.958333333343</v>
      </c>
      <c r="F710">
        <v>28.5512005</v>
      </c>
      <c r="G710">
        <v>77.2735737</v>
      </c>
      <c r="H710" t="s">
        <v>771</v>
      </c>
      <c r="I710">
        <v>82</v>
      </c>
      <c r="J710">
        <v>415</v>
      </c>
      <c r="K710">
        <v>213</v>
      </c>
    </row>
    <row r="711" spans="1:11" x14ac:dyDescent="0.3">
      <c r="A711" t="s">
        <v>11</v>
      </c>
      <c r="B711" t="s">
        <v>18</v>
      </c>
      <c r="C711" t="s">
        <v>18</v>
      </c>
      <c r="D711" t="s">
        <v>343</v>
      </c>
      <c r="E711" s="5">
        <v>45812.958333333343</v>
      </c>
      <c r="F711">
        <v>28.656756000000001</v>
      </c>
      <c r="G711">
        <v>77.227233999999996</v>
      </c>
      <c r="H711" t="s">
        <v>775</v>
      </c>
      <c r="I711">
        <v>70</v>
      </c>
      <c r="J711">
        <v>245</v>
      </c>
      <c r="K711">
        <v>114</v>
      </c>
    </row>
    <row r="712" spans="1:11" x14ac:dyDescent="0.3">
      <c r="A712" t="s">
        <v>11</v>
      </c>
      <c r="B712" t="s">
        <v>18</v>
      </c>
      <c r="C712" t="s">
        <v>18</v>
      </c>
      <c r="D712" t="s">
        <v>343</v>
      </c>
      <c r="E712" s="5">
        <v>45812.958333333343</v>
      </c>
      <c r="F712">
        <v>28.656756000000001</v>
      </c>
      <c r="G712">
        <v>77.227233999999996</v>
      </c>
      <c r="H712" t="s">
        <v>771</v>
      </c>
      <c r="I712">
        <v>15</v>
      </c>
      <c r="J712">
        <v>276</v>
      </c>
      <c r="K712">
        <v>164</v>
      </c>
    </row>
    <row r="713" spans="1:11" x14ac:dyDescent="0.3">
      <c r="A713" t="s">
        <v>11</v>
      </c>
      <c r="B713" t="s">
        <v>18</v>
      </c>
      <c r="C713" t="s">
        <v>18</v>
      </c>
      <c r="D713" t="s">
        <v>671</v>
      </c>
      <c r="E713" s="5">
        <v>45812.958333333343</v>
      </c>
      <c r="F713">
        <v>28.7500499</v>
      </c>
      <c r="G713">
        <v>77.111261499999998</v>
      </c>
      <c r="H713" t="s">
        <v>771</v>
      </c>
      <c r="I713">
        <v>83</v>
      </c>
      <c r="J713">
        <v>453</v>
      </c>
      <c r="K713">
        <v>225</v>
      </c>
    </row>
    <row r="714" spans="1:11" x14ac:dyDescent="0.3">
      <c r="A714" t="s">
        <v>11</v>
      </c>
      <c r="B714" t="s">
        <v>18</v>
      </c>
      <c r="C714" t="s">
        <v>18</v>
      </c>
      <c r="D714" t="s">
        <v>671</v>
      </c>
      <c r="E714" s="5">
        <v>45812.958333333343</v>
      </c>
      <c r="F714">
        <v>28.7500499</v>
      </c>
      <c r="G714">
        <v>77.111261499999998</v>
      </c>
      <c r="H714" t="s">
        <v>772</v>
      </c>
      <c r="I714">
        <v>42</v>
      </c>
      <c r="J714">
        <v>55</v>
      </c>
      <c r="K714">
        <v>47</v>
      </c>
    </row>
    <row r="715" spans="1:11" x14ac:dyDescent="0.3">
      <c r="A715" t="s">
        <v>11</v>
      </c>
      <c r="B715" t="s">
        <v>18</v>
      </c>
      <c r="C715" t="s">
        <v>18</v>
      </c>
      <c r="D715" t="s">
        <v>671</v>
      </c>
      <c r="E715" s="5">
        <v>45812.958333333343</v>
      </c>
      <c r="F715">
        <v>28.7500499</v>
      </c>
      <c r="G715">
        <v>77.111261499999998</v>
      </c>
      <c r="H715" t="s">
        <v>776</v>
      </c>
      <c r="I715">
        <v>24</v>
      </c>
      <c r="J715">
        <v>49</v>
      </c>
      <c r="K715">
        <v>30</v>
      </c>
    </row>
    <row r="716" spans="1:11" x14ac:dyDescent="0.3">
      <c r="A716" t="s">
        <v>11</v>
      </c>
      <c r="B716" t="s">
        <v>18</v>
      </c>
      <c r="C716" t="s">
        <v>18</v>
      </c>
      <c r="D716" t="s">
        <v>672</v>
      </c>
      <c r="E716" s="5">
        <v>45812.958333333343</v>
      </c>
      <c r="F716">
        <v>28.571027399999998</v>
      </c>
      <c r="G716">
        <v>77.071900600000006</v>
      </c>
      <c r="H716" t="s">
        <v>772</v>
      </c>
      <c r="I716">
        <v>7</v>
      </c>
      <c r="J716">
        <v>27</v>
      </c>
      <c r="K716">
        <v>16</v>
      </c>
    </row>
    <row r="717" spans="1:11" x14ac:dyDescent="0.3">
      <c r="A717" t="s">
        <v>11</v>
      </c>
      <c r="B717" t="s">
        <v>18</v>
      </c>
      <c r="C717" t="s">
        <v>18</v>
      </c>
      <c r="D717" t="s">
        <v>672</v>
      </c>
      <c r="E717" s="5">
        <v>45812.958333333343</v>
      </c>
      <c r="F717">
        <v>28.571027399999998</v>
      </c>
      <c r="G717">
        <v>77.071900600000006</v>
      </c>
      <c r="H717" t="s">
        <v>773</v>
      </c>
      <c r="I717">
        <v>11</v>
      </c>
      <c r="J717">
        <v>22</v>
      </c>
      <c r="K717">
        <v>14</v>
      </c>
    </row>
    <row r="718" spans="1:11" x14ac:dyDescent="0.3">
      <c r="A718" t="s">
        <v>11</v>
      </c>
      <c r="B718" t="s">
        <v>18</v>
      </c>
      <c r="C718" t="s">
        <v>18</v>
      </c>
      <c r="D718" t="s">
        <v>361</v>
      </c>
      <c r="E718" s="5">
        <v>45812.958333333343</v>
      </c>
      <c r="F718">
        <v>28.684678000000002</v>
      </c>
      <c r="G718">
        <v>77.076573999999994</v>
      </c>
      <c r="H718" t="s">
        <v>772</v>
      </c>
      <c r="I718">
        <v>38</v>
      </c>
      <c r="J718">
        <v>103</v>
      </c>
      <c r="K718">
        <v>66</v>
      </c>
    </row>
    <row r="719" spans="1:11" x14ac:dyDescent="0.3">
      <c r="A719" t="s">
        <v>11</v>
      </c>
      <c r="B719" t="s">
        <v>18</v>
      </c>
      <c r="C719" t="s">
        <v>18</v>
      </c>
      <c r="D719" t="s">
        <v>362</v>
      </c>
      <c r="E719" s="5">
        <v>45812.958333333343</v>
      </c>
      <c r="F719">
        <v>28.609089999999998</v>
      </c>
      <c r="G719">
        <v>77.032541300000005</v>
      </c>
      <c r="H719" t="s">
        <v>771</v>
      </c>
      <c r="I719">
        <v>81</v>
      </c>
      <c r="J719">
        <v>437</v>
      </c>
      <c r="K719">
        <v>175</v>
      </c>
    </row>
    <row r="720" spans="1:11" x14ac:dyDescent="0.3">
      <c r="A720" t="s">
        <v>11</v>
      </c>
      <c r="B720" t="s">
        <v>18</v>
      </c>
      <c r="C720" t="s">
        <v>18</v>
      </c>
      <c r="D720" t="s">
        <v>362</v>
      </c>
      <c r="E720" s="5">
        <v>45812.958333333343</v>
      </c>
      <c r="F720">
        <v>28.609089999999998</v>
      </c>
      <c r="G720">
        <v>77.032541300000005</v>
      </c>
      <c r="H720" t="s">
        <v>772</v>
      </c>
      <c r="I720">
        <v>44</v>
      </c>
      <c r="J720">
        <v>47</v>
      </c>
      <c r="K720">
        <v>46</v>
      </c>
    </row>
    <row r="721" spans="1:11" x14ac:dyDescent="0.3">
      <c r="A721" t="s">
        <v>11</v>
      </c>
      <c r="B721" t="s">
        <v>18</v>
      </c>
      <c r="C721" t="s">
        <v>18</v>
      </c>
      <c r="D721" t="s">
        <v>363</v>
      </c>
      <c r="E721" s="5">
        <v>45812.958333333343</v>
      </c>
      <c r="F721">
        <v>28.570173</v>
      </c>
      <c r="G721">
        <v>76.933762000000002</v>
      </c>
      <c r="H721" t="s">
        <v>773</v>
      </c>
      <c r="I721">
        <v>8</v>
      </c>
      <c r="J721">
        <v>12</v>
      </c>
      <c r="K721">
        <v>10</v>
      </c>
    </row>
    <row r="722" spans="1:11" x14ac:dyDescent="0.3">
      <c r="A722" t="s">
        <v>11</v>
      </c>
      <c r="B722" t="s">
        <v>18</v>
      </c>
      <c r="C722" t="s">
        <v>18</v>
      </c>
      <c r="D722" t="s">
        <v>363</v>
      </c>
      <c r="E722" s="5">
        <v>45812.958333333343</v>
      </c>
      <c r="F722">
        <v>28.570173</v>
      </c>
      <c r="G722">
        <v>76.933762000000002</v>
      </c>
      <c r="H722" t="s">
        <v>770</v>
      </c>
      <c r="I722">
        <v>2</v>
      </c>
      <c r="J722">
        <v>226</v>
      </c>
      <c r="K722">
        <v>150</v>
      </c>
    </row>
    <row r="723" spans="1:11" x14ac:dyDescent="0.3">
      <c r="A723" t="s">
        <v>11</v>
      </c>
      <c r="B723" t="s">
        <v>18</v>
      </c>
      <c r="C723" t="s">
        <v>18</v>
      </c>
      <c r="D723" t="s">
        <v>364</v>
      </c>
      <c r="E723" s="5">
        <v>45812.958333333343</v>
      </c>
      <c r="F723">
        <v>28.822835999999999</v>
      </c>
      <c r="G723">
        <v>77.101980999999995</v>
      </c>
      <c r="H723" t="s">
        <v>775</v>
      </c>
      <c r="I723">
        <v>47</v>
      </c>
      <c r="J723">
        <v>408</v>
      </c>
      <c r="K723">
        <v>232</v>
      </c>
    </row>
    <row r="724" spans="1:11" x14ac:dyDescent="0.3">
      <c r="A724" t="s">
        <v>11</v>
      </c>
      <c r="B724" t="s">
        <v>18</v>
      </c>
      <c r="C724" t="s">
        <v>18</v>
      </c>
      <c r="D724" t="s">
        <v>364</v>
      </c>
      <c r="E724" s="5">
        <v>45812.958333333343</v>
      </c>
      <c r="F724">
        <v>28.822835999999999</v>
      </c>
      <c r="G724">
        <v>77.101980999999995</v>
      </c>
      <c r="H724" t="s">
        <v>772</v>
      </c>
      <c r="I724">
        <v>10</v>
      </c>
      <c r="J724">
        <v>78</v>
      </c>
      <c r="K724">
        <v>28</v>
      </c>
    </row>
    <row r="725" spans="1:11" x14ac:dyDescent="0.3">
      <c r="A725" t="s">
        <v>11</v>
      </c>
      <c r="B725" t="s">
        <v>18</v>
      </c>
      <c r="C725" t="s">
        <v>18</v>
      </c>
      <c r="D725" t="s">
        <v>364</v>
      </c>
      <c r="E725" s="5">
        <v>45812.958333333343</v>
      </c>
      <c r="F725">
        <v>28.822835999999999</v>
      </c>
      <c r="G725">
        <v>77.101980999999995</v>
      </c>
      <c r="H725" t="s">
        <v>774</v>
      </c>
      <c r="I725">
        <v>19</v>
      </c>
      <c r="J725">
        <v>61</v>
      </c>
      <c r="K725">
        <v>33</v>
      </c>
    </row>
    <row r="726" spans="1:11" x14ac:dyDescent="0.3">
      <c r="A726" t="s">
        <v>11</v>
      </c>
      <c r="B726" t="s">
        <v>18</v>
      </c>
      <c r="C726" t="s">
        <v>18</v>
      </c>
      <c r="D726" t="s">
        <v>365</v>
      </c>
      <c r="E726" s="5">
        <v>45812.958333333343</v>
      </c>
      <c r="F726">
        <v>28.567889999999998</v>
      </c>
      <c r="G726">
        <v>77.250514999999993</v>
      </c>
      <c r="H726" t="s">
        <v>775</v>
      </c>
      <c r="I726">
        <v>47</v>
      </c>
      <c r="J726">
        <v>325</v>
      </c>
      <c r="K726">
        <v>169</v>
      </c>
    </row>
    <row r="727" spans="1:11" x14ac:dyDescent="0.3">
      <c r="A727" t="s">
        <v>11</v>
      </c>
      <c r="B727" t="s">
        <v>18</v>
      </c>
      <c r="C727" t="s">
        <v>18</v>
      </c>
      <c r="D727" t="s">
        <v>673</v>
      </c>
      <c r="E727" s="5">
        <v>45812.958333333343</v>
      </c>
      <c r="F727">
        <v>28.591824500000001</v>
      </c>
      <c r="G727">
        <v>77.227307400000001</v>
      </c>
      <c r="H727" t="s">
        <v>775</v>
      </c>
    </row>
    <row r="728" spans="1:11" x14ac:dyDescent="0.3">
      <c r="A728" t="s">
        <v>11</v>
      </c>
      <c r="B728" t="s">
        <v>18</v>
      </c>
      <c r="C728" t="s">
        <v>18</v>
      </c>
      <c r="D728" t="s">
        <v>673</v>
      </c>
      <c r="E728" s="5">
        <v>45812.958333333343</v>
      </c>
      <c r="F728">
        <v>28.591824500000001</v>
      </c>
      <c r="G728">
        <v>77.227307400000001</v>
      </c>
      <c r="H728" t="s">
        <v>776</v>
      </c>
      <c r="I728">
        <v>18</v>
      </c>
      <c r="J728">
        <v>26</v>
      </c>
      <c r="K728">
        <v>19</v>
      </c>
    </row>
    <row r="729" spans="1:11" x14ac:dyDescent="0.3">
      <c r="A729" t="s">
        <v>11</v>
      </c>
      <c r="B729" t="s">
        <v>18</v>
      </c>
      <c r="C729" t="s">
        <v>18</v>
      </c>
      <c r="D729" t="s">
        <v>674</v>
      </c>
      <c r="E729" s="5">
        <v>45812.958333333343</v>
      </c>
      <c r="F729">
        <v>28.611281000000002</v>
      </c>
      <c r="G729">
        <v>77.237737999999993</v>
      </c>
      <c r="H729" t="s">
        <v>775</v>
      </c>
      <c r="I729">
        <v>73</v>
      </c>
      <c r="J729">
        <v>342</v>
      </c>
      <c r="K729">
        <v>196</v>
      </c>
    </row>
    <row r="730" spans="1:11" x14ac:dyDescent="0.3">
      <c r="A730" t="s">
        <v>11</v>
      </c>
      <c r="B730" t="s">
        <v>18</v>
      </c>
      <c r="C730" t="s">
        <v>18</v>
      </c>
      <c r="D730" t="s">
        <v>674</v>
      </c>
      <c r="E730" s="5">
        <v>45812.958333333343</v>
      </c>
      <c r="F730">
        <v>28.611281000000002</v>
      </c>
      <c r="G730">
        <v>77.237737999999993</v>
      </c>
      <c r="H730" t="s">
        <v>772</v>
      </c>
      <c r="I730">
        <v>15</v>
      </c>
      <c r="J730">
        <v>157</v>
      </c>
      <c r="K730">
        <v>85</v>
      </c>
    </row>
    <row r="731" spans="1:11" x14ac:dyDescent="0.3">
      <c r="A731" t="s">
        <v>11</v>
      </c>
      <c r="B731" t="s">
        <v>18</v>
      </c>
      <c r="C731" t="s">
        <v>18</v>
      </c>
      <c r="D731" t="s">
        <v>675</v>
      </c>
      <c r="E731" s="5">
        <v>45812.958333333343</v>
      </c>
      <c r="F731">
        <v>28.636429</v>
      </c>
      <c r="G731">
        <v>77.201066999999995</v>
      </c>
      <c r="H731" t="s">
        <v>775</v>
      </c>
      <c r="I731">
        <v>22</v>
      </c>
      <c r="J731">
        <v>336</v>
      </c>
      <c r="K731">
        <v>129</v>
      </c>
    </row>
    <row r="732" spans="1:11" x14ac:dyDescent="0.3">
      <c r="A732" t="s">
        <v>11</v>
      </c>
      <c r="B732" t="s">
        <v>18</v>
      </c>
      <c r="C732" t="s">
        <v>18</v>
      </c>
      <c r="D732" t="s">
        <v>675</v>
      </c>
      <c r="E732" s="5">
        <v>45812.958333333343</v>
      </c>
      <c r="F732">
        <v>28.636429</v>
      </c>
      <c r="G732">
        <v>77.201066999999995</v>
      </c>
      <c r="H732" t="s">
        <v>771</v>
      </c>
      <c r="I732">
        <v>58</v>
      </c>
      <c r="J732">
        <v>218</v>
      </c>
      <c r="K732">
        <v>121</v>
      </c>
    </row>
    <row r="733" spans="1:11" x14ac:dyDescent="0.3">
      <c r="A733" t="s">
        <v>11</v>
      </c>
      <c r="B733" t="s">
        <v>18</v>
      </c>
      <c r="C733" t="s">
        <v>18</v>
      </c>
      <c r="D733" t="s">
        <v>675</v>
      </c>
      <c r="E733" s="5">
        <v>45812.958333333343</v>
      </c>
      <c r="F733">
        <v>28.636429</v>
      </c>
      <c r="G733">
        <v>77.201066999999995</v>
      </c>
      <c r="H733" t="s">
        <v>772</v>
      </c>
      <c r="I733">
        <v>142</v>
      </c>
      <c r="J733">
        <v>179</v>
      </c>
      <c r="K733">
        <v>154</v>
      </c>
    </row>
    <row r="734" spans="1:11" x14ac:dyDescent="0.3">
      <c r="A734" t="s">
        <v>11</v>
      </c>
      <c r="B734" t="s">
        <v>18</v>
      </c>
      <c r="C734" t="s">
        <v>18</v>
      </c>
      <c r="D734" t="s">
        <v>672</v>
      </c>
      <c r="E734" s="5">
        <v>45812.958333333343</v>
      </c>
      <c r="F734">
        <v>28.571027399999998</v>
      </c>
      <c r="G734">
        <v>77.071900600000006</v>
      </c>
      <c r="H734" t="s">
        <v>770</v>
      </c>
      <c r="I734">
        <v>5</v>
      </c>
      <c r="J734">
        <v>106</v>
      </c>
      <c r="K734">
        <v>58</v>
      </c>
    </row>
    <row r="735" spans="1:11" x14ac:dyDescent="0.3">
      <c r="A735" t="s">
        <v>11</v>
      </c>
      <c r="B735" t="s">
        <v>18</v>
      </c>
      <c r="C735" t="s">
        <v>18</v>
      </c>
      <c r="D735" t="s">
        <v>358</v>
      </c>
      <c r="E735" s="5">
        <v>45812.958333333343</v>
      </c>
      <c r="F735">
        <v>28.562776299999999</v>
      </c>
      <c r="G735">
        <v>77.118005299999993</v>
      </c>
      <c r="H735" t="s">
        <v>775</v>
      </c>
      <c r="I735">
        <v>22</v>
      </c>
      <c r="J735">
        <v>184</v>
      </c>
      <c r="K735">
        <v>75</v>
      </c>
    </row>
    <row r="736" spans="1:11" x14ac:dyDescent="0.3">
      <c r="A736" t="s">
        <v>11</v>
      </c>
      <c r="B736" t="s">
        <v>18</v>
      </c>
      <c r="C736" t="s">
        <v>18</v>
      </c>
      <c r="D736" t="s">
        <v>358</v>
      </c>
      <c r="E736" s="5">
        <v>45812.958333333343</v>
      </c>
      <c r="F736">
        <v>28.562776299999999</v>
      </c>
      <c r="G736">
        <v>77.118005299999993</v>
      </c>
      <c r="H736" t="s">
        <v>772</v>
      </c>
      <c r="I736">
        <v>64</v>
      </c>
      <c r="J736">
        <v>141</v>
      </c>
      <c r="K736">
        <v>106</v>
      </c>
    </row>
    <row r="737" spans="1:11" x14ac:dyDescent="0.3">
      <c r="A737" t="s">
        <v>11</v>
      </c>
      <c r="B737" t="s">
        <v>18</v>
      </c>
      <c r="C737" t="s">
        <v>18</v>
      </c>
      <c r="D737" t="s">
        <v>358</v>
      </c>
      <c r="E737" s="5">
        <v>45812.958333333343</v>
      </c>
      <c r="F737">
        <v>28.562776299999999</v>
      </c>
      <c r="G737">
        <v>77.118005299999993</v>
      </c>
      <c r="H737" t="s">
        <v>776</v>
      </c>
      <c r="I737">
        <v>34</v>
      </c>
      <c r="J737">
        <v>108</v>
      </c>
      <c r="K737">
        <v>51</v>
      </c>
    </row>
    <row r="738" spans="1:11" x14ac:dyDescent="0.3">
      <c r="A738" t="s">
        <v>11</v>
      </c>
      <c r="B738" t="s">
        <v>18</v>
      </c>
      <c r="C738" t="s">
        <v>18</v>
      </c>
      <c r="D738" t="s">
        <v>359</v>
      </c>
      <c r="E738" s="5">
        <v>45812.958333333343</v>
      </c>
      <c r="F738">
        <v>28.681173600000001</v>
      </c>
      <c r="G738">
        <v>77.302523399999998</v>
      </c>
      <c r="H738" t="s">
        <v>773</v>
      </c>
      <c r="I738">
        <v>10</v>
      </c>
      <c r="J738">
        <v>15</v>
      </c>
      <c r="K738">
        <v>12</v>
      </c>
    </row>
    <row r="739" spans="1:11" x14ac:dyDescent="0.3">
      <c r="A739" t="s">
        <v>11</v>
      </c>
      <c r="B739" t="s">
        <v>18</v>
      </c>
      <c r="C739" t="s">
        <v>18</v>
      </c>
      <c r="D739" t="s">
        <v>676</v>
      </c>
      <c r="E739" s="5">
        <v>45812.958333333343</v>
      </c>
      <c r="F739">
        <v>28.628623999999999</v>
      </c>
      <c r="G739">
        <v>77.241060000000004</v>
      </c>
      <c r="H739" t="s">
        <v>775</v>
      </c>
      <c r="I739">
        <v>54</v>
      </c>
      <c r="J739">
        <v>343</v>
      </c>
      <c r="K739">
        <v>169</v>
      </c>
    </row>
    <row r="740" spans="1:11" x14ac:dyDescent="0.3">
      <c r="A740" t="s">
        <v>11</v>
      </c>
      <c r="B740" t="s">
        <v>18</v>
      </c>
      <c r="C740" t="s">
        <v>18</v>
      </c>
      <c r="D740" t="s">
        <v>353</v>
      </c>
      <c r="E740" s="5">
        <v>45812.958333333343</v>
      </c>
      <c r="F740">
        <v>28.639652000000002</v>
      </c>
      <c r="G740">
        <v>77.146275000000003</v>
      </c>
      <c r="H740" t="s">
        <v>774</v>
      </c>
      <c r="I740">
        <v>14</v>
      </c>
      <c r="J740">
        <v>60</v>
      </c>
      <c r="K740">
        <v>28</v>
      </c>
    </row>
    <row r="741" spans="1:11" x14ac:dyDescent="0.3">
      <c r="A741" t="s">
        <v>11</v>
      </c>
      <c r="B741" t="s">
        <v>18</v>
      </c>
      <c r="C741" t="s">
        <v>18</v>
      </c>
      <c r="D741" t="s">
        <v>353</v>
      </c>
      <c r="E741" s="5">
        <v>45812.958333333343</v>
      </c>
      <c r="F741">
        <v>28.639652000000002</v>
      </c>
      <c r="G741">
        <v>77.146275000000003</v>
      </c>
      <c r="H741" t="s">
        <v>776</v>
      </c>
      <c r="I741">
        <v>1</v>
      </c>
      <c r="J741">
        <v>59</v>
      </c>
      <c r="K741">
        <v>26</v>
      </c>
    </row>
    <row r="742" spans="1:11" x14ac:dyDescent="0.3">
      <c r="A742" t="s">
        <v>11</v>
      </c>
      <c r="B742" t="s">
        <v>18</v>
      </c>
      <c r="C742" t="s">
        <v>18</v>
      </c>
      <c r="D742" t="s">
        <v>354</v>
      </c>
      <c r="E742" s="5">
        <v>45812.958333333343</v>
      </c>
      <c r="F742">
        <v>28.563262000000002</v>
      </c>
      <c r="G742">
        <v>77.186937</v>
      </c>
      <c r="H742" t="s">
        <v>776</v>
      </c>
      <c r="I742">
        <v>2</v>
      </c>
      <c r="J742">
        <v>146</v>
      </c>
      <c r="K742">
        <v>48</v>
      </c>
    </row>
    <row r="743" spans="1:11" x14ac:dyDescent="0.3">
      <c r="A743" t="s">
        <v>11</v>
      </c>
      <c r="B743" t="s">
        <v>18</v>
      </c>
      <c r="C743" t="s">
        <v>18</v>
      </c>
      <c r="D743" t="s">
        <v>355</v>
      </c>
      <c r="E743" s="5">
        <v>45812.958333333343</v>
      </c>
      <c r="F743">
        <v>28.732527999999999</v>
      </c>
      <c r="G743">
        <v>77.119919999999993</v>
      </c>
      <c r="H743" t="s">
        <v>770</v>
      </c>
      <c r="I743">
        <v>3</v>
      </c>
      <c r="J743">
        <v>172</v>
      </c>
      <c r="K743">
        <v>84</v>
      </c>
    </row>
    <row r="744" spans="1:11" x14ac:dyDescent="0.3">
      <c r="A744" t="s">
        <v>11</v>
      </c>
      <c r="B744" t="s">
        <v>18</v>
      </c>
      <c r="C744" t="s">
        <v>18</v>
      </c>
      <c r="D744" t="s">
        <v>356</v>
      </c>
      <c r="E744" s="5">
        <v>45812.958333333343</v>
      </c>
      <c r="F744">
        <v>28.651478099999999</v>
      </c>
      <c r="G744">
        <v>77.147310500000003</v>
      </c>
      <c r="H744" t="s">
        <v>775</v>
      </c>
      <c r="I744">
        <v>192</v>
      </c>
      <c r="J744">
        <v>500</v>
      </c>
      <c r="K744">
        <v>328</v>
      </c>
    </row>
    <row r="745" spans="1:11" x14ac:dyDescent="0.3">
      <c r="A745" t="s">
        <v>11</v>
      </c>
      <c r="B745" t="s">
        <v>18</v>
      </c>
      <c r="C745" t="s">
        <v>18</v>
      </c>
      <c r="D745" t="s">
        <v>356</v>
      </c>
      <c r="E745" s="5">
        <v>45812.958333333343</v>
      </c>
      <c r="F745">
        <v>28.651478099999999</v>
      </c>
      <c r="G745">
        <v>77.147310500000003</v>
      </c>
      <c r="H745" t="s">
        <v>771</v>
      </c>
      <c r="I745">
        <v>124</v>
      </c>
      <c r="J745">
        <v>500</v>
      </c>
      <c r="K745">
        <v>228</v>
      </c>
    </row>
    <row r="746" spans="1:11" x14ac:dyDescent="0.3">
      <c r="A746" t="s">
        <v>11</v>
      </c>
      <c r="B746" t="s">
        <v>18</v>
      </c>
      <c r="C746" t="s">
        <v>18</v>
      </c>
      <c r="D746" t="s">
        <v>356</v>
      </c>
      <c r="E746" s="5">
        <v>45812.958333333343</v>
      </c>
      <c r="F746">
        <v>28.651478099999999</v>
      </c>
      <c r="G746">
        <v>77.147310500000003</v>
      </c>
      <c r="H746" t="s">
        <v>776</v>
      </c>
      <c r="I746">
        <v>26</v>
      </c>
      <c r="J746">
        <v>79</v>
      </c>
      <c r="K746">
        <v>46</v>
      </c>
    </row>
    <row r="747" spans="1:11" x14ac:dyDescent="0.3">
      <c r="A747" t="s">
        <v>11</v>
      </c>
      <c r="B747" t="s">
        <v>18</v>
      </c>
      <c r="C747" t="s">
        <v>18</v>
      </c>
      <c r="D747" t="s">
        <v>366</v>
      </c>
      <c r="E747" s="5">
        <v>45812.958333333343</v>
      </c>
      <c r="F747">
        <v>28.657381399999998</v>
      </c>
      <c r="G747">
        <v>77.158544699999993</v>
      </c>
      <c r="H747" t="s">
        <v>772</v>
      </c>
      <c r="I747">
        <v>13</v>
      </c>
      <c r="J747">
        <v>125</v>
      </c>
      <c r="K747">
        <v>66</v>
      </c>
    </row>
    <row r="748" spans="1:11" x14ac:dyDescent="0.3">
      <c r="A748" t="s">
        <v>11</v>
      </c>
      <c r="B748" t="s">
        <v>18</v>
      </c>
      <c r="C748" t="s">
        <v>18</v>
      </c>
      <c r="D748" t="s">
        <v>351</v>
      </c>
      <c r="E748" s="5">
        <v>45812.958333333343</v>
      </c>
      <c r="F748">
        <v>28.623763</v>
      </c>
      <c r="G748">
        <v>77.287209000000004</v>
      </c>
      <c r="H748" t="s">
        <v>771</v>
      </c>
      <c r="I748">
        <v>103</v>
      </c>
      <c r="J748">
        <v>390</v>
      </c>
      <c r="K748">
        <v>190</v>
      </c>
    </row>
    <row r="749" spans="1:11" x14ac:dyDescent="0.3">
      <c r="A749" t="s">
        <v>11</v>
      </c>
      <c r="B749" t="s">
        <v>18</v>
      </c>
      <c r="C749" t="s">
        <v>18</v>
      </c>
      <c r="D749" t="s">
        <v>351</v>
      </c>
      <c r="E749" s="5">
        <v>45812.958333333343</v>
      </c>
      <c r="F749">
        <v>28.623763</v>
      </c>
      <c r="G749">
        <v>77.287209000000004</v>
      </c>
      <c r="H749" t="s">
        <v>772</v>
      </c>
      <c r="I749">
        <v>19</v>
      </c>
      <c r="J749">
        <v>140</v>
      </c>
      <c r="K749">
        <v>76</v>
      </c>
    </row>
    <row r="750" spans="1:11" x14ac:dyDescent="0.3">
      <c r="A750" t="s">
        <v>11</v>
      </c>
      <c r="B750" t="s">
        <v>18</v>
      </c>
      <c r="C750" t="s">
        <v>18</v>
      </c>
      <c r="D750" t="s">
        <v>351</v>
      </c>
      <c r="E750" s="5">
        <v>45812.958333333343</v>
      </c>
      <c r="F750">
        <v>28.623763</v>
      </c>
      <c r="G750">
        <v>77.287209000000004</v>
      </c>
      <c r="H750" t="s">
        <v>774</v>
      </c>
      <c r="I750">
        <v>8</v>
      </c>
      <c r="J750">
        <v>12</v>
      </c>
      <c r="K750">
        <v>10</v>
      </c>
    </row>
    <row r="751" spans="1:11" x14ac:dyDescent="0.3">
      <c r="A751" t="s">
        <v>11</v>
      </c>
      <c r="B751" t="s">
        <v>18</v>
      </c>
      <c r="C751" t="s">
        <v>18</v>
      </c>
      <c r="D751" t="s">
        <v>352</v>
      </c>
      <c r="E751" s="5">
        <v>45812.958333333343</v>
      </c>
      <c r="F751">
        <v>28.674045</v>
      </c>
      <c r="G751">
        <v>77.131022999999999</v>
      </c>
      <c r="H751" t="s">
        <v>770</v>
      </c>
      <c r="I751">
        <v>1</v>
      </c>
      <c r="J751">
        <v>305</v>
      </c>
      <c r="K751">
        <v>125</v>
      </c>
    </row>
    <row r="752" spans="1:11" x14ac:dyDescent="0.3">
      <c r="A752" t="s">
        <v>11</v>
      </c>
      <c r="B752" t="s">
        <v>18</v>
      </c>
      <c r="C752" t="s">
        <v>18</v>
      </c>
      <c r="D752" t="s">
        <v>353</v>
      </c>
      <c r="E752" s="5">
        <v>45812.958333333343</v>
      </c>
      <c r="F752">
        <v>28.639652000000002</v>
      </c>
      <c r="G752">
        <v>77.146275000000003</v>
      </c>
      <c r="H752" t="s">
        <v>771</v>
      </c>
      <c r="I752">
        <v>86</v>
      </c>
      <c r="J752">
        <v>233</v>
      </c>
      <c r="K752">
        <v>150</v>
      </c>
    </row>
    <row r="753" spans="1:11" x14ac:dyDescent="0.3">
      <c r="A753" t="s">
        <v>11</v>
      </c>
      <c r="B753" t="s">
        <v>18</v>
      </c>
      <c r="C753" t="s">
        <v>18</v>
      </c>
      <c r="D753" t="s">
        <v>371</v>
      </c>
      <c r="E753" s="5">
        <v>45812.958333333343</v>
      </c>
      <c r="F753">
        <v>28.710508000000001</v>
      </c>
      <c r="G753">
        <v>77.249485000000007</v>
      </c>
      <c r="H753" t="s">
        <v>775</v>
      </c>
      <c r="I753">
        <v>33</v>
      </c>
      <c r="J753">
        <v>343</v>
      </c>
      <c r="K753">
        <v>139</v>
      </c>
    </row>
    <row r="754" spans="1:11" x14ac:dyDescent="0.3">
      <c r="A754" t="s">
        <v>11</v>
      </c>
      <c r="B754" t="s">
        <v>18</v>
      </c>
      <c r="C754" t="s">
        <v>18</v>
      </c>
      <c r="D754" t="s">
        <v>371</v>
      </c>
      <c r="E754" s="5">
        <v>45812.958333333343</v>
      </c>
      <c r="F754">
        <v>28.710508000000001</v>
      </c>
      <c r="G754">
        <v>77.249485000000007</v>
      </c>
      <c r="H754" t="s">
        <v>771</v>
      </c>
      <c r="I754">
        <v>69</v>
      </c>
      <c r="J754">
        <v>443</v>
      </c>
      <c r="K754">
        <v>177</v>
      </c>
    </row>
    <row r="755" spans="1:11" x14ac:dyDescent="0.3">
      <c r="A755" t="s">
        <v>11</v>
      </c>
      <c r="B755" t="s">
        <v>18</v>
      </c>
      <c r="C755" t="s">
        <v>18</v>
      </c>
      <c r="D755" t="s">
        <v>371</v>
      </c>
      <c r="E755" s="5">
        <v>45812.958333333343</v>
      </c>
      <c r="F755">
        <v>28.710508000000001</v>
      </c>
      <c r="G755">
        <v>77.249485000000007</v>
      </c>
      <c r="H755" t="s">
        <v>773</v>
      </c>
      <c r="I755">
        <v>5</v>
      </c>
      <c r="J755">
        <v>7</v>
      </c>
      <c r="K755">
        <v>6</v>
      </c>
    </row>
    <row r="756" spans="1:11" x14ac:dyDescent="0.3">
      <c r="A756" t="s">
        <v>11</v>
      </c>
      <c r="B756" t="s">
        <v>18</v>
      </c>
      <c r="C756" t="s">
        <v>18</v>
      </c>
      <c r="D756" t="s">
        <v>371</v>
      </c>
      <c r="E756" s="5">
        <v>45812.958333333343</v>
      </c>
      <c r="F756">
        <v>28.710508000000001</v>
      </c>
      <c r="G756">
        <v>77.249485000000007</v>
      </c>
      <c r="H756" t="s">
        <v>776</v>
      </c>
      <c r="I756">
        <v>22</v>
      </c>
      <c r="J756">
        <v>100</v>
      </c>
      <c r="K756">
        <v>34</v>
      </c>
    </row>
    <row r="757" spans="1:11" x14ac:dyDescent="0.3">
      <c r="A757" t="s">
        <v>11</v>
      </c>
      <c r="B757" t="s">
        <v>18</v>
      </c>
      <c r="C757" t="s">
        <v>18</v>
      </c>
      <c r="D757" t="s">
        <v>677</v>
      </c>
      <c r="E757" s="5">
        <v>45812.958333333343</v>
      </c>
      <c r="F757">
        <v>28.580279999999998</v>
      </c>
      <c r="G757">
        <v>77.233829</v>
      </c>
      <c r="H757" t="s">
        <v>772</v>
      </c>
      <c r="I757">
        <v>97</v>
      </c>
      <c r="J757">
        <v>221</v>
      </c>
      <c r="K757">
        <v>161</v>
      </c>
    </row>
    <row r="758" spans="1:11" x14ac:dyDescent="0.3">
      <c r="A758" t="s">
        <v>11</v>
      </c>
      <c r="B758" t="s">
        <v>18</v>
      </c>
      <c r="C758" t="s">
        <v>18</v>
      </c>
      <c r="D758" t="s">
        <v>367</v>
      </c>
      <c r="E758" s="5">
        <v>45812.958333333343</v>
      </c>
      <c r="F758">
        <v>28.531345999999999</v>
      </c>
      <c r="G758">
        <v>77.190156000000002</v>
      </c>
      <c r="H758" t="s">
        <v>771</v>
      </c>
      <c r="I758">
        <v>102</v>
      </c>
      <c r="J758">
        <v>244</v>
      </c>
      <c r="K758">
        <v>154</v>
      </c>
    </row>
    <row r="759" spans="1:11" x14ac:dyDescent="0.3">
      <c r="A759" t="s">
        <v>11</v>
      </c>
      <c r="B759" t="s">
        <v>19</v>
      </c>
      <c r="C759" t="s">
        <v>253</v>
      </c>
      <c r="D759" t="s">
        <v>678</v>
      </c>
      <c r="E759" s="5">
        <v>45812.958333333343</v>
      </c>
      <c r="F759">
        <v>20.362421000000001</v>
      </c>
      <c r="G759">
        <v>72.918013000000002</v>
      </c>
      <c r="H759" t="s">
        <v>774</v>
      </c>
      <c r="I759">
        <v>36</v>
      </c>
      <c r="J759">
        <v>38</v>
      </c>
      <c r="K759">
        <v>37</v>
      </c>
    </row>
    <row r="760" spans="1:11" x14ac:dyDescent="0.3">
      <c r="A760" t="s">
        <v>11</v>
      </c>
      <c r="B760" t="s">
        <v>19</v>
      </c>
      <c r="C760" t="s">
        <v>254</v>
      </c>
      <c r="D760" t="s">
        <v>679</v>
      </c>
      <c r="E760" s="5">
        <v>45812.958333333343</v>
      </c>
      <c r="F760">
        <v>22.969611</v>
      </c>
      <c r="G760">
        <v>72.643500000000003</v>
      </c>
      <c r="H760" t="s">
        <v>775</v>
      </c>
      <c r="I760">
        <v>30</v>
      </c>
      <c r="J760">
        <v>313</v>
      </c>
      <c r="K760">
        <v>102</v>
      </c>
    </row>
    <row r="761" spans="1:11" x14ac:dyDescent="0.3">
      <c r="A761" t="s">
        <v>11</v>
      </c>
      <c r="B761" t="s">
        <v>19</v>
      </c>
      <c r="C761" t="s">
        <v>254</v>
      </c>
      <c r="D761" t="s">
        <v>679</v>
      </c>
      <c r="E761" s="5">
        <v>45812.958333333343</v>
      </c>
      <c r="F761">
        <v>22.969611</v>
      </c>
      <c r="G761">
        <v>72.643500000000003</v>
      </c>
      <c r="H761" t="s">
        <v>776</v>
      </c>
      <c r="I761">
        <v>53</v>
      </c>
      <c r="J761">
        <v>107</v>
      </c>
      <c r="K761">
        <v>63</v>
      </c>
    </row>
    <row r="762" spans="1:11" x14ac:dyDescent="0.3">
      <c r="A762" t="s">
        <v>11</v>
      </c>
      <c r="B762" t="s">
        <v>23</v>
      </c>
      <c r="C762" t="s">
        <v>87</v>
      </c>
      <c r="D762" t="s">
        <v>383</v>
      </c>
      <c r="E762" s="5">
        <v>45812.958333333343</v>
      </c>
      <c r="F762">
        <v>28.422681000000001</v>
      </c>
      <c r="G762">
        <v>77.148944</v>
      </c>
      <c r="H762" t="s">
        <v>776</v>
      </c>
      <c r="I762">
        <v>11</v>
      </c>
      <c r="J762">
        <v>42</v>
      </c>
      <c r="K762">
        <v>19</v>
      </c>
    </row>
    <row r="763" spans="1:11" x14ac:dyDescent="0.3">
      <c r="A763" t="s">
        <v>11</v>
      </c>
      <c r="B763" t="s">
        <v>23</v>
      </c>
      <c r="C763" t="s">
        <v>88</v>
      </c>
      <c r="D763" t="s">
        <v>384</v>
      </c>
      <c r="E763" s="5">
        <v>45812.958333333343</v>
      </c>
      <c r="F763">
        <v>28.315300000000001</v>
      </c>
      <c r="G763">
        <v>76.914299999999997</v>
      </c>
      <c r="H763" t="s">
        <v>771</v>
      </c>
      <c r="I763">
        <v>20</v>
      </c>
      <c r="J763">
        <v>48</v>
      </c>
      <c r="K763">
        <v>37</v>
      </c>
    </row>
    <row r="764" spans="1:11" x14ac:dyDescent="0.3">
      <c r="A764" t="s">
        <v>11</v>
      </c>
      <c r="B764" t="s">
        <v>23</v>
      </c>
      <c r="C764" t="s">
        <v>88</v>
      </c>
      <c r="D764" t="s">
        <v>384</v>
      </c>
      <c r="E764" s="5">
        <v>45812.958333333343</v>
      </c>
      <c r="F764">
        <v>28.315300000000001</v>
      </c>
      <c r="G764">
        <v>76.914299999999997</v>
      </c>
      <c r="H764" t="s">
        <v>772</v>
      </c>
      <c r="I764">
        <v>33</v>
      </c>
      <c r="J764">
        <v>80</v>
      </c>
      <c r="K764">
        <v>48</v>
      </c>
    </row>
    <row r="765" spans="1:11" x14ac:dyDescent="0.3">
      <c r="A765" t="s">
        <v>11</v>
      </c>
      <c r="B765" t="s">
        <v>20</v>
      </c>
      <c r="C765" t="s">
        <v>83</v>
      </c>
      <c r="D765" t="s">
        <v>375</v>
      </c>
      <c r="E765" s="5">
        <v>45812.958333333343</v>
      </c>
      <c r="F765">
        <v>30.943887</v>
      </c>
      <c r="G765">
        <v>76.801991000000001</v>
      </c>
      <c r="H765" t="s">
        <v>775</v>
      </c>
      <c r="I765">
        <v>17</v>
      </c>
      <c r="J765">
        <v>203</v>
      </c>
      <c r="K765">
        <v>91</v>
      </c>
    </row>
    <row r="766" spans="1:11" x14ac:dyDescent="0.3">
      <c r="A766" t="s">
        <v>11</v>
      </c>
      <c r="B766" t="s">
        <v>20</v>
      </c>
      <c r="C766" t="s">
        <v>83</v>
      </c>
      <c r="D766" t="s">
        <v>375</v>
      </c>
      <c r="E766" s="5">
        <v>45812.958333333343</v>
      </c>
      <c r="F766">
        <v>30.943887</v>
      </c>
      <c r="G766">
        <v>76.801991000000001</v>
      </c>
      <c r="H766" t="s">
        <v>771</v>
      </c>
      <c r="I766">
        <v>62</v>
      </c>
      <c r="J766">
        <v>288</v>
      </c>
      <c r="K766">
        <v>124</v>
      </c>
    </row>
    <row r="767" spans="1:11" x14ac:dyDescent="0.3">
      <c r="A767" t="s">
        <v>11</v>
      </c>
      <c r="B767" t="s">
        <v>22</v>
      </c>
      <c r="C767" t="s">
        <v>255</v>
      </c>
      <c r="D767" t="s">
        <v>680</v>
      </c>
      <c r="E767" s="5">
        <v>45812.958333333343</v>
      </c>
      <c r="F767">
        <v>15.888653</v>
      </c>
      <c r="G767">
        <v>74.541751000000005</v>
      </c>
      <c r="H767" t="s">
        <v>775</v>
      </c>
      <c r="I767">
        <v>23</v>
      </c>
      <c r="J767">
        <v>33</v>
      </c>
      <c r="K767">
        <v>27</v>
      </c>
    </row>
    <row r="768" spans="1:11" x14ac:dyDescent="0.3">
      <c r="A768" t="s">
        <v>11</v>
      </c>
      <c r="B768" t="s">
        <v>22</v>
      </c>
      <c r="C768" t="s">
        <v>255</v>
      </c>
      <c r="D768" t="s">
        <v>680</v>
      </c>
      <c r="E768" s="5">
        <v>45812.958333333343</v>
      </c>
      <c r="F768">
        <v>15.888653</v>
      </c>
      <c r="G768">
        <v>74.541751000000005</v>
      </c>
      <c r="H768" t="s">
        <v>770</v>
      </c>
      <c r="I768">
        <v>19</v>
      </c>
      <c r="J768">
        <v>20</v>
      </c>
      <c r="K768">
        <v>19</v>
      </c>
    </row>
    <row r="769" spans="1:11" x14ac:dyDescent="0.3">
      <c r="A769" t="s">
        <v>11</v>
      </c>
      <c r="B769" t="s">
        <v>22</v>
      </c>
      <c r="C769" t="s">
        <v>86</v>
      </c>
      <c r="D769" t="s">
        <v>380</v>
      </c>
      <c r="E769" s="5">
        <v>45812.958333333343</v>
      </c>
      <c r="F769">
        <v>12.9135218</v>
      </c>
      <c r="G769">
        <v>77.595080400000001</v>
      </c>
      <c r="H769" t="s">
        <v>772</v>
      </c>
    </row>
    <row r="770" spans="1:11" x14ac:dyDescent="0.3">
      <c r="A770" t="s">
        <v>11</v>
      </c>
      <c r="B770" t="s">
        <v>22</v>
      </c>
      <c r="C770" t="s">
        <v>86</v>
      </c>
      <c r="D770" t="s">
        <v>381</v>
      </c>
      <c r="E770" s="5">
        <v>45812.958333333343</v>
      </c>
      <c r="F770">
        <v>12.951912999999999</v>
      </c>
      <c r="G770">
        <v>77.539783999999997</v>
      </c>
      <c r="H770" t="s">
        <v>772</v>
      </c>
      <c r="I770">
        <v>5</v>
      </c>
      <c r="J770">
        <v>15</v>
      </c>
      <c r="K770">
        <v>8</v>
      </c>
    </row>
    <row r="771" spans="1:11" x14ac:dyDescent="0.3">
      <c r="A771" t="s">
        <v>11</v>
      </c>
      <c r="B771" t="s">
        <v>22</v>
      </c>
      <c r="C771" t="s">
        <v>86</v>
      </c>
      <c r="D771" t="s">
        <v>381</v>
      </c>
      <c r="E771" s="5">
        <v>45812.958333333343</v>
      </c>
      <c r="F771">
        <v>12.951912999999999</v>
      </c>
      <c r="G771">
        <v>77.539783999999997</v>
      </c>
      <c r="H771" t="s">
        <v>770</v>
      </c>
      <c r="I771">
        <v>27</v>
      </c>
      <c r="J771">
        <v>168</v>
      </c>
      <c r="K771">
        <v>82</v>
      </c>
    </row>
    <row r="772" spans="1:11" x14ac:dyDescent="0.3">
      <c r="A772" t="s">
        <v>11</v>
      </c>
      <c r="B772" t="s">
        <v>22</v>
      </c>
      <c r="C772" t="s">
        <v>86</v>
      </c>
      <c r="D772" t="s">
        <v>382</v>
      </c>
      <c r="E772" s="5">
        <v>45812.958333333343</v>
      </c>
      <c r="F772">
        <v>12.975684299999999</v>
      </c>
      <c r="G772">
        <v>77.566074900000004</v>
      </c>
      <c r="H772" t="s">
        <v>772</v>
      </c>
      <c r="I772">
        <v>31</v>
      </c>
      <c r="J772">
        <v>36</v>
      </c>
      <c r="K772">
        <v>33</v>
      </c>
    </row>
    <row r="773" spans="1:11" x14ac:dyDescent="0.3">
      <c r="A773" t="s">
        <v>11</v>
      </c>
      <c r="B773" t="s">
        <v>22</v>
      </c>
      <c r="C773" t="s">
        <v>86</v>
      </c>
      <c r="D773" t="s">
        <v>681</v>
      </c>
      <c r="E773" s="5">
        <v>45812.958333333343</v>
      </c>
      <c r="F773">
        <v>13.029152</v>
      </c>
      <c r="G773">
        <v>77.585901000000007</v>
      </c>
      <c r="H773" t="s">
        <v>776</v>
      </c>
      <c r="I773">
        <v>4</v>
      </c>
      <c r="J773">
        <v>37</v>
      </c>
      <c r="K773">
        <v>24</v>
      </c>
    </row>
    <row r="774" spans="1:11" x14ac:dyDescent="0.3">
      <c r="A774" t="s">
        <v>11</v>
      </c>
      <c r="B774" t="s">
        <v>22</v>
      </c>
      <c r="C774" t="s">
        <v>86</v>
      </c>
      <c r="D774" t="s">
        <v>681</v>
      </c>
      <c r="E774" s="5">
        <v>45812.958333333343</v>
      </c>
      <c r="F774">
        <v>13.029152</v>
      </c>
      <c r="G774">
        <v>77.585901000000007</v>
      </c>
      <c r="H774" t="s">
        <v>770</v>
      </c>
      <c r="I774">
        <v>6</v>
      </c>
      <c r="J774">
        <v>28</v>
      </c>
      <c r="K774">
        <v>18</v>
      </c>
    </row>
    <row r="775" spans="1:11" x14ac:dyDescent="0.3">
      <c r="A775" t="s">
        <v>11</v>
      </c>
      <c r="B775" t="s">
        <v>20</v>
      </c>
      <c r="C775" t="s">
        <v>83</v>
      </c>
      <c r="D775" t="s">
        <v>375</v>
      </c>
      <c r="E775" s="5">
        <v>45812.958333333343</v>
      </c>
      <c r="F775">
        <v>30.943887</v>
      </c>
      <c r="G775">
        <v>76.801991000000001</v>
      </c>
      <c r="H775" t="s">
        <v>772</v>
      </c>
      <c r="I775">
        <v>6</v>
      </c>
      <c r="J775">
        <v>86</v>
      </c>
      <c r="K775">
        <v>27</v>
      </c>
    </row>
    <row r="776" spans="1:11" x14ac:dyDescent="0.3">
      <c r="A776" t="s">
        <v>11</v>
      </c>
      <c r="B776" t="s">
        <v>20</v>
      </c>
      <c r="C776" t="s">
        <v>83</v>
      </c>
      <c r="D776" t="s">
        <v>375</v>
      </c>
      <c r="E776" s="5">
        <v>45812.958333333343</v>
      </c>
      <c r="F776">
        <v>30.943887</v>
      </c>
      <c r="G776">
        <v>76.801991000000001</v>
      </c>
      <c r="H776" t="s">
        <v>773</v>
      </c>
      <c r="I776">
        <v>5</v>
      </c>
      <c r="J776">
        <v>8</v>
      </c>
      <c r="K776">
        <v>7</v>
      </c>
    </row>
    <row r="777" spans="1:11" x14ac:dyDescent="0.3">
      <c r="A777" t="s">
        <v>11</v>
      </c>
      <c r="B777" t="s">
        <v>21</v>
      </c>
      <c r="C777" t="s">
        <v>84</v>
      </c>
      <c r="D777" t="s">
        <v>376</v>
      </c>
      <c r="E777" s="5">
        <v>45812.958333333343</v>
      </c>
      <c r="F777">
        <v>34.066206000000001</v>
      </c>
      <c r="G777">
        <v>74.819820000000007</v>
      </c>
      <c r="H777" t="s">
        <v>775</v>
      </c>
      <c r="I777">
        <v>39</v>
      </c>
      <c r="J777">
        <v>83</v>
      </c>
      <c r="K777">
        <v>62</v>
      </c>
    </row>
    <row r="778" spans="1:11" x14ac:dyDescent="0.3">
      <c r="A778" t="s">
        <v>11</v>
      </c>
      <c r="B778" t="s">
        <v>21</v>
      </c>
      <c r="C778" t="s">
        <v>84</v>
      </c>
      <c r="D778" t="s">
        <v>376</v>
      </c>
      <c r="E778" s="5">
        <v>45812.958333333343</v>
      </c>
      <c r="F778">
        <v>34.066206000000001</v>
      </c>
      <c r="G778">
        <v>74.819820000000007</v>
      </c>
      <c r="H778" t="s">
        <v>772</v>
      </c>
      <c r="I778">
        <v>21</v>
      </c>
      <c r="J778">
        <v>21</v>
      </c>
      <c r="K778">
        <v>21</v>
      </c>
    </row>
    <row r="779" spans="1:11" x14ac:dyDescent="0.3">
      <c r="A779" t="s">
        <v>11</v>
      </c>
      <c r="B779" t="s">
        <v>39</v>
      </c>
      <c r="C779" t="s">
        <v>256</v>
      </c>
      <c r="D779" t="s">
        <v>682</v>
      </c>
      <c r="E779" s="5">
        <v>45812.958333333343</v>
      </c>
      <c r="F779">
        <v>23.805689999999998</v>
      </c>
      <c r="G779">
        <v>86.442679999999996</v>
      </c>
      <c r="H779" t="s">
        <v>771</v>
      </c>
      <c r="I779">
        <v>103</v>
      </c>
      <c r="J779">
        <v>283</v>
      </c>
      <c r="K779">
        <v>165</v>
      </c>
    </row>
    <row r="780" spans="1:11" x14ac:dyDescent="0.3">
      <c r="A780" t="s">
        <v>11</v>
      </c>
      <c r="B780" t="s">
        <v>22</v>
      </c>
      <c r="C780" t="s">
        <v>85</v>
      </c>
      <c r="D780" t="s">
        <v>377</v>
      </c>
      <c r="E780" s="5">
        <v>45812.958333333343</v>
      </c>
      <c r="F780">
        <v>16.172806000000001</v>
      </c>
      <c r="G780">
        <v>75.659694000000002</v>
      </c>
      <c r="H780" t="s">
        <v>775</v>
      </c>
      <c r="I780">
        <v>33</v>
      </c>
      <c r="J780">
        <v>34</v>
      </c>
      <c r="K780">
        <v>34</v>
      </c>
    </row>
    <row r="781" spans="1:11" x14ac:dyDescent="0.3">
      <c r="A781" t="s">
        <v>11</v>
      </c>
      <c r="B781" t="s">
        <v>22</v>
      </c>
      <c r="C781" t="s">
        <v>85</v>
      </c>
      <c r="D781" t="s">
        <v>377</v>
      </c>
      <c r="E781" s="5">
        <v>45812.958333333343</v>
      </c>
      <c r="F781">
        <v>16.172806000000001</v>
      </c>
      <c r="G781">
        <v>75.659694000000002</v>
      </c>
      <c r="H781" t="s">
        <v>772</v>
      </c>
      <c r="I781">
        <v>9</v>
      </c>
      <c r="J781">
        <v>10</v>
      </c>
      <c r="K781">
        <v>9</v>
      </c>
    </row>
    <row r="782" spans="1:11" x14ac:dyDescent="0.3">
      <c r="A782" t="s">
        <v>11</v>
      </c>
      <c r="B782" t="s">
        <v>19</v>
      </c>
      <c r="C782" t="s">
        <v>90</v>
      </c>
      <c r="D782" t="s">
        <v>683</v>
      </c>
      <c r="E782" s="5">
        <v>45812.958333333343</v>
      </c>
      <c r="F782">
        <v>23.243639000000002</v>
      </c>
      <c r="G782">
        <v>72.689940000000007</v>
      </c>
      <c r="H782" t="s">
        <v>775</v>
      </c>
      <c r="I782">
        <v>48</v>
      </c>
      <c r="J782">
        <v>253</v>
      </c>
      <c r="K782">
        <v>118</v>
      </c>
    </row>
    <row r="783" spans="1:11" x14ac:dyDescent="0.3">
      <c r="A783" t="s">
        <v>11</v>
      </c>
      <c r="B783" t="s">
        <v>19</v>
      </c>
      <c r="C783" t="s">
        <v>90</v>
      </c>
      <c r="D783" t="s">
        <v>387</v>
      </c>
      <c r="E783" s="5">
        <v>45812.958333333343</v>
      </c>
      <c r="F783">
        <v>23.221713999999999</v>
      </c>
      <c r="G783">
        <v>72.654328000000007</v>
      </c>
      <c r="H783" t="s">
        <v>773</v>
      </c>
      <c r="I783">
        <v>5</v>
      </c>
      <c r="J783">
        <v>6</v>
      </c>
      <c r="K783">
        <v>5</v>
      </c>
    </row>
    <row r="784" spans="1:11" x14ac:dyDescent="0.3">
      <c r="A784" t="s">
        <v>11</v>
      </c>
      <c r="B784" t="s">
        <v>19</v>
      </c>
      <c r="C784" t="s">
        <v>90</v>
      </c>
      <c r="D784" t="s">
        <v>387</v>
      </c>
      <c r="E784" s="5">
        <v>45812.958333333343</v>
      </c>
      <c r="F784">
        <v>23.221713999999999</v>
      </c>
      <c r="G784">
        <v>72.654328000000007</v>
      </c>
      <c r="H784" t="s">
        <v>774</v>
      </c>
      <c r="I784">
        <v>5</v>
      </c>
      <c r="J784">
        <v>7</v>
      </c>
      <c r="K784">
        <v>6</v>
      </c>
    </row>
    <row r="785" spans="1:11" x14ac:dyDescent="0.3">
      <c r="A785" t="s">
        <v>11</v>
      </c>
      <c r="B785" t="s">
        <v>19</v>
      </c>
      <c r="C785" t="s">
        <v>257</v>
      </c>
      <c r="D785" t="s">
        <v>684</v>
      </c>
      <c r="E785" s="5">
        <v>45812.958333333343</v>
      </c>
      <c r="F785">
        <v>22.410802</v>
      </c>
      <c r="G785">
        <v>73.097922999999994</v>
      </c>
      <c r="H785" t="s">
        <v>775</v>
      </c>
      <c r="I785">
        <v>2</v>
      </c>
      <c r="J785">
        <v>8</v>
      </c>
      <c r="K785">
        <v>4</v>
      </c>
    </row>
    <row r="786" spans="1:11" x14ac:dyDescent="0.3">
      <c r="A786" t="s">
        <v>11</v>
      </c>
      <c r="B786" t="s">
        <v>19</v>
      </c>
      <c r="C786" t="s">
        <v>91</v>
      </c>
      <c r="D786" t="s">
        <v>388</v>
      </c>
      <c r="E786" s="5">
        <v>45812.958333333343</v>
      </c>
      <c r="F786">
        <v>21.170045999999999</v>
      </c>
      <c r="G786">
        <v>72.795405000000002</v>
      </c>
      <c r="H786" t="s">
        <v>772</v>
      </c>
    </row>
    <row r="787" spans="1:11" x14ac:dyDescent="0.3">
      <c r="A787" t="s">
        <v>11</v>
      </c>
      <c r="B787" t="s">
        <v>19</v>
      </c>
      <c r="C787" t="s">
        <v>253</v>
      </c>
      <c r="D787" t="s">
        <v>678</v>
      </c>
      <c r="E787" s="5">
        <v>45812.958333333343</v>
      </c>
      <c r="F787">
        <v>20.362421000000001</v>
      </c>
      <c r="G787">
        <v>72.918013000000002</v>
      </c>
      <c r="H787" t="s">
        <v>772</v>
      </c>
      <c r="I787">
        <v>13</v>
      </c>
      <c r="J787">
        <v>14</v>
      </c>
      <c r="K787">
        <v>14</v>
      </c>
    </row>
    <row r="788" spans="1:11" x14ac:dyDescent="0.3">
      <c r="A788" t="s">
        <v>11</v>
      </c>
      <c r="B788" t="s">
        <v>19</v>
      </c>
      <c r="C788" t="s">
        <v>82</v>
      </c>
      <c r="D788" t="s">
        <v>374</v>
      </c>
      <c r="E788" s="5">
        <v>45812.958333333343</v>
      </c>
      <c r="F788">
        <v>23.020509000000001</v>
      </c>
      <c r="G788">
        <v>72.579261000000002</v>
      </c>
      <c r="H788" t="s">
        <v>771</v>
      </c>
      <c r="I788">
        <v>8</v>
      </c>
      <c r="J788">
        <v>181</v>
      </c>
      <c r="K788">
        <v>81</v>
      </c>
    </row>
    <row r="789" spans="1:11" x14ac:dyDescent="0.3">
      <c r="A789" t="s">
        <v>11</v>
      </c>
      <c r="B789" t="s">
        <v>19</v>
      </c>
      <c r="C789" t="s">
        <v>82</v>
      </c>
      <c r="D789" t="s">
        <v>685</v>
      </c>
      <c r="E789" s="5">
        <v>45812.958333333343</v>
      </c>
      <c r="F789">
        <v>23.016833999999999</v>
      </c>
      <c r="G789">
        <v>72.625775000000004</v>
      </c>
      <c r="H789" t="s">
        <v>776</v>
      </c>
      <c r="I789">
        <v>2</v>
      </c>
      <c r="J789">
        <v>164</v>
      </c>
      <c r="K789">
        <v>164</v>
      </c>
    </row>
    <row r="790" spans="1:11" x14ac:dyDescent="0.3">
      <c r="A790" t="s">
        <v>11</v>
      </c>
      <c r="B790" t="s">
        <v>19</v>
      </c>
      <c r="C790" t="s">
        <v>82</v>
      </c>
      <c r="D790" t="s">
        <v>378</v>
      </c>
      <c r="E790" s="5">
        <v>45812.958333333343</v>
      </c>
      <c r="F790">
        <v>23.041136999999999</v>
      </c>
      <c r="G790">
        <v>72.456691000000006</v>
      </c>
      <c r="H790" t="s">
        <v>772</v>
      </c>
      <c r="I790">
        <v>8</v>
      </c>
      <c r="J790">
        <v>22</v>
      </c>
      <c r="K790">
        <v>13</v>
      </c>
    </row>
    <row r="791" spans="1:11" x14ac:dyDescent="0.3">
      <c r="A791" t="s">
        <v>11</v>
      </c>
      <c r="B791" t="s">
        <v>19</v>
      </c>
      <c r="C791" t="s">
        <v>82</v>
      </c>
      <c r="D791" t="s">
        <v>378</v>
      </c>
      <c r="E791" s="5">
        <v>45812.958333333343</v>
      </c>
      <c r="F791">
        <v>23.041136999999999</v>
      </c>
      <c r="G791">
        <v>72.456691000000006</v>
      </c>
      <c r="H791" t="s">
        <v>774</v>
      </c>
      <c r="I791">
        <v>1</v>
      </c>
      <c r="J791">
        <v>2</v>
      </c>
      <c r="K791">
        <v>1</v>
      </c>
    </row>
    <row r="792" spans="1:11" x14ac:dyDescent="0.3">
      <c r="A792" t="s">
        <v>11</v>
      </c>
      <c r="B792" t="s">
        <v>19</v>
      </c>
      <c r="C792" t="s">
        <v>82</v>
      </c>
      <c r="D792" t="s">
        <v>378</v>
      </c>
      <c r="E792" s="5">
        <v>45812.958333333343</v>
      </c>
      <c r="F792">
        <v>23.041136999999999</v>
      </c>
      <c r="G792">
        <v>72.456691000000006</v>
      </c>
      <c r="H792" t="s">
        <v>770</v>
      </c>
      <c r="I792">
        <v>4</v>
      </c>
      <c r="J792">
        <v>37</v>
      </c>
      <c r="K792">
        <v>33</v>
      </c>
    </row>
    <row r="793" spans="1:11" x14ac:dyDescent="0.3">
      <c r="A793" t="s">
        <v>11</v>
      </c>
      <c r="B793" t="s">
        <v>19</v>
      </c>
      <c r="C793" t="s">
        <v>82</v>
      </c>
      <c r="D793" t="s">
        <v>379</v>
      </c>
      <c r="E793" s="5">
        <v>45812.958333333343</v>
      </c>
      <c r="F793">
        <v>23.076792999999999</v>
      </c>
      <c r="G793">
        <v>72.627874000000006</v>
      </c>
      <c r="H793" t="s">
        <v>772</v>
      </c>
      <c r="I793">
        <v>6</v>
      </c>
      <c r="J793">
        <v>69</v>
      </c>
      <c r="K793">
        <v>26</v>
      </c>
    </row>
    <row r="794" spans="1:11" x14ac:dyDescent="0.3">
      <c r="A794" t="s">
        <v>11</v>
      </c>
      <c r="B794" t="s">
        <v>19</v>
      </c>
      <c r="C794" t="s">
        <v>82</v>
      </c>
      <c r="D794" t="s">
        <v>379</v>
      </c>
      <c r="E794" s="5">
        <v>45812.958333333343</v>
      </c>
      <c r="F794">
        <v>23.076792999999999</v>
      </c>
      <c r="G794">
        <v>72.627874000000006</v>
      </c>
      <c r="H794" t="s">
        <v>773</v>
      </c>
      <c r="I794">
        <v>3</v>
      </c>
      <c r="J794">
        <v>9</v>
      </c>
      <c r="K794">
        <v>6</v>
      </c>
    </row>
    <row r="795" spans="1:11" x14ac:dyDescent="0.3">
      <c r="A795" t="s">
        <v>11</v>
      </c>
      <c r="B795" t="s">
        <v>18</v>
      </c>
      <c r="C795" t="s">
        <v>18</v>
      </c>
      <c r="D795" t="s">
        <v>370</v>
      </c>
      <c r="E795" s="5">
        <v>45812.958333333343</v>
      </c>
      <c r="F795">
        <v>28.699793</v>
      </c>
      <c r="G795">
        <v>77.165452999999999</v>
      </c>
      <c r="H795" t="s">
        <v>770</v>
      </c>
      <c r="I795">
        <v>5</v>
      </c>
      <c r="J795">
        <v>303</v>
      </c>
      <c r="K795">
        <v>120</v>
      </c>
    </row>
    <row r="796" spans="1:11" x14ac:dyDescent="0.3">
      <c r="A796" t="s">
        <v>11</v>
      </c>
      <c r="B796" t="s">
        <v>19</v>
      </c>
      <c r="C796" t="s">
        <v>82</v>
      </c>
      <c r="D796" t="s">
        <v>389</v>
      </c>
      <c r="E796" s="5">
        <v>45812.958333333343</v>
      </c>
      <c r="F796">
        <v>23.107969000000001</v>
      </c>
      <c r="G796">
        <v>72.574647999999996</v>
      </c>
      <c r="H796" t="s">
        <v>773</v>
      </c>
      <c r="I796">
        <v>3</v>
      </c>
      <c r="J796">
        <v>9</v>
      </c>
      <c r="K796">
        <v>4</v>
      </c>
    </row>
    <row r="797" spans="1:11" x14ac:dyDescent="0.3">
      <c r="A797" t="s">
        <v>11</v>
      </c>
      <c r="B797" t="s">
        <v>19</v>
      </c>
      <c r="C797" t="s">
        <v>82</v>
      </c>
      <c r="D797" t="s">
        <v>372</v>
      </c>
      <c r="E797" s="5">
        <v>45812.958333333343</v>
      </c>
      <c r="F797">
        <v>22.977134</v>
      </c>
      <c r="G797">
        <v>72.553023999999994</v>
      </c>
      <c r="H797" t="s">
        <v>771</v>
      </c>
      <c r="I797">
        <v>52</v>
      </c>
      <c r="J797">
        <v>373</v>
      </c>
      <c r="K797">
        <v>163</v>
      </c>
    </row>
    <row r="798" spans="1:11" x14ac:dyDescent="0.3">
      <c r="A798" t="s">
        <v>11</v>
      </c>
      <c r="B798" t="s">
        <v>19</v>
      </c>
      <c r="C798" t="s">
        <v>82</v>
      </c>
      <c r="D798" t="s">
        <v>372</v>
      </c>
      <c r="E798" s="5">
        <v>45812.958333333343</v>
      </c>
      <c r="F798">
        <v>22.977134</v>
      </c>
      <c r="G798">
        <v>72.553023999999994</v>
      </c>
      <c r="H798" t="s">
        <v>772</v>
      </c>
      <c r="I798">
        <v>7</v>
      </c>
      <c r="J798">
        <v>87</v>
      </c>
      <c r="K798">
        <v>38</v>
      </c>
    </row>
    <row r="799" spans="1:11" x14ac:dyDescent="0.3">
      <c r="A799" t="s">
        <v>11</v>
      </c>
      <c r="B799" t="s">
        <v>19</v>
      </c>
      <c r="C799" t="s">
        <v>82</v>
      </c>
      <c r="D799" t="s">
        <v>385</v>
      </c>
      <c r="E799" s="5">
        <v>45812.958333333343</v>
      </c>
      <c r="F799">
        <v>23.04307</v>
      </c>
      <c r="G799">
        <v>72.562967999999998</v>
      </c>
      <c r="H799" t="s">
        <v>771</v>
      </c>
      <c r="I799">
        <v>50</v>
      </c>
      <c r="J799">
        <v>126</v>
      </c>
      <c r="K799">
        <v>75</v>
      </c>
    </row>
    <row r="800" spans="1:11" x14ac:dyDescent="0.3">
      <c r="A800" t="s">
        <v>11</v>
      </c>
      <c r="B800" t="s">
        <v>19</v>
      </c>
      <c r="C800" t="s">
        <v>89</v>
      </c>
      <c r="D800" t="s">
        <v>386</v>
      </c>
      <c r="E800" s="5">
        <v>45812.958333333343</v>
      </c>
      <c r="F800">
        <v>21.613267</v>
      </c>
      <c r="G800">
        <v>73.010554999999997</v>
      </c>
      <c r="H800" t="s">
        <v>773</v>
      </c>
      <c r="I800">
        <v>7</v>
      </c>
      <c r="J800">
        <v>8</v>
      </c>
      <c r="K800">
        <v>7</v>
      </c>
    </row>
    <row r="801" spans="1:11" x14ac:dyDescent="0.3">
      <c r="A801" t="s">
        <v>11</v>
      </c>
      <c r="B801" t="s">
        <v>18</v>
      </c>
      <c r="C801" t="s">
        <v>18</v>
      </c>
      <c r="D801" t="s">
        <v>369</v>
      </c>
      <c r="E801" s="5">
        <v>45812.958333333343</v>
      </c>
      <c r="F801">
        <v>28.672342</v>
      </c>
      <c r="G801">
        <v>77.315259999999995</v>
      </c>
      <c r="H801" t="s">
        <v>773</v>
      </c>
      <c r="I801">
        <v>1</v>
      </c>
      <c r="J801">
        <v>5</v>
      </c>
      <c r="K801">
        <v>4</v>
      </c>
    </row>
    <row r="802" spans="1:11" x14ac:dyDescent="0.3">
      <c r="A802" t="s">
        <v>11</v>
      </c>
      <c r="B802" t="s">
        <v>18</v>
      </c>
      <c r="C802" t="s">
        <v>18</v>
      </c>
      <c r="D802" t="s">
        <v>370</v>
      </c>
      <c r="E802" s="5">
        <v>45812.958333333343</v>
      </c>
      <c r="F802">
        <v>28.699793</v>
      </c>
      <c r="G802">
        <v>77.165452999999999</v>
      </c>
      <c r="H802" t="s">
        <v>771</v>
      </c>
    </row>
    <row r="803" spans="1:11" x14ac:dyDescent="0.3">
      <c r="A803" t="s">
        <v>11</v>
      </c>
      <c r="B803" t="s">
        <v>18</v>
      </c>
      <c r="C803" t="s">
        <v>18</v>
      </c>
      <c r="D803" t="s">
        <v>370</v>
      </c>
      <c r="E803" s="5">
        <v>45812.958333333343</v>
      </c>
      <c r="F803">
        <v>28.699793</v>
      </c>
      <c r="G803">
        <v>77.165452999999999</v>
      </c>
      <c r="H803" t="s">
        <v>773</v>
      </c>
      <c r="I803">
        <v>10</v>
      </c>
      <c r="J803">
        <v>21</v>
      </c>
      <c r="K803">
        <v>14</v>
      </c>
    </row>
    <row r="804" spans="1:11" x14ac:dyDescent="0.3">
      <c r="A804" t="s">
        <v>11</v>
      </c>
      <c r="B804" t="s">
        <v>19</v>
      </c>
      <c r="C804" t="s">
        <v>82</v>
      </c>
      <c r="D804" t="s">
        <v>373</v>
      </c>
      <c r="E804" s="5">
        <v>45812.958333333343</v>
      </c>
      <c r="F804">
        <v>23.002656999999999</v>
      </c>
      <c r="G804">
        <v>72.591911999999994</v>
      </c>
      <c r="H804" t="s">
        <v>776</v>
      </c>
      <c r="I804">
        <v>10</v>
      </c>
      <c r="J804">
        <v>92</v>
      </c>
      <c r="K804">
        <v>47</v>
      </c>
    </row>
    <row r="805" spans="1:11" x14ac:dyDescent="0.3">
      <c r="A805" t="s">
        <v>11</v>
      </c>
      <c r="B805" t="s">
        <v>22</v>
      </c>
      <c r="C805" t="s">
        <v>97</v>
      </c>
      <c r="D805" t="s">
        <v>396</v>
      </c>
      <c r="E805" s="5">
        <v>45812.958333333343</v>
      </c>
      <c r="F805">
        <v>13.328028</v>
      </c>
      <c r="G805">
        <v>75.797055999999998</v>
      </c>
      <c r="H805" t="s">
        <v>770</v>
      </c>
      <c r="I805">
        <v>12</v>
      </c>
      <c r="J805">
        <v>41</v>
      </c>
      <c r="K805">
        <v>15</v>
      </c>
    </row>
    <row r="806" spans="1:11" x14ac:dyDescent="0.3">
      <c r="A806" t="s">
        <v>11</v>
      </c>
      <c r="B806" t="s">
        <v>22</v>
      </c>
      <c r="C806" t="s">
        <v>98</v>
      </c>
      <c r="D806" t="s">
        <v>397</v>
      </c>
      <c r="E806" s="5">
        <v>45812.958333333343</v>
      </c>
      <c r="F806">
        <v>14.4758</v>
      </c>
      <c r="G806">
        <v>75.905199999999994</v>
      </c>
      <c r="H806" t="s">
        <v>773</v>
      </c>
      <c r="I806">
        <v>2</v>
      </c>
      <c r="J806">
        <v>3</v>
      </c>
      <c r="K806">
        <v>2</v>
      </c>
    </row>
    <row r="807" spans="1:11" x14ac:dyDescent="0.3">
      <c r="A807" t="s">
        <v>11</v>
      </c>
      <c r="B807" t="s">
        <v>22</v>
      </c>
      <c r="C807" t="s">
        <v>99</v>
      </c>
      <c r="D807" t="s">
        <v>398</v>
      </c>
      <c r="E807" s="5">
        <v>45812.958333333343</v>
      </c>
      <c r="F807">
        <v>15.459706000000001</v>
      </c>
      <c r="G807">
        <v>75.008381</v>
      </c>
      <c r="H807" t="s">
        <v>775</v>
      </c>
      <c r="I807">
        <v>46</v>
      </c>
      <c r="J807">
        <v>68</v>
      </c>
      <c r="K807">
        <v>50</v>
      </c>
    </row>
    <row r="808" spans="1:11" x14ac:dyDescent="0.3">
      <c r="A808" t="s">
        <v>11</v>
      </c>
      <c r="B808" t="s">
        <v>22</v>
      </c>
      <c r="C808" t="s">
        <v>99</v>
      </c>
      <c r="D808" t="s">
        <v>398</v>
      </c>
      <c r="E808" s="5">
        <v>45812.958333333343</v>
      </c>
      <c r="F808">
        <v>15.459706000000001</v>
      </c>
      <c r="G808">
        <v>75.008381</v>
      </c>
      <c r="H808" t="s">
        <v>771</v>
      </c>
      <c r="I808">
        <v>50</v>
      </c>
      <c r="J808">
        <v>80</v>
      </c>
      <c r="K808">
        <v>56</v>
      </c>
    </row>
    <row r="809" spans="1:11" x14ac:dyDescent="0.3">
      <c r="A809" t="s">
        <v>11</v>
      </c>
      <c r="B809" t="s">
        <v>22</v>
      </c>
      <c r="C809" t="s">
        <v>92</v>
      </c>
      <c r="D809" t="s">
        <v>391</v>
      </c>
      <c r="E809" s="5">
        <v>45812.958333333343</v>
      </c>
      <c r="F809">
        <v>15.411455999999999</v>
      </c>
      <c r="G809">
        <v>75.638132999999996</v>
      </c>
      <c r="H809" t="s">
        <v>771</v>
      </c>
      <c r="I809">
        <v>30</v>
      </c>
      <c r="J809">
        <v>57</v>
      </c>
      <c r="K809">
        <v>42</v>
      </c>
    </row>
    <row r="810" spans="1:11" x14ac:dyDescent="0.3">
      <c r="A810" t="s">
        <v>11</v>
      </c>
      <c r="B810" t="s">
        <v>22</v>
      </c>
      <c r="C810" t="s">
        <v>92</v>
      </c>
      <c r="D810" t="s">
        <v>391</v>
      </c>
      <c r="E810" s="5">
        <v>45812.958333333343</v>
      </c>
      <c r="F810">
        <v>15.411455999999999</v>
      </c>
      <c r="G810">
        <v>75.638132999999996</v>
      </c>
      <c r="H810" t="s">
        <v>770</v>
      </c>
      <c r="I810">
        <v>18</v>
      </c>
      <c r="J810">
        <v>71</v>
      </c>
      <c r="K810">
        <v>56</v>
      </c>
    </row>
    <row r="811" spans="1:11" x14ac:dyDescent="0.3">
      <c r="A811" t="s">
        <v>11</v>
      </c>
      <c r="B811" t="s">
        <v>22</v>
      </c>
      <c r="C811" t="s">
        <v>93</v>
      </c>
      <c r="D811" t="s">
        <v>392</v>
      </c>
      <c r="E811" s="5">
        <v>45812.958333333343</v>
      </c>
      <c r="F811">
        <v>14.7918</v>
      </c>
      <c r="G811">
        <v>75.389600000000002</v>
      </c>
      <c r="H811" t="s">
        <v>772</v>
      </c>
    </row>
    <row r="812" spans="1:11" x14ac:dyDescent="0.3">
      <c r="A812" t="s">
        <v>11</v>
      </c>
      <c r="B812" t="s">
        <v>22</v>
      </c>
      <c r="C812" t="s">
        <v>94</v>
      </c>
      <c r="D812" t="s">
        <v>393</v>
      </c>
      <c r="E812" s="5">
        <v>45812.958333333343</v>
      </c>
      <c r="F812">
        <v>15.3714823</v>
      </c>
      <c r="G812">
        <v>75.116016799999997</v>
      </c>
      <c r="H812" t="s">
        <v>771</v>
      </c>
      <c r="I812">
        <v>46</v>
      </c>
      <c r="J812">
        <v>47</v>
      </c>
      <c r="K812">
        <v>47</v>
      </c>
    </row>
    <row r="813" spans="1:11" x14ac:dyDescent="0.3">
      <c r="A813" t="s">
        <v>11</v>
      </c>
      <c r="B813" t="s">
        <v>22</v>
      </c>
      <c r="C813" t="s">
        <v>94</v>
      </c>
      <c r="D813" t="s">
        <v>393</v>
      </c>
      <c r="E813" s="5">
        <v>45812.958333333343</v>
      </c>
      <c r="F813">
        <v>15.3714823</v>
      </c>
      <c r="G813">
        <v>75.116016799999997</v>
      </c>
      <c r="H813" t="s">
        <v>776</v>
      </c>
      <c r="I813">
        <v>6</v>
      </c>
      <c r="J813">
        <v>19</v>
      </c>
      <c r="K813">
        <v>8</v>
      </c>
    </row>
    <row r="814" spans="1:11" x14ac:dyDescent="0.3">
      <c r="A814" t="s">
        <v>11</v>
      </c>
      <c r="B814" t="s">
        <v>22</v>
      </c>
      <c r="C814" t="s">
        <v>95</v>
      </c>
      <c r="D814" t="s">
        <v>394</v>
      </c>
      <c r="E814" s="5">
        <v>45812.958333333343</v>
      </c>
      <c r="F814">
        <v>17.321992999999999</v>
      </c>
      <c r="G814">
        <v>76.822627999999995</v>
      </c>
      <c r="H814" t="s">
        <v>770</v>
      </c>
      <c r="I814">
        <v>23</v>
      </c>
      <c r="J814">
        <v>70</v>
      </c>
      <c r="K814">
        <v>59</v>
      </c>
    </row>
    <row r="815" spans="1:11" x14ac:dyDescent="0.3">
      <c r="A815" t="s">
        <v>11</v>
      </c>
      <c r="B815" t="s">
        <v>22</v>
      </c>
      <c r="C815" t="s">
        <v>95</v>
      </c>
      <c r="D815" t="s">
        <v>686</v>
      </c>
      <c r="E815" s="5">
        <v>45812.958333333343</v>
      </c>
      <c r="F815">
        <v>17.336317999999999</v>
      </c>
      <c r="G815">
        <v>76.847397000000001</v>
      </c>
      <c r="H815" t="s">
        <v>776</v>
      </c>
      <c r="I815">
        <v>31</v>
      </c>
      <c r="J815">
        <v>80</v>
      </c>
      <c r="K815">
        <v>44</v>
      </c>
    </row>
    <row r="816" spans="1:11" x14ac:dyDescent="0.3">
      <c r="A816" t="s">
        <v>11</v>
      </c>
      <c r="B816" t="s">
        <v>22</v>
      </c>
      <c r="C816" t="s">
        <v>258</v>
      </c>
      <c r="D816" t="s">
        <v>687</v>
      </c>
      <c r="E816" s="5">
        <v>45812.958333333343</v>
      </c>
      <c r="F816">
        <v>15.347630000000001</v>
      </c>
      <c r="G816">
        <v>76.181766999999994</v>
      </c>
      <c r="H816" t="s">
        <v>775</v>
      </c>
      <c r="I816">
        <v>11</v>
      </c>
      <c r="J816">
        <v>51</v>
      </c>
      <c r="K816">
        <v>25</v>
      </c>
    </row>
    <row r="817" spans="1:11" x14ac:dyDescent="0.3">
      <c r="A817" t="s">
        <v>11</v>
      </c>
      <c r="B817" t="s">
        <v>22</v>
      </c>
      <c r="C817" t="s">
        <v>86</v>
      </c>
      <c r="D817" t="s">
        <v>688</v>
      </c>
      <c r="E817" s="5">
        <v>45812.958333333343</v>
      </c>
      <c r="F817">
        <v>13.003871999999999</v>
      </c>
      <c r="G817">
        <v>77.664216999999994</v>
      </c>
      <c r="H817" t="s">
        <v>772</v>
      </c>
      <c r="I817">
        <v>20</v>
      </c>
      <c r="J817">
        <v>23</v>
      </c>
      <c r="K817">
        <v>22</v>
      </c>
    </row>
    <row r="818" spans="1:11" x14ac:dyDescent="0.3">
      <c r="A818" t="s">
        <v>11</v>
      </c>
      <c r="B818" t="s">
        <v>22</v>
      </c>
      <c r="C818" t="s">
        <v>86</v>
      </c>
      <c r="D818" t="s">
        <v>688</v>
      </c>
      <c r="E818" s="5">
        <v>45812.958333333343</v>
      </c>
      <c r="F818">
        <v>13.003871999999999</v>
      </c>
      <c r="G818">
        <v>77.664216999999994</v>
      </c>
      <c r="H818" t="s">
        <v>773</v>
      </c>
      <c r="I818">
        <v>2</v>
      </c>
      <c r="J818">
        <v>2</v>
      </c>
      <c r="K818">
        <v>2</v>
      </c>
    </row>
    <row r="819" spans="1:11" x14ac:dyDescent="0.3">
      <c r="A819" t="s">
        <v>11</v>
      </c>
      <c r="B819" t="s">
        <v>22</v>
      </c>
      <c r="C819" t="s">
        <v>86</v>
      </c>
      <c r="D819" t="s">
        <v>404</v>
      </c>
      <c r="E819" s="5">
        <v>45812.958333333343</v>
      </c>
      <c r="F819">
        <v>13.027019900000001</v>
      </c>
      <c r="G819">
        <v>77.494094000000004</v>
      </c>
      <c r="H819" t="s">
        <v>776</v>
      </c>
      <c r="I819">
        <v>23</v>
      </c>
      <c r="J819">
        <v>70</v>
      </c>
      <c r="K819">
        <v>44</v>
      </c>
    </row>
    <row r="820" spans="1:11" x14ac:dyDescent="0.3">
      <c r="A820" t="s">
        <v>11</v>
      </c>
      <c r="B820" t="s">
        <v>22</v>
      </c>
      <c r="C820" t="s">
        <v>86</v>
      </c>
      <c r="D820" t="s">
        <v>405</v>
      </c>
      <c r="E820" s="5">
        <v>45812.958333333343</v>
      </c>
      <c r="F820">
        <v>12.921417999999999</v>
      </c>
      <c r="G820">
        <v>77.502465999999998</v>
      </c>
      <c r="H820" t="s">
        <v>772</v>
      </c>
      <c r="I820">
        <v>18</v>
      </c>
      <c r="J820">
        <v>21</v>
      </c>
      <c r="K820">
        <v>20</v>
      </c>
    </row>
    <row r="821" spans="1:11" x14ac:dyDescent="0.3">
      <c r="A821" t="s">
        <v>11</v>
      </c>
      <c r="B821" t="s">
        <v>22</v>
      </c>
      <c r="C821" t="s">
        <v>86</v>
      </c>
      <c r="D821" t="s">
        <v>401</v>
      </c>
      <c r="E821" s="5">
        <v>45812.958333333343</v>
      </c>
      <c r="F821">
        <v>13.024634199999999</v>
      </c>
      <c r="G821">
        <v>77.508011499999995</v>
      </c>
      <c r="H821" t="s">
        <v>771</v>
      </c>
      <c r="I821">
        <v>28</v>
      </c>
      <c r="J821">
        <v>88</v>
      </c>
      <c r="K821">
        <v>47</v>
      </c>
    </row>
    <row r="822" spans="1:11" x14ac:dyDescent="0.3">
      <c r="A822" t="s">
        <v>11</v>
      </c>
      <c r="B822" t="s">
        <v>22</v>
      </c>
      <c r="C822" t="s">
        <v>86</v>
      </c>
      <c r="D822" t="s">
        <v>401</v>
      </c>
      <c r="E822" s="5">
        <v>45812.958333333343</v>
      </c>
      <c r="F822">
        <v>13.024634199999999</v>
      </c>
      <c r="G822">
        <v>77.508011499999995</v>
      </c>
      <c r="H822" t="s">
        <v>772</v>
      </c>
      <c r="I822">
        <v>8</v>
      </c>
      <c r="J822">
        <v>10</v>
      </c>
      <c r="K822">
        <v>8</v>
      </c>
    </row>
    <row r="823" spans="1:11" x14ac:dyDescent="0.3">
      <c r="A823" t="s">
        <v>11</v>
      </c>
      <c r="B823" t="s">
        <v>22</v>
      </c>
      <c r="C823" t="s">
        <v>102</v>
      </c>
      <c r="D823" t="s">
        <v>403</v>
      </c>
      <c r="E823" s="5">
        <v>45812.958333333343</v>
      </c>
      <c r="F823">
        <v>11.55358</v>
      </c>
      <c r="G823">
        <v>76.555210000000002</v>
      </c>
      <c r="H823" t="s">
        <v>771</v>
      </c>
      <c r="I823">
        <v>30</v>
      </c>
      <c r="J823">
        <v>46</v>
      </c>
      <c r="K823">
        <v>43</v>
      </c>
    </row>
    <row r="824" spans="1:11" x14ac:dyDescent="0.3">
      <c r="A824" t="s">
        <v>11</v>
      </c>
      <c r="B824" t="s">
        <v>22</v>
      </c>
      <c r="C824" t="s">
        <v>102</v>
      </c>
      <c r="D824" t="s">
        <v>403</v>
      </c>
      <c r="E824" s="5">
        <v>45812.958333333343</v>
      </c>
      <c r="F824">
        <v>11.55358</v>
      </c>
      <c r="G824">
        <v>76.555210000000002</v>
      </c>
      <c r="H824" t="s">
        <v>776</v>
      </c>
      <c r="I824">
        <v>18</v>
      </c>
      <c r="J824">
        <v>120</v>
      </c>
      <c r="K824">
        <v>22</v>
      </c>
    </row>
    <row r="825" spans="1:11" x14ac:dyDescent="0.3">
      <c r="A825" t="s">
        <v>11</v>
      </c>
      <c r="B825" t="s">
        <v>22</v>
      </c>
      <c r="C825" t="s">
        <v>102</v>
      </c>
      <c r="D825" t="s">
        <v>403</v>
      </c>
      <c r="E825" s="5">
        <v>45812.958333333343</v>
      </c>
      <c r="F825">
        <v>11.55358</v>
      </c>
      <c r="G825">
        <v>76.555210000000002</v>
      </c>
      <c r="H825" t="s">
        <v>770</v>
      </c>
      <c r="I825">
        <v>13</v>
      </c>
      <c r="J825">
        <v>26</v>
      </c>
      <c r="K825">
        <v>16</v>
      </c>
    </row>
    <row r="826" spans="1:11" x14ac:dyDescent="0.3">
      <c r="A826" t="s">
        <v>11</v>
      </c>
      <c r="B826" t="s">
        <v>22</v>
      </c>
      <c r="C826" t="s">
        <v>96</v>
      </c>
      <c r="D826" t="s">
        <v>395</v>
      </c>
      <c r="E826" s="5">
        <v>45812.958333333343</v>
      </c>
      <c r="F826">
        <v>13.428827999999999</v>
      </c>
      <c r="G826">
        <v>77.731418000000005</v>
      </c>
      <c r="H826" t="s">
        <v>771</v>
      </c>
      <c r="I826">
        <v>25</v>
      </c>
      <c r="J826">
        <v>63</v>
      </c>
      <c r="K826">
        <v>45</v>
      </c>
    </row>
    <row r="827" spans="1:11" x14ac:dyDescent="0.3">
      <c r="A827" t="s">
        <v>11</v>
      </c>
      <c r="B827" t="s">
        <v>22</v>
      </c>
      <c r="C827" t="s">
        <v>96</v>
      </c>
      <c r="D827" t="s">
        <v>395</v>
      </c>
      <c r="E827" s="5">
        <v>45812.958333333343</v>
      </c>
      <c r="F827">
        <v>13.428827999999999</v>
      </c>
      <c r="G827">
        <v>77.731418000000005</v>
      </c>
      <c r="H827" t="s">
        <v>773</v>
      </c>
      <c r="I827">
        <v>3</v>
      </c>
      <c r="J827">
        <v>4</v>
      </c>
      <c r="K827">
        <v>4</v>
      </c>
    </row>
    <row r="828" spans="1:11" x14ac:dyDescent="0.3">
      <c r="A828" t="s">
        <v>11</v>
      </c>
      <c r="B828" t="s">
        <v>22</v>
      </c>
      <c r="C828" t="s">
        <v>96</v>
      </c>
      <c r="D828" t="s">
        <v>395</v>
      </c>
      <c r="E828" s="5">
        <v>45812.958333333343</v>
      </c>
      <c r="F828">
        <v>13.428827999999999</v>
      </c>
      <c r="G828">
        <v>77.731418000000005</v>
      </c>
      <c r="H828" t="s">
        <v>770</v>
      </c>
      <c r="I828">
        <v>24</v>
      </c>
      <c r="J828">
        <v>25</v>
      </c>
      <c r="K828">
        <v>25</v>
      </c>
    </row>
    <row r="829" spans="1:11" x14ac:dyDescent="0.3">
      <c r="A829" t="s">
        <v>11</v>
      </c>
      <c r="B829" t="s">
        <v>22</v>
      </c>
      <c r="C829" t="s">
        <v>258</v>
      </c>
      <c r="D829" t="s">
        <v>687</v>
      </c>
      <c r="E829" s="5">
        <v>45812.958333333343</v>
      </c>
      <c r="F829">
        <v>15.347630000000001</v>
      </c>
      <c r="G829">
        <v>76.181766999999994</v>
      </c>
      <c r="H829" t="s">
        <v>772</v>
      </c>
      <c r="I829">
        <v>11</v>
      </c>
      <c r="J829">
        <v>25</v>
      </c>
      <c r="K829">
        <v>16</v>
      </c>
    </row>
    <row r="830" spans="1:11" x14ac:dyDescent="0.3">
      <c r="A830" t="s">
        <v>11</v>
      </c>
      <c r="B830" t="s">
        <v>22</v>
      </c>
      <c r="C830" t="s">
        <v>258</v>
      </c>
      <c r="D830" t="s">
        <v>687</v>
      </c>
      <c r="E830" s="5">
        <v>45812.958333333343</v>
      </c>
      <c r="F830">
        <v>15.347630000000001</v>
      </c>
      <c r="G830">
        <v>76.181766999999994</v>
      </c>
      <c r="H830" t="s">
        <v>774</v>
      </c>
      <c r="I830">
        <v>10</v>
      </c>
      <c r="J830">
        <v>28</v>
      </c>
      <c r="K830">
        <v>18</v>
      </c>
    </row>
    <row r="831" spans="1:11" x14ac:dyDescent="0.3">
      <c r="A831" t="s">
        <v>11</v>
      </c>
      <c r="B831" t="s">
        <v>22</v>
      </c>
      <c r="C831" t="s">
        <v>259</v>
      </c>
      <c r="D831" t="s">
        <v>689</v>
      </c>
      <c r="E831" s="5">
        <v>45812.958333333343</v>
      </c>
      <c r="F831">
        <v>12.889250000000001</v>
      </c>
      <c r="G831">
        <v>74.852999999999994</v>
      </c>
      <c r="H831" t="s">
        <v>772</v>
      </c>
      <c r="I831">
        <v>5</v>
      </c>
      <c r="J831">
        <v>9</v>
      </c>
      <c r="K831">
        <v>7</v>
      </c>
    </row>
    <row r="832" spans="1:11" x14ac:dyDescent="0.3">
      <c r="A832" t="s">
        <v>11</v>
      </c>
      <c r="B832" t="s">
        <v>22</v>
      </c>
      <c r="C832" t="s">
        <v>86</v>
      </c>
      <c r="D832" t="s">
        <v>690</v>
      </c>
      <c r="E832" s="5">
        <v>45812.958333333343</v>
      </c>
      <c r="F832">
        <v>12.920984000000001</v>
      </c>
      <c r="G832">
        <v>77.584907999999999</v>
      </c>
      <c r="H832" t="s">
        <v>772</v>
      </c>
      <c r="I832">
        <v>15</v>
      </c>
      <c r="J832">
        <v>16</v>
      </c>
      <c r="K832">
        <v>16</v>
      </c>
    </row>
    <row r="833" spans="1:11" x14ac:dyDescent="0.3">
      <c r="A833" t="s">
        <v>11</v>
      </c>
      <c r="B833" t="s">
        <v>22</v>
      </c>
      <c r="C833" t="s">
        <v>86</v>
      </c>
      <c r="D833" t="s">
        <v>690</v>
      </c>
      <c r="E833" s="5">
        <v>45812.958333333343</v>
      </c>
      <c r="F833">
        <v>12.920984000000001</v>
      </c>
      <c r="G833">
        <v>77.584907999999999</v>
      </c>
      <c r="H833" t="s">
        <v>773</v>
      </c>
      <c r="I833">
        <v>1</v>
      </c>
      <c r="J833">
        <v>1</v>
      </c>
      <c r="K833">
        <v>1</v>
      </c>
    </row>
    <row r="834" spans="1:11" x14ac:dyDescent="0.3">
      <c r="A834" t="s">
        <v>11</v>
      </c>
      <c r="B834" t="s">
        <v>22</v>
      </c>
      <c r="C834" t="s">
        <v>86</v>
      </c>
      <c r="D834" t="s">
        <v>690</v>
      </c>
      <c r="E834" s="5">
        <v>45812.958333333343</v>
      </c>
      <c r="F834">
        <v>12.920984000000001</v>
      </c>
      <c r="G834">
        <v>77.584907999999999</v>
      </c>
      <c r="H834" t="s">
        <v>774</v>
      </c>
      <c r="I834">
        <v>6</v>
      </c>
      <c r="J834">
        <v>15</v>
      </c>
      <c r="K834">
        <v>9</v>
      </c>
    </row>
    <row r="835" spans="1:11" x14ac:dyDescent="0.3">
      <c r="A835" t="s">
        <v>11</v>
      </c>
      <c r="B835" t="s">
        <v>22</v>
      </c>
      <c r="C835" t="s">
        <v>260</v>
      </c>
      <c r="D835" t="s">
        <v>691</v>
      </c>
      <c r="E835" s="5">
        <v>45812.958333333343</v>
      </c>
      <c r="F835">
        <v>13.94</v>
      </c>
      <c r="G835">
        <v>75.555916999999994</v>
      </c>
      <c r="H835" t="s">
        <v>773</v>
      </c>
      <c r="I835">
        <v>2</v>
      </c>
      <c r="J835">
        <v>2</v>
      </c>
      <c r="K835">
        <v>2</v>
      </c>
    </row>
    <row r="836" spans="1:11" x14ac:dyDescent="0.3">
      <c r="A836" t="s">
        <v>11</v>
      </c>
      <c r="B836" t="s">
        <v>22</v>
      </c>
      <c r="C836" t="s">
        <v>260</v>
      </c>
      <c r="D836" t="s">
        <v>691</v>
      </c>
      <c r="E836" s="5">
        <v>45812.958333333343</v>
      </c>
      <c r="F836">
        <v>13.94</v>
      </c>
      <c r="G836">
        <v>75.555916999999994</v>
      </c>
      <c r="H836" t="s">
        <v>770</v>
      </c>
      <c r="I836">
        <v>9</v>
      </c>
      <c r="J836">
        <v>59</v>
      </c>
      <c r="K836">
        <v>47</v>
      </c>
    </row>
    <row r="837" spans="1:11" x14ac:dyDescent="0.3">
      <c r="A837" t="s">
        <v>11</v>
      </c>
      <c r="B837" t="s">
        <v>22</v>
      </c>
      <c r="C837" t="s">
        <v>103</v>
      </c>
      <c r="D837" t="s">
        <v>406</v>
      </c>
      <c r="E837" s="5">
        <v>45812.958333333343</v>
      </c>
      <c r="F837">
        <v>12.21041</v>
      </c>
      <c r="G837">
        <v>76.373760000000004</v>
      </c>
      <c r="H837" t="s">
        <v>775</v>
      </c>
      <c r="I837">
        <v>16</v>
      </c>
      <c r="J837">
        <v>35</v>
      </c>
      <c r="K837">
        <v>23</v>
      </c>
    </row>
    <row r="838" spans="1:11" x14ac:dyDescent="0.3">
      <c r="A838" t="s">
        <v>11</v>
      </c>
      <c r="B838" t="s">
        <v>22</v>
      </c>
      <c r="C838" t="s">
        <v>103</v>
      </c>
      <c r="D838" t="s">
        <v>406</v>
      </c>
      <c r="E838" s="5">
        <v>45812.958333333343</v>
      </c>
      <c r="F838">
        <v>12.21041</v>
      </c>
      <c r="G838">
        <v>76.373760000000004</v>
      </c>
      <c r="H838" t="s">
        <v>770</v>
      </c>
      <c r="I838">
        <v>12</v>
      </c>
      <c r="J838">
        <v>104</v>
      </c>
      <c r="K838">
        <v>76</v>
      </c>
    </row>
    <row r="839" spans="1:11" x14ac:dyDescent="0.3">
      <c r="A839" t="s">
        <v>11</v>
      </c>
      <c r="B839" t="s">
        <v>22</v>
      </c>
      <c r="C839" t="s">
        <v>104</v>
      </c>
      <c r="D839" t="s">
        <v>407</v>
      </c>
      <c r="E839" s="5">
        <v>45812.958333333343</v>
      </c>
      <c r="F839">
        <v>13.377516</v>
      </c>
      <c r="G839">
        <v>77.099072000000007</v>
      </c>
      <c r="H839" t="s">
        <v>775</v>
      </c>
      <c r="I839">
        <v>20</v>
      </c>
      <c r="J839">
        <v>56</v>
      </c>
      <c r="K839">
        <v>33</v>
      </c>
    </row>
    <row r="840" spans="1:11" x14ac:dyDescent="0.3">
      <c r="A840" t="s">
        <v>11</v>
      </c>
      <c r="B840" t="s">
        <v>25</v>
      </c>
      <c r="C840" t="s">
        <v>112</v>
      </c>
      <c r="D840" t="s">
        <v>416</v>
      </c>
      <c r="E840" s="5">
        <v>45812.958333333343</v>
      </c>
      <c r="F840">
        <v>23.108440000000002</v>
      </c>
      <c r="G840">
        <v>77.511427999999995</v>
      </c>
      <c r="H840" t="s">
        <v>776</v>
      </c>
      <c r="I840">
        <v>14</v>
      </c>
      <c r="J840">
        <v>148</v>
      </c>
      <c r="K840">
        <v>40</v>
      </c>
    </row>
    <row r="841" spans="1:11" x14ac:dyDescent="0.3">
      <c r="A841" t="s">
        <v>11</v>
      </c>
      <c r="B841" t="s">
        <v>25</v>
      </c>
      <c r="C841" t="s">
        <v>112</v>
      </c>
      <c r="D841" t="s">
        <v>416</v>
      </c>
      <c r="E841" s="5">
        <v>45812.958333333343</v>
      </c>
      <c r="F841">
        <v>23.108440000000002</v>
      </c>
      <c r="G841">
        <v>77.511427999999995</v>
      </c>
      <c r="H841" t="s">
        <v>770</v>
      </c>
      <c r="I841">
        <v>29</v>
      </c>
      <c r="J841">
        <v>38</v>
      </c>
      <c r="K841">
        <v>32</v>
      </c>
    </row>
    <row r="842" spans="1:11" x14ac:dyDescent="0.3">
      <c r="A842" t="s">
        <v>11</v>
      </c>
      <c r="B842" t="s">
        <v>25</v>
      </c>
      <c r="C842" t="s">
        <v>113</v>
      </c>
      <c r="D842" t="s">
        <v>417</v>
      </c>
      <c r="E842" s="5">
        <v>45812.958333333343</v>
      </c>
      <c r="F842">
        <v>22.624758</v>
      </c>
      <c r="G842">
        <v>75.675237999999993</v>
      </c>
      <c r="H842" t="s">
        <v>775</v>
      </c>
      <c r="I842">
        <v>40</v>
      </c>
      <c r="J842">
        <v>314</v>
      </c>
      <c r="K842">
        <v>103</v>
      </c>
    </row>
    <row r="843" spans="1:11" x14ac:dyDescent="0.3">
      <c r="A843" t="s">
        <v>11</v>
      </c>
      <c r="B843" t="s">
        <v>25</v>
      </c>
      <c r="C843" t="s">
        <v>113</v>
      </c>
      <c r="D843" t="s">
        <v>417</v>
      </c>
      <c r="E843" s="5">
        <v>45812.958333333343</v>
      </c>
      <c r="F843">
        <v>22.624758</v>
      </c>
      <c r="G843">
        <v>75.675237999999993</v>
      </c>
      <c r="H843" t="s">
        <v>770</v>
      </c>
      <c r="I843">
        <v>50</v>
      </c>
      <c r="J843">
        <v>109</v>
      </c>
      <c r="K843">
        <v>86</v>
      </c>
    </row>
    <row r="844" spans="1:11" x14ac:dyDescent="0.3">
      <c r="A844" t="s">
        <v>11</v>
      </c>
      <c r="B844" t="s">
        <v>25</v>
      </c>
      <c r="C844" t="s">
        <v>261</v>
      </c>
      <c r="D844" t="s">
        <v>692</v>
      </c>
      <c r="E844" s="5">
        <v>45812.958333333343</v>
      </c>
      <c r="F844">
        <v>23.331731000000001</v>
      </c>
      <c r="G844">
        <v>75.045980999999998</v>
      </c>
      <c r="H844" t="s">
        <v>775</v>
      </c>
      <c r="I844">
        <v>43</v>
      </c>
      <c r="J844">
        <v>106</v>
      </c>
      <c r="K844">
        <v>68</v>
      </c>
    </row>
    <row r="845" spans="1:11" x14ac:dyDescent="0.3">
      <c r="A845" t="s">
        <v>11</v>
      </c>
      <c r="B845" t="s">
        <v>25</v>
      </c>
      <c r="C845" t="s">
        <v>117</v>
      </c>
      <c r="D845" t="s">
        <v>429</v>
      </c>
      <c r="E845" s="5">
        <v>45812.958333333343</v>
      </c>
      <c r="F845">
        <v>23.838585999999999</v>
      </c>
      <c r="G845">
        <v>78.759431000000006</v>
      </c>
      <c r="H845" t="s">
        <v>775</v>
      </c>
      <c r="I845">
        <v>17</v>
      </c>
      <c r="J845">
        <v>119</v>
      </c>
      <c r="K845">
        <v>51</v>
      </c>
    </row>
    <row r="846" spans="1:11" x14ac:dyDescent="0.3">
      <c r="A846" t="s">
        <v>11</v>
      </c>
      <c r="B846" t="s">
        <v>25</v>
      </c>
      <c r="C846" t="s">
        <v>117</v>
      </c>
      <c r="D846" t="s">
        <v>430</v>
      </c>
      <c r="E846" s="5">
        <v>45812.958333333343</v>
      </c>
      <c r="F846">
        <v>23.864015800000001</v>
      </c>
      <c r="G846">
        <v>78.802893209999993</v>
      </c>
      <c r="H846" t="s">
        <v>775</v>
      </c>
      <c r="I846">
        <v>19</v>
      </c>
      <c r="J846">
        <v>98</v>
      </c>
      <c r="K846">
        <v>57</v>
      </c>
    </row>
    <row r="847" spans="1:11" x14ac:dyDescent="0.3">
      <c r="A847" t="s">
        <v>11</v>
      </c>
      <c r="B847" t="s">
        <v>25</v>
      </c>
      <c r="C847" t="s">
        <v>117</v>
      </c>
      <c r="D847" t="s">
        <v>430</v>
      </c>
      <c r="E847" s="5">
        <v>45812.958333333343</v>
      </c>
      <c r="F847">
        <v>23.864015800000001</v>
      </c>
      <c r="G847">
        <v>78.802893209999993</v>
      </c>
      <c r="H847" t="s">
        <v>771</v>
      </c>
      <c r="I847">
        <v>45</v>
      </c>
      <c r="J847">
        <v>124</v>
      </c>
      <c r="K847">
        <v>80</v>
      </c>
    </row>
    <row r="848" spans="1:11" x14ac:dyDescent="0.3">
      <c r="A848" t="s">
        <v>11</v>
      </c>
      <c r="B848" t="s">
        <v>25</v>
      </c>
      <c r="C848" t="s">
        <v>109</v>
      </c>
      <c r="D848" t="s">
        <v>421</v>
      </c>
      <c r="E848" s="5">
        <v>45812.958333333343</v>
      </c>
      <c r="F848">
        <v>23.142887999999999</v>
      </c>
      <c r="G848">
        <v>79.916146999999995</v>
      </c>
      <c r="H848" t="s">
        <v>776</v>
      </c>
      <c r="I848">
        <v>24</v>
      </c>
      <c r="J848">
        <v>114</v>
      </c>
      <c r="K848">
        <v>59</v>
      </c>
    </row>
    <row r="849" spans="1:11" x14ac:dyDescent="0.3">
      <c r="A849" t="s">
        <v>11</v>
      </c>
      <c r="B849" t="s">
        <v>25</v>
      </c>
      <c r="C849" t="s">
        <v>109</v>
      </c>
      <c r="D849" t="s">
        <v>422</v>
      </c>
      <c r="E849" s="5">
        <v>45812.958333333343</v>
      </c>
      <c r="F849">
        <v>23.168606</v>
      </c>
      <c r="G849">
        <v>79.932247000000004</v>
      </c>
      <c r="H849" t="s">
        <v>774</v>
      </c>
      <c r="I849">
        <v>4</v>
      </c>
      <c r="J849">
        <v>18</v>
      </c>
      <c r="K849">
        <v>12</v>
      </c>
    </row>
    <row r="850" spans="1:11" x14ac:dyDescent="0.3">
      <c r="A850" t="s">
        <v>11</v>
      </c>
      <c r="B850" t="s">
        <v>25</v>
      </c>
      <c r="C850" t="s">
        <v>109</v>
      </c>
      <c r="D850" t="s">
        <v>413</v>
      </c>
      <c r="E850" s="5">
        <v>45812.958333333343</v>
      </c>
      <c r="F850">
        <v>23.218135</v>
      </c>
      <c r="G850">
        <v>79.957769999999996</v>
      </c>
      <c r="H850" t="s">
        <v>776</v>
      </c>
      <c r="I850">
        <v>16</v>
      </c>
      <c r="J850">
        <v>117</v>
      </c>
      <c r="K850">
        <v>71</v>
      </c>
    </row>
    <row r="851" spans="1:11" x14ac:dyDescent="0.3">
      <c r="A851" t="s">
        <v>11</v>
      </c>
      <c r="B851" t="s">
        <v>25</v>
      </c>
      <c r="C851" t="s">
        <v>110</v>
      </c>
      <c r="D851" t="s">
        <v>414</v>
      </c>
      <c r="E851" s="5">
        <v>45812.958333333343</v>
      </c>
      <c r="F851">
        <v>23.500160000000001</v>
      </c>
      <c r="G851">
        <v>80.232839999999996</v>
      </c>
      <c r="H851" t="s">
        <v>776</v>
      </c>
      <c r="I851">
        <v>21</v>
      </c>
      <c r="J851">
        <v>114</v>
      </c>
      <c r="K851">
        <v>54</v>
      </c>
    </row>
    <row r="852" spans="1:11" x14ac:dyDescent="0.3">
      <c r="A852" t="s">
        <v>11</v>
      </c>
      <c r="B852" t="s">
        <v>25</v>
      </c>
      <c r="C852" t="s">
        <v>111</v>
      </c>
      <c r="D852" t="s">
        <v>415</v>
      </c>
      <c r="E852" s="5">
        <v>45812.958333333343</v>
      </c>
      <c r="F852">
        <v>24.261300899999998</v>
      </c>
      <c r="G852">
        <v>80.723178300000001</v>
      </c>
      <c r="H852" t="s">
        <v>772</v>
      </c>
      <c r="I852">
        <v>11</v>
      </c>
      <c r="J852">
        <v>12</v>
      </c>
      <c r="K852">
        <v>11</v>
      </c>
    </row>
    <row r="853" spans="1:11" x14ac:dyDescent="0.3">
      <c r="A853" t="s">
        <v>11</v>
      </c>
      <c r="B853" t="s">
        <v>25</v>
      </c>
      <c r="C853" t="s">
        <v>112</v>
      </c>
      <c r="D853" t="s">
        <v>416</v>
      </c>
      <c r="E853" s="5">
        <v>45812.958333333343</v>
      </c>
      <c r="F853">
        <v>23.108440000000002</v>
      </c>
      <c r="G853">
        <v>77.511427999999995</v>
      </c>
      <c r="H853" t="s">
        <v>771</v>
      </c>
      <c r="I853">
        <v>81</v>
      </c>
      <c r="J853">
        <v>472</v>
      </c>
      <c r="K853">
        <v>187</v>
      </c>
    </row>
    <row r="854" spans="1:11" x14ac:dyDescent="0.3">
      <c r="A854" t="s">
        <v>11</v>
      </c>
      <c r="B854" t="s">
        <v>24</v>
      </c>
      <c r="C854" t="s">
        <v>106</v>
      </c>
      <c r="D854" t="s">
        <v>409</v>
      </c>
      <c r="E854" s="5">
        <v>45812.958333333343</v>
      </c>
      <c r="F854">
        <v>8.5149092999999993</v>
      </c>
      <c r="G854">
        <v>76.943587899999997</v>
      </c>
      <c r="H854" t="s">
        <v>772</v>
      </c>
      <c r="I854">
        <v>8</v>
      </c>
      <c r="J854">
        <v>14</v>
      </c>
      <c r="K854">
        <v>10</v>
      </c>
    </row>
    <row r="855" spans="1:11" x14ac:dyDescent="0.3">
      <c r="A855" t="s">
        <v>11</v>
      </c>
      <c r="B855" t="s">
        <v>25</v>
      </c>
      <c r="C855" t="s">
        <v>108</v>
      </c>
      <c r="D855" t="s">
        <v>411</v>
      </c>
      <c r="E855" s="5">
        <v>45812.958333333343</v>
      </c>
      <c r="F855">
        <v>23.264759000000002</v>
      </c>
      <c r="G855">
        <v>77.381568000000001</v>
      </c>
      <c r="H855" t="s">
        <v>775</v>
      </c>
      <c r="I855">
        <v>18</v>
      </c>
      <c r="J855">
        <v>78</v>
      </c>
      <c r="K855">
        <v>43</v>
      </c>
    </row>
    <row r="856" spans="1:11" x14ac:dyDescent="0.3">
      <c r="A856" t="s">
        <v>11</v>
      </c>
      <c r="B856" t="s">
        <v>25</v>
      </c>
      <c r="C856" t="s">
        <v>108</v>
      </c>
      <c r="D856" t="s">
        <v>693</v>
      </c>
      <c r="E856" s="5">
        <v>45812.958333333343</v>
      </c>
      <c r="F856">
        <v>23.210494000000001</v>
      </c>
      <c r="G856">
        <v>77.425409000000002</v>
      </c>
      <c r="H856" t="s">
        <v>774</v>
      </c>
      <c r="I856">
        <v>5</v>
      </c>
      <c r="J856">
        <v>14</v>
      </c>
      <c r="K856">
        <v>9</v>
      </c>
    </row>
    <row r="857" spans="1:11" x14ac:dyDescent="0.3">
      <c r="A857" t="s">
        <v>11</v>
      </c>
      <c r="B857" t="s">
        <v>25</v>
      </c>
      <c r="C857" t="s">
        <v>108</v>
      </c>
      <c r="D857" t="s">
        <v>412</v>
      </c>
      <c r="E857" s="5">
        <v>45812.958333333343</v>
      </c>
      <c r="F857">
        <v>23.233584</v>
      </c>
      <c r="G857">
        <v>77.400574000000006</v>
      </c>
      <c r="H857" t="s">
        <v>771</v>
      </c>
      <c r="I857">
        <v>81</v>
      </c>
      <c r="J857">
        <v>160</v>
      </c>
      <c r="K857">
        <v>117</v>
      </c>
    </row>
    <row r="858" spans="1:11" x14ac:dyDescent="0.3">
      <c r="A858" t="s">
        <v>11</v>
      </c>
      <c r="B858" t="s">
        <v>24</v>
      </c>
      <c r="C858" t="s">
        <v>101</v>
      </c>
      <c r="D858" t="s">
        <v>400</v>
      </c>
      <c r="E858" s="5">
        <v>45812.958333333343</v>
      </c>
      <c r="F858">
        <v>10.073232000000001</v>
      </c>
      <c r="G858">
        <v>76.302764999999994</v>
      </c>
      <c r="H858" t="s">
        <v>773</v>
      </c>
    </row>
    <row r="859" spans="1:11" x14ac:dyDescent="0.3">
      <c r="A859" t="s">
        <v>11</v>
      </c>
      <c r="B859" t="s">
        <v>24</v>
      </c>
      <c r="C859" t="s">
        <v>101</v>
      </c>
      <c r="D859" t="s">
        <v>400</v>
      </c>
      <c r="E859" s="5">
        <v>45812.958333333343</v>
      </c>
      <c r="F859">
        <v>10.073232000000001</v>
      </c>
      <c r="G859">
        <v>76.302764999999994</v>
      </c>
      <c r="H859" t="s">
        <v>776</v>
      </c>
    </row>
    <row r="860" spans="1:11" x14ac:dyDescent="0.3">
      <c r="A860" t="s">
        <v>11</v>
      </c>
      <c r="B860" t="s">
        <v>24</v>
      </c>
      <c r="C860" t="s">
        <v>262</v>
      </c>
      <c r="D860" t="s">
        <v>694</v>
      </c>
      <c r="E860" s="5">
        <v>45812.958333333343</v>
      </c>
      <c r="F860">
        <v>11.875</v>
      </c>
      <c r="G860">
        <v>75.373199999999997</v>
      </c>
      <c r="H860" t="s">
        <v>775</v>
      </c>
      <c r="I860">
        <v>48</v>
      </c>
      <c r="J860">
        <v>55</v>
      </c>
      <c r="K860">
        <v>53</v>
      </c>
    </row>
    <row r="861" spans="1:11" x14ac:dyDescent="0.3">
      <c r="A861" t="s">
        <v>11</v>
      </c>
      <c r="B861" t="s">
        <v>24</v>
      </c>
      <c r="C861" t="s">
        <v>262</v>
      </c>
      <c r="D861" t="s">
        <v>694</v>
      </c>
      <c r="E861" s="5">
        <v>45812.958333333343</v>
      </c>
      <c r="F861">
        <v>11.875</v>
      </c>
      <c r="G861">
        <v>75.373199999999997</v>
      </c>
      <c r="H861" t="s">
        <v>771</v>
      </c>
      <c r="I861">
        <v>58</v>
      </c>
      <c r="J861">
        <v>66</v>
      </c>
      <c r="K861">
        <v>63</v>
      </c>
    </row>
    <row r="862" spans="1:11" x14ac:dyDescent="0.3">
      <c r="A862" t="s">
        <v>11</v>
      </c>
      <c r="B862" t="s">
        <v>24</v>
      </c>
      <c r="C862" t="s">
        <v>262</v>
      </c>
      <c r="D862" t="s">
        <v>694</v>
      </c>
      <c r="E862" s="5">
        <v>45812.958333333343</v>
      </c>
      <c r="F862">
        <v>11.875</v>
      </c>
      <c r="G862">
        <v>75.373199999999997</v>
      </c>
      <c r="H862" t="s">
        <v>776</v>
      </c>
      <c r="I862">
        <v>24</v>
      </c>
      <c r="J862">
        <v>30</v>
      </c>
      <c r="K862">
        <v>28</v>
      </c>
    </row>
    <row r="863" spans="1:11" x14ac:dyDescent="0.3">
      <c r="A863" t="s">
        <v>11</v>
      </c>
      <c r="B863" t="s">
        <v>24</v>
      </c>
      <c r="C863" t="s">
        <v>120</v>
      </c>
      <c r="D863" t="s">
        <v>434</v>
      </c>
      <c r="E863" s="5">
        <v>45812.958333333343</v>
      </c>
      <c r="F863">
        <v>8.8787000000000003</v>
      </c>
      <c r="G863">
        <v>76.607299999999995</v>
      </c>
      <c r="H863" t="s">
        <v>771</v>
      </c>
      <c r="I863">
        <v>59</v>
      </c>
      <c r="J863">
        <v>65</v>
      </c>
      <c r="K863">
        <v>62</v>
      </c>
    </row>
    <row r="864" spans="1:11" x14ac:dyDescent="0.3">
      <c r="A864" t="s">
        <v>11</v>
      </c>
      <c r="B864" t="s">
        <v>25</v>
      </c>
      <c r="C864" t="s">
        <v>119</v>
      </c>
      <c r="D864" t="s">
        <v>432</v>
      </c>
      <c r="E864" s="5">
        <v>45812.958333333343</v>
      </c>
      <c r="F864">
        <v>24.108969999999999</v>
      </c>
      <c r="G864">
        <v>82.645579999999995</v>
      </c>
      <c r="H864" t="s">
        <v>772</v>
      </c>
      <c r="I864">
        <v>13</v>
      </c>
      <c r="J864">
        <v>125</v>
      </c>
      <c r="K864">
        <v>60</v>
      </c>
    </row>
    <row r="865" spans="1:11" x14ac:dyDescent="0.3">
      <c r="A865" t="s">
        <v>11</v>
      </c>
      <c r="B865" t="s">
        <v>26</v>
      </c>
      <c r="C865" t="s">
        <v>128</v>
      </c>
      <c r="D865" t="s">
        <v>443</v>
      </c>
      <c r="E865" s="5">
        <v>45812.958333333343</v>
      </c>
      <c r="F865">
        <v>19.101220000000001</v>
      </c>
      <c r="G865">
        <v>74.73339</v>
      </c>
      <c r="H865" t="s">
        <v>775</v>
      </c>
      <c r="I865">
        <v>71</v>
      </c>
      <c r="J865">
        <v>268</v>
      </c>
      <c r="K865">
        <v>132</v>
      </c>
    </row>
    <row r="866" spans="1:11" x14ac:dyDescent="0.3">
      <c r="A866" t="s">
        <v>11</v>
      </c>
      <c r="B866" t="s">
        <v>26</v>
      </c>
      <c r="C866" t="s">
        <v>129</v>
      </c>
      <c r="D866" t="s">
        <v>444</v>
      </c>
      <c r="E866" s="5">
        <v>45812.958333333343</v>
      </c>
      <c r="F866">
        <v>20.719515999999999</v>
      </c>
      <c r="G866">
        <v>77.000253000000001</v>
      </c>
      <c r="H866" t="s">
        <v>773</v>
      </c>
      <c r="I866">
        <v>6</v>
      </c>
      <c r="J866">
        <v>21</v>
      </c>
      <c r="K866">
        <v>8</v>
      </c>
    </row>
    <row r="867" spans="1:11" x14ac:dyDescent="0.3">
      <c r="A867" t="s">
        <v>11</v>
      </c>
      <c r="B867" t="s">
        <v>26</v>
      </c>
      <c r="C867" t="s">
        <v>129</v>
      </c>
      <c r="D867" t="s">
        <v>444</v>
      </c>
      <c r="E867" s="5">
        <v>45812.958333333343</v>
      </c>
      <c r="F867">
        <v>20.719515999999999</v>
      </c>
      <c r="G867">
        <v>77.000253000000001</v>
      </c>
      <c r="H867" t="s">
        <v>770</v>
      </c>
      <c r="I867">
        <v>1</v>
      </c>
      <c r="J867">
        <v>90</v>
      </c>
      <c r="K867">
        <v>56</v>
      </c>
    </row>
    <row r="868" spans="1:11" x14ac:dyDescent="0.3">
      <c r="A868" t="s">
        <v>11</v>
      </c>
      <c r="B868" t="s">
        <v>25</v>
      </c>
      <c r="C868" t="s">
        <v>263</v>
      </c>
      <c r="D868" t="s">
        <v>695</v>
      </c>
      <c r="E868" s="5">
        <v>45812.958333333343</v>
      </c>
      <c r="F868">
        <v>22.968259100000001</v>
      </c>
      <c r="G868">
        <v>76.064117999999993</v>
      </c>
      <c r="H868" t="s">
        <v>772</v>
      </c>
      <c r="I868">
        <v>78</v>
      </c>
      <c r="J868">
        <v>138</v>
      </c>
      <c r="K868">
        <v>98</v>
      </c>
    </row>
    <row r="869" spans="1:11" x14ac:dyDescent="0.3">
      <c r="A869" t="s">
        <v>11</v>
      </c>
      <c r="B869" t="s">
        <v>25</v>
      </c>
      <c r="C869" t="s">
        <v>116</v>
      </c>
      <c r="D869" t="s">
        <v>424</v>
      </c>
      <c r="E869" s="5">
        <v>45812.958333333343</v>
      </c>
      <c r="F869">
        <v>26.203441999999999</v>
      </c>
      <c r="G869">
        <v>78.193251000000004</v>
      </c>
      <c r="H869" t="s">
        <v>771</v>
      </c>
      <c r="I869">
        <v>74</v>
      </c>
      <c r="J869">
        <v>252</v>
      </c>
      <c r="K869">
        <v>150</v>
      </c>
    </row>
    <row r="870" spans="1:11" x14ac:dyDescent="0.3">
      <c r="A870" t="s">
        <v>11</v>
      </c>
      <c r="B870" t="s">
        <v>25</v>
      </c>
      <c r="C870" t="s">
        <v>116</v>
      </c>
      <c r="D870" t="s">
        <v>424</v>
      </c>
      <c r="E870" s="5">
        <v>45812.958333333343</v>
      </c>
      <c r="F870">
        <v>26.203441999999999</v>
      </c>
      <c r="G870">
        <v>78.193251000000004</v>
      </c>
      <c r="H870" t="s">
        <v>770</v>
      </c>
      <c r="I870">
        <v>17</v>
      </c>
      <c r="J870">
        <v>158</v>
      </c>
      <c r="K870">
        <v>117</v>
      </c>
    </row>
    <row r="871" spans="1:11" x14ac:dyDescent="0.3">
      <c r="A871" t="s">
        <v>11</v>
      </c>
      <c r="B871" t="s">
        <v>25</v>
      </c>
      <c r="C871" t="s">
        <v>114</v>
      </c>
      <c r="D871" t="s">
        <v>427</v>
      </c>
      <c r="E871" s="5">
        <v>45812.958333333343</v>
      </c>
      <c r="F871">
        <v>22.728899999999999</v>
      </c>
      <c r="G871">
        <v>75.807599999999994</v>
      </c>
      <c r="H871" t="s">
        <v>771</v>
      </c>
      <c r="I871">
        <v>58</v>
      </c>
      <c r="J871">
        <v>131</v>
      </c>
      <c r="K871">
        <v>95</v>
      </c>
    </row>
    <row r="872" spans="1:11" x14ac:dyDescent="0.3">
      <c r="A872" t="s">
        <v>11</v>
      </c>
      <c r="B872" t="s">
        <v>25</v>
      </c>
      <c r="C872" t="s">
        <v>114</v>
      </c>
      <c r="D872" t="s">
        <v>427</v>
      </c>
      <c r="E872" s="5">
        <v>45812.958333333343</v>
      </c>
      <c r="F872">
        <v>22.728899999999999</v>
      </c>
      <c r="G872">
        <v>75.807599999999994</v>
      </c>
      <c r="H872" t="s">
        <v>774</v>
      </c>
      <c r="I872">
        <v>16</v>
      </c>
      <c r="J872">
        <v>16</v>
      </c>
      <c r="K872">
        <v>16</v>
      </c>
    </row>
    <row r="873" spans="1:11" x14ac:dyDescent="0.3">
      <c r="A873" t="s">
        <v>11</v>
      </c>
      <c r="B873" t="s">
        <v>25</v>
      </c>
      <c r="C873" t="s">
        <v>118</v>
      </c>
      <c r="D873" t="s">
        <v>431</v>
      </c>
      <c r="E873" s="5">
        <v>45812.958333333343</v>
      </c>
      <c r="F873">
        <v>24.584343629999999</v>
      </c>
      <c r="G873">
        <v>80.854941400000001</v>
      </c>
      <c r="H873" t="s">
        <v>771</v>
      </c>
      <c r="I873">
        <v>54</v>
      </c>
      <c r="J873">
        <v>57</v>
      </c>
      <c r="K873">
        <v>55</v>
      </c>
    </row>
    <row r="874" spans="1:11" x14ac:dyDescent="0.3">
      <c r="A874" t="s">
        <v>11</v>
      </c>
      <c r="B874" t="s">
        <v>24</v>
      </c>
      <c r="C874" t="s">
        <v>106</v>
      </c>
      <c r="D874" t="s">
        <v>433</v>
      </c>
      <c r="E874" s="5">
        <v>45812.958333333343</v>
      </c>
      <c r="F874">
        <v>8.5637000000000008</v>
      </c>
      <c r="G874">
        <v>76.886499999999998</v>
      </c>
      <c r="H874" t="s">
        <v>776</v>
      </c>
      <c r="I874">
        <v>18</v>
      </c>
      <c r="J874">
        <v>36</v>
      </c>
      <c r="K874">
        <v>22</v>
      </c>
    </row>
    <row r="875" spans="1:11" x14ac:dyDescent="0.3">
      <c r="A875" t="s">
        <v>11</v>
      </c>
      <c r="B875" t="s">
        <v>26</v>
      </c>
      <c r="C875" t="s">
        <v>127</v>
      </c>
      <c r="D875" t="s">
        <v>442</v>
      </c>
      <c r="E875" s="5">
        <v>45812.958333333343</v>
      </c>
      <c r="F875">
        <v>20.918945999999998</v>
      </c>
      <c r="G875">
        <v>74.776387999999997</v>
      </c>
      <c r="H875" t="s">
        <v>773</v>
      </c>
      <c r="I875">
        <v>8</v>
      </c>
      <c r="J875">
        <v>19</v>
      </c>
      <c r="K875">
        <v>11</v>
      </c>
    </row>
    <row r="876" spans="1:11" x14ac:dyDescent="0.3">
      <c r="A876" t="s">
        <v>11</v>
      </c>
      <c r="B876" t="s">
        <v>26</v>
      </c>
      <c r="C876" t="s">
        <v>264</v>
      </c>
      <c r="D876" t="s">
        <v>696</v>
      </c>
      <c r="E876" s="5">
        <v>45812.958333333343</v>
      </c>
      <c r="F876">
        <v>21.001263999999999</v>
      </c>
      <c r="G876">
        <v>75.565601999999998</v>
      </c>
      <c r="H876" t="s">
        <v>771</v>
      </c>
    </row>
    <row r="877" spans="1:11" x14ac:dyDescent="0.3">
      <c r="A877" t="s">
        <v>11</v>
      </c>
      <c r="B877" t="s">
        <v>26</v>
      </c>
      <c r="C877" t="s">
        <v>264</v>
      </c>
      <c r="D877" t="s">
        <v>696</v>
      </c>
      <c r="E877" s="5">
        <v>45812.958333333343</v>
      </c>
      <c r="F877">
        <v>21.001263999999999</v>
      </c>
      <c r="G877">
        <v>75.565601999999998</v>
      </c>
      <c r="H877" t="s">
        <v>774</v>
      </c>
      <c r="I877">
        <v>15</v>
      </c>
      <c r="J877">
        <v>39</v>
      </c>
      <c r="K877">
        <v>29</v>
      </c>
    </row>
    <row r="878" spans="1:11" x14ac:dyDescent="0.3">
      <c r="A878" t="s">
        <v>11</v>
      </c>
      <c r="B878" t="s">
        <v>26</v>
      </c>
      <c r="C878" t="s">
        <v>264</v>
      </c>
      <c r="D878" t="s">
        <v>696</v>
      </c>
      <c r="E878" s="5">
        <v>45812.958333333343</v>
      </c>
      <c r="F878">
        <v>21.001263999999999</v>
      </c>
      <c r="G878">
        <v>75.565601999999998</v>
      </c>
      <c r="H878" t="s">
        <v>776</v>
      </c>
      <c r="I878">
        <v>20</v>
      </c>
      <c r="J878">
        <v>56</v>
      </c>
      <c r="K878">
        <v>47</v>
      </c>
    </row>
    <row r="879" spans="1:11" x14ac:dyDescent="0.3">
      <c r="A879" t="s">
        <v>11</v>
      </c>
      <c r="B879" t="s">
        <v>26</v>
      </c>
      <c r="C879" t="s">
        <v>264</v>
      </c>
      <c r="D879" t="s">
        <v>696</v>
      </c>
      <c r="E879" s="5">
        <v>45812.958333333343</v>
      </c>
      <c r="F879">
        <v>21.001263999999999</v>
      </c>
      <c r="G879">
        <v>75.565601999999998</v>
      </c>
      <c r="H879" t="s">
        <v>770</v>
      </c>
      <c r="I879">
        <v>4</v>
      </c>
      <c r="J879">
        <v>84</v>
      </c>
      <c r="K879">
        <v>50</v>
      </c>
    </row>
    <row r="880" spans="1:11" x14ac:dyDescent="0.3">
      <c r="A880" t="s">
        <v>11</v>
      </c>
      <c r="B880" t="s">
        <v>26</v>
      </c>
      <c r="C880" t="s">
        <v>131</v>
      </c>
      <c r="D880" t="s">
        <v>447</v>
      </c>
      <c r="E880" s="5">
        <v>45812.958333333343</v>
      </c>
      <c r="F880">
        <v>19.854616</v>
      </c>
      <c r="G880">
        <v>75.905894000000004</v>
      </c>
      <c r="H880" t="s">
        <v>775</v>
      </c>
      <c r="I880">
        <v>49</v>
      </c>
      <c r="J880">
        <v>119</v>
      </c>
      <c r="K880">
        <v>78</v>
      </c>
    </row>
    <row r="881" spans="1:11" x14ac:dyDescent="0.3">
      <c r="A881" t="s">
        <v>11</v>
      </c>
      <c r="B881" t="s">
        <v>26</v>
      </c>
      <c r="C881" t="s">
        <v>131</v>
      </c>
      <c r="D881" t="s">
        <v>447</v>
      </c>
      <c r="E881" s="5">
        <v>45812.958333333343</v>
      </c>
      <c r="F881">
        <v>19.854616</v>
      </c>
      <c r="G881">
        <v>75.905894000000004</v>
      </c>
      <c r="H881" t="s">
        <v>772</v>
      </c>
      <c r="I881">
        <v>21</v>
      </c>
      <c r="J881">
        <v>140</v>
      </c>
      <c r="K881">
        <v>53</v>
      </c>
    </row>
    <row r="882" spans="1:11" x14ac:dyDescent="0.3">
      <c r="A882" t="s">
        <v>11</v>
      </c>
      <c r="B882" t="s">
        <v>26</v>
      </c>
      <c r="C882" t="s">
        <v>131</v>
      </c>
      <c r="D882" t="s">
        <v>447</v>
      </c>
      <c r="E882" s="5">
        <v>45812.958333333343</v>
      </c>
      <c r="F882">
        <v>19.854616</v>
      </c>
      <c r="G882">
        <v>75.905894000000004</v>
      </c>
      <c r="H882" t="s">
        <v>770</v>
      </c>
      <c r="I882">
        <v>14</v>
      </c>
      <c r="J882">
        <v>46</v>
      </c>
      <c r="K882">
        <v>35</v>
      </c>
    </row>
    <row r="883" spans="1:11" x14ac:dyDescent="0.3">
      <c r="A883" t="s">
        <v>11</v>
      </c>
      <c r="B883" t="s">
        <v>26</v>
      </c>
      <c r="C883" t="s">
        <v>132</v>
      </c>
      <c r="D883" t="s">
        <v>448</v>
      </c>
      <c r="E883" s="5">
        <v>45812.958333333343</v>
      </c>
      <c r="F883">
        <v>19.25292</v>
      </c>
      <c r="G883">
        <v>73.142019000000005</v>
      </c>
      <c r="H883" t="s">
        <v>772</v>
      </c>
      <c r="I883">
        <v>5</v>
      </c>
      <c r="J883">
        <v>12</v>
      </c>
      <c r="K883">
        <v>7</v>
      </c>
    </row>
    <row r="884" spans="1:11" x14ac:dyDescent="0.3">
      <c r="A884" t="s">
        <v>11</v>
      </c>
      <c r="B884" t="s">
        <v>26</v>
      </c>
      <c r="C884" t="s">
        <v>132</v>
      </c>
      <c r="D884" t="s">
        <v>448</v>
      </c>
      <c r="E884" s="5">
        <v>45812.958333333343</v>
      </c>
      <c r="F884">
        <v>19.25292</v>
      </c>
      <c r="G884">
        <v>73.142019000000005</v>
      </c>
      <c r="H884" t="s">
        <v>773</v>
      </c>
      <c r="I884">
        <v>1</v>
      </c>
      <c r="J884">
        <v>2</v>
      </c>
      <c r="K884">
        <v>1</v>
      </c>
    </row>
    <row r="885" spans="1:11" x14ac:dyDescent="0.3">
      <c r="A885" t="s">
        <v>11</v>
      </c>
      <c r="B885" t="s">
        <v>26</v>
      </c>
      <c r="C885" t="s">
        <v>132</v>
      </c>
      <c r="D885" t="s">
        <v>448</v>
      </c>
      <c r="E885" s="5">
        <v>45812.958333333343</v>
      </c>
      <c r="F885">
        <v>19.25292</v>
      </c>
      <c r="G885">
        <v>73.142019000000005</v>
      </c>
      <c r="H885" t="s">
        <v>774</v>
      </c>
      <c r="I885">
        <v>4</v>
      </c>
      <c r="J885">
        <v>10</v>
      </c>
      <c r="K885">
        <v>6</v>
      </c>
    </row>
    <row r="886" spans="1:11" x14ac:dyDescent="0.3">
      <c r="A886" t="s">
        <v>11</v>
      </c>
      <c r="B886" t="s">
        <v>26</v>
      </c>
      <c r="C886" t="s">
        <v>132</v>
      </c>
      <c r="D886" t="s">
        <v>448</v>
      </c>
      <c r="E886" s="5">
        <v>45812.958333333343</v>
      </c>
      <c r="F886">
        <v>19.25292</v>
      </c>
      <c r="G886">
        <v>73.142019000000005</v>
      </c>
      <c r="H886" t="s">
        <v>770</v>
      </c>
      <c r="I886">
        <v>16</v>
      </c>
      <c r="J886">
        <v>16</v>
      </c>
      <c r="K886">
        <v>16</v>
      </c>
    </row>
    <row r="887" spans="1:11" x14ac:dyDescent="0.3">
      <c r="A887" t="s">
        <v>11</v>
      </c>
      <c r="B887" t="s">
        <v>26</v>
      </c>
      <c r="C887" t="s">
        <v>121</v>
      </c>
      <c r="D887" t="s">
        <v>450</v>
      </c>
      <c r="E887" s="5">
        <v>45812.958333333343</v>
      </c>
      <c r="F887">
        <v>16.6870449</v>
      </c>
      <c r="G887">
        <v>74.250587199999998</v>
      </c>
      <c r="H887" t="s">
        <v>771</v>
      </c>
      <c r="I887">
        <v>48</v>
      </c>
      <c r="J887">
        <v>64</v>
      </c>
      <c r="K887">
        <v>56</v>
      </c>
    </row>
    <row r="888" spans="1:11" x14ac:dyDescent="0.3">
      <c r="A888" t="s">
        <v>11</v>
      </c>
      <c r="B888" t="s">
        <v>26</v>
      </c>
      <c r="C888" t="s">
        <v>130</v>
      </c>
      <c r="D888" t="s">
        <v>445</v>
      </c>
      <c r="E888" s="5">
        <v>45812.958333333343</v>
      </c>
      <c r="F888">
        <v>20.940235900000001</v>
      </c>
      <c r="G888">
        <v>77.789524799999995</v>
      </c>
      <c r="H888" t="s">
        <v>774</v>
      </c>
      <c r="I888">
        <v>8</v>
      </c>
      <c r="J888">
        <v>10</v>
      </c>
      <c r="K888">
        <v>9</v>
      </c>
    </row>
    <row r="889" spans="1:11" x14ac:dyDescent="0.3">
      <c r="A889" t="s">
        <v>11</v>
      </c>
      <c r="B889" t="s">
        <v>26</v>
      </c>
      <c r="C889" t="s">
        <v>130</v>
      </c>
      <c r="D889" t="s">
        <v>445</v>
      </c>
      <c r="E889" s="5">
        <v>45812.958333333343</v>
      </c>
      <c r="F889">
        <v>20.940235900000001</v>
      </c>
      <c r="G889">
        <v>77.789524799999995</v>
      </c>
      <c r="H889" t="s">
        <v>776</v>
      </c>
      <c r="I889">
        <v>16</v>
      </c>
      <c r="J889">
        <v>49</v>
      </c>
      <c r="K889">
        <v>27</v>
      </c>
    </row>
    <row r="890" spans="1:11" x14ac:dyDescent="0.3">
      <c r="A890" t="s">
        <v>11</v>
      </c>
      <c r="B890" t="s">
        <v>26</v>
      </c>
      <c r="C890" t="s">
        <v>130</v>
      </c>
      <c r="D890" t="s">
        <v>445</v>
      </c>
      <c r="E890" s="5">
        <v>45812.958333333343</v>
      </c>
      <c r="F890">
        <v>20.940235900000001</v>
      </c>
      <c r="G890">
        <v>77.789524799999995</v>
      </c>
      <c r="H890" t="s">
        <v>770</v>
      </c>
      <c r="I890">
        <v>1</v>
      </c>
      <c r="J890">
        <v>83</v>
      </c>
      <c r="K890">
        <v>49</v>
      </c>
    </row>
    <row r="891" spans="1:11" x14ac:dyDescent="0.3">
      <c r="A891" t="s">
        <v>11</v>
      </c>
      <c r="B891" t="s">
        <v>26</v>
      </c>
      <c r="C891" t="s">
        <v>130</v>
      </c>
      <c r="D891" t="s">
        <v>446</v>
      </c>
      <c r="E891" s="5">
        <v>45812.958333333343</v>
      </c>
      <c r="F891">
        <v>20.939198000000001</v>
      </c>
      <c r="G891">
        <v>77.765701000000007</v>
      </c>
      <c r="H891" t="s">
        <v>774</v>
      </c>
      <c r="I891">
        <v>1</v>
      </c>
      <c r="J891">
        <v>14</v>
      </c>
      <c r="K891">
        <v>6</v>
      </c>
    </row>
    <row r="892" spans="1:11" x14ac:dyDescent="0.3">
      <c r="A892" t="s">
        <v>11</v>
      </c>
      <c r="B892" t="s">
        <v>26</v>
      </c>
      <c r="C892" t="s">
        <v>49</v>
      </c>
      <c r="D892" t="s">
        <v>453</v>
      </c>
      <c r="E892" s="5">
        <v>45812.958333333343</v>
      </c>
      <c r="F892">
        <v>19.875620000000001</v>
      </c>
      <c r="G892">
        <v>75.387309999999999</v>
      </c>
      <c r="H892" t="s">
        <v>774</v>
      </c>
      <c r="I892">
        <v>6</v>
      </c>
      <c r="J892">
        <v>32</v>
      </c>
      <c r="K892">
        <v>12</v>
      </c>
    </row>
    <row r="893" spans="1:11" x14ac:dyDescent="0.3">
      <c r="A893" t="s">
        <v>11</v>
      </c>
      <c r="B893" t="s">
        <v>26</v>
      </c>
      <c r="C893" t="s">
        <v>49</v>
      </c>
      <c r="D893" t="s">
        <v>697</v>
      </c>
      <c r="E893" s="5">
        <v>45812.958333333343</v>
      </c>
      <c r="F893">
        <v>19.8389439</v>
      </c>
      <c r="G893">
        <v>75.244448000000006</v>
      </c>
      <c r="H893" t="s">
        <v>771</v>
      </c>
      <c r="I893">
        <v>49</v>
      </c>
      <c r="J893">
        <v>108</v>
      </c>
      <c r="K893">
        <v>83</v>
      </c>
    </row>
    <row r="894" spans="1:11" x14ac:dyDescent="0.3">
      <c r="A894" t="s">
        <v>11</v>
      </c>
      <c r="B894" t="s">
        <v>26</v>
      </c>
      <c r="C894" t="s">
        <v>49</v>
      </c>
      <c r="D894" t="s">
        <v>697</v>
      </c>
      <c r="E894" s="5">
        <v>45812.958333333343</v>
      </c>
      <c r="F894">
        <v>19.8389439</v>
      </c>
      <c r="G894">
        <v>75.244448000000006</v>
      </c>
      <c r="H894" t="s">
        <v>774</v>
      </c>
      <c r="I894">
        <v>24</v>
      </c>
      <c r="J894">
        <v>38</v>
      </c>
      <c r="K894">
        <v>30</v>
      </c>
    </row>
    <row r="895" spans="1:11" x14ac:dyDescent="0.3">
      <c r="A895" t="s">
        <v>11</v>
      </c>
      <c r="B895" t="s">
        <v>26</v>
      </c>
      <c r="C895" t="s">
        <v>134</v>
      </c>
      <c r="D895" t="s">
        <v>454</v>
      </c>
      <c r="E895" s="5">
        <v>45812.958333333343</v>
      </c>
      <c r="F895">
        <v>19.309073000000001</v>
      </c>
      <c r="G895">
        <v>73.057222999999993</v>
      </c>
      <c r="H895" t="s">
        <v>776</v>
      </c>
      <c r="I895">
        <v>15</v>
      </c>
      <c r="J895">
        <v>76</v>
      </c>
      <c r="K895">
        <v>19</v>
      </c>
    </row>
    <row r="896" spans="1:11" x14ac:dyDescent="0.3">
      <c r="A896" t="s">
        <v>11</v>
      </c>
      <c r="B896" t="s">
        <v>26</v>
      </c>
      <c r="C896" t="s">
        <v>134</v>
      </c>
      <c r="D896" t="s">
        <v>454</v>
      </c>
      <c r="E896" s="5">
        <v>45812.958333333343</v>
      </c>
      <c r="F896">
        <v>19.309073000000001</v>
      </c>
      <c r="G896">
        <v>73.057222999999993</v>
      </c>
      <c r="H896" t="s">
        <v>770</v>
      </c>
      <c r="I896">
        <v>31</v>
      </c>
      <c r="J896">
        <v>122</v>
      </c>
      <c r="K896">
        <v>75</v>
      </c>
    </row>
    <row r="897" spans="1:11" x14ac:dyDescent="0.3">
      <c r="A897" t="s">
        <v>11</v>
      </c>
      <c r="B897" t="s">
        <v>26</v>
      </c>
      <c r="C897" t="s">
        <v>125</v>
      </c>
      <c r="D897" t="s">
        <v>439</v>
      </c>
      <c r="E897" s="5">
        <v>45812.958333333343</v>
      </c>
      <c r="F897">
        <v>19.786089</v>
      </c>
      <c r="G897">
        <v>72.757970999999998</v>
      </c>
      <c r="H897" t="s">
        <v>771</v>
      </c>
      <c r="I897">
        <v>76</v>
      </c>
      <c r="J897">
        <v>116</v>
      </c>
      <c r="K897">
        <v>96</v>
      </c>
    </row>
    <row r="898" spans="1:11" x14ac:dyDescent="0.3">
      <c r="A898" t="s">
        <v>11</v>
      </c>
      <c r="B898" t="s">
        <v>26</v>
      </c>
      <c r="C898" t="s">
        <v>126</v>
      </c>
      <c r="D898" t="s">
        <v>440</v>
      </c>
      <c r="E898" s="5">
        <v>45812.958333333343</v>
      </c>
      <c r="F898">
        <v>19.962900000000001</v>
      </c>
      <c r="G898">
        <v>79.298714000000004</v>
      </c>
      <c r="H898" t="s">
        <v>771</v>
      </c>
      <c r="I898">
        <v>114</v>
      </c>
      <c r="J898">
        <v>367</v>
      </c>
      <c r="K898">
        <v>175</v>
      </c>
    </row>
    <row r="899" spans="1:11" x14ac:dyDescent="0.3">
      <c r="A899" t="s">
        <v>11</v>
      </c>
      <c r="B899" t="s">
        <v>26</v>
      </c>
      <c r="C899" t="s">
        <v>126</v>
      </c>
      <c r="D899" t="s">
        <v>440</v>
      </c>
      <c r="E899" s="5">
        <v>45812.958333333343</v>
      </c>
      <c r="F899">
        <v>19.962900000000001</v>
      </c>
      <c r="G899">
        <v>79.298714000000004</v>
      </c>
      <c r="H899" t="s">
        <v>772</v>
      </c>
      <c r="I899">
        <v>21</v>
      </c>
      <c r="J899">
        <v>59</v>
      </c>
      <c r="K899">
        <v>38</v>
      </c>
    </row>
    <row r="900" spans="1:11" x14ac:dyDescent="0.3">
      <c r="A900" t="s">
        <v>11</v>
      </c>
      <c r="B900" t="s">
        <v>26</v>
      </c>
      <c r="C900" t="s">
        <v>126</v>
      </c>
      <c r="D900" t="s">
        <v>440</v>
      </c>
      <c r="E900" s="5">
        <v>45812.958333333343</v>
      </c>
      <c r="F900">
        <v>19.962900000000001</v>
      </c>
      <c r="G900">
        <v>79.298714000000004</v>
      </c>
      <c r="H900" t="s">
        <v>776</v>
      </c>
      <c r="I900">
        <v>10</v>
      </c>
      <c r="J900">
        <v>30</v>
      </c>
      <c r="K900">
        <v>12</v>
      </c>
    </row>
    <row r="901" spans="1:11" x14ac:dyDescent="0.3">
      <c r="A901" t="s">
        <v>11</v>
      </c>
      <c r="B901" t="s">
        <v>26</v>
      </c>
      <c r="C901" t="s">
        <v>265</v>
      </c>
      <c r="D901" t="s">
        <v>698</v>
      </c>
      <c r="E901" s="5">
        <v>45812.958333333343</v>
      </c>
      <c r="F901">
        <v>18.399629999999998</v>
      </c>
      <c r="G901">
        <v>76.574520000000007</v>
      </c>
      <c r="H901" t="s">
        <v>775</v>
      </c>
      <c r="I901">
        <v>55</v>
      </c>
      <c r="J901">
        <v>263</v>
      </c>
      <c r="K901">
        <v>123</v>
      </c>
    </row>
    <row r="902" spans="1:11" x14ac:dyDescent="0.3">
      <c r="A902" t="s">
        <v>11</v>
      </c>
      <c r="B902" t="s">
        <v>26</v>
      </c>
      <c r="C902" t="s">
        <v>265</v>
      </c>
      <c r="D902" t="s">
        <v>698</v>
      </c>
      <c r="E902" s="5">
        <v>45812.958333333343</v>
      </c>
      <c r="F902">
        <v>18.399629999999998</v>
      </c>
      <c r="G902">
        <v>76.574520000000007</v>
      </c>
      <c r="H902" t="s">
        <v>772</v>
      </c>
      <c r="I902">
        <v>18</v>
      </c>
      <c r="J902">
        <v>219</v>
      </c>
      <c r="K902">
        <v>77</v>
      </c>
    </row>
    <row r="903" spans="1:11" x14ac:dyDescent="0.3">
      <c r="A903" t="s">
        <v>11</v>
      </c>
      <c r="B903" t="s">
        <v>26</v>
      </c>
      <c r="C903" t="s">
        <v>265</v>
      </c>
      <c r="D903" t="s">
        <v>698</v>
      </c>
      <c r="E903" s="5">
        <v>45812.958333333343</v>
      </c>
      <c r="F903">
        <v>18.399629999999998</v>
      </c>
      <c r="G903">
        <v>76.574520000000007</v>
      </c>
      <c r="H903" t="s">
        <v>776</v>
      </c>
      <c r="I903">
        <v>2</v>
      </c>
      <c r="J903">
        <v>167</v>
      </c>
      <c r="K903">
        <v>85</v>
      </c>
    </row>
    <row r="904" spans="1:11" x14ac:dyDescent="0.3">
      <c r="A904" t="s">
        <v>11</v>
      </c>
      <c r="B904" t="s">
        <v>26</v>
      </c>
      <c r="C904" t="s">
        <v>123</v>
      </c>
      <c r="D904" t="s">
        <v>437</v>
      </c>
      <c r="E904" s="5">
        <v>45812.958333333343</v>
      </c>
      <c r="F904">
        <v>20.555712</v>
      </c>
      <c r="G904">
        <v>74.529235999999997</v>
      </c>
      <c r="H904" t="s">
        <v>771</v>
      </c>
      <c r="I904">
        <v>26</v>
      </c>
      <c r="J904">
        <v>306</v>
      </c>
      <c r="K904">
        <v>94</v>
      </c>
    </row>
    <row r="905" spans="1:11" x14ac:dyDescent="0.3">
      <c r="A905" t="s">
        <v>11</v>
      </c>
      <c r="B905" t="s">
        <v>26</v>
      </c>
      <c r="C905" t="s">
        <v>123</v>
      </c>
      <c r="D905" t="s">
        <v>437</v>
      </c>
      <c r="E905" s="5">
        <v>45812.958333333343</v>
      </c>
      <c r="F905">
        <v>20.555712</v>
      </c>
      <c r="G905">
        <v>74.529235999999997</v>
      </c>
      <c r="H905" t="s">
        <v>776</v>
      </c>
      <c r="I905">
        <v>10</v>
      </c>
      <c r="J905">
        <v>60</v>
      </c>
      <c r="K905">
        <v>22</v>
      </c>
    </row>
    <row r="906" spans="1:11" x14ac:dyDescent="0.3">
      <c r="A906" t="s">
        <v>11</v>
      </c>
      <c r="B906" t="s">
        <v>26</v>
      </c>
      <c r="C906" t="s">
        <v>135</v>
      </c>
      <c r="D906" t="s">
        <v>462</v>
      </c>
      <c r="E906" s="5">
        <v>45812.958333333343</v>
      </c>
      <c r="F906">
        <v>19.232410000000002</v>
      </c>
      <c r="G906">
        <v>72.868949999999998</v>
      </c>
      <c r="H906" t="s">
        <v>776</v>
      </c>
      <c r="I906">
        <v>22</v>
      </c>
      <c r="J906">
        <v>42</v>
      </c>
      <c r="K906">
        <v>24</v>
      </c>
    </row>
    <row r="907" spans="1:11" x14ac:dyDescent="0.3">
      <c r="A907" t="s">
        <v>11</v>
      </c>
      <c r="B907" t="s">
        <v>26</v>
      </c>
      <c r="C907" t="s">
        <v>135</v>
      </c>
      <c r="D907" t="s">
        <v>462</v>
      </c>
      <c r="E907" s="5">
        <v>45812.958333333343</v>
      </c>
      <c r="F907">
        <v>19.232410000000002</v>
      </c>
      <c r="G907">
        <v>72.868949999999998</v>
      </c>
      <c r="H907" t="s">
        <v>770</v>
      </c>
      <c r="I907">
        <v>4</v>
      </c>
      <c r="J907">
        <v>92</v>
      </c>
      <c r="K907">
        <v>45</v>
      </c>
    </row>
    <row r="908" spans="1:11" x14ac:dyDescent="0.3">
      <c r="A908" t="s">
        <v>11</v>
      </c>
      <c r="B908" t="s">
        <v>26</v>
      </c>
      <c r="C908" t="s">
        <v>135</v>
      </c>
      <c r="D908" t="s">
        <v>699</v>
      </c>
      <c r="E908" s="5">
        <v>45812.958333333343</v>
      </c>
      <c r="F908">
        <v>18.976700000000001</v>
      </c>
      <c r="G908">
        <v>72.837999999999994</v>
      </c>
      <c r="H908" t="s">
        <v>773</v>
      </c>
      <c r="I908">
        <v>4</v>
      </c>
      <c r="J908">
        <v>16</v>
      </c>
      <c r="K908">
        <v>7</v>
      </c>
    </row>
    <row r="909" spans="1:11" x14ac:dyDescent="0.3">
      <c r="A909" t="s">
        <v>11</v>
      </c>
      <c r="B909" t="s">
        <v>26</v>
      </c>
      <c r="C909" t="s">
        <v>135</v>
      </c>
      <c r="D909" t="s">
        <v>699</v>
      </c>
      <c r="E909" s="5">
        <v>45812.958333333343</v>
      </c>
      <c r="F909">
        <v>18.976700000000001</v>
      </c>
      <c r="G909">
        <v>72.837999999999994</v>
      </c>
      <c r="H909" t="s">
        <v>776</v>
      </c>
      <c r="I909">
        <v>4</v>
      </c>
      <c r="J909">
        <v>30</v>
      </c>
      <c r="K909">
        <v>9</v>
      </c>
    </row>
    <row r="910" spans="1:11" x14ac:dyDescent="0.3">
      <c r="A910" t="s">
        <v>11</v>
      </c>
      <c r="B910" t="s">
        <v>26</v>
      </c>
      <c r="C910" t="s">
        <v>266</v>
      </c>
      <c r="D910" t="s">
        <v>700</v>
      </c>
      <c r="E910" s="5">
        <v>45812.958333333343</v>
      </c>
      <c r="F910">
        <v>19.164850000000001</v>
      </c>
      <c r="G910">
        <v>73.234089999999995</v>
      </c>
      <c r="H910" t="s">
        <v>776</v>
      </c>
      <c r="I910">
        <v>12</v>
      </c>
      <c r="J910">
        <v>90</v>
      </c>
      <c r="K910">
        <v>22</v>
      </c>
    </row>
    <row r="911" spans="1:11" x14ac:dyDescent="0.3">
      <c r="A911" t="s">
        <v>11</v>
      </c>
      <c r="B911" t="s">
        <v>26</v>
      </c>
      <c r="C911" t="s">
        <v>133</v>
      </c>
      <c r="D911" t="s">
        <v>452</v>
      </c>
      <c r="E911" s="5">
        <v>45812.958333333343</v>
      </c>
      <c r="F911">
        <v>19.024390199999999</v>
      </c>
      <c r="G911">
        <v>73.040672099999995</v>
      </c>
      <c r="H911" t="s">
        <v>771</v>
      </c>
      <c r="I911">
        <v>77</v>
      </c>
      <c r="J911">
        <v>143</v>
      </c>
      <c r="K911">
        <v>120</v>
      </c>
    </row>
    <row r="912" spans="1:11" x14ac:dyDescent="0.3">
      <c r="A912" t="s">
        <v>11</v>
      </c>
      <c r="B912" t="s">
        <v>26</v>
      </c>
      <c r="C912" t="s">
        <v>133</v>
      </c>
      <c r="D912" t="s">
        <v>452</v>
      </c>
      <c r="E912" s="5">
        <v>45812.958333333343</v>
      </c>
      <c r="F912">
        <v>19.024390199999999</v>
      </c>
      <c r="G912">
        <v>73.040672099999995</v>
      </c>
      <c r="H912" t="s">
        <v>774</v>
      </c>
      <c r="I912">
        <v>2</v>
      </c>
      <c r="J912">
        <v>12</v>
      </c>
      <c r="K912">
        <v>7</v>
      </c>
    </row>
    <row r="913" spans="1:11" x14ac:dyDescent="0.3">
      <c r="A913" t="s">
        <v>11</v>
      </c>
      <c r="B913" t="s">
        <v>26</v>
      </c>
      <c r="C913" t="s">
        <v>135</v>
      </c>
      <c r="D913" t="s">
        <v>701</v>
      </c>
      <c r="E913" s="5">
        <v>45812.958333333343</v>
      </c>
      <c r="F913">
        <v>19.036458499999998</v>
      </c>
      <c r="G913">
        <v>72.895437099999995</v>
      </c>
      <c r="H913" t="s">
        <v>775</v>
      </c>
      <c r="I913">
        <v>50</v>
      </c>
      <c r="J913">
        <v>65</v>
      </c>
      <c r="K913">
        <v>58</v>
      </c>
    </row>
    <row r="914" spans="1:11" x14ac:dyDescent="0.3">
      <c r="A914" t="s">
        <v>11</v>
      </c>
      <c r="B914" t="s">
        <v>26</v>
      </c>
      <c r="C914" t="s">
        <v>135</v>
      </c>
      <c r="D914" t="s">
        <v>701</v>
      </c>
      <c r="E914" s="5">
        <v>45812.958333333343</v>
      </c>
      <c r="F914">
        <v>19.036458499999998</v>
      </c>
      <c r="G914">
        <v>72.895437099999995</v>
      </c>
      <c r="H914" t="s">
        <v>774</v>
      </c>
      <c r="I914">
        <v>1</v>
      </c>
      <c r="J914">
        <v>79</v>
      </c>
      <c r="K914">
        <v>12</v>
      </c>
    </row>
    <row r="915" spans="1:11" x14ac:dyDescent="0.3">
      <c r="A915" t="s">
        <v>11</v>
      </c>
      <c r="B915" t="s">
        <v>26</v>
      </c>
      <c r="C915" t="s">
        <v>135</v>
      </c>
      <c r="D915" t="s">
        <v>470</v>
      </c>
      <c r="E915" s="5">
        <v>45812.958333333343</v>
      </c>
      <c r="F915">
        <v>19.10078</v>
      </c>
      <c r="G915">
        <v>72.874619999999993</v>
      </c>
      <c r="H915" t="s">
        <v>774</v>
      </c>
      <c r="I915">
        <v>12</v>
      </c>
      <c r="J915">
        <v>24</v>
      </c>
      <c r="K915">
        <v>20</v>
      </c>
    </row>
    <row r="916" spans="1:11" x14ac:dyDescent="0.3">
      <c r="A916" t="s">
        <v>11</v>
      </c>
      <c r="B916" t="s">
        <v>26</v>
      </c>
      <c r="C916" t="s">
        <v>49</v>
      </c>
      <c r="D916" t="s">
        <v>697</v>
      </c>
      <c r="E916" s="5">
        <v>45812.958333333343</v>
      </c>
      <c r="F916">
        <v>19.8389439</v>
      </c>
      <c r="G916">
        <v>75.244448000000006</v>
      </c>
      <c r="H916" t="s">
        <v>776</v>
      </c>
      <c r="I916">
        <v>30</v>
      </c>
      <c r="J916">
        <v>48</v>
      </c>
      <c r="K916">
        <v>41</v>
      </c>
    </row>
    <row r="917" spans="1:11" x14ac:dyDescent="0.3">
      <c r="A917" t="s">
        <v>11</v>
      </c>
      <c r="B917" t="s">
        <v>26</v>
      </c>
      <c r="C917" t="s">
        <v>49</v>
      </c>
      <c r="D917" t="s">
        <v>451</v>
      </c>
      <c r="E917" s="5">
        <v>45812.958333333343</v>
      </c>
      <c r="F917">
        <v>19.863755999999999</v>
      </c>
      <c r="G917">
        <v>75.321188000000006</v>
      </c>
      <c r="H917" t="s">
        <v>772</v>
      </c>
      <c r="I917">
        <v>13</v>
      </c>
      <c r="J917">
        <v>158</v>
      </c>
      <c r="K917">
        <v>52</v>
      </c>
    </row>
    <row r="918" spans="1:11" x14ac:dyDescent="0.3">
      <c r="A918" t="s">
        <v>11</v>
      </c>
      <c r="B918" t="s">
        <v>26</v>
      </c>
      <c r="C918" t="s">
        <v>135</v>
      </c>
      <c r="D918" t="s">
        <v>469</v>
      </c>
      <c r="E918" s="5">
        <v>45812.958333333343</v>
      </c>
      <c r="F918">
        <v>19.11074</v>
      </c>
      <c r="G918">
        <v>72.860839999999996</v>
      </c>
      <c r="H918" t="s">
        <v>773</v>
      </c>
      <c r="I918">
        <v>6</v>
      </c>
      <c r="J918">
        <v>8</v>
      </c>
      <c r="K918">
        <v>7</v>
      </c>
    </row>
    <row r="919" spans="1:11" x14ac:dyDescent="0.3">
      <c r="A919" t="s">
        <v>11</v>
      </c>
      <c r="B919" t="s">
        <v>26</v>
      </c>
      <c r="C919" t="s">
        <v>135</v>
      </c>
      <c r="D919" t="s">
        <v>702</v>
      </c>
      <c r="E919" s="5">
        <v>45812.958333333343</v>
      </c>
      <c r="F919">
        <v>18.993616200000002</v>
      </c>
      <c r="G919">
        <v>72.812811300000007</v>
      </c>
      <c r="H919" t="s">
        <v>771</v>
      </c>
      <c r="I919">
        <v>71</v>
      </c>
      <c r="J919">
        <v>109</v>
      </c>
      <c r="K919">
        <v>82</v>
      </c>
    </row>
    <row r="920" spans="1:11" x14ac:dyDescent="0.3">
      <c r="A920" t="s">
        <v>11</v>
      </c>
      <c r="B920" t="s">
        <v>26</v>
      </c>
      <c r="C920" t="s">
        <v>135</v>
      </c>
      <c r="D920" t="s">
        <v>702</v>
      </c>
      <c r="E920" s="5">
        <v>45812.958333333343</v>
      </c>
      <c r="F920">
        <v>18.993616200000002</v>
      </c>
      <c r="G920">
        <v>72.812811300000007</v>
      </c>
      <c r="H920" t="s">
        <v>773</v>
      </c>
      <c r="I920">
        <v>4</v>
      </c>
      <c r="J920">
        <v>5</v>
      </c>
      <c r="K920">
        <v>5</v>
      </c>
    </row>
    <row r="921" spans="1:11" x14ac:dyDescent="0.3">
      <c r="A921" t="s">
        <v>11</v>
      </c>
      <c r="B921" t="s">
        <v>26</v>
      </c>
      <c r="C921" t="s">
        <v>138</v>
      </c>
      <c r="D921" t="s">
        <v>481</v>
      </c>
      <c r="E921" s="5">
        <v>45812.958333333343</v>
      </c>
      <c r="F921">
        <v>21.121801000000001</v>
      </c>
      <c r="G921">
        <v>79.049520000000001</v>
      </c>
      <c r="H921" t="s">
        <v>772</v>
      </c>
      <c r="I921">
        <v>23</v>
      </c>
      <c r="J921">
        <v>101</v>
      </c>
      <c r="K921">
        <v>58</v>
      </c>
    </row>
    <row r="922" spans="1:11" x14ac:dyDescent="0.3">
      <c r="A922" t="s">
        <v>11</v>
      </c>
      <c r="B922" t="s">
        <v>26</v>
      </c>
      <c r="C922" t="s">
        <v>138</v>
      </c>
      <c r="D922" t="s">
        <v>703</v>
      </c>
      <c r="E922" s="5">
        <v>45812.958333333343</v>
      </c>
      <c r="F922">
        <v>21.152875000000002</v>
      </c>
      <c r="G922">
        <v>79.051753099999999</v>
      </c>
      <c r="H922" t="s">
        <v>776</v>
      </c>
      <c r="I922">
        <v>8</v>
      </c>
      <c r="J922">
        <v>109</v>
      </c>
      <c r="K922">
        <v>44</v>
      </c>
    </row>
    <row r="923" spans="1:11" x14ac:dyDescent="0.3">
      <c r="A923" t="s">
        <v>11</v>
      </c>
      <c r="B923" t="s">
        <v>26</v>
      </c>
      <c r="C923" t="s">
        <v>138</v>
      </c>
      <c r="D923" t="s">
        <v>482</v>
      </c>
      <c r="E923" s="5">
        <v>45812.958333333343</v>
      </c>
      <c r="F923">
        <v>21.143383</v>
      </c>
      <c r="G923">
        <v>79.048912000000001</v>
      </c>
      <c r="H923" t="s">
        <v>775</v>
      </c>
      <c r="I923">
        <v>49</v>
      </c>
      <c r="J923">
        <v>306</v>
      </c>
      <c r="K923">
        <v>131</v>
      </c>
    </row>
    <row r="924" spans="1:11" x14ac:dyDescent="0.3">
      <c r="A924" t="s">
        <v>11</v>
      </c>
      <c r="B924" t="s">
        <v>26</v>
      </c>
      <c r="C924" t="s">
        <v>138</v>
      </c>
      <c r="D924" t="s">
        <v>482</v>
      </c>
      <c r="E924" s="5">
        <v>45812.958333333343</v>
      </c>
      <c r="F924">
        <v>21.143383</v>
      </c>
      <c r="G924">
        <v>79.048912000000001</v>
      </c>
      <c r="H924" t="s">
        <v>771</v>
      </c>
      <c r="I924">
        <v>81</v>
      </c>
      <c r="J924">
        <v>159</v>
      </c>
      <c r="K924">
        <v>116</v>
      </c>
    </row>
    <row r="925" spans="1:11" x14ac:dyDescent="0.3">
      <c r="A925" t="s">
        <v>11</v>
      </c>
      <c r="B925" t="s">
        <v>26</v>
      </c>
      <c r="C925" t="s">
        <v>135</v>
      </c>
      <c r="D925" t="s">
        <v>456</v>
      </c>
      <c r="E925" s="5">
        <v>45812.958333333343</v>
      </c>
      <c r="F925">
        <v>19.2058</v>
      </c>
      <c r="G925">
        <v>72.868200000000002</v>
      </c>
      <c r="H925" t="s">
        <v>773</v>
      </c>
      <c r="I925">
        <v>4</v>
      </c>
      <c r="J925">
        <v>7</v>
      </c>
      <c r="K925">
        <v>6</v>
      </c>
    </row>
    <row r="926" spans="1:11" x14ac:dyDescent="0.3">
      <c r="A926" t="s">
        <v>11</v>
      </c>
      <c r="B926" t="s">
        <v>26</v>
      </c>
      <c r="C926" t="s">
        <v>135</v>
      </c>
      <c r="D926" t="s">
        <v>457</v>
      </c>
      <c r="E926" s="5">
        <v>45812.958333333343</v>
      </c>
      <c r="F926">
        <v>19.215858999999998</v>
      </c>
      <c r="G926">
        <v>72.831717999999995</v>
      </c>
      <c r="H926" t="s">
        <v>771</v>
      </c>
      <c r="I926">
        <v>31</v>
      </c>
      <c r="J926">
        <v>88</v>
      </c>
      <c r="K926">
        <v>54</v>
      </c>
    </row>
    <row r="927" spans="1:11" x14ac:dyDescent="0.3">
      <c r="A927" t="s">
        <v>11</v>
      </c>
      <c r="B927" t="s">
        <v>26</v>
      </c>
      <c r="C927" t="s">
        <v>135</v>
      </c>
      <c r="D927" t="s">
        <v>457</v>
      </c>
      <c r="E927" s="5">
        <v>45812.958333333343</v>
      </c>
      <c r="F927">
        <v>19.215858999999998</v>
      </c>
      <c r="G927">
        <v>72.831717999999995</v>
      </c>
      <c r="H927" t="s">
        <v>773</v>
      </c>
      <c r="I927">
        <v>1</v>
      </c>
      <c r="J927">
        <v>9</v>
      </c>
      <c r="K927">
        <v>7</v>
      </c>
    </row>
    <row r="928" spans="1:11" x14ac:dyDescent="0.3">
      <c r="A928" t="s">
        <v>11</v>
      </c>
      <c r="B928" t="s">
        <v>26</v>
      </c>
      <c r="C928" t="s">
        <v>135</v>
      </c>
      <c r="D928" t="s">
        <v>458</v>
      </c>
      <c r="E928" s="5">
        <v>45812.958333333343</v>
      </c>
      <c r="F928">
        <v>19.063214299999999</v>
      </c>
      <c r="G928">
        <v>72.8456324</v>
      </c>
      <c r="H928" t="s">
        <v>773</v>
      </c>
      <c r="I928">
        <v>2</v>
      </c>
      <c r="J928">
        <v>32</v>
      </c>
      <c r="K928">
        <v>13</v>
      </c>
    </row>
    <row r="929" spans="1:11" x14ac:dyDescent="0.3">
      <c r="A929" t="s">
        <v>11</v>
      </c>
      <c r="B929" t="s">
        <v>26</v>
      </c>
      <c r="C929" t="s">
        <v>135</v>
      </c>
      <c r="D929" t="s">
        <v>458</v>
      </c>
      <c r="E929" s="5">
        <v>45812.958333333343</v>
      </c>
      <c r="F929">
        <v>19.063214299999999</v>
      </c>
      <c r="G929">
        <v>72.8456324</v>
      </c>
      <c r="H929" t="s">
        <v>774</v>
      </c>
    </row>
    <row r="930" spans="1:11" x14ac:dyDescent="0.3">
      <c r="A930" t="s">
        <v>11</v>
      </c>
      <c r="B930" t="s">
        <v>26</v>
      </c>
      <c r="C930" t="s">
        <v>135</v>
      </c>
      <c r="D930" t="s">
        <v>471</v>
      </c>
      <c r="E930" s="5">
        <v>45812.958333333343</v>
      </c>
      <c r="F930">
        <v>19.165332299999999</v>
      </c>
      <c r="G930">
        <v>72.922099000000003</v>
      </c>
      <c r="H930" t="s">
        <v>774</v>
      </c>
      <c r="I930">
        <v>2</v>
      </c>
      <c r="J930">
        <v>22</v>
      </c>
      <c r="K930">
        <v>7</v>
      </c>
    </row>
    <row r="931" spans="1:11" x14ac:dyDescent="0.3">
      <c r="A931" t="s">
        <v>11</v>
      </c>
      <c r="B931" t="s">
        <v>26</v>
      </c>
      <c r="C931" t="s">
        <v>139</v>
      </c>
      <c r="D931" t="s">
        <v>483</v>
      </c>
      <c r="E931" s="5">
        <v>45812.958333333343</v>
      </c>
      <c r="F931">
        <v>19.173852</v>
      </c>
      <c r="G931">
        <v>77.296290999999997</v>
      </c>
      <c r="H931" t="s">
        <v>771</v>
      </c>
      <c r="I931">
        <v>48</v>
      </c>
      <c r="J931">
        <v>108</v>
      </c>
      <c r="K931">
        <v>76</v>
      </c>
    </row>
    <row r="932" spans="1:11" x14ac:dyDescent="0.3">
      <c r="A932" t="s">
        <v>11</v>
      </c>
      <c r="B932" t="s">
        <v>26</v>
      </c>
      <c r="C932" t="s">
        <v>139</v>
      </c>
      <c r="D932" t="s">
        <v>483</v>
      </c>
      <c r="E932" s="5">
        <v>45812.958333333343</v>
      </c>
      <c r="F932">
        <v>19.173852</v>
      </c>
      <c r="G932">
        <v>77.296290999999997</v>
      </c>
      <c r="H932" t="s">
        <v>770</v>
      </c>
      <c r="I932">
        <v>15</v>
      </c>
      <c r="J932">
        <v>117</v>
      </c>
      <c r="K932">
        <v>84</v>
      </c>
    </row>
    <row r="933" spans="1:11" x14ac:dyDescent="0.3">
      <c r="A933" t="s">
        <v>11</v>
      </c>
      <c r="B933" t="s">
        <v>26</v>
      </c>
      <c r="C933" t="s">
        <v>140</v>
      </c>
      <c r="D933" t="s">
        <v>484</v>
      </c>
      <c r="E933" s="5">
        <v>45812.958333333343</v>
      </c>
      <c r="F933">
        <v>20.0073285</v>
      </c>
      <c r="G933">
        <v>73.776242699999997</v>
      </c>
      <c r="H933" t="s">
        <v>770</v>
      </c>
      <c r="I933">
        <v>34</v>
      </c>
      <c r="J933">
        <v>90</v>
      </c>
      <c r="K933">
        <v>83</v>
      </c>
    </row>
    <row r="934" spans="1:11" x14ac:dyDescent="0.3">
      <c r="A934" t="s">
        <v>11</v>
      </c>
      <c r="B934" t="s">
        <v>26</v>
      </c>
      <c r="C934" t="s">
        <v>140</v>
      </c>
      <c r="D934" t="s">
        <v>490</v>
      </c>
      <c r="E934" s="5">
        <v>45812.958333333343</v>
      </c>
      <c r="F934">
        <v>20.021502999999999</v>
      </c>
      <c r="G934">
        <v>73.813844000000003</v>
      </c>
      <c r="H934" t="s">
        <v>771</v>
      </c>
      <c r="I934">
        <v>78</v>
      </c>
      <c r="J934">
        <v>169</v>
      </c>
      <c r="K934">
        <v>119</v>
      </c>
    </row>
    <row r="935" spans="1:11" x14ac:dyDescent="0.3">
      <c r="A935" t="s">
        <v>11</v>
      </c>
      <c r="B935" t="s">
        <v>26</v>
      </c>
      <c r="C935" t="s">
        <v>135</v>
      </c>
      <c r="D935" t="s">
        <v>704</v>
      </c>
      <c r="E935" s="5">
        <v>45812.958333333343</v>
      </c>
      <c r="F935">
        <v>19.086300000000001</v>
      </c>
      <c r="G935">
        <v>72.888800000000003</v>
      </c>
      <c r="H935" t="s">
        <v>775</v>
      </c>
    </row>
    <row r="936" spans="1:11" x14ac:dyDescent="0.3">
      <c r="A936" t="s">
        <v>11</v>
      </c>
      <c r="B936" t="s">
        <v>26</v>
      </c>
      <c r="C936" t="s">
        <v>135</v>
      </c>
      <c r="D936" t="s">
        <v>467</v>
      </c>
      <c r="E936" s="5">
        <v>45812.958333333343</v>
      </c>
      <c r="F936">
        <v>19.197089999999999</v>
      </c>
      <c r="G936">
        <v>72.822040000000001</v>
      </c>
      <c r="H936" t="s">
        <v>775</v>
      </c>
      <c r="I936">
        <v>13</v>
      </c>
      <c r="J936">
        <v>64</v>
      </c>
      <c r="K936">
        <v>40</v>
      </c>
    </row>
    <row r="937" spans="1:11" x14ac:dyDescent="0.3">
      <c r="A937" t="s">
        <v>11</v>
      </c>
      <c r="B937" t="s">
        <v>26</v>
      </c>
      <c r="C937" t="s">
        <v>135</v>
      </c>
      <c r="D937" t="s">
        <v>467</v>
      </c>
      <c r="E937" s="5">
        <v>45812.958333333343</v>
      </c>
      <c r="F937">
        <v>19.197089999999999</v>
      </c>
      <c r="G937">
        <v>72.822040000000001</v>
      </c>
      <c r="H937" t="s">
        <v>771</v>
      </c>
      <c r="I937">
        <v>36</v>
      </c>
      <c r="J937">
        <v>121</v>
      </c>
      <c r="K937">
        <v>78</v>
      </c>
    </row>
    <row r="938" spans="1:11" x14ac:dyDescent="0.3">
      <c r="A938" t="s">
        <v>11</v>
      </c>
      <c r="B938" t="s">
        <v>26</v>
      </c>
      <c r="C938" t="s">
        <v>135</v>
      </c>
      <c r="D938" t="s">
        <v>467</v>
      </c>
      <c r="E938" s="5">
        <v>45812.958333333343</v>
      </c>
      <c r="F938">
        <v>19.197089999999999</v>
      </c>
      <c r="G938">
        <v>72.822040000000001</v>
      </c>
      <c r="H938" t="s">
        <v>773</v>
      </c>
      <c r="I938">
        <v>9</v>
      </c>
      <c r="J938">
        <v>15</v>
      </c>
      <c r="K938">
        <v>11</v>
      </c>
    </row>
    <row r="939" spans="1:11" x14ac:dyDescent="0.3">
      <c r="A939" t="s">
        <v>11</v>
      </c>
      <c r="B939" t="s">
        <v>26</v>
      </c>
      <c r="C939" t="s">
        <v>135</v>
      </c>
      <c r="D939" t="s">
        <v>467</v>
      </c>
      <c r="E939" s="5">
        <v>45812.958333333343</v>
      </c>
      <c r="F939">
        <v>19.197089999999999</v>
      </c>
      <c r="G939">
        <v>72.822040000000001</v>
      </c>
      <c r="H939" t="s">
        <v>770</v>
      </c>
      <c r="I939">
        <v>2</v>
      </c>
      <c r="J939">
        <v>84</v>
      </c>
      <c r="K939">
        <v>60</v>
      </c>
    </row>
    <row r="940" spans="1:11" x14ac:dyDescent="0.3">
      <c r="A940" t="s">
        <v>11</v>
      </c>
      <c r="B940" t="s">
        <v>26</v>
      </c>
      <c r="C940" t="s">
        <v>135</v>
      </c>
      <c r="D940" t="s">
        <v>465</v>
      </c>
      <c r="E940" s="5">
        <v>45812.958333333343</v>
      </c>
      <c r="F940">
        <v>19.1878657</v>
      </c>
      <c r="G940">
        <v>72.8304069</v>
      </c>
      <c r="H940" t="s">
        <v>773</v>
      </c>
      <c r="I940">
        <v>1</v>
      </c>
      <c r="J940">
        <v>4</v>
      </c>
      <c r="K940">
        <v>2</v>
      </c>
    </row>
    <row r="941" spans="1:11" x14ac:dyDescent="0.3">
      <c r="A941" t="s">
        <v>11</v>
      </c>
      <c r="B941" t="s">
        <v>26</v>
      </c>
      <c r="C941" t="s">
        <v>135</v>
      </c>
      <c r="D941" t="s">
        <v>465</v>
      </c>
      <c r="E941" s="5">
        <v>45812.958333333343</v>
      </c>
      <c r="F941">
        <v>19.1878657</v>
      </c>
      <c r="G941">
        <v>72.8304069</v>
      </c>
      <c r="H941" t="s">
        <v>774</v>
      </c>
      <c r="I941">
        <v>8</v>
      </c>
      <c r="J941">
        <v>24</v>
      </c>
      <c r="K941">
        <v>12</v>
      </c>
    </row>
    <row r="942" spans="1:11" x14ac:dyDescent="0.3">
      <c r="A942" t="s">
        <v>11</v>
      </c>
      <c r="B942" t="s">
        <v>26</v>
      </c>
      <c r="C942" t="s">
        <v>135</v>
      </c>
      <c r="D942" t="s">
        <v>463</v>
      </c>
      <c r="E942" s="5">
        <v>45812.958333333343</v>
      </c>
      <c r="F942">
        <v>19.137499999999999</v>
      </c>
      <c r="G942">
        <v>72.915056000000007</v>
      </c>
      <c r="H942" t="s">
        <v>773</v>
      </c>
      <c r="I942">
        <v>2</v>
      </c>
      <c r="J942">
        <v>2</v>
      </c>
      <c r="K942">
        <v>2</v>
      </c>
    </row>
    <row r="943" spans="1:11" x14ac:dyDescent="0.3">
      <c r="A943" t="s">
        <v>11</v>
      </c>
      <c r="B943" t="s">
        <v>26</v>
      </c>
      <c r="C943" t="s">
        <v>140</v>
      </c>
      <c r="D943" t="s">
        <v>491</v>
      </c>
      <c r="E943" s="5">
        <v>45812.958333333343</v>
      </c>
      <c r="F943">
        <v>19.950220000000002</v>
      </c>
      <c r="G943">
        <v>73.731480000000005</v>
      </c>
      <c r="H943" t="s">
        <v>774</v>
      </c>
      <c r="I943">
        <v>7</v>
      </c>
      <c r="J943">
        <v>25</v>
      </c>
      <c r="K943">
        <v>14</v>
      </c>
    </row>
    <row r="944" spans="1:11" x14ac:dyDescent="0.3">
      <c r="A944" t="s">
        <v>11</v>
      </c>
      <c r="B944" t="s">
        <v>26</v>
      </c>
      <c r="C944" t="s">
        <v>140</v>
      </c>
      <c r="D944" t="s">
        <v>492</v>
      </c>
      <c r="E944" s="5">
        <v>45812.958333333343</v>
      </c>
      <c r="F944">
        <v>19.959134599999999</v>
      </c>
      <c r="G944">
        <v>73.778800799999999</v>
      </c>
      <c r="H944" t="s">
        <v>774</v>
      </c>
      <c r="I944">
        <v>2</v>
      </c>
      <c r="J944">
        <v>25</v>
      </c>
      <c r="K944">
        <v>10</v>
      </c>
    </row>
    <row r="945" spans="1:11" x14ac:dyDescent="0.3">
      <c r="A945" t="s">
        <v>11</v>
      </c>
      <c r="B945" t="s">
        <v>26</v>
      </c>
      <c r="C945" t="s">
        <v>135</v>
      </c>
      <c r="D945" t="s">
        <v>464</v>
      </c>
      <c r="E945" s="5">
        <v>45812.958333333343</v>
      </c>
      <c r="F945">
        <v>19.060497999999999</v>
      </c>
      <c r="G945">
        <v>72.923355999999998</v>
      </c>
      <c r="H945" t="s">
        <v>770</v>
      </c>
      <c r="I945">
        <v>1</v>
      </c>
      <c r="J945">
        <v>86</v>
      </c>
      <c r="K945">
        <v>42</v>
      </c>
    </row>
    <row r="946" spans="1:11" x14ac:dyDescent="0.3">
      <c r="A946" t="s">
        <v>11</v>
      </c>
      <c r="B946" t="s">
        <v>26</v>
      </c>
      <c r="C946" t="s">
        <v>135</v>
      </c>
      <c r="D946" t="s">
        <v>472</v>
      </c>
      <c r="E946" s="5">
        <v>45812.958333333343</v>
      </c>
      <c r="F946">
        <v>18.91</v>
      </c>
      <c r="G946">
        <v>72.819999999999993</v>
      </c>
      <c r="H946" t="s">
        <v>771</v>
      </c>
      <c r="I946">
        <v>36</v>
      </c>
      <c r="J946">
        <v>97</v>
      </c>
      <c r="K946">
        <v>52</v>
      </c>
    </row>
    <row r="947" spans="1:11" x14ac:dyDescent="0.3">
      <c r="A947" t="s">
        <v>11</v>
      </c>
      <c r="B947" t="s">
        <v>26</v>
      </c>
      <c r="C947" t="s">
        <v>135</v>
      </c>
      <c r="D947" t="s">
        <v>468</v>
      </c>
      <c r="E947" s="5">
        <v>45812.958333333343</v>
      </c>
      <c r="F947">
        <v>18.967020000000002</v>
      </c>
      <c r="G947">
        <v>72.842140000000001</v>
      </c>
      <c r="H947" t="s">
        <v>776</v>
      </c>
      <c r="I947">
        <v>16</v>
      </c>
      <c r="J947">
        <v>82</v>
      </c>
      <c r="K947">
        <v>53</v>
      </c>
    </row>
    <row r="948" spans="1:11" x14ac:dyDescent="0.3">
      <c r="A948" t="s">
        <v>11</v>
      </c>
      <c r="B948" t="s">
        <v>26</v>
      </c>
      <c r="C948" t="s">
        <v>157</v>
      </c>
      <c r="D948" t="s">
        <v>705</v>
      </c>
      <c r="E948" s="5">
        <v>45812.958333333343</v>
      </c>
      <c r="F948">
        <v>17.654389999999999</v>
      </c>
      <c r="G948">
        <v>75.906490000000005</v>
      </c>
      <c r="H948" t="s">
        <v>771</v>
      </c>
      <c r="I948">
        <v>51</v>
      </c>
      <c r="J948">
        <v>132</v>
      </c>
      <c r="K948">
        <v>75</v>
      </c>
    </row>
    <row r="949" spans="1:11" x14ac:dyDescent="0.3">
      <c r="A949" t="s">
        <v>11</v>
      </c>
      <c r="B949" t="s">
        <v>26</v>
      </c>
      <c r="C949" t="s">
        <v>157</v>
      </c>
      <c r="D949" t="s">
        <v>705</v>
      </c>
      <c r="E949" s="5">
        <v>45812.958333333343</v>
      </c>
      <c r="F949">
        <v>17.654389999999999</v>
      </c>
      <c r="G949">
        <v>75.906490000000005</v>
      </c>
      <c r="H949" t="s">
        <v>776</v>
      </c>
      <c r="I949">
        <v>15</v>
      </c>
      <c r="J949">
        <v>65</v>
      </c>
      <c r="K949">
        <v>31</v>
      </c>
    </row>
    <row r="950" spans="1:11" x14ac:dyDescent="0.3">
      <c r="A950" t="s">
        <v>11</v>
      </c>
      <c r="B950" t="s">
        <v>26</v>
      </c>
      <c r="C950" t="s">
        <v>157</v>
      </c>
      <c r="D950" t="s">
        <v>705</v>
      </c>
      <c r="E950" s="5">
        <v>45812.958333333343</v>
      </c>
      <c r="F950">
        <v>17.654389999999999</v>
      </c>
      <c r="G950">
        <v>75.906490000000005</v>
      </c>
      <c r="H950" t="s">
        <v>770</v>
      </c>
      <c r="I950">
        <v>28</v>
      </c>
      <c r="J950">
        <v>94</v>
      </c>
      <c r="K950">
        <v>72</v>
      </c>
    </row>
    <row r="951" spans="1:11" x14ac:dyDescent="0.3">
      <c r="A951" t="s">
        <v>11</v>
      </c>
      <c r="B951" t="s">
        <v>26</v>
      </c>
      <c r="C951" t="s">
        <v>157</v>
      </c>
      <c r="D951" t="s">
        <v>509</v>
      </c>
      <c r="E951" s="5">
        <v>45812.958333333343</v>
      </c>
      <c r="F951">
        <v>17.6599188</v>
      </c>
      <c r="G951">
        <v>75.906390599999995</v>
      </c>
      <c r="H951" t="s">
        <v>775</v>
      </c>
      <c r="I951">
        <v>75</v>
      </c>
      <c r="J951">
        <v>75</v>
      </c>
      <c r="K951">
        <v>75</v>
      </c>
    </row>
    <row r="952" spans="1:11" x14ac:dyDescent="0.3">
      <c r="A952" t="s">
        <v>11</v>
      </c>
      <c r="B952" t="s">
        <v>26</v>
      </c>
      <c r="C952" t="s">
        <v>158</v>
      </c>
      <c r="D952" t="s">
        <v>706</v>
      </c>
      <c r="E952" s="5">
        <v>45812.958333333343</v>
      </c>
      <c r="F952">
        <v>19.267769999999999</v>
      </c>
      <c r="G952">
        <v>72.971819999999994</v>
      </c>
      <c r="H952" t="s">
        <v>775</v>
      </c>
      <c r="I952">
        <v>51</v>
      </c>
      <c r="J952">
        <v>96</v>
      </c>
      <c r="K952">
        <v>71</v>
      </c>
    </row>
    <row r="953" spans="1:11" x14ac:dyDescent="0.3">
      <c r="A953" t="s">
        <v>11</v>
      </c>
      <c r="B953" t="s">
        <v>26</v>
      </c>
      <c r="C953" t="s">
        <v>158</v>
      </c>
      <c r="D953" t="s">
        <v>706</v>
      </c>
      <c r="E953" s="5">
        <v>45812.958333333343</v>
      </c>
      <c r="F953">
        <v>19.267769999999999</v>
      </c>
      <c r="G953">
        <v>72.971819999999994</v>
      </c>
      <c r="H953" t="s">
        <v>772</v>
      </c>
      <c r="I953">
        <v>13</v>
      </c>
      <c r="J953">
        <v>99</v>
      </c>
      <c r="K953">
        <v>41</v>
      </c>
    </row>
    <row r="954" spans="1:11" x14ac:dyDescent="0.3">
      <c r="A954" t="s">
        <v>11</v>
      </c>
      <c r="B954" t="s">
        <v>26</v>
      </c>
      <c r="C954" t="s">
        <v>158</v>
      </c>
      <c r="D954" t="s">
        <v>706</v>
      </c>
      <c r="E954" s="5">
        <v>45812.958333333343</v>
      </c>
      <c r="F954">
        <v>19.267769999999999</v>
      </c>
      <c r="G954">
        <v>72.971819999999994</v>
      </c>
      <c r="H954" t="s">
        <v>773</v>
      </c>
      <c r="I954">
        <v>5</v>
      </c>
      <c r="J954">
        <v>22</v>
      </c>
      <c r="K954">
        <v>9</v>
      </c>
    </row>
    <row r="955" spans="1:11" x14ac:dyDescent="0.3">
      <c r="A955" t="s">
        <v>11</v>
      </c>
      <c r="B955" t="s">
        <v>26</v>
      </c>
      <c r="C955" t="s">
        <v>158</v>
      </c>
      <c r="D955" t="s">
        <v>706</v>
      </c>
      <c r="E955" s="5">
        <v>45812.958333333343</v>
      </c>
      <c r="F955">
        <v>19.267769999999999</v>
      </c>
      <c r="G955">
        <v>72.971819999999994</v>
      </c>
      <c r="H955" t="s">
        <v>770</v>
      </c>
      <c r="I955">
        <v>2</v>
      </c>
      <c r="J955">
        <v>97</v>
      </c>
      <c r="K955">
        <v>32</v>
      </c>
    </row>
    <row r="956" spans="1:11" x14ac:dyDescent="0.3">
      <c r="A956" t="s">
        <v>11</v>
      </c>
      <c r="B956" t="s">
        <v>26</v>
      </c>
      <c r="C956" t="s">
        <v>137</v>
      </c>
      <c r="D956" t="s">
        <v>479</v>
      </c>
      <c r="E956" s="5">
        <v>45812.958333333343</v>
      </c>
      <c r="F956">
        <v>19.025790000000001</v>
      </c>
      <c r="G956">
        <v>73.102969999999999</v>
      </c>
      <c r="H956" t="s">
        <v>774</v>
      </c>
      <c r="I956">
        <v>3</v>
      </c>
      <c r="J956">
        <v>28</v>
      </c>
      <c r="K956">
        <v>10</v>
      </c>
    </row>
    <row r="957" spans="1:11" x14ac:dyDescent="0.3">
      <c r="A957" t="s">
        <v>11</v>
      </c>
      <c r="B957" t="s">
        <v>26</v>
      </c>
      <c r="C957" t="s">
        <v>137</v>
      </c>
      <c r="D957" t="s">
        <v>479</v>
      </c>
      <c r="E957" s="5">
        <v>45812.958333333343</v>
      </c>
      <c r="F957">
        <v>19.025790000000001</v>
      </c>
      <c r="G957">
        <v>73.102969999999999</v>
      </c>
      <c r="H957" t="s">
        <v>770</v>
      </c>
      <c r="I957">
        <v>1</v>
      </c>
      <c r="J957">
        <v>88</v>
      </c>
      <c r="K957">
        <v>50</v>
      </c>
    </row>
    <row r="958" spans="1:11" x14ac:dyDescent="0.3">
      <c r="A958" t="s">
        <v>11</v>
      </c>
      <c r="B958" t="s">
        <v>26</v>
      </c>
      <c r="C958" t="s">
        <v>137</v>
      </c>
      <c r="D958" t="s">
        <v>480</v>
      </c>
      <c r="E958" s="5">
        <v>45812.958333333343</v>
      </c>
      <c r="F958">
        <v>19.062999999999999</v>
      </c>
      <c r="G958">
        <v>73.120900000000006</v>
      </c>
      <c r="H958" t="s">
        <v>771</v>
      </c>
      <c r="I958">
        <v>71</v>
      </c>
      <c r="J958">
        <v>233</v>
      </c>
      <c r="K958">
        <v>120</v>
      </c>
    </row>
    <row r="959" spans="1:11" x14ac:dyDescent="0.3">
      <c r="A959" t="s">
        <v>11</v>
      </c>
      <c r="B959" t="s">
        <v>26</v>
      </c>
      <c r="C959" t="s">
        <v>142</v>
      </c>
      <c r="D959" t="s">
        <v>493</v>
      </c>
      <c r="E959" s="5">
        <v>45812.958333333343</v>
      </c>
      <c r="F959">
        <v>19.265594</v>
      </c>
      <c r="G959">
        <v>76.761463000000006</v>
      </c>
      <c r="H959" t="s">
        <v>774</v>
      </c>
    </row>
    <row r="960" spans="1:11" x14ac:dyDescent="0.3">
      <c r="A960" t="s">
        <v>11</v>
      </c>
      <c r="B960" t="s">
        <v>26</v>
      </c>
      <c r="C960" t="s">
        <v>141</v>
      </c>
      <c r="D960" t="s">
        <v>707</v>
      </c>
      <c r="E960" s="5">
        <v>45812.958333333343</v>
      </c>
      <c r="F960">
        <v>18.614767000000001</v>
      </c>
      <c r="G960">
        <v>73.799515999999997</v>
      </c>
      <c r="H960" t="s">
        <v>771</v>
      </c>
      <c r="I960">
        <v>77</v>
      </c>
      <c r="J960">
        <v>165</v>
      </c>
      <c r="K960">
        <v>129</v>
      </c>
    </row>
    <row r="961" spans="1:11" x14ac:dyDescent="0.3">
      <c r="A961" t="s">
        <v>11</v>
      </c>
      <c r="B961" t="s">
        <v>26</v>
      </c>
      <c r="C961" t="s">
        <v>141</v>
      </c>
      <c r="D961" t="s">
        <v>707</v>
      </c>
      <c r="E961" s="5">
        <v>45812.958333333343</v>
      </c>
      <c r="F961">
        <v>18.614767000000001</v>
      </c>
      <c r="G961">
        <v>73.799515999999997</v>
      </c>
      <c r="H961" t="s">
        <v>776</v>
      </c>
      <c r="I961">
        <v>21</v>
      </c>
      <c r="J961">
        <v>110</v>
      </c>
      <c r="K961">
        <v>50</v>
      </c>
    </row>
    <row r="962" spans="1:11" x14ac:dyDescent="0.3">
      <c r="A962" t="s">
        <v>11</v>
      </c>
      <c r="B962" t="s">
        <v>26</v>
      </c>
      <c r="C962" t="s">
        <v>141</v>
      </c>
      <c r="D962" t="s">
        <v>485</v>
      </c>
      <c r="E962" s="5">
        <v>45812.958333333343</v>
      </c>
      <c r="F962">
        <v>18.616318</v>
      </c>
      <c r="G962">
        <v>73.765797000000006</v>
      </c>
      <c r="H962" t="s">
        <v>772</v>
      </c>
      <c r="I962">
        <v>27</v>
      </c>
      <c r="J962">
        <v>144</v>
      </c>
      <c r="K962">
        <v>76</v>
      </c>
    </row>
    <row r="963" spans="1:11" x14ac:dyDescent="0.3">
      <c r="A963" t="s">
        <v>11</v>
      </c>
      <c r="B963" t="s">
        <v>26</v>
      </c>
      <c r="C963" t="s">
        <v>141</v>
      </c>
      <c r="D963" t="s">
        <v>485</v>
      </c>
      <c r="E963" s="5">
        <v>45812.958333333343</v>
      </c>
      <c r="F963">
        <v>18.616318</v>
      </c>
      <c r="G963">
        <v>73.765797000000006</v>
      </c>
      <c r="H963" t="s">
        <v>770</v>
      </c>
      <c r="I963">
        <v>1</v>
      </c>
      <c r="J963">
        <v>59</v>
      </c>
      <c r="K963">
        <v>45</v>
      </c>
    </row>
    <row r="964" spans="1:11" x14ac:dyDescent="0.3">
      <c r="A964" t="s">
        <v>11</v>
      </c>
      <c r="B964" t="s">
        <v>26</v>
      </c>
      <c r="C964" t="s">
        <v>136</v>
      </c>
      <c r="D964" t="s">
        <v>473</v>
      </c>
      <c r="E964" s="5">
        <v>45812.958333333343</v>
      </c>
      <c r="F964">
        <v>18.640051</v>
      </c>
      <c r="G964">
        <v>73.848956000000001</v>
      </c>
      <c r="H964" t="s">
        <v>770</v>
      </c>
      <c r="I964">
        <v>1</v>
      </c>
      <c r="J964">
        <v>98</v>
      </c>
      <c r="K964">
        <v>72</v>
      </c>
    </row>
    <row r="965" spans="1:11" x14ac:dyDescent="0.3">
      <c r="A965" t="s">
        <v>11</v>
      </c>
      <c r="B965" t="s">
        <v>26</v>
      </c>
      <c r="C965" t="s">
        <v>136</v>
      </c>
      <c r="D965" t="s">
        <v>475</v>
      </c>
      <c r="E965" s="5">
        <v>45812.958333333343</v>
      </c>
      <c r="F965">
        <v>18.501792999999999</v>
      </c>
      <c r="G965">
        <v>73.927531999999999</v>
      </c>
      <c r="H965" t="s">
        <v>775</v>
      </c>
      <c r="I965">
        <v>25</v>
      </c>
      <c r="J965">
        <v>99</v>
      </c>
      <c r="K965">
        <v>71</v>
      </c>
    </row>
    <row r="966" spans="1:11" x14ac:dyDescent="0.3">
      <c r="A966" t="s">
        <v>11</v>
      </c>
      <c r="B966" t="s">
        <v>26</v>
      </c>
      <c r="C966" t="s">
        <v>136</v>
      </c>
      <c r="D966" t="s">
        <v>475</v>
      </c>
      <c r="E966" s="5">
        <v>45812.958333333343</v>
      </c>
      <c r="F966">
        <v>18.501792999999999</v>
      </c>
      <c r="G966">
        <v>73.927531999999999</v>
      </c>
      <c r="H966" t="s">
        <v>772</v>
      </c>
      <c r="I966">
        <v>75</v>
      </c>
      <c r="J966">
        <v>125</v>
      </c>
      <c r="K966">
        <v>97</v>
      </c>
    </row>
    <row r="967" spans="1:11" x14ac:dyDescent="0.3">
      <c r="A967" t="s">
        <v>11</v>
      </c>
      <c r="B967" t="s">
        <v>26</v>
      </c>
      <c r="C967" t="s">
        <v>136</v>
      </c>
      <c r="D967" t="s">
        <v>708</v>
      </c>
      <c r="E967" s="5">
        <v>45812.958333333343</v>
      </c>
      <c r="F967">
        <v>18.501174299999999</v>
      </c>
      <c r="G967">
        <v>73.816552700000003</v>
      </c>
      <c r="H967" t="s">
        <v>772</v>
      </c>
      <c r="I967">
        <v>2</v>
      </c>
      <c r="J967">
        <v>2</v>
      </c>
      <c r="K967">
        <v>2</v>
      </c>
    </row>
    <row r="968" spans="1:11" x14ac:dyDescent="0.3">
      <c r="A968" t="s">
        <v>11</v>
      </c>
      <c r="B968" t="s">
        <v>26</v>
      </c>
      <c r="C968" t="s">
        <v>137</v>
      </c>
      <c r="D968" t="s">
        <v>709</v>
      </c>
      <c r="E968" s="5">
        <v>45812.958333333343</v>
      </c>
      <c r="F968">
        <v>19.090337000000002</v>
      </c>
      <c r="G968">
        <v>73.014232000000007</v>
      </c>
      <c r="H968" t="s">
        <v>774</v>
      </c>
      <c r="I968">
        <v>3</v>
      </c>
      <c r="J968">
        <v>13</v>
      </c>
      <c r="K968">
        <v>6</v>
      </c>
    </row>
    <row r="969" spans="1:11" x14ac:dyDescent="0.3">
      <c r="A969" t="s">
        <v>11</v>
      </c>
      <c r="B969" t="s">
        <v>26</v>
      </c>
      <c r="C969" t="s">
        <v>137</v>
      </c>
      <c r="D969" t="s">
        <v>709</v>
      </c>
      <c r="E969" s="5">
        <v>45812.958333333343</v>
      </c>
      <c r="F969">
        <v>19.090337000000002</v>
      </c>
      <c r="G969">
        <v>73.014232000000007</v>
      </c>
      <c r="H969" t="s">
        <v>776</v>
      </c>
      <c r="I969">
        <v>34</v>
      </c>
      <c r="J969">
        <v>120</v>
      </c>
      <c r="K969">
        <v>43</v>
      </c>
    </row>
    <row r="970" spans="1:11" x14ac:dyDescent="0.3">
      <c r="A970" t="s">
        <v>11</v>
      </c>
      <c r="B970" t="s">
        <v>26</v>
      </c>
      <c r="C970" t="s">
        <v>137</v>
      </c>
      <c r="D970" t="s">
        <v>478</v>
      </c>
      <c r="E970" s="5">
        <v>45812.958333333343</v>
      </c>
      <c r="F970">
        <v>19.057575199999999</v>
      </c>
      <c r="G970">
        <v>73.015136699999999</v>
      </c>
      <c r="H970" t="s">
        <v>773</v>
      </c>
      <c r="I970">
        <v>7</v>
      </c>
      <c r="J970">
        <v>24</v>
      </c>
      <c r="K970">
        <v>12</v>
      </c>
    </row>
    <row r="971" spans="1:11" x14ac:dyDescent="0.3">
      <c r="A971" t="s">
        <v>11</v>
      </c>
      <c r="B971" t="s">
        <v>26</v>
      </c>
      <c r="C971" t="s">
        <v>155</v>
      </c>
      <c r="D971" t="s">
        <v>507</v>
      </c>
      <c r="E971" s="5">
        <v>45812.958333333343</v>
      </c>
      <c r="F971">
        <v>19.235581</v>
      </c>
      <c r="G971">
        <v>73.159120999999999</v>
      </c>
      <c r="H971" t="s">
        <v>772</v>
      </c>
      <c r="I971">
        <v>28</v>
      </c>
      <c r="J971">
        <v>46</v>
      </c>
      <c r="K971">
        <v>39</v>
      </c>
    </row>
    <row r="972" spans="1:11" x14ac:dyDescent="0.3">
      <c r="A972" t="s">
        <v>11</v>
      </c>
      <c r="B972" t="s">
        <v>26</v>
      </c>
      <c r="C972" t="s">
        <v>155</v>
      </c>
      <c r="D972" t="s">
        <v>507</v>
      </c>
      <c r="E972" s="5">
        <v>45812.958333333343</v>
      </c>
      <c r="F972">
        <v>19.235581</v>
      </c>
      <c r="G972">
        <v>73.159120999999999</v>
      </c>
      <c r="H972" t="s">
        <v>773</v>
      </c>
      <c r="I972">
        <v>3</v>
      </c>
      <c r="J972">
        <v>6</v>
      </c>
      <c r="K972">
        <v>4</v>
      </c>
    </row>
    <row r="973" spans="1:11" x14ac:dyDescent="0.3">
      <c r="A973" t="s">
        <v>11</v>
      </c>
      <c r="B973" t="s">
        <v>26</v>
      </c>
      <c r="C973" t="s">
        <v>267</v>
      </c>
      <c r="D973" t="s">
        <v>710</v>
      </c>
      <c r="E973" s="5">
        <v>45812.958333333343</v>
      </c>
      <c r="F973">
        <v>19.445820999999999</v>
      </c>
      <c r="G973">
        <v>72.798823100000007</v>
      </c>
      <c r="H973" t="s">
        <v>774</v>
      </c>
      <c r="I973">
        <v>1</v>
      </c>
      <c r="J973">
        <v>3</v>
      </c>
      <c r="K973">
        <v>1</v>
      </c>
    </row>
    <row r="974" spans="1:11" x14ac:dyDescent="0.3">
      <c r="A974" t="s">
        <v>11</v>
      </c>
      <c r="B974" t="s">
        <v>26</v>
      </c>
      <c r="C974" t="s">
        <v>157</v>
      </c>
      <c r="D974" t="s">
        <v>512</v>
      </c>
      <c r="E974" s="5">
        <v>45812.958333333343</v>
      </c>
      <c r="F974">
        <v>17.633626400000001</v>
      </c>
      <c r="G974">
        <v>75.913249500000006</v>
      </c>
      <c r="H974" t="s">
        <v>775</v>
      </c>
      <c r="I974">
        <v>47</v>
      </c>
      <c r="J974">
        <v>99</v>
      </c>
      <c r="K974">
        <v>75</v>
      </c>
    </row>
    <row r="975" spans="1:11" x14ac:dyDescent="0.3">
      <c r="A975" t="s">
        <v>11</v>
      </c>
      <c r="B975" t="s">
        <v>26</v>
      </c>
      <c r="C975" t="s">
        <v>157</v>
      </c>
      <c r="D975" t="s">
        <v>512</v>
      </c>
      <c r="E975" s="5">
        <v>45812.958333333343</v>
      </c>
      <c r="F975">
        <v>17.633626400000001</v>
      </c>
      <c r="G975">
        <v>75.913249500000006</v>
      </c>
      <c r="H975" t="s">
        <v>771</v>
      </c>
      <c r="I975">
        <v>52</v>
      </c>
      <c r="J975">
        <v>141</v>
      </c>
      <c r="K975">
        <v>95</v>
      </c>
    </row>
    <row r="976" spans="1:11" x14ac:dyDescent="0.3">
      <c r="A976" t="s">
        <v>11</v>
      </c>
      <c r="B976" t="s">
        <v>26</v>
      </c>
      <c r="C976" t="s">
        <v>141</v>
      </c>
      <c r="D976" t="s">
        <v>488</v>
      </c>
      <c r="E976" s="5">
        <v>45812.958333333343</v>
      </c>
      <c r="F976">
        <v>18.63673</v>
      </c>
      <c r="G976">
        <v>73.824870000000004</v>
      </c>
      <c r="H976" t="s">
        <v>772</v>
      </c>
      <c r="I976">
        <v>27</v>
      </c>
      <c r="J976">
        <v>123</v>
      </c>
      <c r="K976">
        <v>63</v>
      </c>
    </row>
    <row r="977" spans="1:11" x14ac:dyDescent="0.3">
      <c r="A977" t="s">
        <v>11</v>
      </c>
      <c r="B977" t="s">
        <v>26</v>
      </c>
      <c r="C977" t="s">
        <v>136</v>
      </c>
      <c r="D977" t="s">
        <v>708</v>
      </c>
      <c r="E977" s="5">
        <v>45812.958333333343</v>
      </c>
      <c r="F977">
        <v>18.501174299999999</v>
      </c>
      <c r="G977">
        <v>73.816552700000003</v>
      </c>
      <c r="H977" t="s">
        <v>774</v>
      </c>
      <c r="I977">
        <v>7</v>
      </c>
      <c r="J977">
        <v>7</v>
      </c>
      <c r="K977">
        <v>7</v>
      </c>
    </row>
    <row r="978" spans="1:11" x14ac:dyDescent="0.3">
      <c r="A978" t="s">
        <v>11</v>
      </c>
      <c r="B978" t="s">
        <v>27</v>
      </c>
      <c r="C978" t="s">
        <v>268</v>
      </c>
      <c r="D978" t="s">
        <v>711</v>
      </c>
      <c r="E978" s="5">
        <v>45812.958333333343</v>
      </c>
      <c r="F978">
        <v>21.869985</v>
      </c>
      <c r="G978">
        <v>85.167016000000004</v>
      </c>
      <c r="H978" t="s">
        <v>771</v>
      </c>
      <c r="I978">
        <v>81</v>
      </c>
      <c r="J978">
        <v>121</v>
      </c>
      <c r="K978">
        <v>99</v>
      </c>
    </row>
    <row r="979" spans="1:11" x14ac:dyDescent="0.3">
      <c r="A979" t="s">
        <v>11</v>
      </c>
      <c r="B979" t="s">
        <v>27</v>
      </c>
      <c r="C979" t="s">
        <v>268</v>
      </c>
      <c r="D979" t="s">
        <v>711</v>
      </c>
      <c r="E979" s="5">
        <v>45812.958333333343</v>
      </c>
      <c r="F979">
        <v>21.869985</v>
      </c>
      <c r="G979">
        <v>85.167016000000004</v>
      </c>
      <c r="H979" t="s">
        <v>776</v>
      </c>
      <c r="I979">
        <v>28</v>
      </c>
      <c r="J979">
        <v>42</v>
      </c>
      <c r="K979">
        <v>36</v>
      </c>
    </row>
    <row r="980" spans="1:11" x14ac:dyDescent="0.3">
      <c r="A980" t="s">
        <v>11</v>
      </c>
      <c r="B980" t="s">
        <v>32</v>
      </c>
      <c r="C980" t="s">
        <v>32</v>
      </c>
      <c r="D980" t="s">
        <v>523</v>
      </c>
      <c r="E980" s="5">
        <v>45812.958333333343</v>
      </c>
      <c r="F980">
        <v>11.930899999999999</v>
      </c>
      <c r="G980">
        <v>79.802700000000002</v>
      </c>
      <c r="H980" t="s">
        <v>775</v>
      </c>
      <c r="I980">
        <v>5</v>
      </c>
      <c r="J980">
        <v>106</v>
      </c>
      <c r="K980">
        <v>29</v>
      </c>
    </row>
    <row r="981" spans="1:11" x14ac:dyDescent="0.3">
      <c r="A981" t="s">
        <v>11</v>
      </c>
      <c r="B981" t="s">
        <v>32</v>
      </c>
      <c r="C981" t="s">
        <v>32</v>
      </c>
      <c r="D981" t="s">
        <v>523</v>
      </c>
      <c r="E981" s="5">
        <v>45812.958333333343</v>
      </c>
      <c r="F981">
        <v>11.930899999999999</v>
      </c>
      <c r="G981">
        <v>79.802700000000002</v>
      </c>
      <c r="H981" t="s">
        <v>773</v>
      </c>
      <c r="I981">
        <v>3</v>
      </c>
      <c r="J981">
        <v>8</v>
      </c>
      <c r="K981">
        <v>4</v>
      </c>
    </row>
    <row r="982" spans="1:11" x14ac:dyDescent="0.3">
      <c r="A982" t="s">
        <v>11</v>
      </c>
      <c r="B982" t="s">
        <v>32</v>
      </c>
      <c r="C982" t="s">
        <v>32</v>
      </c>
      <c r="D982" t="s">
        <v>523</v>
      </c>
      <c r="E982" s="5">
        <v>45812.958333333343</v>
      </c>
      <c r="F982">
        <v>11.930899999999999</v>
      </c>
      <c r="G982">
        <v>79.802700000000002</v>
      </c>
      <c r="H982" t="s">
        <v>776</v>
      </c>
      <c r="I982">
        <v>14</v>
      </c>
      <c r="J982">
        <v>34</v>
      </c>
      <c r="K982">
        <v>16</v>
      </c>
    </row>
    <row r="983" spans="1:11" x14ac:dyDescent="0.3">
      <c r="A983" t="s">
        <v>11</v>
      </c>
      <c r="B983" t="s">
        <v>30</v>
      </c>
      <c r="C983" t="s">
        <v>168</v>
      </c>
      <c r="D983" t="s">
        <v>524</v>
      </c>
      <c r="E983" s="5">
        <v>45812.958333333343</v>
      </c>
      <c r="F983">
        <v>31.62</v>
      </c>
      <c r="G983">
        <v>74.876512000000005</v>
      </c>
      <c r="H983" t="s">
        <v>770</v>
      </c>
      <c r="I983">
        <v>42</v>
      </c>
      <c r="J983">
        <v>61</v>
      </c>
      <c r="K983">
        <v>50</v>
      </c>
    </row>
    <row r="984" spans="1:11" x14ac:dyDescent="0.3">
      <c r="A984" t="s">
        <v>11</v>
      </c>
      <c r="B984" t="s">
        <v>30</v>
      </c>
      <c r="C984" t="s">
        <v>269</v>
      </c>
      <c r="D984" t="s">
        <v>712</v>
      </c>
      <c r="E984" s="5">
        <v>45812.958333333343</v>
      </c>
      <c r="F984">
        <v>30.233011000000001</v>
      </c>
      <c r="G984">
        <v>74.907758000000001</v>
      </c>
      <c r="H984" t="s">
        <v>774</v>
      </c>
      <c r="I984">
        <v>3</v>
      </c>
      <c r="J984">
        <v>19</v>
      </c>
      <c r="K984">
        <v>11</v>
      </c>
    </row>
    <row r="985" spans="1:11" x14ac:dyDescent="0.3">
      <c r="A985" t="s">
        <v>11</v>
      </c>
      <c r="B985" t="s">
        <v>30</v>
      </c>
      <c r="C985" t="s">
        <v>270</v>
      </c>
      <c r="D985" t="s">
        <v>713</v>
      </c>
      <c r="E985" s="5">
        <v>45812.958333333343</v>
      </c>
      <c r="F985">
        <v>31.321906999999999</v>
      </c>
      <c r="G985">
        <v>75.578913999999997</v>
      </c>
      <c r="H985" t="s">
        <v>771</v>
      </c>
      <c r="I985">
        <v>62</v>
      </c>
      <c r="J985">
        <v>183</v>
      </c>
      <c r="K985">
        <v>126</v>
      </c>
    </row>
    <row r="986" spans="1:11" x14ac:dyDescent="0.3">
      <c r="A986" t="s">
        <v>11</v>
      </c>
      <c r="B986" t="s">
        <v>27</v>
      </c>
      <c r="C986" t="s">
        <v>153</v>
      </c>
      <c r="D986" t="s">
        <v>505</v>
      </c>
      <c r="E986" s="5">
        <v>45812.958333333343</v>
      </c>
      <c r="F986">
        <v>21.800499599999998</v>
      </c>
      <c r="G986">
        <v>83.839697700000002</v>
      </c>
      <c r="H986" t="s">
        <v>776</v>
      </c>
      <c r="I986">
        <v>28</v>
      </c>
      <c r="J986">
        <v>61</v>
      </c>
      <c r="K986">
        <v>56</v>
      </c>
    </row>
    <row r="987" spans="1:11" x14ac:dyDescent="0.3">
      <c r="A987" t="s">
        <v>11</v>
      </c>
      <c r="B987" t="s">
        <v>27</v>
      </c>
      <c r="C987" t="s">
        <v>154</v>
      </c>
      <c r="D987" t="s">
        <v>506</v>
      </c>
      <c r="E987" s="5">
        <v>45812.958333333343</v>
      </c>
      <c r="F987">
        <v>20.941849999999999</v>
      </c>
      <c r="G987">
        <v>86.115099999999998</v>
      </c>
      <c r="H987" t="s">
        <v>770</v>
      </c>
      <c r="I987">
        <v>22</v>
      </c>
      <c r="J987">
        <v>154</v>
      </c>
      <c r="K987">
        <v>97</v>
      </c>
    </row>
    <row r="988" spans="1:11" x14ac:dyDescent="0.3">
      <c r="A988" t="s">
        <v>11</v>
      </c>
      <c r="B988" t="s">
        <v>27</v>
      </c>
      <c r="C988" t="s">
        <v>143</v>
      </c>
      <c r="D988" t="s">
        <v>494</v>
      </c>
      <c r="E988" s="5">
        <v>45812.958333333343</v>
      </c>
      <c r="F988">
        <v>20.488910000000001</v>
      </c>
      <c r="G988">
        <v>85.847679999999997</v>
      </c>
      <c r="H988" t="s">
        <v>775</v>
      </c>
      <c r="I988">
        <v>28</v>
      </c>
      <c r="J988">
        <v>93</v>
      </c>
      <c r="K988">
        <v>51</v>
      </c>
    </row>
    <row r="989" spans="1:11" x14ac:dyDescent="0.3">
      <c r="A989" t="s">
        <v>11</v>
      </c>
      <c r="B989" t="s">
        <v>27</v>
      </c>
      <c r="C989" t="s">
        <v>144</v>
      </c>
      <c r="D989" t="s">
        <v>495</v>
      </c>
      <c r="E989" s="5">
        <v>45812.958333333343</v>
      </c>
      <c r="F989">
        <v>21.643899999999999</v>
      </c>
      <c r="G989">
        <v>85.599355000000003</v>
      </c>
      <c r="H989" t="s">
        <v>771</v>
      </c>
      <c r="I989">
        <v>85</v>
      </c>
      <c r="J989">
        <v>128</v>
      </c>
      <c r="K989">
        <v>107</v>
      </c>
    </row>
    <row r="990" spans="1:11" x14ac:dyDescent="0.3">
      <c r="A990" t="s">
        <v>11</v>
      </c>
      <c r="B990" t="s">
        <v>27</v>
      </c>
      <c r="C990" t="s">
        <v>145</v>
      </c>
      <c r="D990" t="s">
        <v>496</v>
      </c>
      <c r="E990" s="5">
        <v>45812.958333333343</v>
      </c>
      <c r="F990">
        <v>21.847279</v>
      </c>
      <c r="G990">
        <v>85.416905</v>
      </c>
      <c r="H990" t="s">
        <v>773</v>
      </c>
    </row>
    <row r="991" spans="1:11" x14ac:dyDescent="0.3">
      <c r="A991" t="s">
        <v>11</v>
      </c>
      <c r="B991" t="s">
        <v>27</v>
      </c>
      <c r="C991" t="s">
        <v>145</v>
      </c>
      <c r="D991" t="s">
        <v>496</v>
      </c>
      <c r="E991" s="5">
        <v>45812.958333333343</v>
      </c>
      <c r="F991">
        <v>21.847279</v>
      </c>
      <c r="G991">
        <v>85.416905</v>
      </c>
      <c r="H991" t="s">
        <v>776</v>
      </c>
    </row>
    <row r="992" spans="1:11" x14ac:dyDescent="0.3">
      <c r="A992" t="s">
        <v>11</v>
      </c>
      <c r="B992" t="s">
        <v>40</v>
      </c>
      <c r="C992" t="s">
        <v>271</v>
      </c>
      <c r="D992" t="s">
        <v>714</v>
      </c>
      <c r="E992" s="5">
        <v>45812.958333333343</v>
      </c>
      <c r="F992">
        <v>25.663541299999999</v>
      </c>
      <c r="G992">
        <v>94.098987800000003</v>
      </c>
      <c r="H992" t="s">
        <v>776</v>
      </c>
      <c r="I992">
        <v>2</v>
      </c>
      <c r="J992">
        <v>16</v>
      </c>
      <c r="K992">
        <v>13</v>
      </c>
    </row>
    <row r="993" spans="1:11" x14ac:dyDescent="0.3">
      <c r="A993" t="s">
        <v>11</v>
      </c>
      <c r="B993" t="s">
        <v>27</v>
      </c>
      <c r="C993" t="s">
        <v>272</v>
      </c>
      <c r="D993" t="s">
        <v>715</v>
      </c>
      <c r="E993" s="5">
        <v>45812.958333333343</v>
      </c>
      <c r="F993">
        <v>20.832874</v>
      </c>
      <c r="G993">
        <v>85.104082000000005</v>
      </c>
      <c r="H993" t="s">
        <v>775</v>
      </c>
      <c r="I993">
        <v>55</v>
      </c>
      <c r="J993">
        <v>325</v>
      </c>
      <c r="K993">
        <v>131</v>
      </c>
    </row>
    <row r="994" spans="1:11" x14ac:dyDescent="0.3">
      <c r="A994" t="s">
        <v>11</v>
      </c>
      <c r="B994" t="s">
        <v>27</v>
      </c>
      <c r="C994" t="s">
        <v>148</v>
      </c>
      <c r="D994" t="s">
        <v>499</v>
      </c>
      <c r="E994" s="5">
        <v>45812.958333333343</v>
      </c>
      <c r="F994">
        <v>21.511610000000001</v>
      </c>
      <c r="G994">
        <v>86.890879999999996</v>
      </c>
      <c r="H994" t="s">
        <v>771</v>
      </c>
      <c r="I994">
        <v>43</v>
      </c>
      <c r="J994">
        <v>164</v>
      </c>
      <c r="K994">
        <v>102</v>
      </c>
    </row>
    <row r="995" spans="1:11" x14ac:dyDescent="0.3">
      <c r="A995" t="s">
        <v>11</v>
      </c>
      <c r="B995" t="s">
        <v>27</v>
      </c>
      <c r="C995" t="s">
        <v>149</v>
      </c>
      <c r="D995" t="s">
        <v>500</v>
      </c>
      <c r="E995" s="5">
        <v>45812.958333333343</v>
      </c>
      <c r="F995">
        <v>22.116605400000001</v>
      </c>
      <c r="G995">
        <v>85.394554600000006</v>
      </c>
      <c r="H995" t="s">
        <v>772</v>
      </c>
      <c r="I995">
        <v>13</v>
      </c>
      <c r="J995">
        <v>79</v>
      </c>
      <c r="K995">
        <v>26</v>
      </c>
    </row>
    <row r="996" spans="1:11" x14ac:dyDescent="0.3">
      <c r="A996" t="s">
        <v>11</v>
      </c>
      <c r="B996" t="s">
        <v>27</v>
      </c>
      <c r="C996" t="s">
        <v>149</v>
      </c>
      <c r="D996" t="s">
        <v>500</v>
      </c>
      <c r="E996" s="5">
        <v>45812.958333333343</v>
      </c>
      <c r="F996">
        <v>22.116605400000001</v>
      </c>
      <c r="G996">
        <v>85.394554600000006</v>
      </c>
      <c r="H996" t="s">
        <v>774</v>
      </c>
      <c r="I996">
        <v>15</v>
      </c>
      <c r="J996">
        <v>92</v>
      </c>
      <c r="K996">
        <v>30</v>
      </c>
    </row>
    <row r="997" spans="1:11" x14ac:dyDescent="0.3">
      <c r="A997" t="s">
        <v>11</v>
      </c>
      <c r="B997" t="s">
        <v>27</v>
      </c>
      <c r="C997" t="s">
        <v>151</v>
      </c>
      <c r="D997" t="s">
        <v>502</v>
      </c>
      <c r="E997" s="5">
        <v>45812.958333333343</v>
      </c>
      <c r="F997">
        <v>20.240790000000001</v>
      </c>
      <c r="G997">
        <v>85.836783999999994</v>
      </c>
      <c r="H997" t="s">
        <v>774</v>
      </c>
      <c r="I997">
        <v>1</v>
      </c>
      <c r="J997">
        <v>12</v>
      </c>
      <c r="K997">
        <v>6</v>
      </c>
    </row>
    <row r="998" spans="1:11" x14ac:dyDescent="0.3">
      <c r="A998" t="s">
        <v>11</v>
      </c>
      <c r="B998" t="s">
        <v>27</v>
      </c>
      <c r="C998" t="s">
        <v>151</v>
      </c>
      <c r="D998" t="s">
        <v>503</v>
      </c>
      <c r="E998" s="5">
        <v>45812.958333333343</v>
      </c>
      <c r="F998">
        <v>20.346520000000002</v>
      </c>
      <c r="G998">
        <v>85.816299999999998</v>
      </c>
      <c r="H998" t="s">
        <v>775</v>
      </c>
      <c r="I998">
        <v>12</v>
      </c>
      <c r="J998">
        <v>326</v>
      </c>
      <c r="K998">
        <v>74</v>
      </c>
    </row>
    <row r="999" spans="1:11" x14ac:dyDescent="0.3">
      <c r="A999" t="s">
        <v>11</v>
      </c>
      <c r="B999" t="s">
        <v>27</v>
      </c>
      <c r="C999" t="s">
        <v>151</v>
      </c>
      <c r="D999" t="s">
        <v>503</v>
      </c>
      <c r="E999" s="5">
        <v>45812.958333333343</v>
      </c>
      <c r="F999">
        <v>20.346520000000002</v>
      </c>
      <c r="G999">
        <v>85.816299999999998</v>
      </c>
      <c r="H999" t="s">
        <v>773</v>
      </c>
      <c r="I999">
        <v>2</v>
      </c>
      <c r="J999">
        <v>2</v>
      </c>
      <c r="K999">
        <v>2</v>
      </c>
    </row>
    <row r="1000" spans="1:11" x14ac:dyDescent="0.3">
      <c r="A1000" t="s">
        <v>11</v>
      </c>
      <c r="B1000" t="s">
        <v>27</v>
      </c>
      <c r="C1000" t="s">
        <v>151</v>
      </c>
      <c r="D1000" t="s">
        <v>503</v>
      </c>
      <c r="E1000" s="5">
        <v>45812.958333333343</v>
      </c>
      <c r="F1000">
        <v>20.346520000000002</v>
      </c>
      <c r="G1000">
        <v>85.816299999999998</v>
      </c>
      <c r="H1000" t="s">
        <v>774</v>
      </c>
      <c r="I1000">
        <v>3</v>
      </c>
      <c r="J1000">
        <v>13</v>
      </c>
      <c r="K1000">
        <v>7</v>
      </c>
    </row>
    <row r="1001" spans="1:11" x14ac:dyDescent="0.3">
      <c r="A1001" t="s">
        <v>11</v>
      </c>
      <c r="B1001" t="s">
        <v>27</v>
      </c>
      <c r="C1001" t="s">
        <v>152</v>
      </c>
      <c r="D1001" t="s">
        <v>504</v>
      </c>
      <c r="E1001" s="5">
        <v>45812.958333333343</v>
      </c>
      <c r="F1001">
        <v>22.061567029999999</v>
      </c>
      <c r="G1001">
        <v>85.474096130000007</v>
      </c>
      <c r="H1001" t="s">
        <v>774</v>
      </c>
      <c r="I1001">
        <v>6</v>
      </c>
      <c r="J1001">
        <v>19</v>
      </c>
      <c r="K1001">
        <v>9</v>
      </c>
    </row>
    <row r="1002" spans="1:11" x14ac:dyDescent="0.3">
      <c r="A1002" t="s">
        <v>11</v>
      </c>
      <c r="B1002" t="s">
        <v>41</v>
      </c>
      <c r="C1002" t="s">
        <v>273</v>
      </c>
      <c r="D1002" t="s">
        <v>716</v>
      </c>
      <c r="E1002" s="5">
        <v>45812.958333333343</v>
      </c>
      <c r="F1002">
        <v>25.580341900000001</v>
      </c>
      <c r="G1002">
        <v>91.894257100000004</v>
      </c>
      <c r="H1002" t="s">
        <v>775</v>
      </c>
      <c r="I1002">
        <v>69</v>
      </c>
      <c r="J1002">
        <v>310</v>
      </c>
      <c r="K1002">
        <v>186</v>
      </c>
    </row>
    <row r="1003" spans="1:11" x14ac:dyDescent="0.3">
      <c r="A1003" t="s">
        <v>11</v>
      </c>
      <c r="B1003" t="s">
        <v>41</v>
      </c>
      <c r="C1003" t="s">
        <v>273</v>
      </c>
      <c r="D1003" t="s">
        <v>716</v>
      </c>
      <c r="E1003" s="5">
        <v>45812.958333333343</v>
      </c>
      <c r="F1003">
        <v>25.580341900000001</v>
      </c>
      <c r="G1003">
        <v>91.894257100000004</v>
      </c>
      <c r="H1003" t="s">
        <v>772</v>
      </c>
      <c r="I1003">
        <v>14</v>
      </c>
      <c r="J1003">
        <v>58</v>
      </c>
      <c r="K1003">
        <v>31</v>
      </c>
    </row>
    <row r="1004" spans="1:11" x14ac:dyDescent="0.3">
      <c r="A1004" t="s">
        <v>11</v>
      </c>
      <c r="B1004" t="s">
        <v>41</v>
      </c>
      <c r="C1004" t="s">
        <v>273</v>
      </c>
      <c r="D1004" t="s">
        <v>717</v>
      </c>
      <c r="E1004" s="5">
        <v>45812.958333333343</v>
      </c>
      <c r="F1004">
        <v>25.558599999999998</v>
      </c>
      <c r="G1004">
        <v>91.898499999999999</v>
      </c>
      <c r="H1004" t="s">
        <v>774</v>
      </c>
      <c r="I1004">
        <v>6</v>
      </c>
      <c r="J1004">
        <v>11</v>
      </c>
      <c r="K1004">
        <v>8</v>
      </c>
    </row>
    <row r="1005" spans="1:11" x14ac:dyDescent="0.3">
      <c r="A1005" t="s">
        <v>11</v>
      </c>
      <c r="B1005" t="s">
        <v>29</v>
      </c>
      <c r="C1005" t="s">
        <v>159</v>
      </c>
      <c r="D1005" t="s">
        <v>513</v>
      </c>
      <c r="E1005" s="5">
        <v>45812.958333333343</v>
      </c>
      <c r="F1005">
        <v>23.717634199999999</v>
      </c>
      <c r="G1005">
        <v>92.719284099999996</v>
      </c>
      <c r="H1005" t="s">
        <v>773</v>
      </c>
      <c r="I1005">
        <v>1</v>
      </c>
      <c r="J1005">
        <v>2</v>
      </c>
      <c r="K1005">
        <v>1</v>
      </c>
    </row>
    <row r="1006" spans="1:11" x14ac:dyDescent="0.3">
      <c r="A1006" t="s">
        <v>11</v>
      </c>
      <c r="B1006" t="s">
        <v>30</v>
      </c>
      <c r="C1006" t="s">
        <v>169</v>
      </c>
      <c r="D1006" t="s">
        <v>525</v>
      </c>
      <c r="E1006" s="5">
        <v>45812.958333333343</v>
      </c>
      <c r="F1006">
        <v>30.736056000000001</v>
      </c>
      <c r="G1006">
        <v>76.209693999999999</v>
      </c>
      <c r="H1006" t="s">
        <v>773</v>
      </c>
      <c r="I1006">
        <v>7</v>
      </c>
      <c r="J1006">
        <v>8</v>
      </c>
      <c r="K1006">
        <v>7</v>
      </c>
    </row>
    <row r="1007" spans="1:11" x14ac:dyDescent="0.3">
      <c r="A1007" t="s">
        <v>11</v>
      </c>
      <c r="B1007" t="s">
        <v>30</v>
      </c>
      <c r="C1007" t="s">
        <v>160</v>
      </c>
      <c r="D1007" t="s">
        <v>514</v>
      </c>
      <c r="E1007" s="5">
        <v>45812.958333333343</v>
      </c>
      <c r="F1007">
        <v>30.902799999999999</v>
      </c>
      <c r="G1007">
        <v>75.808599999999998</v>
      </c>
      <c r="H1007" t="s">
        <v>775</v>
      </c>
      <c r="I1007">
        <v>88</v>
      </c>
      <c r="J1007">
        <v>181</v>
      </c>
      <c r="K1007">
        <v>101</v>
      </c>
    </row>
    <row r="1008" spans="1:11" x14ac:dyDescent="0.3">
      <c r="A1008" t="s">
        <v>11</v>
      </c>
      <c r="B1008" t="s">
        <v>30</v>
      </c>
      <c r="C1008" t="s">
        <v>160</v>
      </c>
      <c r="D1008" t="s">
        <v>514</v>
      </c>
      <c r="E1008" s="5">
        <v>45812.958333333343</v>
      </c>
      <c r="F1008">
        <v>30.902799999999999</v>
      </c>
      <c r="G1008">
        <v>75.808599999999998</v>
      </c>
      <c r="H1008" t="s">
        <v>771</v>
      </c>
      <c r="I1008">
        <v>103</v>
      </c>
      <c r="J1008">
        <v>146</v>
      </c>
      <c r="K1008">
        <v>111</v>
      </c>
    </row>
    <row r="1009" spans="1:11" x14ac:dyDescent="0.3">
      <c r="A1009" t="s">
        <v>11</v>
      </c>
      <c r="B1009" t="s">
        <v>31</v>
      </c>
      <c r="C1009" t="s">
        <v>165</v>
      </c>
      <c r="D1009" t="s">
        <v>519</v>
      </c>
      <c r="E1009" s="5">
        <v>45812.958333333343</v>
      </c>
      <c r="F1009">
        <v>27.554793</v>
      </c>
      <c r="G1009">
        <v>76.611536000000001</v>
      </c>
      <c r="H1009" t="s">
        <v>774</v>
      </c>
      <c r="I1009">
        <v>3</v>
      </c>
      <c r="J1009">
        <v>27</v>
      </c>
      <c r="K1009">
        <v>14</v>
      </c>
    </row>
    <row r="1010" spans="1:11" x14ac:dyDescent="0.3">
      <c r="A1010" t="s">
        <v>11</v>
      </c>
      <c r="B1010" t="s">
        <v>31</v>
      </c>
      <c r="C1010" t="s">
        <v>174</v>
      </c>
      <c r="D1010" t="s">
        <v>530</v>
      </c>
      <c r="E1010" s="5">
        <v>45812.958333333343</v>
      </c>
      <c r="F1010">
        <v>23.55519</v>
      </c>
      <c r="G1010">
        <v>74.440010000000001</v>
      </c>
      <c r="H1010" t="s">
        <v>776</v>
      </c>
      <c r="I1010">
        <v>14</v>
      </c>
      <c r="J1010">
        <v>36</v>
      </c>
      <c r="K1010">
        <v>22</v>
      </c>
    </row>
    <row r="1011" spans="1:11" x14ac:dyDescent="0.3">
      <c r="A1011" t="s">
        <v>11</v>
      </c>
      <c r="B1011" t="s">
        <v>31</v>
      </c>
      <c r="C1011" t="s">
        <v>174</v>
      </c>
      <c r="D1011" t="s">
        <v>530</v>
      </c>
      <c r="E1011" s="5">
        <v>45812.958333333343</v>
      </c>
      <c r="F1011">
        <v>23.55519</v>
      </c>
      <c r="G1011">
        <v>74.440010000000001</v>
      </c>
      <c r="H1011" t="s">
        <v>770</v>
      </c>
      <c r="I1011">
        <v>48</v>
      </c>
      <c r="J1011">
        <v>116</v>
      </c>
      <c r="K1011">
        <v>85</v>
      </c>
    </row>
    <row r="1012" spans="1:11" x14ac:dyDescent="0.3">
      <c r="A1012" t="s">
        <v>11</v>
      </c>
      <c r="B1012" t="s">
        <v>30</v>
      </c>
      <c r="C1012" t="s">
        <v>162</v>
      </c>
      <c r="D1012" t="s">
        <v>516</v>
      </c>
      <c r="E1012" s="5">
        <v>45812.958333333343</v>
      </c>
      <c r="F1012">
        <v>30.349388000000001</v>
      </c>
      <c r="G1012">
        <v>76.366641999999999</v>
      </c>
      <c r="H1012" t="s">
        <v>773</v>
      </c>
      <c r="I1012">
        <v>1</v>
      </c>
      <c r="J1012">
        <v>4</v>
      </c>
      <c r="K1012">
        <v>4</v>
      </c>
    </row>
    <row r="1013" spans="1:11" x14ac:dyDescent="0.3">
      <c r="A1013" t="s">
        <v>11</v>
      </c>
      <c r="B1013" t="s">
        <v>30</v>
      </c>
      <c r="C1013" t="s">
        <v>163</v>
      </c>
      <c r="D1013" t="s">
        <v>517</v>
      </c>
      <c r="E1013" s="5">
        <v>45812.958333333343</v>
      </c>
      <c r="F1013">
        <v>31.0325454</v>
      </c>
      <c r="G1013">
        <v>76.562304600000004</v>
      </c>
      <c r="H1013" t="s">
        <v>774</v>
      </c>
      <c r="I1013">
        <v>5</v>
      </c>
      <c r="J1013">
        <v>8</v>
      </c>
      <c r="K1013">
        <v>7</v>
      </c>
    </row>
    <row r="1014" spans="1:11" x14ac:dyDescent="0.3">
      <c r="A1014" t="s">
        <v>11</v>
      </c>
      <c r="B1014" t="s">
        <v>27</v>
      </c>
      <c r="C1014" t="s">
        <v>147</v>
      </c>
      <c r="D1014" t="s">
        <v>498</v>
      </c>
      <c r="E1014" s="5">
        <v>45812.958333333343</v>
      </c>
      <c r="F1014">
        <v>22.18972222</v>
      </c>
      <c r="G1014">
        <v>84.862777780000002</v>
      </c>
      <c r="H1014" t="s">
        <v>775</v>
      </c>
    </row>
    <row r="1015" spans="1:11" x14ac:dyDescent="0.3">
      <c r="A1015" t="s">
        <v>11</v>
      </c>
      <c r="B1015" t="s">
        <v>31</v>
      </c>
      <c r="C1015" t="s">
        <v>190</v>
      </c>
      <c r="D1015" t="s">
        <v>551</v>
      </c>
      <c r="E1015" s="5">
        <v>45812.958333333343</v>
      </c>
      <c r="F1015">
        <v>23.837789000000001</v>
      </c>
      <c r="G1015">
        <v>73.714926000000006</v>
      </c>
      <c r="H1015" t="s">
        <v>774</v>
      </c>
      <c r="I1015">
        <v>2</v>
      </c>
      <c r="J1015">
        <v>8</v>
      </c>
      <c r="K1015">
        <v>5</v>
      </c>
    </row>
    <row r="1016" spans="1:11" x14ac:dyDescent="0.3">
      <c r="A1016" t="s">
        <v>11</v>
      </c>
      <c r="B1016" t="s">
        <v>31</v>
      </c>
      <c r="C1016" t="s">
        <v>190</v>
      </c>
      <c r="D1016" t="s">
        <v>551</v>
      </c>
      <c r="E1016" s="5">
        <v>45812.958333333343</v>
      </c>
      <c r="F1016">
        <v>23.837789000000001</v>
      </c>
      <c r="G1016">
        <v>73.714926000000006</v>
      </c>
      <c r="H1016" t="s">
        <v>776</v>
      </c>
      <c r="I1016">
        <v>11</v>
      </c>
      <c r="J1016">
        <v>32</v>
      </c>
      <c r="K1016">
        <v>15</v>
      </c>
    </row>
    <row r="1017" spans="1:11" x14ac:dyDescent="0.3">
      <c r="A1017" t="s">
        <v>11</v>
      </c>
      <c r="B1017" t="s">
        <v>31</v>
      </c>
      <c r="C1017" t="s">
        <v>191</v>
      </c>
      <c r="D1017" t="s">
        <v>552</v>
      </c>
      <c r="E1017" s="5">
        <v>45812.958333333343</v>
      </c>
      <c r="F1017">
        <v>29.610749999999999</v>
      </c>
      <c r="G1017">
        <v>74.283608000000001</v>
      </c>
      <c r="H1017" t="s">
        <v>772</v>
      </c>
      <c r="I1017">
        <v>12</v>
      </c>
      <c r="J1017">
        <v>73</v>
      </c>
      <c r="K1017">
        <v>32</v>
      </c>
    </row>
    <row r="1018" spans="1:11" x14ac:dyDescent="0.3">
      <c r="A1018" t="s">
        <v>11</v>
      </c>
      <c r="B1018" t="s">
        <v>31</v>
      </c>
      <c r="C1018" t="s">
        <v>191</v>
      </c>
      <c r="D1018" t="s">
        <v>552</v>
      </c>
      <c r="E1018" s="5">
        <v>45812.958333333343</v>
      </c>
      <c r="F1018">
        <v>29.610749999999999</v>
      </c>
      <c r="G1018">
        <v>74.283608000000001</v>
      </c>
      <c r="H1018" t="s">
        <v>774</v>
      </c>
      <c r="I1018">
        <v>7</v>
      </c>
      <c r="J1018">
        <v>29</v>
      </c>
      <c r="K1018">
        <v>13</v>
      </c>
    </row>
    <row r="1019" spans="1:11" x14ac:dyDescent="0.3">
      <c r="A1019" t="s">
        <v>11</v>
      </c>
      <c r="B1019" t="s">
        <v>31</v>
      </c>
      <c r="C1019" t="s">
        <v>179</v>
      </c>
      <c r="D1019" t="s">
        <v>718</v>
      </c>
      <c r="E1019" s="5">
        <v>45812.958333333343</v>
      </c>
      <c r="F1019">
        <v>26.843698</v>
      </c>
      <c r="G1019">
        <v>75.766893999999994</v>
      </c>
      <c r="H1019" t="s">
        <v>772</v>
      </c>
      <c r="I1019">
        <v>9</v>
      </c>
      <c r="J1019">
        <v>138</v>
      </c>
      <c r="K1019">
        <v>65</v>
      </c>
    </row>
    <row r="1020" spans="1:11" x14ac:dyDescent="0.3">
      <c r="A1020" t="s">
        <v>11</v>
      </c>
      <c r="B1020" t="s">
        <v>31</v>
      </c>
      <c r="C1020" t="s">
        <v>179</v>
      </c>
      <c r="D1020" t="s">
        <v>718</v>
      </c>
      <c r="E1020" s="5">
        <v>45812.958333333343</v>
      </c>
      <c r="F1020">
        <v>26.843698</v>
      </c>
      <c r="G1020">
        <v>75.766893999999994</v>
      </c>
      <c r="H1020" t="s">
        <v>776</v>
      </c>
      <c r="I1020">
        <v>14</v>
      </c>
      <c r="J1020">
        <v>105</v>
      </c>
      <c r="K1020">
        <v>44</v>
      </c>
    </row>
    <row r="1021" spans="1:11" x14ac:dyDescent="0.3">
      <c r="A1021" t="s">
        <v>11</v>
      </c>
      <c r="B1021" t="s">
        <v>31</v>
      </c>
      <c r="C1021" t="s">
        <v>173</v>
      </c>
      <c r="D1021" t="s">
        <v>529</v>
      </c>
      <c r="E1021" s="5">
        <v>45812.958333333343</v>
      </c>
      <c r="F1021">
        <v>25.339604999999999</v>
      </c>
      <c r="G1021">
        <v>74.618882999999997</v>
      </c>
      <c r="H1021" t="s">
        <v>770</v>
      </c>
      <c r="I1021">
        <v>1</v>
      </c>
      <c r="J1021">
        <v>75</v>
      </c>
      <c r="K1021">
        <v>44</v>
      </c>
    </row>
    <row r="1022" spans="1:11" x14ac:dyDescent="0.3">
      <c r="A1022" t="s">
        <v>11</v>
      </c>
      <c r="B1022" t="s">
        <v>31</v>
      </c>
      <c r="C1022" t="s">
        <v>170</v>
      </c>
      <c r="D1022" t="s">
        <v>719</v>
      </c>
      <c r="E1022" s="5">
        <v>45812.958333333343</v>
      </c>
      <c r="F1022">
        <v>28.194908999999999</v>
      </c>
      <c r="G1022">
        <v>76.862296000000001</v>
      </c>
      <c r="H1022" t="s">
        <v>771</v>
      </c>
    </row>
    <row r="1023" spans="1:11" x14ac:dyDescent="0.3">
      <c r="A1023" t="s">
        <v>11</v>
      </c>
      <c r="B1023" t="s">
        <v>31</v>
      </c>
      <c r="C1023" t="s">
        <v>170</v>
      </c>
      <c r="D1023" t="s">
        <v>719</v>
      </c>
      <c r="E1023" s="5">
        <v>45812.958333333343</v>
      </c>
      <c r="F1023">
        <v>28.194908999999999</v>
      </c>
      <c r="G1023">
        <v>76.862296000000001</v>
      </c>
      <c r="H1023" t="s">
        <v>770</v>
      </c>
      <c r="I1023">
        <v>14</v>
      </c>
      <c r="J1023">
        <v>75</v>
      </c>
      <c r="K1023">
        <v>33</v>
      </c>
    </row>
    <row r="1024" spans="1:11" x14ac:dyDescent="0.3">
      <c r="A1024" t="s">
        <v>11</v>
      </c>
      <c r="B1024" t="s">
        <v>31</v>
      </c>
      <c r="C1024" t="s">
        <v>170</v>
      </c>
      <c r="D1024" t="s">
        <v>526</v>
      </c>
      <c r="E1024" s="5">
        <v>45812.958333333343</v>
      </c>
      <c r="F1024">
        <v>28.207266000000001</v>
      </c>
      <c r="G1024">
        <v>76.829265000000007</v>
      </c>
      <c r="H1024" t="s">
        <v>770</v>
      </c>
      <c r="I1024">
        <v>4</v>
      </c>
      <c r="J1024">
        <v>141</v>
      </c>
      <c r="K1024">
        <v>90</v>
      </c>
    </row>
    <row r="1025" spans="1:11" x14ac:dyDescent="0.3">
      <c r="A1025" t="s">
        <v>11</v>
      </c>
      <c r="B1025" t="s">
        <v>31</v>
      </c>
      <c r="C1025" t="s">
        <v>192</v>
      </c>
      <c r="D1025" t="s">
        <v>553</v>
      </c>
      <c r="E1025" s="5">
        <v>45812.958333333343</v>
      </c>
      <c r="F1025">
        <v>26.895551999999999</v>
      </c>
      <c r="G1025">
        <v>76.334753000000006</v>
      </c>
      <c r="H1025" t="s">
        <v>771</v>
      </c>
      <c r="I1025">
        <v>116</v>
      </c>
      <c r="J1025">
        <v>274</v>
      </c>
      <c r="K1025">
        <v>165</v>
      </c>
    </row>
    <row r="1026" spans="1:11" x14ac:dyDescent="0.3">
      <c r="A1026" t="s">
        <v>11</v>
      </c>
      <c r="B1026" t="s">
        <v>31</v>
      </c>
      <c r="C1026" t="s">
        <v>192</v>
      </c>
      <c r="D1026" t="s">
        <v>553</v>
      </c>
      <c r="E1026" s="5">
        <v>45812.958333333343</v>
      </c>
      <c r="F1026">
        <v>26.895551999999999</v>
      </c>
      <c r="G1026">
        <v>76.334753000000006</v>
      </c>
      <c r="H1026" t="s">
        <v>774</v>
      </c>
      <c r="I1026">
        <v>10</v>
      </c>
      <c r="J1026">
        <v>20</v>
      </c>
      <c r="K1026">
        <v>12</v>
      </c>
    </row>
    <row r="1027" spans="1:11" x14ac:dyDescent="0.3">
      <c r="A1027" t="s">
        <v>11</v>
      </c>
      <c r="B1027" t="s">
        <v>31</v>
      </c>
      <c r="C1027" t="s">
        <v>193</v>
      </c>
      <c r="D1027" t="s">
        <v>554</v>
      </c>
      <c r="E1027" s="5">
        <v>45812.958333333343</v>
      </c>
      <c r="F1027">
        <v>26.699556999999999</v>
      </c>
      <c r="G1027">
        <v>77.898881000000003</v>
      </c>
      <c r="H1027" t="s">
        <v>773</v>
      </c>
      <c r="I1027">
        <v>6</v>
      </c>
      <c r="J1027">
        <v>11</v>
      </c>
      <c r="K1027">
        <v>8</v>
      </c>
    </row>
    <row r="1028" spans="1:11" x14ac:dyDescent="0.3">
      <c r="A1028" t="s">
        <v>11</v>
      </c>
      <c r="B1028" t="s">
        <v>31</v>
      </c>
      <c r="C1028" t="s">
        <v>193</v>
      </c>
      <c r="D1028" t="s">
        <v>554</v>
      </c>
      <c r="E1028" s="5">
        <v>45812.958333333343</v>
      </c>
      <c r="F1028">
        <v>26.699556999999999</v>
      </c>
      <c r="G1028">
        <v>77.898881000000003</v>
      </c>
      <c r="H1028" t="s">
        <v>774</v>
      </c>
      <c r="I1028">
        <v>10</v>
      </c>
      <c r="J1028">
        <v>62</v>
      </c>
      <c r="K1028">
        <v>28</v>
      </c>
    </row>
    <row r="1029" spans="1:11" x14ac:dyDescent="0.3">
      <c r="A1029" t="s">
        <v>11</v>
      </c>
      <c r="B1029" t="s">
        <v>31</v>
      </c>
      <c r="C1029" t="s">
        <v>196</v>
      </c>
      <c r="D1029" t="s">
        <v>557</v>
      </c>
      <c r="E1029" s="5">
        <v>45812.958333333343</v>
      </c>
      <c r="F1029">
        <v>28.296139</v>
      </c>
      <c r="G1029">
        <v>74.961696000000003</v>
      </c>
      <c r="H1029" t="s">
        <v>774</v>
      </c>
      <c r="I1029">
        <v>3</v>
      </c>
      <c r="J1029">
        <v>5</v>
      </c>
      <c r="K1029">
        <v>4</v>
      </c>
    </row>
    <row r="1030" spans="1:11" x14ac:dyDescent="0.3">
      <c r="A1030" t="s">
        <v>11</v>
      </c>
      <c r="B1030" t="s">
        <v>31</v>
      </c>
      <c r="C1030" t="s">
        <v>196</v>
      </c>
      <c r="D1030" t="s">
        <v>557</v>
      </c>
      <c r="E1030" s="5">
        <v>45812.958333333343</v>
      </c>
      <c r="F1030">
        <v>28.296139</v>
      </c>
      <c r="G1030">
        <v>74.961696000000003</v>
      </c>
      <c r="H1030" t="s">
        <v>770</v>
      </c>
      <c r="I1030">
        <v>28</v>
      </c>
      <c r="J1030">
        <v>142</v>
      </c>
      <c r="K1030">
        <v>102</v>
      </c>
    </row>
    <row r="1031" spans="1:11" x14ac:dyDescent="0.3">
      <c r="A1031" t="s">
        <v>11</v>
      </c>
      <c r="B1031" t="s">
        <v>31</v>
      </c>
      <c r="C1031" t="s">
        <v>192</v>
      </c>
      <c r="D1031" t="s">
        <v>553</v>
      </c>
      <c r="E1031" s="5">
        <v>45812.958333333343</v>
      </c>
      <c r="F1031">
        <v>26.895551999999999</v>
      </c>
      <c r="G1031">
        <v>76.334753000000006</v>
      </c>
      <c r="H1031" t="s">
        <v>775</v>
      </c>
      <c r="I1031">
        <v>47</v>
      </c>
      <c r="J1031">
        <v>239</v>
      </c>
      <c r="K1031">
        <v>88</v>
      </c>
    </row>
    <row r="1032" spans="1:11" x14ac:dyDescent="0.3">
      <c r="A1032" t="s">
        <v>11</v>
      </c>
      <c r="B1032" t="s">
        <v>31</v>
      </c>
      <c r="C1032" t="s">
        <v>176</v>
      </c>
      <c r="D1032" t="s">
        <v>532</v>
      </c>
      <c r="E1032" s="5">
        <v>45812.958333333343</v>
      </c>
      <c r="F1032">
        <v>25.747299000000002</v>
      </c>
      <c r="G1032">
        <v>71.393989000000005</v>
      </c>
      <c r="H1032" t="s">
        <v>773</v>
      </c>
      <c r="I1032">
        <v>4</v>
      </c>
      <c r="J1032">
        <v>12</v>
      </c>
      <c r="K1032">
        <v>6</v>
      </c>
    </row>
    <row r="1033" spans="1:11" x14ac:dyDescent="0.3">
      <c r="A1033" t="s">
        <v>11</v>
      </c>
      <c r="B1033" t="s">
        <v>31</v>
      </c>
      <c r="C1033" t="s">
        <v>176</v>
      </c>
      <c r="D1033" t="s">
        <v>532</v>
      </c>
      <c r="E1033" s="5">
        <v>45812.958333333343</v>
      </c>
      <c r="F1033">
        <v>25.747299000000002</v>
      </c>
      <c r="G1033">
        <v>71.393989000000005</v>
      </c>
      <c r="H1033" t="s">
        <v>776</v>
      </c>
      <c r="I1033">
        <v>10</v>
      </c>
      <c r="J1033">
        <v>29</v>
      </c>
      <c r="K1033">
        <v>20</v>
      </c>
    </row>
    <row r="1034" spans="1:11" x14ac:dyDescent="0.3">
      <c r="A1034" t="s">
        <v>11</v>
      </c>
      <c r="B1034" t="s">
        <v>31</v>
      </c>
      <c r="C1034" t="s">
        <v>176</v>
      </c>
      <c r="D1034" t="s">
        <v>532</v>
      </c>
      <c r="E1034" s="5">
        <v>45812.958333333343</v>
      </c>
      <c r="F1034">
        <v>25.747299000000002</v>
      </c>
      <c r="G1034">
        <v>71.393989000000005</v>
      </c>
      <c r="H1034" t="s">
        <v>770</v>
      </c>
      <c r="I1034">
        <v>33</v>
      </c>
      <c r="J1034">
        <v>110</v>
      </c>
      <c r="K1034">
        <v>74</v>
      </c>
    </row>
    <row r="1035" spans="1:11" x14ac:dyDescent="0.3">
      <c r="A1035" t="s">
        <v>11</v>
      </c>
      <c r="B1035" t="s">
        <v>31</v>
      </c>
      <c r="C1035" t="s">
        <v>171</v>
      </c>
      <c r="D1035" t="s">
        <v>527</v>
      </c>
      <c r="E1035" s="5">
        <v>45812.958333333343</v>
      </c>
      <c r="F1035">
        <v>28.018792000000001</v>
      </c>
      <c r="G1035">
        <v>73.292658000000003</v>
      </c>
      <c r="H1035" t="s">
        <v>770</v>
      </c>
      <c r="I1035">
        <v>1</v>
      </c>
      <c r="J1035">
        <v>113</v>
      </c>
      <c r="K1035">
        <v>66</v>
      </c>
    </row>
    <row r="1036" spans="1:11" x14ac:dyDescent="0.3">
      <c r="A1036" t="s">
        <v>11</v>
      </c>
      <c r="B1036" t="s">
        <v>31</v>
      </c>
      <c r="C1036" t="s">
        <v>178</v>
      </c>
      <c r="D1036" t="s">
        <v>534</v>
      </c>
      <c r="E1036" s="5">
        <v>45812.958333333343</v>
      </c>
      <c r="F1036">
        <v>25.435773999999999</v>
      </c>
      <c r="G1036">
        <v>75.644272000000001</v>
      </c>
      <c r="H1036" t="s">
        <v>771</v>
      </c>
      <c r="I1036">
        <v>101</v>
      </c>
      <c r="J1036">
        <v>330</v>
      </c>
      <c r="K1036">
        <v>156</v>
      </c>
    </row>
    <row r="1037" spans="1:11" x14ac:dyDescent="0.3">
      <c r="A1037" t="s">
        <v>11</v>
      </c>
      <c r="B1037" t="s">
        <v>31</v>
      </c>
      <c r="C1037" t="s">
        <v>180</v>
      </c>
      <c r="D1037" t="s">
        <v>539</v>
      </c>
      <c r="E1037" s="5">
        <v>45812.958333333343</v>
      </c>
      <c r="F1037">
        <v>26.912329</v>
      </c>
      <c r="G1037">
        <v>70.909167999999994</v>
      </c>
      <c r="H1037" t="s">
        <v>773</v>
      </c>
      <c r="I1037">
        <v>6</v>
      </c>
      <c r="J1037">
        <v>36</v>
      </c>
      <c r="K1037">
        <v>18</v>
      </c>
    </row>
    <row r="1038" spans="1:11" x14ac:dyDescent="0.3">
      <c r="A1038" t="s">
        <v>11</v>
      </c>
      <c r="B1038" t="s">
        <v>31</v>
      </c>
      <c r="C1038" t="s">
        <v>173</v>
      </c>
      <c r="D1038" t="s">
        <v>529</v>
      </c>
      <c r="E1038" s="5">
        <v>45812.958333333343</v>
      </c>
      <c r="F1038">
        <v>25.339604999999999</v>
      </c>
      <c r="G1038">
        <v>74.618882999999997</v>
      </c>
      <c r="H1038" t="s">
        <v>774</v>
      </c>
      <c r="I1038">
        <v>27</v>
      </c>
      <c r="J1038">
        <v>42</v>
      </c>
      <c r="K1038">
        <v>32</v>
      </c>
    </row>
    <row r="1039" spans="1:11" x14ac:dyDescent="0.3">
      <c r="A1039" t="s">
        <v>11</v>
      </c>
      <c r="B1039" t="s">
        <v>31</v>
      </c>
      <c r="C1039" t="s">
        <v>196</v>
      </c>
      <c r="D1039" t="s">
        <v>557</v>
      </c>
      <c r="E1039" s="5">
        <v>45812.958333333343</v>
      </c>
      <c r="F1039">
        <v>28.296139</v>
      </c>
      <c r="G1039">
        <v>74.961696000000003</v>
      </c>
      <c r="H1039" t="s">
        <v>771</v>
      </c>
      <c r="I1039">
        <v>47</v>
      </c>
      <c r="J1039">
        <v>138</v>
      </c>
      <c r="K1039">
        <v>88</v>
      </c>
    </row>
    <row r="1040" spans="1:11" x14ac:dyDescent="0.3">
      <c r="A1040" t="s">
        <v>11</v>
      </c>
      <c r="B1040" t="s">
        <v>31</v>
      </c>
      <c r="C1040" t="s">
        <v>195</v>
      </c>
      <c r="D1040" t="s">
        <v>556</v>
      </c>
      <c r="E1040" s="5">
        <v>45812.958333333343</v>
      </c>
      <c r="F1040">
        <v>25.196024000000001</v>
      </c>
      <c r="G1040">
        <v>75.855667999999994</v>
      </c>
      <c r="H1040" t="s">
        <v>775</v>
      </c>
      <c r="I1040">
        <v>22</v>
      </c>
      <c r="J1040">
        <v>189</v>
      </c>
      <c r="K1040">
        <v>78</v>
      </c>
    </row>
    <row r="1041" spans="1:11" x14ac:dyDescent="0.3">
      <c r="A1041" t="s">
        <v>11</v>
      </c>
      <c r="B1041" t="s">
        <v>31</v>
      </c>
      <c r="C1041" t="s">
        <v>195</v>
      </c>
      <c r="D1041" t="s">
        <v>556</v>
      </c>
      <c r="E1041" s="5">
        <v>45812.958333333343</v>
      </c>
      <c r="F1041">
        <v>25.196024000000001</v>
      </c>
      <c r="G1041">
        <v>75.855667999999994</v>
      </c>
      <c r="H1041" t="s">
        <v>771</v>
      </c>
      <c r="I1041">
        <v>89</v>
      </c>
      <c r="J1041">
        <v>373</v>
      </c>
      <c r="K1041">
        <v>144</v>
      </c>
    </row>
    <row r="1042" spans="1:11" x14ac:dyDescent="0.3">
      <c r="A1042" t="s">
        <v>11</v>
      </c>
      <c r="B1042" t="s">
        <v>31</v>
      </c>
      <c r="C1042" t="s">
        <v>195</v>
      </c>
      <c r="D1042" t="s">
        <v>556</v>
      </c>
      <c r="E1042" s="5">
        <v>45812.958333333343</v>
      </c>
      <c r="F1042">
        <v>25.196024000000001</v>
      </c>
      <c r="G1042">
        <v>75.855667999999994</v>
      </c>
      <c r="H1042" t="s">
        <v>774</v>
      </c>
      <c r="I1042">
        <v>1</v>
      </c>
      <c r="J1042">
        <v>10</v>
      </c>
      <c r="K1042">
        <v>5</v>
      </c>
    </row>
    <row r="1043" spans="1:11" x14ac:dyDescent="0.3">
      <c r="A1043" t="s">
        <v>11</v>
      </c>
      <c r="B1043" t="s">
        <v>31</v>
      </c>
      <c r="C1043" t="s">
        <v>195</v>
      </c>
      <c r="D1043" t="s">
        <v>556</v>
      </c>
      <c r="E1043" s="5">
        <v>45812.958333333343</v>
      </c>
      <c r="F1043">
        <v>25.196024000000001</v>
      </c>
      <c r="G1043">
        <v>75.855667999999994</v>
      </c>
      <c r="H1043" t="s">
        <v>776</v>
      </c>
      <c r="I1043">
        <v>16</v>
      </c>
      <c r="J1043">
        <v>106</v>
      </c>
      <c r="K1043">
        <v>41</v>
      </c>
    </row>
    <row r="1044" spans="1:11" x14ac:dyDescent="0.3">
      <c r="A1044" t="s">
        <v>11</v>
      </c>
      <c r="B1044" t="s">
        <v>31</v>
      </c>
      <c r="C1044" t="s">
        <v>195</v>
      </c>
      <c r="D1044" t="s">
        <v>556</v>
      </c>
      <c r="E1044" s="5">
        <v>45812.958333333343</v>
      </c>
      <c r="F1044">
        <v>25.196024000000001</v>
      </c>
      <c r="G1044">
        <v>75.855667999999994</v>
      </c>
      <c r="H1044" t="s">
        <v>770</v>
      </c>
      <c r="I1044">
        <v>3</v>
      </c>
      <c r="J1044">
        <v>78</v>
      </c>
      <c r="K1044">
        <v>66</v>
      </c>
    </row>
    <row r="1045" spans="1:11" x14ac:dyDescent="0.3">
      <c r="A1045" t="s">
        <v>11</v>
      </c>
      <c r="B1045" t="s">
        <v>31</v>
      </c>
      <c r="C1045" t="s">
        <v>195</v>
      </c>
      <c r="D1045" t="s">
        <v>720</v>
      </c>
      <c r="E1045" s="5">
        <v>45812.958333333343</v>
      </c>
      <c r="F1045">
        <v>25.143889999999999</v>
      </c>
      <c r="G1045">
        <v>75.821256000000005</v>
      </c>
      <c r="H1045" t="s">
        <v>773</v>
      </c>
      <c r="I1045">
        <v>2</v>
      </c>
      <c r="J1045">
        <v>8</v>
      </c>
      <c r="K1045">
        <v>4</v>
      </c>
    </row>
    <row r="1046" spans="1:11" x14ac:dyDescent="0.3">
      <c r="A1046" t="s">
        <v>11</v>
      </c>
      <c r="B1046" t="s">
        <v>31</v>
      </c>
      <c r="C1046" t="s">
        <v>274</v>
      </c>
      <c r="D1046" t="s">
        <v>721</v>
      </c>
      <c r="E1046" s="5">
        <v>45812.958333333343</v>
      </c>
      <c r="F1046">
        <v>27.213494000000001</v>
      </c>
      <c r="G1046">
        <v>73.734443999999996</v>
      </c>
      <c r="H1046" t="s">
        <v>771</v>
      </c>
      <c r="I1046">
        <v>92</v>
      </c>
      <c r="J1046">
        <v>474</v>
      </c>
      <c r="K1046">
        <v>190</v>
      </c>
    </row>
    <row r="1047" spans="1:11" x14ac:dyDescent="0.3">
      <c r="A1047" t="s">
        <v>11</v>
      </c>
      <c r="B1047" t="s">
        <v>31</v>
      </c>
      <c r="C1047" t="s">
        <v>274</v>
      </c>
      <c r="D1047" t="s">
        <v>721</v>
      </c>
      <c r="E1047" s="5">
        <v>45812.958333333343</v>
      </c>
      <c r="F1047">
        <v>27.213494000000001</v>
      </c>
      <c r="G1047">
        <v>73.734443999999996</v>
      </c>
      <c r="H1047" t="s">
        <v>770</v>
      </c>
      <c r="I1047">
        <v>24</v>
      </c>
      <c r="J1047">
        <v>88</v>
      </c>
      <c r="K1047">
        <v>67</v>
      </c>
    </row>
    <row r="1048" spans="1:11" x14ac:dyDescent="0.3">
      <c r="A1048" t="s">
        <v>11</v>
      </c>
      <c r="B1048" t="s">
        <v>31</v>
      </c>
      <c r="C1048" t="s">
        <v>185</v>
      </c>
      <c r="D1048" t="s">
        <v>546</v>
      </c>
      <c r="E1048" s="5">
        <v>45812.958333333343</v>
      </c>
      <c r="F1048">
        <v>25.771061</v>
      </c>
      <c r="G1048">
        <v>73.340226999999999</v>
      </c>
      <c r="H1048" t="s">
        <v>771</v>
      </c>
      <c r="I1048">
        <v>103</v>
      </c>
      <c r="J1048">
        <v>339</v>
      </c>
      <c r="K1048">
        <v>156</v>
      </c>
    </row>
    <row r="1049" spans="1:11" x14ac:dyDescent="0.3">
      <c r="A1049" t="s">
        <v>11</v>
      </c>
      <c r="B1049" t="s">
        <v>31</v>
      </c>
      <c r="C1049" t="s">
        <v>185</v>
      </c>
      <c r="D1049" t="s">
        <v>546</v>
      </c>
      <c r="E1049" s="5">
        <v>45812.958333333343</v>
      </c>
      <c r="F1049">
        <v>25.771061</v>
      </c>
      <c r="G1049">
        <v>73.340226999999999</v>
      </c>
      <c r="H1049" t="s">
        <v>772</v>
      </c>
      <c r="I1049">
        <v>14</v>
      </c>
      <c r="J1049">
        <v>36</v>
      </c>
      <c r="K1049">
        <v>23</v>
      </c>
    </row>
    <row r="1050" spans="1:11" x14ac:dyDescent="0.3">
      <c r="A1050" t="s">
        <v>11</v>
      </c>
      <c r="B1050" t="s">
        <v>31</v>
      </c>
      <c r="C1050" t="s">
        <v>184</v>
      </c>
      <c r="D1050" t="s">
        <v>544</v>
      </c>
      <c r="E1050" s="5">
        <v>45812.958333333343</v>
      </c>
      <c r="F1050">
        <v>26.215415</v>
      </c>
      <c r="G1050">
        <v>73.070155999999997</v>
      </c>
      <c r="H1050" t="s">
        <v>773</v>
      </c>
      <c r="I1050">
        <v>5</v>
      </c>
      <c r="J1050">
        <v>33</v>
      </c>
      <c r="K1050">
        <v>19</v>
      </c>
    </row>
    <row r="1051" spans="1:11" x14ac:dyDescent="0.3">
      <c r="A1051" t="s">
        <v>11</v>
      </c>
      <c r="B1051" t="s">
        <v>31</v>
      </c>
      <c r="C1051" t="s">
        <v>184</v>
      </c>
      <c r="D1051" t="s">
        <v>544</v>
      </c>
      <c r="E1051" s="5">
        <v>45812.958333333343</v>
      </c>
      <c r="F1051">
        <v>26.215415</v>
      </c>
      <c r="G1051">
        <v>73.070155999999997</v>
      </c>
      <c r="H1051" t="s">
        <v>774</v>
      </c>
      <c r="I1051">
        <v>3</v>
      </c>
      <c r="J1051">
        <v>18</v>
      </c>
      <c r="K1051">
        <v>7</v>
      </c>
    </row>
    <row r="1052" spans="1:11" x14ac:dyDescent="0.3">
      <c r="A1052" t="s">
        <v>11</v>
      </c>
      <c r="B1052" t="s">
        <v>31</v>
      </c>
      <c r="C1052" t="s">
        <v>184</v>
      </c>
      <c r="D1052" t="s">
        <v>544</v>
      </c>
      <c r="E1052" s="5">
        <v>45812.958333333343</v>
      </c>
      <c r="F1052">
        <v>26.215415</v>
      </c>
      <c r="G1052">
        <v>73.070155999999997</v>
      </c>
      <c r="H1052" t="s">
        <v>770</v>
      </c>
      <c r="I1052">
        <v>10</v>
      </c>
      <c r="J1052">
        <v>62</v>
      </c>
      <c r="K1052">
        <v>43</v>
      </c>
    </row>
    <row r="1053" spans="1:11" x14ac:dyDescent="0.3">
      <c r="A1053" t="s">
        <v>11</v>
      </c>
      <c r="B1053" t="s">
        <v>31</v>
      </c>
      <c r="C1053" t="s">
        <v>184</v>
      </c>
      <c r="D1053" t="s">
        <v>545</v>
      </c>
      <c r="E1053" s="5">
        <v>45812.958333333343</v>
      </c>
      <c r="F1053">
        <v>26.358805</v>
      </c>
      <c r="G1053">
        <v>73.047443999999999</v>
      </c>
      <c r="H1053" t="s">
        <v>773</v>
      </c>
      <c r="I1053">
        <v>4</v>
      </c>
      <c r="J1053">
        <v>8</v>
      </c>
      <c r="K1053">
        <v>6</v>
      </c>
    </row>
    <row r="1054" spans="1:11" x14ac:dyDescent="0.3">
      <c r="A1054" t="s">
        <v>11</v>
      </c>
      <c r="B1054" t="s">
        <v>31</v>
      </c>
      <c r="C1054" t="s">
        <v>184</v>
      </c>
      <c r="D1054" t="s">
        <v>722</v>
      </c>
      <c r="E1054" s="5">
        <v>45812.958333333343</v>
      </c>
      <c r="F1054">
        <v>26.253384</v>
      </c>
      <c r="G1054">
        <v>72.976571000000007</v>
      </c>
      <c r="H1054" t="s">
        <v>774</v>
      </c>
      <c r="I1054">
        <v>4</v>
      </c>
      <c r="J1054">
        <v>37</v>
      </c>
      <c r="K1054">
        <v>10</v>
      </c>
    </row>
    <row r="1055" spans="1:11" x14ac:dyDescent="0.3">
      <c r="A1055" t="s">
        <v>11</v>
      </c>
      <c r="B1055" t="s">
        <v>31</v>
      </c>
      <c r="C1055" t="s">
        <v>194</v>
      </c>
      <c r="D1055" t="s">
        <v>555</v>
      </c>
      <c r="E1055" s="5">
        <v>45812.958333333343</v>
      </c>
      <c r="F1055">
        <v>26.506177000000001</v>
      </c>
      <c r="G1055">
        <v>77.025988999999996</v>
      </c>
      <c r="H1055" t="s">
        <v>776</v>
      </c>
      <c r="I1055">
        <v>16</v>
      </c>
      <c r="J1055">
        <v>75</v>
      </c>
      <c r="K1055">
        <v>31</v>
      </c>
    </row>
    <row r="1056" spans="1:11" x14ac:dyDescent="0.3">
      <c r="A1056" t="s">
        <v>11</v>
      </c>
      <c r="B1056" t="s">
        <v>31</v>
      </c>
      <c r="C1056" t="s">
        <v>194</v>
      </c>
      <c r="D1056" t="s">
        <v>555</v>
      </c>
      <c r="E1056" s="5">
        <v>45812.958333333343</v>
      </c>
      <c r="F1056">
        <v>26.506177000000001</v>
      </c>
      <c r="G1056">
        <v>77.025988999999996</v>
      </c>
      <c r="H1056" t="s">
        <v>770</v>
      </c>
      <c r="I1056">
        <v>3</v>
      </c>
      <c r="J1056">
        <v>152</v>
      </c>
      <c r="K1056">
        <v>102</v>
      </c>
    </row>
    <row r="1057" spans="1:11" x14ac:dyDescent="0.3">
      <c r="A1057" t="s">
        <v>11</v>
      </c>
      <c r="B1057" t="s">
        <v>31</v>
      </c>
      <c r="C1057" t="s">
        <v>195</v>
      </c>
      <c r="D1057" t="s">
        <v>723</v>
      </c>
      <c r="E1057" s="5">
        <v>45812.958333333343</v>
      </c>
      <c r="F1057">
        <v>25.164090000000002</v>
      </c>
      <c r="G1057">
        <v>75.858136999999999</v>
      </c>
      <c r="H1057" t="s">
        <v>775</v>
      </c>
      <c r="I1057">
        <v>14</v>
      </c>
      <c r="J1057">
        <v>136</v>
      </c>
      <c r="K1057">
        <v>47</v>
      </c>
    </row>
    <row r="1058" spans="1:11" x14ac:dyDescent="0.3">
      <c r="A1058" t="s">
        <v>11</v>
      </c>
      <c r="B1058" t="s">
        <v>31</v>
      </c>
      <c r="C1058" t="s">
        <v>195</v>
      </c>
      <c r="D1058" t="s">
        <v>723</v>
      </c>
      <c r="E1058" s="5">
        <v>45812.958333333343</v>
      </c>
      <c r="F1058">
        <v>25.164090000000002</v>
      </c>
      <c r="G1058">
        <v>75.858136999999999</v>
      </c>
      <c r="H1058" t="s">
        <v>776</v>
      </c>
      <c r="I1058">
        <v>12</v>
      </c>
      <c r="J1058">
        <v>109</v>
      </c>
      <c r="K1058">
        <v>40</v>
      </c>
    </row>
    <row r="1059" spans="1:11" x14ac:dyDescent="0.3">
      <c r="A1059" t="s">
        <v>11</v>
      </c>
      <c r="B1059" t="s">
        <v>31</v>
      </c>
      <c r="C1059" t="s">
        <v>189</v>
      </c>
      <c r="D1059" t="s">
        <v>550</v>
      </c>
      <c r="E1059" s="5">
        <v>45812.958333333343</v>
      </c>
      <c r="F1059">
        <v>27.608912</v>
      </c>
      <c r="G1059">
        <v>75.153301999999996</v>
      </c>
      <c r="H1059" t="s">
        <v>773</v>
      </c>
      <c r="I1059">
        <v>5</v>
      </c>
      <c r="J1059">
        <v>13</v>
      </c>
      <c r="K1059">
        <v>9</v>
      </c>
    </row>
    <row r="1060" spans="1:11" x14ac:dyDescent="0.3">
      <c r="A1060" t="s">
        <v>11</v>
      </c>
      <c r="B1060" t="s">
        <v>31</v>
      </c>
      <c r="C1060" t="s">
        <v>275</v>
      </c>
      <c r="D1060" t="s">
        <v>724</v>
      </c>
      <c r="E1060" s="5">
        <v>45812.958333333343</v>
      </c>
      <c r="F1060">
        <v>24.885261</v>
      </c>
      <c r="G1060">
        <v>72.857549000000006</v>
      </c>
      <c r="H1060" t="s">
        <v>771</v>
      </c>
      <c r="I1060">
        <v>38</v>
      </c>
      <c r="J1060">
        <v>260</v>
      </c>
      <c r="K1060">
        <v>85</v>
      </c>
    </row>
    <row r="1061" spans="1:11" x14ac:dyDescent="0.3">
      <c r="A1061" t="s">
        <v>11</v>
      </c>
      <c r="B1061" t="s">
        <v>31</v>
      </c>
      <c r="C1061" t="s">
        <v>275</v>
      </c>
      <c r="D1061" t="s">
        <v>724</v>
      </c>
      <c r="E1061" s="5">
        <v>45812.958333333343</v>
      </c>
      <c r="F1061">
        <v>24.885261</v>
      </c>
      <c r="G1061">
        <v>72.857549000000006</v>
      </c>
      <c r="H1061" t="s">
        <v>772</v>
      </c>
      <c r="I1061">
        <v>6</v>
      </c>
      <c r="J1061">
        <v>72</v>
      </c>
      <c r="K1061">
        <v>20</v>
      </c>
    </row>
    <row r="1062" spans="1:11" x14ac:dyDescent="0.3">
      <c r="A1062" t="s">
        <v>11</v>
      </c>
      <c r="B1062" t="s">
        <v>31</v>
      </c>
      <c r="C1062" t="s">
        <v>275</v>
      </c>
      <c r="D1062" t="s">
        <v>724</v>
      </c>
      <c r="E1062" s="5">
        <v>45812.958333333343</v>
      </c>
      <c r="F1062">
        <v>24.885261</v>
      </c>
      <c r="G1062">
        <v>72.857549000000006</v>
      </c>
      <c r="H1062" t="s">
        <v>774</v>
      </c>
      <c r="I1062">
        <v>3</v>
      </c>
      <c r="J1062">
        <v>7</v>
      </c>
      <c r="K1062">
        <v>5</v>
      </c>
    </row>
    <row r="1063" spans="1:11" x14ac:dyDescent="0.3">
      <c r="A1063" t="s">
        <v>11</v>
      </c>
      <c r="B1063" t="s">
        <v>31</v>
      </c>
      <c r="C1063" t="s">
        <v>275</v>
      </c>
      <c r="D1063" t="s">
        <v>724</v>
      </c>
      <c r="E1063" s="5">
        <v>45812.958333333343</v>
      </c>
      <c r="F1063">
        <v>24.885261</v>
      </c>
      <c r="G1063">
        <v>72.857549000000006</v>
      </c>
      <c r="H1063" t="s">
        <v>770</v>
      </c>
      <c r="I1063">
        <v>26</v>
      </c>
      <c r="J1063">
        <v>63</v>
      </c>
      <c r="K1063">
        <v>52</v>
      </c>
    </row>
    <row r="1064" spans="1:11" x14ac:dyDescent="0.3">
      <c r="A1064" t="s">
        <v>11</v>
      </c>
      <c r="B1064" t="s">
        <v>31</v>
      </c>
      <c r="C1064" t="s">
        <v>206</v>
      </c>
      <c r="D1064" t="s">
        <v>570</v>
      </c>
      <c r="E1064" s="5">
        <v>45812.958333333343</v>
      </c>
      <c r="F1064">
        <v>29.931623999999999</v>
      </c>
      <c r="G1064">
        <v>73.864510999999993</v>
      </c>
      <c r="H1064" t="s">
        <v>775</v>
      </c>
      <c r="I1064">
        <v>32</v>
      </c>
      <c r="J1064">
        <v>422</v>
      </c>
      <c r="K1064">
        <v>139</v>
      </c>
    </row>
    <row r="1065" spans="1:11" x14ac:dyDescent="0.3">
      <c r="A1065" t="s">
        <v>11</v>
      </c>
      <c r="B1065" t="s">
        <v>31</v>
      </c>
      <c r="C1065" t="s">
        <v>206</v>
      </c>
      <c r="D1065" t="s">
        <v>570</v>
      </c>
      <c r="E1065" s="5">
        <v>45812.958333333343</v>
      </c>
      <c r="F1065">
        <v>29.931623999999999</v>
      </c>
      <c r="G1065">
        <v>73.864510999999993</v>
      </c>
      <c r="H1065" t="s">
        <v>774</v>
      </c>
      <c r="I1065">
        <v>7</v>
      </c>
      <c r="J1065">
        <v>82</v>
      </c>
      <c r="K1065">
        <v>22</v>
      </c>
    </row>
    <row r="1066" spans="1:11" x14ac:dyDescent="0.3">
      <c r="A1066" t="s">
        <v>11</v>
      </c>
      <c r="B1066" t="s">
        <v>31</v>
      </c>
      <c r="C1066" t="s">
        <v>206</v>
      </c>
      <c r="D1066" t="s">
        <v>570</v>
      </c>
      <c r="E1066" s="5">
        <v>45812.958333333343</v>
      </c>
      <c r="F1066">
        <v>29.931623999999999</v>
      </c>
      <c r="G1066">
        <v>73.864510999999993</v>
      </c>
      <c r="H1066" t="s">
        <v>776</v>
      </c>
      <c r="I1066">
        <v>30</v>
      </c>
      <c r="J1066">
        <v>100</v>
      </c>
      <c r="K1066">
        <v>42</v>
      </c>
    </row>
    <row r="1067" spans="1:11" x14ac:dyDescent="0.3">
      <c r="A1067" t="s">
        <v>11</v>
      </c>
      <c r="B1067" t="s">
        <v>31</v>
      </c>
      <c r="C1067" t="s">
        <v>207</v>
      </c>
      <c r="D1067" t="s">
        <v>571</v>
      </c>
      <c r="E1067" s="5">
        <v>45812.958333333343</v>
      </c>
      <c r="F1067">
        <v>26.159932999999999</v>
      </c>
      <c r="G1067">
        <v>75.780517000000003</v>
      </c>
      <c r="H1067" t="s">
        <v>773</v>
      </c>
      <c r="I1067">
        <v>5</v>
      </c>
      <c r="J1067">
        <v>10</v>
      </c>
      <c r="K1067">
        <v>7</v>
      </c>
    </row>
    <row r="1068" spans="1:11" x14ac:dyDescent="0.3">
      <c r="A1068" t="s">
        <v>11</v>
      </c>
      <c r="B1068" t="s">
        <v>31</v>
      </c>
      <c r="C1068" t="s">
        <v>207</v>
      </c>
      <c r="D1068" t="s">
        <v>571</v>
      </c>
      <c r="E1068" s="5">
        <v>45812.958333333343</v>
      </c>
      <c r="F1068">
        <v>26.159932999999999</v>
      </c>
      <c r="G1068">
        <v>75.780517000000003</v>
      </c>
      <c r="H1068" t="s">
        <v>774</v>
      </c>
      <c r="I1068">
        <v>5</v>
      </c>
      <c r="J1068">
        <v>14</v>
      </c>
      <c r="K1068">
        <v>8</v>
      </c>
    </row>
    <row r="1069" spans="1:11" x14ac:dyDescent="0.3">
      <c r="A1069" t="s">
        <v>11</v>
      </c>
      <c r="B1069" t="s">
        <v>31</v>
      </c>
      <c r="C1069" t="s">
        <v>276</v>
      </c>
      <c r="D1069" t="s">
        <v>725</v>
      </c>
      <c r="E1069" s="5">
        <v>45812.958333333343</v>
      </c>
      <c r="F1069">
        <v>24.588616600000002</v>
      </c>
      <c r="G1069">
        <v>73.632139699999996</v>
      </c>
      <c r="H1069" t="s">
        <v>772</v>
      </c>
      <c r="I1069">
        <v>31</v>
      </c>
      <c r="J1069">
        <v>37</v>
      </c>
      <c r="K1069">
        <v>34</v>
      </c>
    </row>
    <row r="1070" spans="1:11" x14ac:dyDescent="0.3">
      <c r="A1070" t="s">
        <v>11</v>
      </c>
      <c r="B1070" t="s">
        <v>31</v>
      </c>
      <c r="C1070" t="s">
        <v>182</v>
      </c>
      <c r="D1070" t="s">
        <v>541</v>
      </c>
      <c r="E1070" s="5">
        <v>45812.958333333343</v>
      </c>
      <c r="F1070">
        <v>24.588397000000001</v>
      </c>
      <c r="G1070">
        <v>76.172781999999998</v>
      </c>
      <c r="H1070" t="s">
        <v>775</v>
      </c>
      <c r="I1070">
        <v>33</v>
      </c>
      <c r="J1070">
        <v>301</v>
      </c>
      <c r="K1070">
        <v>102</v>
      </c>
    </row>
    <row r="1071" spans="1:11" x14ac:dyDescent="0.3">
      <c r="A1071" t="s">
        <v>11</v>
      </c>
      <c r="B1071" t="s">
        <v>31</v>
      </c>
      <c r="C1071" t="s">
        <v>182</v>
      </c>
      <c r="D1071" t="s">
        <v>541</v>
      </c>
      <c r="E1071" s="5">
        <v>45812.958333333343</v>
      </c>
      <c r="F1071">
        <v>24.588397000000001</v>
      </c>
      <c r="G1071">
        <v>76.172781999999998</v>
      </c>
      <c r="H1071" t="s">
        <v>772</v>
      </c>
      <c r="I1071">
        <v>17</v>
      </c>
      <c r="J1071">
        <v>108</v>
      </c>
      <c r="K1071">
        <v>51</v>
      </c>
    </row>
    <row r="1072" spans="1:11" x14ac:dyDescent="0.3">
      <c r="A1072" t="s">
        <v>11</v>
      </c>
      <c r="B1072" t="s">
        <v>31</v>
      </c>
      <c r="C1072" t="s">
        <v>184</v>
      </c>
      <c r="D1072" t="s">
        <v>543</v>
      </c>
      <c r="E1072" s="5">
        <v>45812.958333333343</v>
      </c>
      <c r="F1072">
        <v>26.268249000000001</v>
      </c>
      <c r="G1072">
        <v>73.019385299999996</v>
      </c>
      <c r="H1072" t="s">
        <v>775</v>
      </c>
      <c r="I1072">
        <v>10</v>
      </c>
      <c r="J1072">
        <v>290</v>
      </c>
      <c r="K1072">
        <v>110</v>
      </c>
    </row>
    <row r="1073" spans="1:11" x14ac:dyDescent="0.3">
      <c r="A1073" t="s">
        <v>11</v>
      </c>
      <c r="B1073" t="s">
        <v>31</v>
      </c>
      <c r="C1073" t="s">
        <v>184</v>
      </c>
      <c r="D1073" t="s">
        <v>726</v>
      </c>
      <c r="E1073" s="5">
        <v>45812.958333333343</v>
      </c>
      <c r="F1073">
        <v>26.295809999999999</v>
      </c>
      <c r="G1073">
        <v>73.082283000000004</v>
      </c>
      <c r="H1073" t="s">
        <v>772</v>
      </c>
      <c r="I1073">
        <v>4</v>
      </c>
      <c r="J1073">
        <v>98</v>
      </c>
      <c r="K1073">
        <v>43</v>
      </c>
    </row>
    <row r="1074" spans="1:11" x14ac:dyDescent="0.3">
      <c r="A1074" t="s">
        <v>11</v>
      </c>
      <c r="B1074" t="s">
        <v>31</v>
      </c>
      <c r="C1074" t="s">
        <v>184</v>
      </c>
      <c r="D1074" t="s">
        <v>726</v>
      </c>
      <c r="E1074" s="5">
        <v>45812.958333333343</v>
      </c>
      <c r="F1074">
        <v>26.295809999999999</v>
      </c>
      <c r="G1074">
        <v>73.082283000000004</v>
      </c>
      <c r="H1074" t="s">
        <v>776</v>
      </c>
      <c r="I1074">
        <v>10</v>
      </c>
      <c r="J1074">
        <v>84</v>
      </c>
      <c r="K1074">
        <v>18</v>
      </c>
    </row>
    <row r="1075" spans="1:11" x14ac:dyDescent="0.3">
      <c r="A1075" t="s">
        <v>11</v>
      </c>
      <c r="B1075" t="s">
        <v>34</v>
      </c>
      <c r="C1075" t="s">
        <v>202</v>
      </c>
      <c r="D1075" t="s">
        <v>566</v>
      </c>
      <c r="E1075" s="5">
        <v>45812.958333333343</v>
      </c>
      <c r="F1075">
        <v>27.338529999999999</v>
      </c>
      <c r="G1075">
        <v>88.614098999999996</v>
      </c>
      <c r="H1075" t="s">
        <v>775</v>
      </c>
      <c r="I1075">
        <v>97</v>
      </c>
      <c r="J1075">
        <v>196</v>
      </c>
      <c r="K1075">
        <v>147</v>
      </c>
    </row>
    <row r="1076" spans="1:11" x14ac:dyDescent="0.3">
      <c r="A1076" t="s">
        <v>11</v>
      </c>
      <c r="B1076" t="s">
        <v>33</v>
      </c>
      <c r="C1076" t="s">
        <v>203</v>
      </c>
      <c r="D1076" t="s">
        <v>567</v>
      </c>
      <c r="E1076" s="5">
        <v>45812.958333333343</v>
      </c>
      <c r="F1076">
        <v>11.068250000000001</v>
      </c>
      <c r="G1076">
        <v>79.070329999999998</v>
      </c>
      <c r="H1076" t="s">
        <v>771</v>
      </c>
      <c r="I1076">
        <v>24</v>
      </c>
      <c r="J1076">
        <v>54</v>
      </c>
      <c r="K1076">
        <v>43</v>
      </c>
    </row>
    <row r="1077" spans="1:11" x14ac:dyDescent="0.3">
      <c r="A1077" t="s">
        <v>11</v>
      </c>
      <c r="B1077" t="s">
        <v>33</v>
      </c>
      <c r="C1077" t="s">
        <v>203</v>
      </c>
      <c r="D1077" t="s">
        <v>567</v>
      </c>
      <c r="E1077" s="5">
        <v>45812.958333333343</v>
      </c>
      <c r="F1077">
        <v>11.068250000000001</v>
      </c>
      <c r="G1077">
        <v>79.070329999999998</v>
      </c>
      <c r="H1077" t="s">
        <v>774</v>
      </c>
      <c r="I1077">
        <v>9</v>
      </c>
      <c r="J1077">
        <v>10</v>
      </c>
      <c r="K1077">
        <v>10</v>
      </c>
    </row>
    <row r="1078" spans="1:11" x14ac:dyDescent="0.3">
      <c r="A1078" t="s">
        <v>11</v>
      </c>
      <c r="B1078" t="s">
        <v>33</v>
      </c>
      <c r="C1078" t="s">
        <v>277</v>
      </c>
      <c r="D1078" t="s">
        <v>727</v>
      </c>
      <c r="E1078" s="5">
        <v>45812.958333333343</v>
      </c>
      <c r="F1078">
        <v>12.877731600000001</v>
      </c>
      <c r="G1078">
        <v>80.083480699999996</v>
      </c>
      <c r="H1078" t="s">
        <v>771</v>
      </c>
    </row>
    <row r="1079" spans="1:11" x14ac:dyDescent="0.3">
      <c r="A1079" t="s">
        <v>11</v>
      </c>
      <c r="B1079" t="s">
        <v>33</v>
      </c>
      <c r="C1079" t="s">
        <v>197</v>
      </c>
      <c r="D1079" t="s">
        <v>572</v>
      </c>
      <c r="E1079" s="5">
        <v>45812.958333333343</v>
      </c>
      <c r="F1079">
        <v>12.9099161</v>
      </c>
      <c r="G1079">
        <v>80.107653799999994</v>
      </c>
      <c r="H1079" t="s">
        <v>775</v>
      </c>
      <c r="I1079">
        <v>13</v>
      </c>
      <c r="J1079">
        <v>17</v>
      </c>
      <c r="K1079">
        <v>14</v>
      </c>
    </row>
    <row r="1080" spans="1:11" x14ac:dyDescent="0.3">
      <c r="A1080" t="s">
        <v>11</v>
      </c>
      <c r="B1080" t="s">
        <v>33</v>
      </c>
      <c r="C1080" t="s">
        <v>197</v>
      </c>
      <c r="D1080" t="s">
        <v>572</v>
      </c>
      <c r="E1080" s="5">
        <v>45812.958333333343</v>
      </c>
      <c r="F1080">
        <v>12.9099161</v>
      </c>
      <c r="G1080">
        <v>80.107653799999994</v>
      </c>
      <c r="H1080" t="s">
        <v>771</v>
      </c>
      <c r="I1080">
        <v>16</v>
      </c>
      <c r="J1080">
        <v>22</v>
      </c>
      <c r="K1080">
        <v>17</v>
      </c>
    </row>
    <row r="1081" spans="1:11" x14ac:dyDescent="0.3">
      <c r="A1081" t="s">
        <v>11</v>
      </c>
      <c r="B1081" t="s">
        <v>31</v>
      </c>
      <c r="C1081" t="s">
        <v>187</v>
      </c>
      <c r="D1081" t="s">
        <v>548</v>
      </c>
      <c r="E1081" s="5">
        <v>45812.958333333343</v>
      </c>
      <c r="F1081">
        <v>25.036359999999998</v>
      </c>
      <c r="G1081">
        <v>73.883501999999993</v>
      </c>
      <c r="H1081" t="s">
        <v>772</v>
      </c>
      <c r="I1081">
        <v>4</v>
      </c>
      <c r="J1081">
        <v>43</v>
      </c>
      <c r="K1081">
        <v>14</v>
      </c>
    </row>
    <row r="1082" spans="1:11" x14ac:dyDescent="0.3">
      <c r="A1082" t="s">
        <v>11</v>
      </c>
      <c r="B1082" t="s">
        <v>31</v>
      </c>
      <c r="C1082" t="s">
        <v>188</v>
      </c>
      <c r="D1082" t="s">
        <v>549</v>
      </c>
      <c r="E1082" s="5">
        <v>45812.958333333343</v>
      </c>
      <c r="F1082">
        <v>26.031442999999999</v>
      </c>
      <c r="G1082">
        <v>76.359326999999993</v>
      </c>
      <c r="H1082" t="s">
        <v>772</v>
      </c>
      <c r="I1082">
        <v>11</v>
      </c>
      <c r="J1082">
        <v>34</v>
      </c>
      <c r="K1082">
        <v>19</v>
      </c>
    </row>
    <row r="1083" spans="1:11" x14ac:dyDescent="0.3">
      <c r="A1083" t="s">
        <v>11</v>
      </c>
      <c r="B1083" t="s">
        <v>33</v>
      </c>
      <c r="C1083" t="s">
        <v>197</v>
      </c>
      <c r="D1083" t="s">
        <v>574</v>
      </c>
      <c r="E1083" s="5">
        <v>45812.958333333343</v>
      </c>
      <c r="F1083">
        <v>13.1662</v>
      </c>
      <c r="G1083">
        <v>80.258399999999995</v>
      </c>
      <c r="H1083" t="s">
        <v>775</v>
      </c>
      <c r="I1083">
        <v>1</v>
      </c>
      <c r="J1083">
        <v>71</v>
      </c>
      <c r="K1083">
        <v>27</v>
      </c>
    </row>
    <row r="1084" spans="1:11" x14ac:dyDescent="0.3">
      <c r="A1084" t="s">
        <v>11</v>
      </c>
      <c r="B1084" t="s">
        <v>33</v>
      </c>
      <c r="C1084" t="s">
        <v>197</v>
      </c>
      <c r="D1084" t="s">
        <v>558</v>
      </c>
      <c r="E1084" s="5">
        <v>45812.958333333343</v>
      </c>
      <c r="F1084">
        <v>12.9533</v>
      </c>
      <c r="G1084">
        <v>80.235699999999994</v>
      </c>
      <c r="H1084" t="s">
        <v>773</v>
      </c>
      <c r="I1084">
        <v>4</v>
      </c>
      <c r="J1084">
        <v>4</v>
      </c>
      <c r="K1084">
        <v>4</v>
      </c>
    </row>
    <row r="1085" spans="1:11" x14ac:dyDescent="0.3">
      <c r="A1085" t="s">
        <v>11</v>
      </c>
      <c r="B1085" t="s">
        <v>33</v>
      </c>
      <c r="C1085" t="s">
        <v>197</v>
      </c>
      <c r="D1085" t="s">
        <v>558</v>
      </c>
      <c r="E1085" s="5">
        <v>45812.958333333343</v>
      </c>
      <c r="F1085">
        <v>12.9533</v>
      </c>
      <c r="G1085">
        <v>80.235699999999994</v>
      </c>
      <c r="H1085" t="s">
        <v>776</v>
      </c>
      <c r="I1085">
        <v>28</v>
      </c>
      <c r="J1085">
        <v>38</v>
      </c>
      <c r="K1085">
        <v>32</v>
      </c>
    </row>
    <row r="1086" spans="1:11" x14ac:dyDescent="0.3">
      <c r="A1086" t="s">
        <v>11</v>
      </c>
      <c r="B1086" t="s">
        <v>33</v>
      </c>
      <c r="C1086" t="s">
        <v>197</v>
      </c>
      <c r="D1086" t="s">
        <v>559</v>
      </c>
      <c r="E1086" s="5">
        <v>45812.958333333343</v>
      </c>
      <c r="F1086">
        <v>13.1036</v>
      </c>
      <c r="G1086">
        <v>80.290899999999993</v>
      </c>
      <c r="H1086" t="s">
        <v>775</v>
      </c>
      <c r="I1086">
        <v>6</v>
      </c>
      <c r="J1086">
        <v>71</v>
      </c>
      <c r="K1086">
        <v>25</v>
      </c>
    </row>
    <row r="1087" spans="1:11" x14ac:dyDescent="0.3">
      <c r="A1087" t="s">
        <v>11</v>
      </c>
      <c r="B1087" t="s">
        <v>33</v>
      </c>
      <c r="C1087" t="s">
        <v>197</v>
      </c>
      <c r="D1087" t="s">
        <v>559</v>
      </c>
      <c r="E1087" s="5">
        <v>45812.958333333343</v>
      </c>
      <c r="F1087">
        <v>13.1036</v>
      </c>
      <c r="G1087">
        <v>80.290899999999993</v>
      </c>
      <c r="H1087" t="s">
        <v>771</v>
      </c>
      <c r="I1087">
        <v>9</v>
      </c>
      <c r="J1087">
        <v>94</v>
      </c>
      <c r="K1087">
        <v>28</v>
      </c>
    </row>
    <row r="1088" spans="1:11" x14ac:dyDescent="0.3">
      <c r="A1088" t="s">
        <v>11</v>
      </c>
      <c r="B1088" t="s">
        <v>33</v>
      </c>
      <c r="C1088" t="s">
        <v>197</v>
      </c>
      <c r="D1088" t="s">
        <v>560</v>
      </c>
      <c r="E1088" s="5">
        <v>45812.958333333343</v>
      </c>
      <c r="F1088">
        <v>13.005218899999999</v>
      </c>
      <c r="G1088">
        <v>80.239812499999999</v>
      </c>
      <c r="H1088" t="s">
        <v>770</v>
      </c>
      <c r="I1088">
        <v>43</v>
      </c>
      <c r="J1088">
        <v>52</v>
      </c>
      <c r="K1088">
        <v>48</v>
      </c>
    </row>
    <row r="1089" spans="1:11" x14ac:dyDescent="0.3">
      <c r="A1089" t="s">
        <v>11</v>
      </c>
      <c r="B1089" t="s">
        <v>33</v>
      </c>
      <c r="C1089" t="s">
        <v>198</v>
      </c>
      <c r="D1089" t="s">
        <v>561</v>
      </c>
      <c r="E1089" s="5">
        <v>45812.958333333343</v>
      </c>
      <c r="F1089">
        <v>11.0328</v>
      </c>
      <c r="G1089">
        <v>77.034899999999993</v>
      </c>
      <c r="H1089" t="s">
        <v>774</v>
      </c>
      <c r="I1089">
        <v>5</v>
      </c>
      <c r="J1089">
        <v>7</v>
      </c>
      <c r="K1089">
        <v>6</v>
      </c>
    </row>
    <row r="1090" spans="1:11" x14ac:dyDescent="0.3">
      <c r="A1090" t="s">
        <v>11</v>
      </c>
      <c r="B1090" t="s">
        <v>33</v>
      </c>
      <c r="C1090" t="s">
        <v>198</v>
      </c>
      <c r="D1090" t="s">
        <v>562</v>
      </c>
      <c r="E1090" s="5">
        <v>45812.958333333343</v>
      </c>
      <c r="F1090">
        <v>10.942451</v>
      </c>
      <c r="G1090">
        <v>76.978995999999995</v>
      </c>
      <c r="H1090" t="s">
        <v>773</v>
      </c>
      <c r="I1090">
        <v>1</v>
      </c>
      <c r="J1090">
        <v>1</v>
      </c>
      <c r="K1090">
        <v>1</v>
      </c>
    </row>
    <row r="1091" spans="1:11" x14ac:dyDescent="0.3">
      <c r="A1091" t="s">
        <v>11</v>
      </c>
      <c r="B1091" t="s">
        <v>33</v>
      </c>
      <c r="C1091" t="s">
        <v>204</v>
      </c>
      <c r="D1091" t="s">
        <v>568</v>
      </c>
      <c r="E1091" s="5">
        <v>45812.958333333343</v>
      </c>
      <c r="F1091">
        <v>10.358535</v>
      </c>
      <c r="G1091">
        <v>77.984320999999994</v>
      </c>
      <c r="H1091" t="s">
        <v>773</v>
      </c>
      <c r="I1091">
        <v>1</v>
      </c>
      <c r="J1091">
        <v>1</v>
      </c>
      <c r="K1091">
        <v>1</v>
      </c>
    </row>
    <row r="1092" spans="1:11" x14ac:dyDescent="0.3">
      <c r="A1092" t="s">
        <v>11</v>
      </c>
      <c r="B1092" t="s">
        <v>33</v>
      </c>
      <c r="C1092" t="s">
        <v>278</v>
      </c>
      <c r="D1092" t="s">
        <v>728</v>
      </c>
      <c r="E1092" s="5">
        <v>45812.958333333343</v>
      </c>
      <c r="F1092">
        <v>13.412699999999999</v>
      </c>
      <c r="G1092">
        <v>80.108099999999993</v>
      </c>
      <c r="H1092" t="s">
        <v>771</v>
      </c>
      <c r="I1092">
        <v>20</v>
      </c>
      <c r="J1092">
        <v>127</v>
      </c>
      <c r="K1092">
        <v>61</v>
      </c>
    </row>
    <row r="1093" spans="1:11" x14ac:dyDescent="0.3">
      <c r="A1093" t="s">
        <v>11</v>
      </c>
      <c r="B1093" t="s">
        <v>33</v>
      </c>
      <c r="C1093" t="s">
        <v>205</v>
      </c>
      <c r="D1093" t="s">
        <v>569</v>
      </c>
      <c r="E1093" s="5">
        <v>45812.958333333343</v>
      </c>
      <c r="F1093">
        <v>12.746998</v>
      </c>
      <c r="G1093">
        <v>77.813811000000001</v>
      </c>
      <c r="H1093" t="s">
        <v>772</v>
      </c>
      <c r="I1093">
        <v>2</v>
      </c>
      <c r="J1093">
        <v>2</v>
      </c>
      <c r="K1093">
        <v>2</v>
      </c>
    </row>
    <row r="1094" spans="1:11" x14ac:dyDescent="0.3">
      <c r="A1094" t="s">
        <v>11</v>
      </c>
      <c r="B1094" t="s">
        <v>33</v>
      </c>
      <c r="C1094" t="s">
        <v>205</v>
      </c>
      <c r="D1094" t="s">
        <v>569</v>
      </c>
      <c r="E1094" s="5">
        <v>45812.958333333343</v>
      </c>
      <c r="F1094">
        <v>12.746998</v>
      </c>
      <c r="G1094">
        <v>77.813811000000001</v>
      </c>
      <c r="H1094" t="s">
        <v>773</v>
      </c>
      <c r="I1094">
        <v>1</v>
      </c>
      <c r="J1094">
        <v>1</v>
      </c>
      <c r="K1094">
        <v>1</v>
      </c>
    </row>
    <row r="1095" spans="1:11" x14ac:dyDescent="0.3">
      <c r="A1095" t="s">
        <v>11</v>
      </c>
      <c r="B1095" t="s">
        <v>33</v>
      </c>
      <c r="C1095" t="s">
        <v>279</v>
      </c>
      <c r="D1095" t="s">
        <v>729</v>
      </c>
      <c r="E1095" s="5">
        <v>45812.958333333343</v>
      </c>
      <c r="F1095">
        <v>12.864618</v>
      </c>
      <c r="G1095">
        <v>79.659968000000006</v>
      </c>
      <c r="H1095" t="s">
        <v>772</v>
      </c>
      <c r="I1095">
        <v>1</v>
      </c>
      <c r="J1095">
        <v>12</v>
      </c>
      <c r="K1095">
        <v>4</v>
      </c>
    </row>
    <row r="1096" spans="1:11" x14ac:dyDescent="0.3">
      <c r="A1096" t="s">
        <v>11</v>
      </c>
      <c r="B1096" t="s">
        <v>33</v>
      </c>
      <c r="C1096" t="s">
        <v>217</v>
      </c>
      <c r="D1096" t="s">
        <v>592</v>
      </c>
      <c r="E1096" s="5">
        <v>45812.958333333343</v>
      </c>
      <c r="F1096">
        <v>9.3639899999999994</v>
      </c>
      <c r="G1096">
        <v>78.831976999999995</v>
      </c>
      <c r="H1096" t="s">
        <v>774</v>
      </c>
      <c r="I1096">
        <v>13</v>
      </c>
      <c r="J1096">
        <v>14</v>
      </c>
      <c r="K1096">
        <v>13</v>
      </c>
    </row>
    <row r="1097" spans="1:11" x14ac:dyDescent="0.3">
      <c r="A1097" t="s">
        <v>11</v>
      </c>
      <c r="B1097" t="s">
        <v>33</v>
      </c>
      <c r="C1097" t="s">
        <v>214</v>
      </c>
      <c r="D1097" t="s">
        <v>587</v>
      </c>
      <c r="E1097" s="5">
        <v>45812.958333333343</v>
      </c>
      <c r="F1097">
        <v>12.952707</v>
      </c>
      <c r="G1097">
        <v>79.303939999999997</v>
      </c>
      <c r="H1097" t="s">
        <v>774</v>
      </c>
      <c r="I1097">
        <v>15</v>
      </c>
      <c r="J1097">
        <v>16</v>
      </c>
      <c r="K1097">
        <v>16</v>
      </c>
    </row>
    <row r="1098" spans="1:11" x14ac:dyDescent="0.3">
      <c r="A1098" t="s">
        <v>11</v>
      </c>
      <c r="B1098" t="s">
        <v>33</v>
      </c>
      <c r="C1098" t="s">
        <v>280</v>
      </c>
      <c r="D1098" t="s">
        <v>730</v>
      </c>
      <c r="E1098" s="5">
        <v>45812.958333333343</v>
      </c>
      <c r="F1098">
        <v>11.679111000000001</v>
      </c>
      <c r="G1098">
        <v>78.125051999999997</v>
      </c>
      <c r="H1098" t="s">
        <v>770</v>
      </c>
      <c r="I1098">
        <v>16</v>
      </c>
      <c r="J1098">
        <v>17</v>
      </c>
      <c r="K1098">
        <v>16</v>
      </c>
    </row>
    <row r="1099" spans="1:11" x14ac:dyDescent="0.3">
      <c r="A1099" t="s">
        <v>11</v>
      </c>
      <c r="B1099" t="s">
        <v>33</v>
      </c>
      <c r="C1099" t="s">
        <v>281</v>
      </c>
      <c r="D1099" t="s">
        <v>731</v>
      </c>
      <c r="E1099" s="5">
        <v>45812.958333333343</v>
      </c>
      <c r="F1099">
        <v>10.7654824</v>
      </c>
      <c r="G1099">
        <v>79.138996800000001</v>
      </c>
      <c r="H1099" t="s">
        <v>773</v>
      </c>
      <c r="I1099">
        <v>2</v>
      </c>
      <c r="J1099">
        <v>2</v>
      </c>
      <c r="K1099">
        <v>2</v>
      </c>
    </row>
    <row r="1100" spans="1:11" x14ac:dyDescent="0.3">
      <c r="A1100" t="s">
        <v>11</v>
      </c>
      <c r="B1100" t="s">
        <v>33</v>
      </c>
      <c r="C1100" t="s">
        <v>279</v>
      </c>
      <c r="D1100" t="s">
        <v>729</v>
      </c>
      <c r="E1100" s="5">
        <v>45812.958333333343</v>
      </c>
      <c r="F1100">
        <v>12.864618</v>
      </c>
      <c r="G1100">
        <v>79.659968000000006</v>
      </c>
      <c r="H1100" t="s">
        <v>773</v>
      </c>
      <c r="I1100">
        <v>4</v>
      </c>
      <c r="J1100">
        <v>4</v>
      </c>
      <c r="K1100">
        <v>4</v>
      </c>
    </row>
    <row r="1101" spans="1:11" x14ac:dyDescent="0.3">
      <c r="A1101" t="s">
        <v>11</v>
      </c>
      <c r="B1101" t="s">
        <v>33</v>
      </c>
      <c r="C1101" t="s">
        <v>279</v>
      </c>
      <c r="D1101" t="s">
        <v>729</v>
      </c>
      <c r="E1101" s="5">
        <v>45812.958333333343</v>
      </c>
      <c r="F1101">
        <v>12.864618</v>
      </c>
      <c r="G1101">
        <v>79.659968000000006</v>
      </c>
      <c r="H1101" t="s">
        <v>776</v>
      </c>
      <c r="I1101">
        <v>20</v>
      </c>
      <c r="J1101">
        <v>23</v>
      </c>
      <c r="K1101">
        <v>21</v>
      </c>
    </row>
    <row r="1102" spans="1:11" x14ac:dyDescent="0.3">
      <c r="A1102" t="s">
        <v>11</v>
      </c>
      <c r="B1102" t="s">
        <v>33</v>
      </c>
      <c r="C1102" t="s">
        <v>282</v>
      </c>
      <c r="D1102" t="s">
        <v>732</v>
      </c>
      <c r="E1102" s="5">
        <v>45812.958333333343</v>
      </c>
      <c r="F1102">
        <v>9.8659350000000003</v>
      </c>
      <c r="G1102">
        <v>78.022668999999993</v>
      </c>
      <c r="H1102" t="s">
        <v>776</v>
      </c>
      <c r="I1102">
        <v>22</v>
      </c>
      <c r="J1102">
        <v>28</v>
      </c>
      <c r="K1102">
        <v>26</v>
      </c>
    </row>
    <row r="1103" spans="1:11" x14ac:dyDescent="0.3">
      <c r="A1103" t="s">
        <v>11</v>
      </c>
      <c r="B1103" t="s">
        <v>33</v>
      </c>
      <c r="C1103" t="s">
        <v>282</v>
      </c>
      <c r="D1103" t="s">
        <v>732</v>
      </c>
      <c r="E1103" s="5">
        <v>45812.958333333343</v>
      </c>
      <c r="F1103">
        <v>9.8659350000000003</v>
      </c>
      <c r="G1103">
        <v>78.022668999999993</v>
      </c>
      <c r="H1103" t="s">
        <v>770</v>
      </c>
      <c r="I1103">
        <v>6</v>
      </c>
      <c r="J1103">
        <v>6</v>
      </c>
      <c r="K1103">
        <v>6</v>
      </c>
    </row>
    <row r="1104" spans="1:11" x14ac:dyDescent="0.3">
      <c r="A1104" t="s">
        <v>11</v>
      </c>
      <c r="B1104" t="s">
        <v>33</v>
      </c>
      <c r="C1104" t="s">
        <v>201</v>
      </c>
      <c r="D1104" t="s">
        <v>565</v>
      </c>
      <c r="E1104" s="5">
        <v>45812.958333333343</v>
      </c>
      <c r="F1104">
        <v>11.273992</v>
      </c>
      <c r="G1104">
        <v>78.163544999999999</v>
      </c>
      <c r="H1104" t="s">
        <v>772</v>
      </c>
      <c r="I1104">
        <v>8</v>
      </c>
      <c r="J1104">
        <v>8</v>
      </c>
      <c r="K1104">
        <v>8</v>
      </c>
    </row>
    <row r="1105" spans="1:11" x14ac:dyDescent="0.3">
      <c r="A1105" t="s">
        <v>11</v>
      </c>
      <c r="B1105" t="s">
        <v>33</v>
      </c>
      <c r="C1105" t="s">
        <v>201</v>
      </c>
      <c r="D1105" t="s">
        <v>565</v>
      </c>
      <c r="E1105" s="5">
        <v>45812.958333333343</v>
      </c>
      <c r="F1105">
        <v>11.273992</v>
      </c>
      <c r="G1105">
        <v>78.163544999999999</v>
      </c>
      <c r="H1105" t="s">
        <v>770</v>
      </c>
      <c r="I1105">
        <v>10</v>
      </c>
      <c r="J1105">
        <v>11</v>
      </c>
      <c r="K1105">
        <v>10</v>
      </c>
    </row>
    <row r="1106" spans="1:11" x14ac:dyDescent="0.3">
      <c r="A1106" t="s">
        <v>11</v>
      </c>
      <c r="B1106" t="s">
        <v>33</v>
      </c>
      <c r="C1106" t="s">
        <v>283</v>
      </c>
      <c r="D1106" t="s">
        <v>733</v>
      </c>
      <c r="E1106" s="5">
        <v>45812.958333333343</v>
      </c>
      <c r="F1106">
        <v>10.681158</v>
      </c>
      <c r="G1106">
        <v>78.741746000000006</v>
      </c>
      <c r="H1106" t="s">
        <v>773</v>
      </c>
      <c r="I1106">
        <v>3</v>
      </c>
      <c r="J1106">
        <v>3</v>
      </c>
      <c r="K1106">
        <v>3</v>
      </c>
    </row>
    <row r="1107" spans="1:11" x14ac:dyDescent="0.3">
      <c r="A1107" t="s">
        <v>11</v>
      </c>
      <c r="B1107" t="s">
        <v>33</v>
      </c>
      <c r="C1107" t="s">
        <v>284</v>
      </c>
      <c r="D1107" t="s">
        <v>734</v>
      </c>
      <c r="E1107" s="5">
        <v>45812.958333333343</v>
      </c>
      <c r="F1107">
        <v>10.423417000000001</v>
      </c>
      <c r="G1107">
        <v>78.784889000000007</v>
      </c>
      <c r="H1107" t="s">
        <v>772</v>
      </c>
      <c r="I1107">
        <v>13</v>
      </c>
      <c r="J1107">
        <v>17</v>
      </c>
      <c r="K1107">
        <v>15</v>
      </c>
    </row>
    <row r="1108" spans="1:11" x14ac:dyDescent="0.3">
      <c r="A1108" t="s">
        <v>11</v>
      </c>
      <c r="B1108" t="s">
        <v>33</v>
      </c>
      <c r="C1108" t="s">
        <v>284</v>
      </c>
      <c r="D1108" t="s">
        <v>734</v>
      </c>
      <c r="E1108" s="5">
        <v>45812.958333333343</v>
      </c>
      <c r="F1108">
        <v>10.423417000000001</v>
      </c>
      <c r="G1108">
        <v>78.784889000000007</v>
      </c>
      <c r="H1108" t="s">
        <v>774</v>
      </c>
      <c r="I1108">
        <v>12</v>
      </c>
      <c r="J1108">
        <v>13</v>
      </c>
      <c r="K1108">
        <v>13</v>
      </c>
    </row>
    <row r="1109" spans="1:11" x14ac:dyDescent="0.3">
      <c r="A1109" t="s">
        <v>11</v>
      </c>
      <c r="B1109" t="s">
        <v>33</v>
      </c>
      <c r="C1109" t="s">
        <v>198</v>
      </c>
      <c r="D1109" t="s">
        <v>562</v>
      </c>
      <c r="E1109" s="5">
        <v>45812.958333333343</v>
      </c>
      <c r="F1109">
        <v>10.942451</v>
      </c>
      <c r="G1109">
        <v>76.978995999999995</v>
      </c>
      <c r="H1109" t="s">
        <v>770</v>
      </c>
      <c r="I1109">
        <v>3</v>
      </c>
      <c r="J1109">
        <v>85</v>
      </c>
      <c r="K1109">
        <v>61</v>
      </c>
    </row>
    <row r="1110" spans="1:11" x14ac:dyDescent="0.3">
      <c r="A1110" t="s">
        <v>11</v>
      </c>
      <c r="B1110" t="s">
        <v>33</v>
      </c>
      <c r="C1110" t="s">
        <v>208</v>
      </c>
      <c r="D1110" t="s">
        <v>576</v>
      </c>
      <c r="E1110" s="5">
        <v>45812.958333333343</v>
      </c>
      <c r="F1110">
        <v>11.6829898</v>
      </c>
      <c r="G1110">
        <v>79.753209900000002</v>
      </c>
      <c r="H1110" t="s">
        <v>775</v>
      </c>
    </row>
    <row r="1111" spans="1:11" x14ac:dyDescent="0.3">
      <c r="A1111" t="s">
        <v>11</v>
      </c>
      <c r="B1111" t="s">
        <v>33</v>
      </c>
      <c r="C1111" t="s">
        <v>208</v>
      </c>
      <c r="D1111" t="s">
        <v>735</v>
      </c>
      <c r="E1111" s="5">
        <v>45812.958333333343</v>
      </c>
      <c r="F1111">
        <v>11.763768300000001</v>
      </c>
      <c r="G1111">
        <v>79.749983499999999</v>
      </c>
      <c r="H1111" t="s">
        <v>775</v>
      </c>
      <c r="I1111">
        <v>10</v>
      </c>
      <c r="J1111">
        <v>65</v>
      </c>
      <c r="K1111">
        <v>30</v>
      </c>
    </row>
    <row r="1112" spans="1:11" x14ac:dyDescent="0.3">
      <c r="A1112" t="s">
        <v>11</v>
      </c>
      <c r="B1112" t="s">
        <v>33</v>
      </c>
      <c r="C1112" t="s">
        <v>197</v>
      </c>
      <c r="D1112" t="s">
        <v>574</v>
      </c>
      <c r="E1112" s="5">
        <v>45812.958333333343</v>
      </c>
      <c r="F1112">
        <v>13.1662</v>
      </c>
      <c r="G1112">
        <v>80.258399999999995</v>
      </c>
      <c r="H1112" t="s">
        <v>770</v>
      </c>
      <c r="I1112">
        <v>30</v>
      </c>
      <c r="J1112">
        <v>39</v>
      </c>
      <c r="K1112">
        <v>32</v>
      </c>
    </row>
    <row r="1113" spans="1:11" x14ac:dyDescent="0.3">
      <c r="A1113" t="s">
        <v>11</v>
      </c>
      <c r="B1113" t="s">
        <v>33</v>
      </c>
      <c r="C1113" t="s">
        <v>201</v>
      </c>
      <c r="D1113" t="s">
        <v>565</v>
      </c>
      <c r="E1113" s="5">
        <v>45812.958333333343</v>
      </c>
      <c r="F1113">
        <v>11.273992</v>
      </c>
      <c r="G1113">
        <v>78.163544999999999</v>
      </c>
      <c r="H1113" t="s">
        <v>773</v>
      </c>
      <c r="I1113">
        <v>2</v>
      </c>
      <c r="J1113">
        <v>2</v>
      </c>
      <c r="K1113">
        <v>2</v>
      </c>
    </row>
    <row r="1114" spans="1:11" x14ac:dyDescent="0.3">
      <c r="A1114" t="s">
        <v>11</v>
      </c>
      <c r="B1114" t="s">
        <v>33</v>
      </c>
      <c r="C1114" t="s">
        <v>215</v>
      </c>
      <c r="D1114" t="s">
        <v>588</v>
      </c>
      <c r="E1114" s="5">
        <v>45812.958333333343</v>
      </c>
      <c r="F1114">
        <v>8.8164280000000002</v>
      </c>
      <c r="G1114">
        <v>78.099039000000005</v>
      </c>
      <c r="H1114" t="s">
        <v>774</v>
      </c>
      <c r="I1114">
        <v>4</v>
      </c>
      <c r="J1114">
        <v>21</v>
      </c>
      <c r="K1114">
        <v>14</v>
      </c>
    </row>
    <row r="1115" spans="1:11" x14ac:dyDescent="0.3">
      <c r="A1115" t="s">
        <v>11</v>
      </c>
      <c r="B1115" t="s">
        <v>33</v>
      </c>
      <c r="C1115" t="s">
        <v>215</v>
      </c>
      <c r="D1115" t="s">
        <v>588</v>
      </c>
      <c r="E1115" s="5">
        <v>45812.958333333343</v>
      </c>
      <c r="F1115">
        <v>8.8164280000000002</v>
      </c>
      <c r="G1115">
        <v>78.099039000000005</v>
      </c>
      <c r="H1115" t="s">
        <v>770</v>
      </c>
      <c r="I1115">
        <v>15</v>
      </c>
      <c r="J1115">
        <v>21</v>
      </c>
      <c r="K1115">
        <v>16</v>
      </c>
    </row>
    <row r="1116" spans="1:11" x14ac:dyDescent="0.3">
      <c r="A1116" t="s">
        <v>11</v>
      </c>
      <c r="B1116" t="s">
        <v>33</v>
      </c>
      <c r="C1116" t="s">
        <v>209</v>
      </c>
      <c r="D1116" t="s">
        <v>577</v>
      </c>
      <c r="E1116" s="5">
        <v>45812.958333333343</v>
      </c>
      <c r="F1116">
        <v>10.830158000000001</v>
      </c>
      <c r="G1116">
        <v>78.691849000000005</v>
      </c>
      <c r="H1116" t="s">
        <v>776</v>
      </c>
    </row>
    <row r="1117" spans="1:11" x14ac:dyDescent="0.3">
      <c r="A1117" t="s">
        <v>11</v>
      </c>
      <c r="B1117" t="s">
        <v>33</v>
      </c>
      <c r="C1117" t="s">
        <v>211</v>
      </c>
      <c r="D1117" t="s">
        <v>579</v>
      </c>
      <c r="E1117" s="5">
        <v>45812.958333333343</v>
      </c>
      <c r="F1117">
        <v>11.0973603</v>
      </c>
      <c r="G1117">
        <v>77.322867299999999</v>
      </c>
      <c r="H1117" t="s">
        <v>776</v>
      </c>
      <c r="I1117">
        <v>52</v>
      </c>
      <c r="J1117">
        <v>61</v>
      </c>
      <c r="K1117">
        <v>55</v>
      </c>
    </row>
    <row r="1118" spans="1:11" x14ac:dyDescent="0.3">
      <c r="A1118" t="s">
        <v>11</v>
      </c>
      <c r="B1118" t="s">
        <v>33</v>
      </c>
      <c r="C1118" t="s">
        <v>285</v>
      </c>
      <c r="D1118" t="s">
        <v>736</v>
      </c>
      <c r="E1118" s="5">
        <v>45812.958333333343</v>
      </c>
      <c r="F1118">
        <v>12.909494</v>
      </c>
      <c r="G1118">
        <v>79.131861000000001</v>
      </c>
      <c r="H1118" t="s">
        <v>771</v>
      </c>
      <c r="I1118">
        <v>22</v>
      </c>
      <c r="J1118">
        <v>79</v>
      </c>
      <c r="K1118">
        <v>54</v>
      </c>
    </row>
    <row r="1119" spans="1:11" x14ac:dyDescent="0.3">
      <c r="A1119" t="s">
        <v>11</v>
      </c>
      <c r="B1119" t="s">
        <v>33</v>
      </c>
      <c r="C1119" t="s">
        <v>285</v>
      </c>
      <c r="D1119" t="s">
        <v>736</v>
      </c>
      <c r="E1119" s="5">
        <v>45812.958333333343</v>
      </c>
      <c r="F1119">
        <v>12.909494</v>
      </c>
      <c r="G1119">
        <v>79.131861000000001</v>
      </c>
      <c r="H1119" t="s">
        <v>773</v>
      </c>
      <c r="I1119">
        <v>1</v>
      </c>
      <c r="J1119">
        <v>4</v>
      </c>
      <c r="K1119">
        <v>2</v>
      </c>
    </row>
    <row r="1120" spans="1:11" x14ac:dyDescent="0.3">
      <c r="A1120" t="s">
        <v>11</v>
      </c>
      <c r="B1120" t="s">
        <v>33</v>
      </c>
      <c r="C1120" t="s">
        <v>285</v>
      </c>
      <c r="D1120" t="s">
        <v>736</v>
      </c>
      <c r="E1120" s="5">
        <v>45812.958333333343</v>
      </c>
      <c r="F1120">
        <v>12.909494</v>
      </c>
      <c r="G1120">
        <v>79.131861000000001</v>
      </c>
      <c r="H1120" t="s">
        <v>776</v>
      </c>
      <c r="I1120">
        <v>15</v>
      </c>
      <c r="J1120">
        <v>16</v>
      </c>
      <c r="K1120">
        <v>16</v>
      </c>
    </row>
    <row r="1121" spans="1:11" x14ac:dyDescent="0.3">
      <c r="A1121" t="s">
        <v>11</v>
      </c>
      <c r="B1121" t="s">
        <v>35</v>
      </c>
      <c r="C1121" t="s">
        <v>213</v>
      </c>
      <c r="D1121" t="s">
        <v>584</v>
      </c>
      <c r="E1121" s="5">
        <v>45812.958333333343</v>
      </c>
      <c r="F1121">
        <v>17.540890999999998</v>
      </c>
      <c r="G1121">
        <v>78.358528000000007</v>
      </c>
      <c r="H1121" t="s">
        <v>773</v>
      </c>
      <c r="I1121">
        <v>3</v>
      </c>
      <c r="J1121">
        <v>8</v>
      </c>
      <c r="K1121">
        <v>4</v>
      </c>
    </row>
    <row r="1122" spans="1:11" x14ac:dyDescent="0.3">
      <c r="A1122" t="s">
        <v>11</v>
      </c>
      <c r="B1122" t="s">
        <v>35</v>
      </c>
      <c r="C1122" t="s">
        <v>213</v>
      </c>
      <c r="D1122" t="s">
        <v>584</v>
      </c>
      <c r="E1122" s="5">
        <v>45812.958333333343</v>
      </c>
      <c r="F1122">
        <v>17.540890999999998</v>
      </c>
      <c r="G1122">
        <v>78.358528000000007</v>
      </c>
      <c r="H1122" t="s">
        <v>776</v>
      </c>
      <c r="I1122">
        <v>20</v>
      </c>
      <c r="J1122">
        <v>125</v>
      </c>
      <c r="K1122">
        <v>40</v>
      </c>
    </row>
    <row r="1123" spans="1:11" x14ac:dyDescent="0.3">
      <c r="A1123" t="s">
        <v>11</v>
      </c>
      <c r="B1123" t="s">
        <v>35</v>
      </c>
      <c r="C1123" t="s">
        <v>213</v>
      </c>
      <c r="D1123" t="s">
        <v>737</v>
      </c>
      <c r="E1123" s="5">
        <v>45812.958333333343</v>
      </c>
      <c r="F1123">
        <v>17.460103</v>
      </c>
      <c r="G1123">
        <v>78.334361000000001</v>
      </c>
      <c r="H1123" t="s">
        <v>776</v>
      </c>
    </row>
    <row r="1124" spans="1:11" x14ac:dyDescent="0.3">
      <c r="A1124" t="s">
        <v>11</v>
      </c>
      <c r="B1124" t="s">
        <v>35</v>
      </c>
      <c r="C1124" t="s">
        <v>213</v>
      </c>
      <c r="D1124" t="s">
        <v>737</v>
      </c>
      <c r="E1124" s="5">
        <v>45812.958333333343</v>
      </c>
      <c r="F1124">
        <v>17.460103</v>
      </c>
      <c r="G1124">
        <v>78.334361000000001</v>
      </c>
      <c r="H1124" t="s">
        <v>770</v>
      </c>
    </row>
    <row r="1125" spans="1:11" x14ac:dyDescent="0.3">
      <c r="A1125" t="s">
        <v>11</v>
      </c>
      <c r="B1125" t="s">
        <v>35</v>
      </c>
      <c r="C1125" t="s">
        <v>213</v>
      </c>
      <c r="D1125" t="s">
        <v>738</v>
      </c>
      <c r="E1125" s="5">
        <v>45812.958333333343</v>
      </c>
      <c r="F1125">
        <v>17.5184</v>
      </c>
      <c r="G1125">
        <v>78.278777000000005</v>
      </c>
      <c r="H1125" t="s">
        <v>773</v>
      </c>
      <c r="I1125">
        <v>1</v>
      </c>
      <c r="J1125">
        <v>15</v>
      </c>
      <c r="K1125">
        <v>2</v>
      </c>
    </row>
    <row r="1126" spans="1:11" x14ac:dyDescent="0.3">
      <c r="A1126" t="s">
        <v>11</v>
      </c>
      <c r="B1126" t="s">
        <v>36</v>
      </c>
      <c r="C1126" t="s">
        <v>216</v>
      </c>
      <c r="D1126" t="s">
        <v>591</v>
      </c>
      <c r="E1126" s="5">
        <v>45812.958333333343</v>
      </c>
      <c r="F1126">
        <v>27.198658330000001</v>
      </c>
      <c r="G1126">
        <v>78.005980559999998</v>
      </c>
      <c r="H1126" t="s">
        <v>774</v>
      </c>
      <c r="I1126">
        <v>12</v>
      </c>
      <c r="J1126">
        <v>47</v>
      </c>
      <c r="K1126">
        <v>24</v>
      </c>
    </row>
    <row r="1127" spans="1:11" x14ac:dyDescent="0.3">
      <c r="A1127" t="s">
        <v>11</v>
      </c>
      <c r="B1127" t="s">
        <v>36</v>
      </c>
      <c r="C1127" t="s">
        <v>216</v>
      </c>
      <c r="D1127" t="s">
        <v>591</v>
      </c>
      <c r="E1127" s="5">
        <v>45812.958333333343</v>
      </c>
      <c r="F1127">
        <v>27.198658330000001</v>
      </c>
      <c r="G1127">
        <v>78.005980559999998</v>
      </c>
      <c r="H1127" t="s">
        <v>776</v>
      </c>
      <c r="I1127">
        <v>24</v>
      </c>
      <c r="J1127">
        <v>52</v>
      </c>
      <c r="K1127">
        <v>27</v>
      </c>
    </row>
    <row r="1128" spans="1:11" x14ac:dyDescent="0.3">
      <c r="A1128" t="s">
        <v>11</v>
      </c>
      <c r="B1128" t="s">
        <v>36</v>
      </c>
      <c r="C1128" t="s">
        <v>216</v>
      </c>
      <c r="D1128" t="s">
        <v>606</v>
      </c>
      <c r="E1128" s="5">
        <v>45812.958333333343</v>
      </c>
      <c r="F1128">
        <v>27.169338</v>
      </c>
      <c r="G1128">
        <v>78.035820000000001</v>
      </c>
      <c r="H1128" t="s">
        <v>772</v>
      </c>
    </row>
    <row r="1129" spans="1:11" x14ac:dyDescent="0.3">
      <c r="A1129" t="s">
        <v>11</v>
      </c>
      <c r="B1129" t="s">
        <v>36</v>
      </c>
      <c r="C1129" t="s">
        <v>216</v>
      </c>
      <c r="D1129" t="s">
        <v>739</v>
      </c>
      <c r="E1129" s="5">
        <v>45812.958333333343</v>
      </c>
      <c r="F1129">
        <v>27.198619999999998</v>
      </c>
      <c r="G1129">
        <v>77.920659999999998</v>
      </c>
      <c r="H1129" t="s">
        <v>771</v>
      </c>
      <c r="I1129">
        <v>65</v>
      </c>
      <c r="J1129">
        <v>183</v>
      </c>
      <c r="K1129">
        <v>111</v>
      </c>
    </row>
    <row r="1130" spans="1:11" x14ac:dyDescent="0.3">
      <c r="A1130" t="s">
        <v>11</v>
      </c>
      <c r="B1130" t="s">
        <v>36</v>
      </c>
      <c r="C1130" t="s">
        <v>216</v>
      </c>
      <c r="D1130" t="s">
        <v>739</v>
      </c>
      <c r="E1130" s="5">
        <v>45812.958333333343</v>
      </c>
      <c r="F1130">
        <v>27.198619999999998</v>
      </c>
      <c r="G1130">
        <v>77.920659999999998</v>
      </c>
      <c r="H1130" t="s">
        <v>773</v>
      </c>
    </row>
    <row r="1131" spans="1:11" x14ac:dyDescent="0.3">
      <c r="A1131" t="s">
        <v>11</v>
      </c>
      <c r="B1131" t="s">
        <v>35</v>
      </c>
      <c r="C1131" t="s">
        <v>213</v>
      </c>
      <c r="D1131" t="s">
        <v>586</v>
      </c>
      <c r="E1131" s="5">
        <v>45812.958333333343</v>
      </c>
      <c r="F1131">
        <v>17.531689499999999</v>
      </c>
      <c r="G1131">
        <v>78.218939000000006</v>
      </c>
      <c r="H1131" t="s">
        <v>774</v>
      </c>
      <c r="I1131">
        <v>2</v>
      </c>
      <c r="J1131">
        <v>20</v>
      </c>
      <c r="K1131">
        <v>9</v>
      </c>
    </row>
    <row r="1132" spans="1:11" x14ac:dyDescent="0.3">
      <c r="A1132" t="s">
        <v>11</v>
      </c>
      <c r="B1132" t="s">
        <v>35</v>
      </c>
      <c r="C1132" t="s">
        <v>213</v>
      </c>
      <c r="D1132" t="s">
        <v>740</v>
      </c>
      <c r="E1132" s="5">
        <v>45812.958333333343</v>
      </c>
      <c r="F1132">
        <v>17.585705000000001</v>
      </c>
      <c r="G1132">
        <v>78.126199</v>
      </c>
      <c r="H1132" t="s">
        <v>776</v>
      </c>
    </row>
    <row r="1133" spans="1:11" x14ac:dyDescent="0.3">
      <c r="A1133" t="s">
        <v>11</v>
      </c>
      <c r="B1133" t="s">
        <v>35</v>
      </c>
      <c r="C1133" t="s">
        <v>213</v>
      </c>
      <c r="D1133" t="s">
        <v>582</v>
      </c>
      <c r="E1133" s="5">
        <v>45812.958333333343</v>
      </c>
      <c r="F1133">
        <v>17.372060000000001</v>
      </c>
      <c r="G1133">
        <v>78.50864</v>
      </c>
      <c r="H1133" t="s">
        <v>775</v>
      </c>
      <c r="I1133">
        <v>27</v>
      </c>
      <c r="J1133">
        <v>56</v>
      </c>
      <c r="K1133">
        <v>39</v>
      </c>
    </row>
    <row r="1134" spans="1:11" x14ac:dyDescent="0.3">
      <c r="A1134" t="s">
        <v>11</v>
      </c>
      <c r="B1134" t="s">
        <v>35</v>
      </c>
      <c r="C1134" t="s">
        <v>213</v>
      </c>
      <c r="D1134" t="s">
        <v>594</v>
      </c>
      <c r="E1134" s="5">
        <v>45812.958333333343</v>
      </c>
      <c r="F1134">
        <v>17.417093999999999</v>
      </c>
      <c r="G1134">
        <v>78.457436999999999</v>
      </c>
      <c r="H1134" t="s">
        <v>772</v>
      </c>
      <c r="I1134">
        <v>6</v>
      </c>
      <c r="J1134">
        <v>7</v>
      </c>
      <c r="K1134">
        <v>7</v>
      </c>
    </row>
    <row r="1135" spans="1:11" x14ac:dyDescent="0.3">
      <c r="A1135" t="s">
        <v>11</v>
      </c>
      <c r="B1135" t="s">
        <v>35</v>
      </c>
      <c r="C1135" t="s">
        <v>213</v>
      </c>
      <c r="D1135" t="s">
        <v>741</v>
      </c>
      <c r="E1135" s="5">
        <v>45812.958333333343</v>
      </c>
      <c r="F1135">
        <v>17.349694</v>
      </c>
      <c r="G1135">
        <v>78.451436999999999</v>
      </c>
      <c r="H1135" t="s">
        <v>771</v>
      </c>
      <c r="I1135">
        <v>53</v>
      </c>
      <c r="J1135">
        <v>152</v>
      </c>
      <c r="K1135">
        <v>95</v>
      </c>
    </row>
    <row r="1136" spans="1:11" x14ac:dyDescent="0.3">
      <c r="A1136" t="s">
        <v>11</v>
      </c>
      <c r="B1136" t="s">
        <v>35</v>
      </c>
      <c r="C1136" t="s">
        <v>213</v>
      </c>
      <c r="D1136" t="s">
        <v>741</v>
      </c>
      <c r="E1136" s="5">
        <v>45812.958333333343</v>
      </c>
      <c r="F1136">
        <v>17.349694</v>
      </c>
      <c r="G1136">
        <v>78.451436999999999</v>
      </c>
      <c r="H1136" t="s">
        <v>772</v>
      </c>
      <c r="I1136">
        <v>71</v>
      </c>
      <c r="J1136">
        <v>142</v>
      </c>
      <c r="K1136">
        <v>92</v>
      </c>
    </row>
    <row r="1137" spans="1:11" x14ac:dyDescent="0.3">
      <c r="A1137" t="s">
        <v>11</v>
      </c>
      <c r="B1137" t="s">
        <v>35</v>
      </c>
      <c r="C1137" t="s">
        <v>213</v>
      </c>
      <c r="D1137" t="s">
        <v>741</v>
      </c>
      <c r="E1137" s="5">
        <v>45812.958333333343</v>
      </c>
      <c r="F1137">
        <v>17.349694</v>
      </c>
      <c r="G1137">
        <v>78.451436999999999</v>
      </c>
      <c r="H1137" t="s">
        <v>770</v>
      </c>
      <c r="I1137">
        <v>22</v>
      </c>
      <c r="J1137">
        <v>25</v>
      </c>
      <c r="K1137">
        <v>23</v>
      </c>
    </row>
    <row r="1138" spans="1:11" x14ac:dyDescent="0.3">
      <c r="A1138" t="s">
        <v>11</v>
      </c>
      <c r="B1138" t="s">
        <v>35</v>
      </c>
      <c r="C1138" t="s">
        <v>213</v>
      </c>
      <c r="D1138" t="s">
        <v>583</v>
      </c>
      <c r="E1138" s="5">
        <v>45812.958333333343</v>
      </c>
      <c r="F1138">
        <v>17.528544</v>
      </c>
      <c r="G1138">
        <v>78.286195000000006</v>
      </c>
      <c r="H1138" t="s">
        <v>770</v>
      </c>
      <c r="I1138">
        <v>6</v>
      </c>
      <c r="J1138">
        <v>48</v>
      </c>
      <c r="K1138">
        <v>40</v>
      </c>
    </row>
    <row r="1139" spans="1:11" x14ac:dyDescent="0.3">
      <c r="A1139" t="s">
        <v>11</v>
      </c>
      <c r="B1139" t="s">
        <v>35</v>
      </c>
      <c r="C1139" t="s">
        <v>213</v>
      </c>
      <c r="D1139" t="s">
        <v>593</v>
      </c>
      <c r="E1139" s="5">
        <v>45812.958333333343</v>
      </c>
      <c r="F1139">
        <v>17.455945799999999</v>
      </c>
      <c r="G1139">
        <v>78.433215200000006</v>
      </c>
      <c r="H1139" t="s">
        <v>774</v>
      </c>
      <c r="I1139">
        <v>2</v>
      </c>
      <c r="J1139">
        <v>18</v>
      </c>
      <c r="K1139">
        <v>7</v>
      </c>
    </row>
    <row r="1140" spans="1:11" x14ac:dyDescent="0.3">
      <c r="A1140" t="s">
        <v>11</v>
      </c>
      <c r="B1140" t="s">
        <v>35</v>
      </c>
      <c r="C1140" t="s">
        <v>213</v>
      </c>
      <c r="D1140" t="s">
        <v>593</v>
      </c>
      <c r="E1140" s="5">
        <v>45812.958333333343</v>
      </c>
      <c r="F1140">
        <v>17.455945799999999</v>
      </c>
      <c r="G1140">
        <v>78.433215200000006</v>
      </c>
      <c r="H1140" t="s">
        <v>776</v>
      </c>
      <c r="I1140">
        <v>2</v>
      </c>
      <c r="J1140">
        <v>110</v>
      </c>
      <c r="K1140">
        <v>27</v>
      </c>
    </row>
    <row r="1141" spans="1:11" x14ac:dyDescent="0.3">
      <c r="A1141" t="s">
        <v>11</v>
      </c>
      <c r="B1141" t="s">
        <v>42</v>
      </c>
      <c r="C1141" t="s">
        <v>286</v>
      </c>
      <c r="D1141" t="s">
        <v>742</v>
      </c>
      <c r="E1141" s="5">
        <v>45812.958333333343</v>
      </c>
      <c r="F1141">
        <v>23.817549700000001</v>
      </c>
      <c r="G1141">
        <v>91.272697399999998</v>
      </c>
      <c r="H1141" t="s">
        <v>770</v>
      </c>
      <c r="I1141">
        <v>39</v>
      </c>
      <c r="J1141">
        <v>164</v>
      </c>
      <c r="K1141">
        <v>69</v>
      </c>
    </row>
    <row r="1142" spans="1:11" x14ac:dyDescent="0.3">
      <c r="A1142" t="s">
        <v>11</v>
      </c>
      <c r="B1142" t="s">
        <v>36</v>
      </c>
      <c r="C1142" t="s">
        <v>216</v>
      </c>
      <c r="D1142" t="s">
        <v>589</v>
      </c>
      <c r="E1142" s="5">
        <v>45812.958333333343</v>
      </c>
      <c r="F1142">
        <v>27.237110000000001</v>
      </c>
      <c r="G1142">
        <v>78.019360000000006</v>
      </c>
      <c r="H1142" t="s">
        <v>773</v>
      </c>
      <c r="I1142">
        <v>1</v>
      </c>
      <c r="J1142">
        <v>2</v>
      </c>
      <c r="K1142">
        <v>1</v>
      </c>
    </row>
    <row r="1143" spans="1:11" x14ac:dyDescent="0.3">
      <c r="A1143" t="s">
        <v>11</v>
      </c>
      <c r="B1143" t="s">
        <v>36</v>
      </c>
      <c r="C1143" t="s">
        <v>216</v>
      </c>
      <c r="D1143" t="s">
        <v>590</v>
      </c>
      <c r="E1143" s="5">
        <v>45812.958333333343</v>
      </c>
      <c r="F1143">
        <v>27.106971999999999</v>
      </c>
      <c r="G1143">
        <v>78.000111000000004</v>
      </c>
      <c r="H1143" t="s">
        <v>774</v>
      </c>
      <c r="I1143">
        <v>13</v>
      </c>
      <c r="J1143">
        <v>28</v>
      </c>
      <c r="K1143">
        <v>17</v>
      </c>
    </row>
    <row r="1144" spans="1:11" x14ac:dyDescent="0.3">
      <c r="A1144" t="s">
        <v>11</v>
      </c>
      <c r="B1144" t="s">
        <v>36</v>
      </c>
      <c r="C1144" t="s">
        <v>216</v>
      </c>
      <c r="D1144" t="s">
        <v>591</v>
      </c>
      <c r="E1144" s="5">
        <v>45812.958333333343</v>
      </c>
      <c r="F1144">
        <v>27.198658330000001</v>
      </c>
      <c r="G1144">
        <v>78.005980559999998</v>
      </c>
      <c r="H1144" t="s">
        <v>775</v>
      </c>
      <c r="I1144">
        <v>41</v>
      </c>
      <c r="J1144">
        <v>320</v>
      </c>
      <c r="K1144">
        <v>152</v>
      </c>
    </row>
    <row r="1145" spans="1:11" x14ac:dyDescent="0.3">
      <c r="A1145" t="s">
        <v>11</v>
      </c>
      <c r="B1145" t="s">
        <v>42</v>
      </c>
      <c r="C1145" t="s">
        <v>286</v>
      </c>
      <c r="D1145" t="s">
        <v>742</v>
      </c>
      <c r="E1145" s="5">
        <v>45812.958333333343</v>
      </c>
      <c r="F1145">
        <v>23.817549700000001</v>
      </c>
      <c r="G1145">
        <v>91.272697399999998</v>
      </c>
      <c r="H1145" t="s">
        <v>773</v>
      </c>
      <c r="I1145">
        <v>3</v>
      </c>
      <c r="J1145">
        <v>12</v>
      </c>
      <c r="K1145">
        <v>4</v>
      </c>
    </row>
    <row r="1146" spans="1:11" x14ac:dyDescent="0.3">
      <c r="A1146" t="s">
        <v>11</v>
      </c>
      <c r="B1146" t="s">
        <v>36</v>
      </c>
      <c r="C1146" t="s">
        <v>229</v>
      </c>
      <c r="D1146" t="s">
        <v>615</v>
      </c>
      <c r="E1146" s="5">
        <v>45812.958333333343</v>
      </c>
      <c r="F1146">
        <v>26.907229999999998</v>
      </c>
      <c r="G1146">
        <v>80.985789999999994</v>
      </c>
      <c r="H1146" t="s">
        <v>774</v>
      </c>
      <c r="I1146">
        <v>21</v>
      </c>
      <c r="J1146">
        <v>25</v>
      </c>
      <c r="K1146">
        <v>23</v>
      </c>
    </row>
    <row r="1147" spans="1:11" x14ac:dyDescent="0.3">
      <c r="A1147" t="s">
        <v>11</v>
      </c>
      <c r="B1147" t="s">
        <v>36</v>
      </c>
      <c r="C1147" t="s">
        <v>229</v>
      </c>
      <c r="D1147" t="s">
        <v>743</v>
      </c>
      <c r="E1147" s="5">
        <v>45812.958333333343</v>
      </c>
      <c r="F1147">
        <v>26.8458805</v>
      </c>
      <c r="G1147">
        <v>80.936554099999995</v>
      </c>
      <c r="H1147" t="s">
        <v>776</v>
      </c>
    </row>
    <row r="1148" spans="1:11" x14ac:dyDescent="0.3">
      <c r="A1148" t="s">
        <v>11</v>
      </c>
      <c r="B1148" t="s">
        <v>36</v>
      </c>
      <c r="C1148" t="s">
        <v>229</v>
      </c>
      <c r="D1148" t="s">
        <v>743</v>
      </c>
      <c r="E1148" s="5">
        <v>45812.958333333343</v>
      </c>
      <c r="F1148">
        <v>26.8458805</v>
      </c>
      <c r="G1148">
        <v>80.936554099999995</v>
      </c>
      <c r="H1148" t="s">
        <v>770</v>
      </c>
    </row>
    <row r="1149" spans="1:11" x14ac:dyDescent="0.3">
      <c r="A1149" t="s">
        <v>11</v>
      </c>
      <c r="B1149" t="s">
        <v>36</v>
      </c>
      <c r="C1149" t="s">
        <v>229</v>
      </c>
      <c r="D1149" t="s">
        <v>616</v>
      </c>
      <c r="E1149" s="5">
        <v>45812.958333333343</v>
      </c>
      <c r="F1149">
        <v>26.833997220000001</v>
      </c>
      <c r="G1149">
        <v>80.891736100000003</v>
      </c>
      <c r="H1149" t="s">
        <v>771</v>
      </c>
      <c r="I1149">
        <v>140</v>
      </c>
      <c r="J1149">
        <v>364</v>
      </c>
      <c r="K1149">
        <v>234</v>
      </c>
    </row>
    <row r="1150" spans="1:11" x14ac:dyDescent="0.3">
      <c r="A1150" t="s">
        <v>11</v>
      </c>
      <c r="B1150" t="s">
        <v>36</v>
      </c>
      <c r="C1150" t="s">
        <v>229</v>
      </c>
      <c r="D1150" t="s">
        <v>616</v>
      </c>
      <c r="E1150" s="5">
        <v>45812.958333333343</v>
      </c>
      <c r="F1150">
        <v>26.833997220000001</v>
      </c>
      <c r="G1150">
        <v>80.891736100000003</v>
      </c>
      <c r="H1150" t="s">
        <v>773</v>
      </c>
      <c r="I1150">
        <v>9</v>
      </c>
      <c r="J1150">
        <v>18</v>
      </c>
      <c r="K1150">
        <v>12</v>
      </c>
    </row>
    <row r="1151" spans="1:11" x14ac:dyDescent="0.3">
      <c r="A1151" t="s">
        <v>11</v>
      </c>
      <c r="B1151" t="s">
        <v>36</v>
      </c>
      <c r="C1151" t="s">
        <v>229</v>
      </c>
      <c r="D1151" t="s">
        <v>616</v>
      </c>
      <c r="E1151" s="5">
        <v>45812.958333333343</v>
      </c>
      <c r="F1151">
        <v>26.833997220000001</v>
      </c>
      <c r="G1151">
        <v>80.891736100000003</v>
      </c>
      <c r="H1151" t="s">
        <v>776</v>
      </c>
      <c r="I1151">
        <v>14</v>
      </c>
      <c r="J1151">
        <v>57</v>
      </c>
      <c r="K1151">
        <v>28</v>
      </c>
    </row>
    <row r="1152" spans="1:11" x14ac:dyDescent="0.3">
      <c r="A1152" t="s">
        <v>11</v>
      </c>
      <c r="B1152" t="s">
        <v>36</v>
      </c>
      <c r="C1152" t="s">
        <v>230</v>
      </c>
      <c r="D1152" t="s">
        <v>617</v>
      </c>
      <c r="E1152" s="5">
        <v>45812.958333333343</v>
      </c>
      <c r="F1152">
        <v>28.999264</v>
      </c>
      <c r="G1152">
        <v>77.759035400000002</v>
      </c>
      <c r="H1152" t="s">
        <v>775</v>
      </c>
      <c r="I1152">
        <v>75</v>
      </c>
      <c r="J1152">
        <v>328</v>
      </c>
      <c r="K1152">
        <v>182</v>
      </c>
    </row>
    <row r="1153" spans="1:11" x14ac:dyDescent="0.3">
      <c r="A1153" t="s">
        <v>11</v>
      </c>
      <c r="B1153" t="s">
        <v>36</v>
      </c>
      <c r="C1153" t="s">
        <v>230</v>
      </c>
      <c r="D1153" t="s">
        <v>617</v>
      </c>
      <c r="E1153" s="5">
        <v>45812.958333333343</v>
      </c>
      <c r="F1153">
        <v>28.999264</v>
      </c>
      <c r="G1153">
        <v>77.759035400000002</v>
      </c>
      <c r="H1153" t="s">
        <v>772</v>
      </c>
      <c r="I1153">
        <v>15</v>
      </c>
      <c r="J1153">
        <v>124</v>
      </c>
      <c r="K1153">
        <v>43</v>
      </c>
    </row>
    <row r="1154" spans="1:11" x14ac:dyDescent="0.3">
      <c r="A1154" t="s">
        <v>11</v>
      </c>
      <c r="B1154" t="s">
        <v>36</v>
      </c>
      <c r="C1154" t="s">
        <v>230</v>
      </c>
      <c r="D1154" t="s">
        <v>624</v>
      </c>
      <c r="E1154" s="5">
        <v>45812.958333333343</v>
      </c>
      <c r="F1154">
        <v>28.953588199999999</v>
      </c>
      <c r="G1154">
        <v>77.762294100000005</v>
      </c>
      <c r="H1154" t="s">
        <v>775</v>
      </c>
      <c r="I1154">
        <v>18</v>
      </c>
      <c r="J1154">
        <v>122</v>
      </c>
      <c r="K1154">
        <v>60</v>
      </c>
    </row>
    <row r="1155" spans="1:11" x14ac:dyDescent="0.3">
      <c r="A1155" t="s">
        <v>11</v>
      </c>
      <c r="B1155" t="s">
        <v>36</v>
      </c>
      <c r="C1155" t="s">
        <v>230</v>
      </c>
      <c r="D1155" t="s">
        <v>624</v>
      </c>
      <c r="E1155" s="5">
        <v>45812.958333333343</v>
      </c>
      <c r="F1155">
        <v>28.953588199999999</v>
      </c>
      <c r="G1155">
        <v>77.762294100000005</v>
      </c>
      <c r="H1155" t="s">
        <v>771</v>
      </c>
      <c r="I1155">
        <v>66</v>
      </c>
      <c r="J1155">
        <v>238</v>
      </c>
      <c r="K1155">
        <v>121</v>
      </c>
    </row>
    <row r="1156" spans="1:11" x14ac:dyDescent="0.3">
      <c r="A1156" t="s">
        <v>11</v>
      </c>
      <c r="B1156" t="s">
        <v>36</v>
      </c>
      <c r="C1156" t="s">
        <v>218</v>
      </c>
      <c r="D1156" t="s">
        <v>596</v>
      </c>
      <c r="E1156" s="5">
        <v>45812.958333333343</v>
      </c>
      <c r="F1156">
        <v>28.389109359999999</v>
      </c>
      <c r="G1156">
        <v>79.429637080000006</v>
      </c>
      <c r="H1156" t="s">
        <v>775</v>
      </c>
      <c r="I1156">
        <v>29</v>
      </c>
      <c r="J1156">
        <v>106</v>
      </c>
      <c r="K1156">
        <v>66</v>
      </c>
    </row>
    <row r="1157" spans="1:11" x14ac:dyDescent="0.3">
      <c r="A1157" t="s">
        <v>11</v>
      </c>
      <c r="B1157" t="s">
        <v>36</v>
      </c>
      <c r="C1157" t="s">
        <v>218</v>
      </c>
      <c r="D1157" t="s">
        <v>596</v>
      </c>
      <c r="E1157" s="5">
        <v>45812.958333333343</v>
      </c>
      <c r="F1157">
        <v>28.389109359999999</v>
      </c>
      <c r="G1157">
        <v>79.429637080000006</v>
      </c>
      <c r="H1157" t="s">
        <v>773</v>
      </c>
      <c r="I1157">
        <v>1</v>
      </c>
      <c r="J1157">
        <v>1</v>
      </c>
      <c r="K1157">
        <v>1</v>
      </c>
    </row>
    <row r="1158" spans="1:11" x14ac:dyDescent="0.3">
      <c r="A1158" t="s">
        <v>11</v>
      </c>
      <c r="B1158" t="s">
        <v>36</v>
      </c>
      <c r="C1158" t="s">
        <v>219</v>
      </c>
      <c r="D1158" t="s">
        <v>597</v>
      </c>
      <c r="E1158" s="5">
        <v>45812.958333333343</v>
      </c>
      <c r="F1158">
        <v>28.406963000000001</v>
      </c>
      <c r="G1158">
        <v>77.849830999999995</v>
      </c>
      <c r="H1158" t="s">
        <v>774</v>
      </c>
      <c r="I1158">
        <v>18</v>
      </c>
      <c r="J1158">
        <v>49</v>
      </c>
      <c r="K1158">
        <v>30</v>
      </c>
    </row>
    <row r="1159" spans="1:11" x14ac:dyDescent="0.3">
      <c r="A1159" t="s">
        <v>11</v>
      </c>
      <c r="B1159" t="s">
        <v>36</v>
      </c>
      <c r="C1159" t="s">
        <v>220</v>
      </c>
      <c r="D1159" t="s">
        <v>598</v>
      </c>
      <c r="E1159" s="5">
        <v>45812.958333333343</v>
      </c>
      <c r="F1159">
        <v>27.168897000000001</v>
      </c>
      <c r="G1159">
        <v>78.376959999999997</v>
      </c>
      <c r="H1159" t="s">
        <v>771</v>
      </c>
      <c r="I1159">
        <v>48</v>
      </c>
      <c r="J1159">
        <v>144</v>
      </c>
      <c r="K1159">
        <v>89</v>
      </c>
    </row>
    <row r="1160" spans="1:11" x14ac:dyDescent="0.3">
      <c r="A1160" t="s">
        <v>11</v>
      </c>
      <c r="B1160" t="s">
        <v>36</v>
      </c>
      <c r="C1160" t="s">
        <v>220</v>
      </c>
      <c r="D1160" t="s">
        <v>598</v>
      </c>
      <c r="E1160" s="5">
        <v>45812.958333333343</v>
      </c>
      <c r="F1160">
        <v>27.168897000000001</v>
      </c>
      <c r="G1160">
        <v>78.376959999999997</v>
      </c>
      <c r="H1160" t="s">
        <v>776</v>
      </c>
      <c r="I1160">
        <v>23</v>
      </c>
      <c r="J1160">
        <v>36</v>
      </c>
      <c r="K1160">
        <v>28</v>
      </c>
    </row>
    <row r="1161" spans="1:11" x14ac:dyDescent="0.3">
      <c r="A1161" t="s">
        <v>11</v>
      </c>
      <c r="B1161" t="s">
        <v>36</v>
      </c>
      <c r="C1161" t="s">
        <v>220</v>
      </c>
      <c r="D1161" t="s">
        <v>599</v>
      </c>
      <c r="E1161" s="5">
        <v>45812.958333333343</v>
      </c>
      <c r="F1161">
        <v>27.159400000000002</v>
      </c>
      <c r="G1161">
        <v>78.395300000000006</v>
      </c>
      <c r="H1161" t="s">
        <v>772</v>
      </c>
      <c r="I1161">
        <v>15</v>
      </c>
      <c r="J1161">
        <v>15</v>
      </c>
      <c r="K1161">
        <v>15</v>
      </c>
    </row>
    <row r="1162" spans="1:11" x14ac:dyDescent="0.3">
      <c r="A1162" t="s">
        <v>11</v>
      </c>
      <c r="B1162" t="s">
        <v>36</v>
      </c>
      <c r="C1162" t="s">
        <v>224</v>
      </c>
      <c r="D1162" t="s">
        <v>608</v>
      </c>
      <c r="E1162" s="5">
        <v>45812.958333333343</v>
      </c>
      <c r="F1162">
        <v>28.725645</v>
      </c>
      <c r="G1162">
        <v>77.749674999999996</v>
      </c>
      <c r="H1162" t="s">
        <v>775</v>
      </c>
      <c r="I1162">
        <v>29</v>
      </c>
      <c r="J1162">
        <v>209</v>
      </c>
      <c r="K1162">
        <v>104</v>
      </c>
    </row>
    <row r="1163" spans="1:11" x14ac:dyDescent="0.3">
      <c r="A1163" t="s">
        <v>11</v>
      </c>
      <c r="B1163" t="s">
        <v>36</v>
      </c>
      <c r="C1163" t="s">
        <v>225</v>
      </c>
      <c r="D1163" t="s">
        <v>609</v>
      </c>
      <c r="E1163" s="5">
        <v>45812.958333333343</v>
      </c>
      <c r="F1163">
        <v>25.454699999999999</v>
      </c>
      <c r="G1163">
        <v>78.603899999999996</v>
      </c>
      <c r="H1163" t="s">
        <v>772</v>
      </c>
      <c r="I1163">
        <v>6</v>
      </c>
      <c r="J1163">
        <v>7</v>
      </c>
      <c r="K1163">
        <v>6</v>
      </c>
    </row>
    <row r="1164" spans="1:11" x14ac:dyDescent="0.3">
      <c r="A1164" t="s">
        <v>11</v>
      </c>
      <c r="B1164" t="s">
        <v>36</v>
      </c>
      <c r="C1164" t="s">
        <v>225</v>
      </c>
      <c r="D1164" t="s">
        <v>609</v>
      </c>
      <c r="E1164" s="5">
        <v>45812.958333333343</v>
      </c>
      <c r="F1164">
        <v>25.454699999999999</v>
      </c>
      <c r="G1164">
        <v>78.603899999999996</v>
      </c>
      <c r="H1164" t="s">
        <v>773</v>
      </c>
      <c r="I1164">
        <v>4</v>
      </c>
      <c r="J1164">
        <v>4</v>
      </c>
      <c r="K1164">
        <v>4</v>
      </c>
    </row>
    <row r="1165" spans="1:11" x14ac:dyDescent="0.3">
      <c r="A1165" t="s">
        <v>11</v>
      </c>
      <c r="B1165" t="s">
        <v>36</v>
      </c>
      <c r="C1165" t="s">
        <v>225</v>
      </c>
      <c r="D1165" t="s">
        <v>609</v>
      </c>
      <c r="E1165" s="5">
        <v>45812.958333333343</v>
      </c>
      <c r="F1165">
        <v>25.454699999999999</v>
      </c>
      <c r="G1165">
        <v>78.603899999999996</v>
      </c>
      <c r="H1165" t="s">
        <v>774</v>
      </c>
      <c r="I1165">
        <v>57</v>
      </c>
      <c r="J1165">
        <v>98</v>
      </c>
      <c r="K1165">
        <v>67</v>
      </c>
    </row>
    <row r="1166" spans="1:11" x14ac:dyDescent="0.3">
      <c r="A1166" t="s">
        <v>11</v>
      </c>
      <c r="B1166" t="s">
        <v>36</v>
      </c>
      <c r="C1166" t="s">
        <v>225</v>
      </c>
      <c r="D1166" t="s">
        <v>609</v>
      </c>
      <c r="E1166" s="5">
        <v>45812.958333333343</v>
      </c>
      <c r="F1166">
        <v>25.454699999999999</v>
      </c>
      <c r="G1166">
        <v>78.603899999999996</v>
      </c>
      <c r="H1166" t="s">
        <v>776</v>
      </c>
      <c r="I1166">
        <v>6</v>
      </c>
      <c r="J1166">
        <v>49</v>
      </c>
      <c r="K1166">
        <v>13</v>
      </c>
    </row>
    <row r="1167" spans="1:11" x14ac:dyDescent="0.3">
      <c r="A1167" t="s">
        <v>11</v>
      </c>
      <c r="B1167" t="s">
        <v>36</v>
      </c>
      <c r="C1167" t="s">
        <v>226</v>
      </c>
      <c r="D1167" t="s">
        <v>744</v>
      </c>
      <c r="E1167" s="5">
        <v>45812.958333333343</v>
      </c>
      <c r="F1167">
        <v>26.428281999999999</v>
      </c>
      <c r="G1167">
        <v>80.327067</v>
      </c>
      <c r="H1167" t="s">
        <v>771</v>
      </c>
    </row>
    <row r="1168" spans="1:11" x14ac:dyDescent="0.3">
      <c r="A1168" t="s">
        <v>11</v>
      </c>
      <c r="B1168" t="s">
        <v>36</v>
      </c>
      <c r="C1168" t="s">
        <v>221</v>
      </c>
      <c r="D1168" t="s">
        <v>600</v>
      </c>
      <c r="E1168" s="5">
        <v>45812.958333333343</v>
      </c>
      <c r="F1168">
        <v>28.646232999999999</v>
      </c>
      <c r="G1168">
        <v>77.358074999999999</v>
      </c>
      <c r="H1168" t="s">
        <v>770</v>
      </c>
      <c r="I1168">
        <v>4</v>
      </c>
      <c r="J1168">
        <v>84</v>
      </c>
      <c r="K1168">
        <v>46</v>
      </c>
    </row>
    <row r="1169" spans="1:11" x14ac:dyDescent="0.3">
      <c r="A1169" t="s">
        <v>11</v>
      </c>
      <c r="B1169" t="s">
        <v>36</v>
      </c>
      <c r="C1169" t="s">
        <v>221</v>
      </c>
      <c r="D1169" t="s">
        <v>602</v>
      </c>
      <c r="E1169" s="5">
        <v>45812.958333333343</v>
      </c>
      <c r="F1169">
        <v>28.685382000000001</v>
      </c>
      <c r="G1169">
        <v>77.453839000000002</v>
      </c>
      <c r="H1169" t="s">
        <v>775</v>
      </c>
      <c r="I1169">
        <v>48</v>
      </c>
      <c r="J1169">
        <v>372</v>
      </c>
      <c r="K1169">
        <v>192</v>
      </c>
    </row>
    <row r="1170" spans="1:11" x14ac:dyDescent="0.3">
      <c r="A1170" t="s">
        <v>11</v>
      </c>
      <c r="B1170" t="s">
        <v>36</v>
      </c>
      <c r="C1170" t="s">
        <v>221</v>
      </c>
      <c r="D1170" t="s">
        <v>602</v>
      </c>
      <c r="E1170" s="5">
        <v>45812.958333333343</v>
      </c>
      <c r="F1170">
        <v>28.685382000000001</v>
      </c>
      <c r="G1170">
        <v>77.453839000000002</v>
      </c>
      <c r="H1170" t="s">
        <v>772</v>
      </c>
      <c r="I1170">
        <v>18</v>
      </c>
      <c r="J1170">
        <v>149</v>
      </c>
      <c r="K1170">
        <v>68</v>
      </c>
    </row>
    <row r="1171" spans="1:11" x14ac:dyDescent="0.3">
      <c r="A1171" t="s">
        <v>11</v>
      </c>
      <c r="B1171" t="s">
        <v>36</v>
      </c>
      <c r="C1171" t="s">
        <v>221</v>
      </c>
      <c r="D1171" t="s">
        <v>602</v>
      </c>
      <c r="E1171" s="5">
        <v>45812.958333333343</v>
      </c>
      <c r="F1171">
        <v>28.685382000000001</v>
      </c>
      <c r="G1171">
        <v>77.453839000000002</v>
      </c>
      <c r="H1171" t="s">
        <v>770</v>
      </c>
      <c r="I1171">
        <v>1</v>
      </c>
      <c r="J1171">
        <v>130</v>
      </c>
      <c r="K1171">
        <v>62</v>
      </c>
    </row>
    <row r="1172" spans="1:11" x14ac:dyDescent="0.3">
      <c r="A1172" t="s">
        <v>11</v>
      </c>
      <c r="B1172" t="s">
        <v>36</v>
      </c>
      <c r="C1172" t="s">
        <v>221</v>
      </c>
      <c r="D1172" t="s">
        <v>603</v>
      </c>
      <c r="E1172" s="5">
        <v>45812.958333333343</v>
      </c>
      <c r="F1172">
        <v>28.660334599999999</v>
      </c>
      <c r="G1172">
        <v>77.357256300000003</v>
      </c>
      <c r="H1172" t="s">
        <v>775</v>
      </c>
      <c r="I1172">
        <v>28</v>
      </c>
      <c r="J1172">
        <v>263</v>
      </c>
      <c r="K1172">
        <v>103</v>
      </c>
    </row>
    <row r="1173" spans="1:11" x14ac:dyDescent="0.3">
      <c r="A1173" t="s">
        <v>11</v>
      </c>
      <c r="B1173" t="s">
        <v>36</v>
      </c>
      <c r="C1173" t="s">
        <v>221</v>
      </c>
      <c r="D1173" t="s">
        <v>603</v>
      </c>
      <c r="E1173" s="5">
        <v>45812.958333333343</v>
      </c>
      <c r="F1173">
        <v>28.660334599999999</v>
      </c>
      <c r="G1173">
        <v>77.357256300000003</v>
      </c>
      <c r="H1173" t="s">
        <v>774</v>
      </c>
      <c r="I1173">
        <v>16</v>
      </c>
      <c r="J1173">
        <v>102</v>
      </c>
      <c r="K1173">
        <v>33</v>
      </c>
    </row>
    <row r="1174" spans="1:11" x14ac:dyDescent="0.3">
      <c r="A1174" t="s">
        <v>11</v>
      </c>
      <c r="B1174" t="s">
        <v>36</v>
      </c>
      <c r="C1174" t="s">
        <v>223</v>
      </c>
      <c r="D1174" t="s">
        <v>745</v>
      </c>
      <c r="E1174" s="5">
        <v>45812.958333333343</v>
      </c>
      <c r="F1174">
        <v>28.472719999999999</v>
      </c>
      <c r="G1174">
        <v>77.481999999999999</v>
      </c>
      <c r="H1174" t="s">
        <v>775</v>
      </c>
      <c r="I1174">
        <v>20</v>
      </c>
      <c r="J1174">
        <v>113</v>
      </c>
      <c r="K1174">
        <v>55</v>
      </c>
    </row>
    <row r="1175" spans="1:11" x14ac:dyDescent="0.3">
      <c r="A1175" t="s">
        <v>11</v>
      </c>
      <c r="B1175" t="s">
        <v>36</v>
      </c>
      <c r="C1175" t="s">
        <v>223</v>
      </c>
      <c r="D1175" t="s">
        <v>745</v>
      </c>
      <c r="E1175" s="5">
        <v>45812.958333333343</v>
      </c>
      <c r="F1175">
        <v>28.472719999999999</v>
      </c>
      <c r="G1175">
        <v>77.481999999999999</v>
      </c>
      <c r="H1175" t="s">
        <v>773</v>
      </c>
      <c r="I1175">
        <v>3</v>
      </c>
      <c r="J1175">
        <v>16</v>
      </c>
      <c r="K1175">
        <v>6</v>
      </c>
    </row>
    <row r="1176" spans="1:11" x14ac:dyDescent="0.3">
      <c r="A1176" t="s">
        <v>11</v>
      </c>
      <c r="B1176" t="s">
        <v>36</v>
      </c>
      <c r="C1176" t="s">
        <v>223</v>
      </c>
      <c r="D1176" t="s">
        <v>745</v>
      </c>
      <c r="E1176" s="5">
        <v>45812.958333333343</v>
      </c>
      <c r="F1176">
        <v>28.472719999999999</v>
      </c>
      <c r="G1176">
        <v>77.481999999999999</v>
      </c>
      <c r="H1176" t="s">
        <v>776</v>
      </c>
      <c r="I1176">
        <v>3</v>
      </c>
      <c r="J1176">
        <v>106</v>
      </c>
      <c r="K1176">
        <v>55</v>
      </c>
    </row>
    <row r="1177" spans="1:11" x14ac:dyDescent="0.3">
      <c r="A1177" t="s">
        <v>11</v>
      </c>
      <c r="B1177" t="s">
        <v>36</v>
      </c>
      <c r="C1177" t="s">
        <v>223</v>
      </c>
      <c r="D1177" t="s">
        <v>607</v>
      </c>
      <c r="E1177" s="5">
        <v>45812.958333333343</v>
      </c>
      <c r="F1177">
        <v>28.557054000000001</v>
      </c>
      <c r="G1177">
        <v>77.453663000000006</v>
      </c>
      <c r="H1177" t="s">
        <v>776</v>
      </c>
      <c r="I1177">
        <v>20</v>
      </c>
      <c r="J1177">
        <v>102</v>
      </c>
      <c r="K1177">
        <v>52</v>
      </c>
    </row>
    <row r="1178" spans="1:11" x14ac:dyDescent="0.3">
      <c r="A1178" t="s">
        <v>11</v>
      </c>
      <c r="B1178" t="s">
        <v>36</v>
      </c>
      <c r="C1178" t="s">
        <v>229</v>
      </c>
      <c r="D1178" t="s">
        <v>622</v>
      </c>
      <c r="E1178" s="5">
        <v>45812.958333333343</v>
      </c>
      <c r="F1178">
        <v>26.906110999999999</v>
      </c>
      <c r="G1178">
        <v>80.948222000000001</v>
      </c>
      <c r="H1178" t="s">
        <v>776</v>
      </c>
      <c r="I1178">
        <v>13</v>
      </c>
      <c r="J1178">
        <v>117</v>
      </c>
      <c r="K1178">
        <v>57</v>
      </c>
    </row>
    <row r="1179" spans="1:11" x14ac:dyDescent="0.3">
      <c r="A1179" t="s">
        <v>11</v>
      </c>
      <c r="B1179" t="s">
        <v>36</v>
      </c>
      <c r="C1179" t="s">
        <v>229</v>
      </c>
      <c r="D1179" t="s">
        <v>615</v>
      </c>
      <c r="E1179" s="5">
        <v>45812.958333333343</v>
      </c>
      <c r="F1179">
        <v>26.907229999999998</v>
      </c>
      <c r="G1179">
        <v>80.985789999999994</v>
      </c>
      <c r="H1179" t="s">
        <v>772</v>
      </c>
      <c r="I1179">
        <v>23</v>
      </c>
      <c r="J1179">
        <v>23</v>
      </c>
      <c r="K1179">
        <v>23</v>
      </c>
    </row>
    <row r="1180" spans="1:11" x14ac:dyDescent="0.3">
      <c r="A1180" t="s">
        <v>11</v>
      </c>
      <c r="B1180" t="s">
        <v>36</v>
      </c>
      <c r="C1180" t="s">
        <v>227</v>
      </c>
      <c r="D1180" t="s">
        <v>612</v>
      </c>
      <c r="E1180" s="5">
        <v>45812.958333333343</v>
      </c>
      <c r="F1180">
        <v>28.964949000000001</v>
      </c>
      <c r="G1180">
        <v>77.278761000000003</v>
      </c>
      <c r="H1180" t="s">
        <v>771</v>
      </c>
      <c r="I1180">
        <v>89</v>
      </c>
      <c r="J1180">
        <v>426</v>
      </c>
      <c r="K1180">
        <v>178</v>
      </c>
    </row>
    <row r="1181" spans="1:11" x14ac:dyDescent="0.3">
      <c r="A1181" t="s">
        <v>11</v>
      </c>
      <c r="B1181" t="s">
        <v>36</v>
      </c>
      <c r="C1181" t="s">
        <v>227</v>
      </c>
      <c r="D1181" t="s">
        <v>612</v>
      </c>
      <c r="E1181" s="5">
        <v>45812.958333333343</v>
      </c>
      <c r="F1181">
        <v>28.964949000000001</v>
      </c>
      <c r="G1181">
        <v>77.278761000000003</v>
      </c>
      <c r="H1181" t="s">
        <v>774</v>
      </c>
      <c r="I1181">
        <v>6</v>
      </c>
      <c r="J1181">
        <v>116</v>
      </c>
      <c r="K1181">
        <v>51</v>
      </c>
    </row>
    <row r="1182" spans="1:11" x14ac:dyDescent="0.3">
      <c r="A1182" t="s">
        <v>11</v>
      </c>
      <c r="B1182" t="s">
        <v>36</v>
      </c>
      <c r="C1182" t="s">
        <v>229</v>
      </c>
      <c r="D1182" t="s">
        <v>621</v>
      </c>
      <c r="E1182" s="5">
        <v>45812.958333333343</v>
      </c>
      <c r="F1182">
        <v>26.868120000000001</v>
      </c>
      <c r="G1182">
        <v>81.005118999999993</v>
      </c>
      <c r="H1182" t="s">
        <v>775</v>
      </c>
      <c r="I1182">
        <v>48</v>
      </c>
      <c r="J1182">
        <v>240</v>
      </c>
      <c r="K1182">
        <v>101</v>
      </c>
    </row>
    <row r="1183" spans="1:11" x14ac:dyDescent="0.3">
      <c r="A1183" t="s">
        <v>11</v>
      </c>
      <c r="B1183" t="s">
        <v>36</v>
      </c>
      <c r="C1183" t="s">
        <v>226</v>
      </c>
      <c r="D1183" t="s">
        <v>610</v>
      </c>
      <c r="E1183" s="5">
        <v>45812.958333333343</v>
      </c>
      <c r="F1183">
        <v>26.509954</v>
      </c>
      <c r="G1183">
        <v>80.249611999999999</v>
      </c>
      <c r="H1183" t="s">
        <v>776</v>
      </c>
      <c r="I1183">
        <v>28</v>
      </c>
      <c r="J1183">
        <v>37</v>
      </c>
      <c r="K1183">
        <v>29</v>
      </c>
    </row>
    <row r="1184" spans="1:11" x14ac:dyDescent="0.3">
      <c r="A1184" t="s">
        <v>11</v>
      </c>
      <c r="B1184" t="s">
        <v>36</v>
      </c>
      <c r="C1184" t="s">
        <v>233</v>
      </c>
      <c r="D1184" t="s">
        <v>746</v>
      </c>
      <c r="E1184" s="5">
        <v>45812.958333333343</v>
      </c>
      <c r="F1184">
        <v>25.494</v>
      </c>
      <c r="G1184">
        <v>81.863</v>
      </c>
      <c r="H1184" t="s">
        <v>775</v>
      </c>
      <c r="I1184">
        <v>22</v>
      </c>
      <c r="J1184">
        <v>97</v>
      </c>
      <c r="K1184">
        <v>65</v>
      </c>
    </row>
    <row r="1185" spans="1:11" x14ac:dyDescent="0.3">
      <c r="A1185" t="s">
        <v>11</v>
      </c>
      <c r="B1185" t="s">
        <v>36</v>
      </c>
      <c r="C1185" t="s">
        <v>233</v>
      </c>
      <c r="D1185" t="s">
        <v>746</v>
      </c>
      <c r="E1185" s="5">
        <v>45812.958333333343</v>
      </c>
      <c r="F1185">
        <v>25.494</v>
      </c>
      <c r="G1185">
        <v>81.863</v>
      </c>
      <c r="H1185" t="s">
        <v>772</v>
      </c>
      <c r="I1185">
        <v>11</v>
      </c>
      <c r="J1185">
        <v>12</v>
      </c>
      <c r="K1185">
        <v>12</v>
      </c>
    </row>
    <row r="1186" spans="1:11" x14ac:dyDescent="0.3">
      <c r="A1186" t="s">
        <v>11</v>
      </c>
      <c r="B1186" t="s">
        <v>36</v>
      </c>
      <c r="C1186" t="s">
        <v>233</v>
      </c>
      <c r="D1186" t="s">
        <v>746</v>
      </c>
      <c r="E1186" s="5">
        <v>45812.958333333343</v>
      </c>
      <c r="F1186">
        <v>25.494</v>
      </c>
      <c r="G1186">
        <v>81.863</v>
      </c>
      <c r="H1186" t="s">
        <v>770</v>
      </c>
      <c r="I1186">
        <v>4</v>
      </c>
      <c r="J1186">
        <v>83</v>
      </c>
      <c r="K1186">
        <v>34</v>
      </c>
    </row>
    <row r="1187" spans="1:11" x14ac:dyDescent="0.3">
      <c r="A1187" t="s">
        <v>11</v>
      </c>
      <c r="B1187" t="s">
        <v>36</v>
      </c>
      <c r="C1187" t="s">
        <v>233</v>
      </c>
      <c r="D1187" t="s">
        <v>747</v>
      </c>
      <c r="E1187" s="5">
        <v>45812.958333333343</v>
      </c>
      <c r="F1187">
        <v>25.449199159999999</v>
      </c>
      <c r="G1187">
        <v>81.827359860000001</v>
      </c>
      <c r="H1187" t="s">
        <v>775</v>
      </c>
      <c r="I1187">
        <v>29</v>
      </c>
      <c r="J1187">
        <v>228</v>
      </c>
      <c r="K1187">
        <v>83</v>
      </c>
    </row>
    <row r="1188" spans="1:11" x14ac:dyDescent="0.3">
      <c r="A1188" t="s">
        <v>11</v>
      </c>
      <c r="B1188" t="s">
        <v>36</v>
      </c>
      <c r="C1188" t="s">
        <v>233</v>
      </c>
      <c r="D1188" t="s">
        <v>747</v>
      </c>
      <c r="E1188" s="5">
        <v>45812.958333333343</v>
      </c>
      <c r="F1188">
        <v>25.449199159999999</v>
      </c>
      <c r="G1188">
        <v>81.827359860000001</v>
      </c>
      <c r="H1188" t="s">
        <v>771</v>
      </c>
      <c r="I1188">
        <v>42</v>
      </c>
      <c r="J1188">
        <v>216</v>
      </c>
      <c r="K1188">
        <v>125</v>
      </c>
    </row>
    <row r="1189" spans="1:11" x14ac:dyDescent="0.3">
      <c r="A1189" t="s">
        <v>11</v>
      </c>
      <c r="B1189" t="s">
        <v>36</v>
      </c>
      <c r="C1189" t="s">
        <v>233</v>
      </c>
      <c r="D1189" t="s">
        <v>747</v>
      </c>
      <c r="E1189" s="5">
        <v>45812.958333333343</v>
      </c>
      <c r="F1189">
        <v>25.449199159999999</v>
      </c>
      <c r="G1189">
        <v>81.827359860000001</v>
      </c>
      <c r="H1189" t="s">
        <v>772</v>
      </c>
      <c r="I1189">
        <v>5</v>
      </c>
      <c r="J1189">
        <v>5</v>
      </c>
      <c r="K1189">
        <v>5</v>
      </c>
    </row>
    <row r="1190" spans="1:11" x14ac:dyDescent="0.3">
      <c r="A1190" t="s">
        <v>11</v>
      </c>
      <c r="B1190" t="s">
        <v>36</v>
      </c>
      <c r="C1190" t="s">
        <v>233</v>
      </c>
      <c r="D1190" t="s">
        <v>747</v>
      </c>
      <c r="E1190" s="5">
        <v>45812.958333333343</v>
      </c>
      <c r="F1190">
        <v>25.449199159999999</v>
      </c>
      <c r="G1190">
        <v>81.827359860000001</v>
      </c>
      <c r="H1190" t="s">
        <v>773</v>
      </c>
      <c r="I1190">
        <v>10</v>
      </c>
      <c r="J1190">
        <v>28</v>
      </c>
      <c r="K1190">
        <v>15</v>
      </c>
    </row>
    <row r="1191" spans="1:11" x14ac:dyDescent="0.3">
      <c r="A1191" t="s">
        <v>11</v>
      </c>
      <c r="B1191" t="s">
        <v>36</v>
      </c>
      <c r="C1191" t="s">
        <v>231</v>
      </c>
      <c r="D1191" t="s">
        <v>618</v>
      </c>
      <c r="E1191" s="5">
        <v>45812.958333333343</v>
      </c>
      <c r="F1191">
        <v>28.835260000000002</v>
      </c>
      <c r="G1191">
        <v>78.744600000000005</v>
      </c>
      <c r="H1191" t="s">
        <v>772</v>
      </c>
    </row>
    <row r="1192" spans="1:11" x14ac:dyDescent="0.3">
      <c r="A1192" t="s">
        <v>11</v>
      </c>
      <c r="B1192" t="s">
        <v>36</v>
      </c>
      <c r="C1192" t="s">
        <v>231</v>
      </c>
      <c r="D1192" t="s">
        <v>748</v>
      </c>
      <c r="E1192" s="5">
        <v>45812.958333333343</v>
      </c>
      <c r="F1192">
        <v>28.885280000000002</v>
      </c>
      <c r="G1192">
        <v>78.738799999999998</v>
      </c>
      <c r="H1192" t="s">
        <v>772</v>
      </c>
      <c r="I1192">
        <v>11</v>
      </c>
      <c r="J1192">
        <v>16</v>
      </c>
      <c r="K1192">
        <v>15</v>
      </c>
    </row>
    <row r="1193" spans="1:11" x14ac:dyDescent="0.3">
      <c r="A1193" t="s">
        <v>11</v>
      </c>
      <c r="B1193" t="s">
        <v>36</v>
      </c>
      <c r="C1193" t="s">
        <v>231</v>
      </c>
      <c r="D1193" t="s">
        <v>748</v>
      </c>
      <c r="E1193" s="5">
        <v>45812.958333333343</v>
      </c>
      <c r="F1193">
        <v>28.885280000000002</v>
      </c>
      <c r="G1193">
        <v>78.738799999999998</v>
      </c>
      <c r="H1193" t="s">
        <v>776</v>
      </c>
      <c r="I1193">
        <v>2</v>
      </c>
      <c r="J1193">
        <v>107</v>
      </c>
      <c r="K1193">
        <v>50</v>
      </c>
    </row>
    <row r="1194" spans="1:11" x14ac:dyDescent="0.3">
      <c r="A1194" t="s">
        <v>11</v>
      </c>
      <c r="B1194" t="s">
        <v>36</v>
      </c>
      <c r="C1194" t="s">
        <v>231</v>
      </c>
      <c r="D1194" t="s">
        <v>620</v>
      </c>
      <c r="E1194" s="5">
        <v>45812.958333333343</v>
      </c>
      <c r="F1194">
        <v>28.856663999999999</v>
      </c>
      <c r="G1194">
        <v>78.772638000000001</v>
      </c>
      <c r="H1194" t="s">
        <v>772</v>
      </c>
      <c r="I1194">
        <v>23</v>
      </c>
      <c r="J1194">
        <v>25</v>
      </c>
      <c r="K1194">
        <v>25</v>
      </c>
    </row>
    <row r="1195" spans="1:11" x14ac:dyDescent="0.3">
      <c r="A1195" t="s">
        <v>11</v>
      </c>
      <c r="B1195" t="s">
        <v>36</v>
      </c>
      <c r="C1195" t="s">
        <v>231</v>
      </c>
      <c r="D1195" t="s">
        <v>749</v>
      </c>
      <c r="E1195" s="5">
        <v>45812.958333333343</v>
      </c>
      <c r="F1195">
        <v>28.849398999999998</v>
      </c>
      <c r="G1195">
        <v>78.742362</v>
      </c>
      <c r="H1195" t="s">
        <v>772</v>
      </c>
      <c r="I1195">
        <v>25</v>
      </c>
      <c r="J1195">
        <v>25</v>
      </c>
      <c r="K1195">
        <v>25</v>
      </c>
    </row>
    <row r="1196" spans="1:11" x14ac:dyDescent="0.3">
      <c r="A1196" t="s">
        <v>11</v>
      </c>
      <c r="B1196" t="s">
        <v>36</v>
      </c>
      <c r="C1196" t="s">
        <v>231</v>
      </c>
      <c r="D1196" t="s">
        <v>749</v>
      </c>
      <c r="E1196" s="5">
        <v>45812.958333333343</v>
      </c>
      <c r="F1196">
        <v>28.849398999999998</v>
      </c>
      <c r="G1196">
        <v>78.742362</v>
      </c>
      <c r="H1196" t="s">
        <v>774</v>
      </c>
      <c r="I1196">
        <v>20</v>
      </c>
      <c r="J1196">
        <v>78</v>
      </c>
      <c r="K1196">
        <v>40</v>
      </c>
    </row>
    <row r="1197" spans="1:11" x14ac:dyDescent="0.3">
      <c r="A1197" t="s">
        <v>11</v>
      </c>
      <c r="B1197" t="s">
        <v>36</v>
      </c>
      <c r="C1197" t="s">
        <v>231</v>
      </c>
      <c r="D1197" t="s">
        <v>749</v>
      </c>
      <c r="E1197" s="5">
        <v>45812.958333333343</v>
      </c>
      <c r="F1197">
        <v>28.849398999999998</v>
      </c>
      <c r="G1197">
        <v>78.742362</v>
      </c>
      <c r="H1197" t="s">
        <v>776</v>
      </c>
      <c r="I1197">
        <v>19</v>
      </c>
      <c r="J1197">
        <v>98</v>
      </c>
      <c r="K1197">
        <v>43</v>
      </c>
    </row>
    <row r="1198" spans="1:11" x14ac:dyDescent="0.3">
      <c r="A1198" t="s">
        <v>11</v>
      </c>
      <c r="B1198" t="s">
        <v>36</v>
      </c>
      <c r="C1198" t="s">
        <v>231</v>
      </c>
      <c r="D1198" t="s">
        <v>626</v>
      </c>
      <c r="E1198" s="5">
        <v>45812.958333333343</v>
      </c>
      <c r="F1198">
        <v>28.802624999999999</v>
      </c>
      <c r="G1198">
        <v>78.753727999999995</v>
      </c>
      <c r="H1198" t="s">
        <v>770</v>
      </c>
      <c r="I1198">
        <v>16</v>
      </c>
      <c r="J1198">
        <v>100</v>
      </c>
      <c r="K1198">
        <v>69</v>
      </c>
    </row>
    <row r="1199" spans="1:11" x14ac:dyDescent="0.3">
      <c r="A1199" t="s">
        <v>11</v>
      </c>
      <c r="B1199" t="s">
        <v>36</v>
      </c>
      <c r="C1199" t="s">
        <v>287</v>
      </c>
      <c r="D1199" t="s">
        <v>750</v>
      </c>
      <c r="E1199" s="5">
        <v>45812.958333333343</v>
      </c>
      <c r="F1199">
        <v>29.472350800000001</v>
      </c>
      <c r="G1199">
        <v>77.719403099999994</v>
      </c>
      <c r="H1199" t="s">
        <v>775</v>
      </c>
      <c r="I1199">
        <v>43</v>
      </c>
      <c r="J1199">
        <v>287</v>
      </c>
      <c r="K1199">
        <v>98</v>
      </c>
    </row>
    <row r="1200" spans="1:11" x14ac:dyDescent="0.3">
      <c r="A1200" t="s">
        <v>11</v>
      </c>
      <c r="B1200" t="s">
        <v>36</v>
      </c>
      <c r="C1200" t="s">
        <v>287</v>
      </c>
      <c r="D1200" t="s">
        <v>750</v>
      </c>
      <c r="E1200" s="5">
        <v>45812.958333333343</v>
      </c>
      <c r="F1200">
        <v>29.472350800000001</v>
      </c>
      <c r="G1200">
        <v>77.719403099999994</v>
      </c>
      <c r="H1200" t="s">
        <v>774</v>
      </c>
      <c r="I1200">
        <v>13</v>
      </c>
      <c r="J1200">
        <v>60</v>
      </c>
      <c r="K1200">
        <v>39</v>
      </c>
    </row>
    <row r="1201" spans="1:11" x14ac:dyDescent="0.3">
      <c r="A1201" t="s">
        <v>11</v>
      </c>
      <c r="B1201" t="s">
        <v>36</v>
      </c>
      <c r="C1201" t="s">
        <v>287</v>
      </c>
      <c r="D1201" t="s">
        <v>750</v>
      </c>
      <c r="E1201" s="5">
        <v>45812.958333333343</v>
      </c>
      <c r="F1201">
        <v>29.472350800000001</v>
      </c>
      <c r="G1201">
        <v>77.719403099999994</v>
      </c>
      <c r="H1201" t="s">
        <v>776</v>
      </c>
      <c r="I1201">
        <v>14</v>
      </c>
      <c r="J1201">
        <v>112</v>
      </c>
      <c r="K1201">
        <v>50</v>
      </c>
    </row>
    <row r="1202" spans="1:11" x14ac:dyDescent="0.3">
      <c r="A1202" t="s">
        <v>11</v>
      </c>
      <c r="B1202" t="s">
        <v>36</v>
      </c>
      <c r="C1202" t="s">
        <v>234</v>
      </c>
      <c r="D1202" t="s">
        <v>641</v>
      </c>
      <c r="E1202" s="5">
        <v>45812.958333333343</v>
      </c>
      <c r="F1202">
        <v>25.301777999999999</v>
      </c>
      <c r="G1202">
        <v>82.996789000000007</v>
      </c>
      <c r="H1202" t="s">
        <v>773</v>
      </c>
      <c r="I1202">
        <v>1</v>
      </c>
      <c r="J1202">
        <v>1</v>
      </c>
      <c r="K1202">
        <v>1</v>
      </c>
    </row>
    <row r="1203" spans="1:11" x14ac:dyDescent="0.3">
      <c r="A1203" t="s">
        <v>11</v>
      </c>
      <c r="B1203" t="s">
        <v>36</v>
      </c>
      <c r="C1203" t="s">
        <v>234</v>
      </c>
      <c r="D1203" t="s">
        <v>642</v>
      </c>
      <c r="E1203" s="5">
        <v>45812.958333333343</v>
      </c>
      <c r="F1203">
        <v>25.262326000000002</v>
      </c>
      <c r="G1203">
        <v>82.995407999999998</v>
      </c>
      <c r="H1203" t="s">
        <v>775</v>
      </c>
      <c r="I1203">
        <v>21</v>
      </c>
      <c r="J1203">
        <v>241</v>
      </c>
      <c r="K1203">
        <v>90</v>
      </c>
    </row>
    <row r="1204" spans="1:11" x14ac:dyDescent="0.3">
      <c r="A1204" t="s">
        <v>11</v>
      </c>
      <c r="B1204" t="s">
        <v>36</v>
      </c>
      <c r="C1204" t="s">
        <v>234</v>
      </c>
      <c r="D1204" t="s">
        <v>642</v>
      </c>
      <c r="E1204" s="5">
        <v>45812.958333333343</v>
      </c>
      <c r="F1204">
        <v>25.262326000000002</v>
      </c>
      <c r="G1204">
        <v>82.995407999999998</v>
      </c>
      <c r="H1204" t="s">
        <v>771</v>
      </c>
      <c r="I1204">
        <v>25</v>
      </c>
      <c r="J1204">
        <v>114</v>
      </c>
      <c r="K1204">
        <v>66</v>
      </c>
    </row>
    <row r="1205" spans="1:11" x14ac:dyDescent="0.3">
      <c r="A1205" t="s">
        <v>11</v>
      </c>
      <c r="B1205" t="s">
        <v>36</v>
      </c>
      <c r="C1205" t="s">
        <v>230</v>
      </c>
      <c r="D1205" t="s">
        <v>623</v>
      </c>
      <c r="E1205" s="5">
        <v>45812.958333333343</v>
      </c>
      <c r="F1205">
        <v>29.063510000000001</v>
      </c>
      <c r="G1205">
        <v>77.709722999999997</v>
      </c>
      <c r="H1205" t="s">
        <v>773</v>
      </c>
      <c r="I1205">
        <v>14</v>
      </c>
      <c r="J1205">
        <v>34</v>
      </c>
      <c r="K1205">
        <v>18</v>
      </c>
    </row>
    <row r="1206" spans="1:11" x14ac:dyDescent="0.3">
      <c r="A1206" t="s">
        <v>11</v>
      </c>
      <c r="B1206" t="s">
        <v>36</v>
      </c>
      <c r="C1206" t="s">
        <v>231</v>
      </c>
      <c r="D1206" t="s">
        <v>618</v>
      </c>
      <c r="E1206" s="5">
        <v>45812.958333333343</v>
      </c>
      <c r="F1206">
        <v>28.835260000000002</v>
      </c>
      <c r="G1206">
        <v>78.744600000000005</v>
      </c>
      <c r="H1206" t="s">
        <v>775</v>
      </c>
    </row>
    <row r="1207" spans="1:11" x14ac:dyDescent="0.3">
      <c r="A1207" t="s">
        <v>11</v>
      </c>
      <c r="B1207" t="s">
        <v>36</v>
      </c>
      <c r="C1207" t="s">
        <v>232</v>
      </c>
      <c r="D1207" t="s">
        <v>751</v>
      </c>
      <c r="E1207" s="5">
        <v>45812.958333333343</v>
      </c>
      <c r="F1207">
        <v>28.5898</v>
      </c>
      <c r="G1207">
        <v>77.310100000000006</v>
      </c>
      <c r="H1207" t="s">
        <v>774</v>
      </c>
      <c r="I1207">
        <v>10</v>
      </c>
      <c r="J1207">
        <v>44</v>
      </c>
      <c r="K1207">
        <v>25</v>
      </c>
    </row>
    <row r="1208" spans="1:11" x14ac:dyDescent="0.3">
      <c r="A1208" t="s">
        <v>11</v>
      </c>
      <c r="B1208" t="s">
        <v>36</v>
      </c>
      <c r="C1208" t="s">
        <v>232</v>
      </c>
      <c r="D1208" t="s">
        <v>627</v>
      </c>
      <c r="E1208" s="5">
        <v>45812.958333333343</v>
      </c>
      <c r="F1208">
        <v>28.569230000000001</v>
      </c>
      <c r="G1208">
        <v>77.393848000000006</v>
      </c>
      <c r="H1208" t="s">
        <v>774</v>
      </c>
      <c r="I1208">
        <v>21</v>
      </c>
      <c r="J1208">
        <v>57</v>
      </c>
      <c r="K1208">
        <v>36</v>
      </c>
    </row>
    <row r="1209" spans="1:11" x14ac:dyDescent="0.3">
      <c r="A1209" t="s">
        <v>11</v>
      </c>
      <c r="B1209" t="s">
        <v>36</v>
      </c>
      <c r="C1209" t="s">
        <v>232</v>
      </c>
      <c r="D1209" t="s">
        <v>625</v>
      </c>
      <c r="E1209" s="5">
        <v>45812.958333333343</v>
      </c>
      <c r="F1209">
        <v>28.544760799999999</v>
      </c>
      <c r="G1209">
        <v>77.323125700000006</v>
      </c>
      <c r="H1209" t="s">
        <v>771</v>
      </c>
      <c r="I1209">
        <v>58</v>
      </c>
      <c r="J1209">
        <v>424</v>
      </c>
      <c r="K1209">
        <v>151</v>
      </c>
    </row>
    <row r="1210" spans="1:11" x14ac:dyDescent="0.3">
      <c r="A1210" t="s">
        <v>11</v>
      </c>
      <c r="B1210" t="s">
        <v>36</v>
      </c>
      <c r="C1210" t="s">
        <v>232</v>
      </c>
      <c r="D1210" t="s">
        <v>625</v>
      </c>
      <c r="E1210" s="5">
        <v>45812.958333333343</v>
      </c>
      <c r="F1210">
        <v>28.544760799999999</v>
      </c>
      <c r="G1210">
        <v>77.323125700000006</v>
      </c>
      <c r="H1210" t="s">
        <v>774</v>
      </c>
      <c r="I1210">
        <v>17</v>
      </c>
      <c r="J1210">
        <v>49</v>
      </c>
      <c r="K1210">
        <v>31</v>
      </c>
    </row>
    <row r="1211" spans="1:11" x14ac:dyDescent="0.3">
      <c r="A1211" t="s">
        <v>11</v>
      </c>
      <c r="B1211" t="s">
        <v>36</v>
      </c>
      <c r="C1211" t="s">
        <v>234</v>
      </c>
      <c r="D1211" t="s">
        <v>644</v>
      </c>
      <c r="E1211" s="5">
        <v>45812.958333333343</v>
      </c>
      <c r="F1211">
        <v>25.350598600000001</v>
      </c>
      <c r="G1211">
        <v>82.908307399999998</v>
      </c>
      <c r="H1211" t="s">
        <v>774</v>
      </c>
      <c r="I1211">
        <v>11</v>
      </c>
      <c r="J1211">
        <v>22</v>
      </c>
      <c r="K1211">
        <v>16</v>
      </c>
    </row>
    <row r="1212" spans="1:11" x14ac:dyDescent="0.3">
      <c r="A1212" t="s">
        <v>11</v>
      </c>
      <c r="B1212" t="s">
        <v>36</v>
      </c>
      <c r="C1212" t="s">
        <v>232</v>
      </c>
      <c r="D1212" t="s">
        <v>625</v>
      </c>
      <c r="E1212" s="5">
        <v>45812.958333333343</v>
      </c>
      <c r="F1212">
        <v>28.544760799999999</v>
      </c>
      <c r="G1212">
        <v>77.323125700000006</v>
      </c>
      <c r="H1212" t="s">
        <v>776</v>
      </c>
      <c r="I1212">
        <v>46</v>
      </c>
      <c r="J1212">
        <v>117</v>
      </c>
      <c r="K1212">
        <v>70</v>
      </c>
    </row>
    <row r="1213" spans="1:11" x14ac:dyDescent="0.3">
      <c r="A1213" t="s">
        <v>11</v>
      </c>
      <c r="B1213" t="s">
        <v>38</v>
      </c>
      <c r="C1213" t="s">
        <v>241</v>
      </c>
      <c r="D1213" t="s">
        <v>636</v>
      </c>
      <c r="E1213" s="5">
        <v>45812.958333333343</v>
      </c>
      <c r="F1213">
        <v>23.697935999999999</v>
      </c>
      <c r="G1213">
        <v>86.944395</v>
      </c>
      <c r="H1213" t="s">
        <v>774</v>
      </c>
      <c r="I1213">
        <v>4</v>
      </c>
      <c r="J1213">
        <v>17</v>
      </c>
      <c r="K1213">
        <v>10</v>
      </c>
    </row>
    <row r="1214" spans="1:11" x14ac:dyDescent="0.3">
      <c r="A1214" t="s">
        <v>11</v>
      </c>
      <c r="B1214" t="s">
        <v>38</v>
      </c>
      <c r="C1214" t="s">
        <v>241</v>
      </c>
      <c r="D1214" t="s">
        <v>752</v>
      </c>
      <c r="E1214" s="5">
        <v>45812.958333333343</v>
      </c>
      <c r="F1214">
        <v>23.618182999999998</v>
      </c>
      <c r="G1214">
        <v>87.105717999999996</v>
      </c>
      <c r="H1214" t="s">
        <v>774</v>
      </c>
      <c r="I1214">
        <v>9</v>
      </c>
      <c r="J1214">
        <v>59</v>
      </c>
      <c r="K1214">
        <v>30</v>
      </c>
    </row>
    <row r="1215" spans="1:11" x14ac:dyDescent="0.3">
      <c r="A1215" t="s">
        <v>11</v>
      </c>
      <c r="B1215" t="s">
        <v>38</v>
      </c>
      <c r="C1215" t="s">
        <v>241</v>
      </c>
      <c r="D1215" t="s">
        <v>753</v>
      </c>
      <c r="E1215" s="5">
        <v>45812.958333333343</v>
      </c>
      <c r="F1215">
        <v>23.616515</v>
      </c>
      <c r="G1215">
        <v>87.119133000000005</v>
      </c>
      <c r="H1215" t="s">
        <v>773</v>
      </c>
      <c r="I1215">
        <v>2</v>
      </c>
      <c r="J1215">
        <v>4</v>
      </c>
      <c r="K1215">
        <v>3</v>
      </c>
    </row>
    <row r="1216" spans="1:11" x14ac:dyDescent="0.3">
      <c r="A1216" t="s">
        <v>11</v>
      </c>
      <c r="B1216" t="s">
        <v>38</v>
      </c>
      <c r="C1216" t="s">
        <v>242</v>
      </c>
      <c r="D1216" t="s">
        <v>637</v>
      </c>
      <c r="E1216" s="5">
        <v>45812.958333333343</v>
      </c>
      <c r="F1216">
        <v>22.760558100000001</v>
      </c>
      <c r="G1216">
        <v>88.361758899999998</v>
      </c>
      <c r="H1216" t="s">
        <v>775</v>
      </c>
      <c r="I1216">
        <v>22</v>
      </c>
      <c r="J1216">
        <v>71</v>
      </c>
      <c r="K1216">
        <v>53</v>
      </c>
    </row>
    <row r="1217" spans="1:11" x14ac:dyDescent="0.3">
      <c r="A1217" t="s">
        <v>11</v>
      </c>
      <c r="B1217" t="s">
        <v>38</v>
      </c>
      <c r="C1217" t="s">
        <v>242</v>
      </c>
      <c r="D1217" t="s">
        <v>637</v>
      </c>
      <c r="E1217" s="5">
        <v>45812.958333333343</v>
      </c>
      <c r="F1217">
        <v>22.760558100000001</v>
      </c>
      <c r="G1217">
        <v>88.361758899999998</v>
      </c>
      <c r="H1217" t="s">
        <v>773</v>
      </c>
      <c r="I1217">
        <v>5</v>
      </c>
      <c r="J1217">
        <v>7</v>
      </c>
      <c r="K1217">
        <v>7</v>
      </c>
    </row>
    <row r="1218" spans="1:11" x14ac:dyDescent="0.3">
      <c r="A1218" t="s">
        <v>11</v>
      </c>
      <c r="B1218" t="s">
        <v>38</v>
      </c>
      <c r="C1218" t="s">
        <v>242</v>
      </c>
      <c r="D1218" t="s">
        <v>637</v>
      </c>
      <c r="E1218" s="5">
        <v>45812.958333333343</v>
      </c>
      <c r="F1218">
        <v>22.760558100000001</v>
      </c>
      <c r="G1218">
        <v>88.361758899999998</v>
      </c>
      <c r="H1218" t="s">
        <v>776</v>
      </c>
      <c r="I1218">
        <v>57</v>
      </c>
      <c r="J1218">
        <v>66</v>
      </c>
      <c r="K1218">
        <v>63</v>
      </c>
    </row>
    <row r="1219" spans="1:11" x14ac:dyDescent="0.3">
      <c r="A1219" t="s">
        <v>11</v>
      </c>
      <c r="B1219" t="s">
        <v>38</v>
      </c>
      <c r="C1219" t="s">
        <v>238</v>
      </c>
      <c r="D1219" t="s">
        <v>638</v>
      </c>
      <c r="E1219" s="5">
        <v>45812.958333333343</v>
      </c>
      <c r="F1219">
        <v>23.567923</v>
      </c>
      <c r="G1219">
        <v>87.306843000000001</v>
      </c>
      <c r="H1219" t="s">
        <v>775</v>
      </c>
      <c r="I1219">
        <v>61</v>
      </c>
      <c r="J1219">
        <v>170</v>
      </c>
      <c r="K1219">
        <v>95</v>
      </c>
    </row>
    <row r="1220" spans="1:11" x14ac:dyDescent="0.3">
      <c r="A1220" t="s">
        <v>11</v>
      </c>
      <c r="B1220" t="s">
        <v>38</v>
      </c>
      <c r="C1220" t="s">
        <v>238</v>
      </c>
      <c r="D1220" t="s">
        <v>638</v>
      </c>
      <c r="E1220" s="5">
        <v>45812.958333333343</v>
      </c>
      <c r="F1220">
        <v>23.567923</v>
      </c>
      <c r="G1220">
        <v>87.306843000000001</v>
      </c>
      <c r="H1220" t="s">
        <v>772</v>
      </c>
      <c r="I1220">
        <v>7</v>
      </c>
      <c r="J1220">
        <v>47</v>
      </c>
      <c r="K1220">
        <v>16</v>
      </c>
    </row>
    <row r="1221" spans="1:11" x14ac:dyDescent="0.3">
      <c r="A1221" t="s">
        <v>11</v>
      </c>
      <c r="B1221" t="s">
        <v>38</v>
      </c>
      <c r="C1221" t="s">
        <v>238</v>
      </c>
      <c r="D1221" t="s">
        <v>633</v>
      </c>
      <c r="E1221" s="5">
        <v>45812.958333333343</v>
      </c>
      <c r="F1221">
        <v>23.508763999999999</v>
      </c>
      <c r="G1221">
        <v>87.354439999999997</v>
      </c>
      <c r="H1221" t="s">
        <v>775</v>
      </c>
      <c r="I1221">
        <v>50</v>
      </c>
      <c r="J1221">
        <v>119</v>
      </c>
      <c r="K1221">
        <v>72</v>
      </c>
    </row>
    <row r="1222" spans="1:11" x14ac:dyDescent="0.3">
      <c r="A1222" t="s">
        <v>11</v>
      </c>
      <c r="B1222" t="s">
        <v>38</v>
      </c>
      <c r="C1222" t="s">
        <v>240</v>
      </c>
      <c r="D1222" t="s">
        <v>754</v>
      </c>
      <c r="E1222" s="5">
        <v>45812.958333333343</v>
      </c>
      <c r="F1222">
        <v>22.611968000000001</v>
      </c>
      <c r="G1222">
        <v>88.347421999999995</v>
      </c>
      <c r="H1222" t="s">
        <v>770</v>
      </c>
      <c r="I1222">
        <v>8</v>
      </c>
      <c r="J1222">
        <v>12</v>
      </c>
      <c r="K1222">
        <v>10</v>
      </c>
    </row>
    <row r="1223" spans="1:11" x14ac:dyDescent="0.3">
      <c r="A1223" t="s">
        <v>11</v>
      </c>
      <c r="B1223" t="s">
        <v>38</v>
      </c>
      <c r="C1223" t="s">
        <v>240</v>
      </c>
      <c r="D1223" t="s">
        <v>755</v>
      </c>
      <c r="E1223" s="5">
        <v>45812.958333333343</v>
      </c>
      <c r="F1223">
        <v>22.5687319</v>
      </c>
      <c r="G1223">
        <v>88.279727600000001</v>
      </c>
      <c r="H1223" t="s">
        <v>775</v>
      </c>
      <c r="I1223">
        <v>50</v>
      </c>
      <c r="J1223">
        <v>94</v>
      </c>
      <c r="K1223">
        <v>71</v>
      </c>
    </row>
    <row r="1224" spans="1:11" x14ac:dyDescent="0.3">
      <c r="A1224" t="s">
        <v>11</v>
      </c>
      <c r="B1224" t="s">
        <v>38</v>
      </c>
      <c r="C1224" t="s">
        <v>240</v>
      </c>
      <c r="D1224" t="s">
        <v>755</v>
      </c>
      <c r="E1224" s="5">
        <v>45812.958333333343</v>
      </c>
      <c r="F1224">
        <v>22.5687319</v>
      </c>
      <c r="G1224">
        <v>88.279727600000001</v>
      </c>
      <c r="H1224" t="s">
        <v>771</v>
      </c>
      <c r="I1224">
        <v>45</v>
      </c>
      <c r="J1224">
        <v>99</v>
      </c>
      <c r="K1224">
        <v>72</v>
      </c>
    </row>
    <row r="1225" spans="1:11" x14ac:dyDescent="0.3">
      <c r="A1225" t="s">
        <v>11</v>
      </c>
      <c r="B1225" t="s">
        <v>38</v>
      </c>
      <c r="C1225" t="s">
        <v>240</v>
      </c>
      <c r="D1225" t="s">
        <v>755</v>
      </c>
      <c r="E1225" s="5">
        <v>45812.958333333343</v>
      </c>
      <c r="F1225">
        <v>22.5687319</v>
      </c>
      <c r="G1225">
        <v>88.279727600000001</v>
      </c>
      <c r="H1225" t="s">
        <v>773</v>
      </c>
      <c r="I1225">
        <v>2</v>
      </c>
      <c r="J1225">
        <v>4</v>
      </c>
      <c r="K1225">
        <v>3</v>
      </c>
    </row>
    <row r="1226" spans="1:11" x14ac:dyDescent="0.3">
      <c r="A1226" t="s">
        <v>11</v>
      </c>
      <c r="B1226" t="s">
        <v>38</v>
      </c>
      <c r="C1226" t="s">
        <v>240</v>
      </c>
      <c r="D1226" t="s">
        <v>755</v>
      </c>
      <c r="E1226" s="5">
        <v>45812.958333333343</v>
      </c>
      <c r="F1226">
        <v>22.5687319</v>
      </c>
      <c r="G1226">
        <v>88.279727600000001</v>
      </c>
      <c r="H1226" t="s">
        <v>774</v>
      </c>
      <c r="I1226">
        <v>6</v>
      </c>
      <c r="J1226">
        <v>61</v>
      </c>
      <c r="K1226">
        <v>27</v>
      </c>
    </row>
    <row r="1227" spans="1:11" x14ac:dyDescent="0.3">
      <c r="A1227" t="s">
        <v>11</v>
      </c>
      <c r="B1227" t="s">
        <v>38</v>
      </c>
      <c r="C1227" t="s">
        <v>243</v>
      </c>
      <c r="D1227" t="s">
        <v>645</v>
      </c>
      <c r="E1227" s="5">
        <v>45812.958333333343</v>
      </c>
      <c r="F1227">
        <v>22.536750699999999</v>
      </c>
      <c r="G1227">
        <v>88.363802199999995</v>
      </c>
      <c r="H1227" t="s">
        <v>771</v>
      </c>
      <c r="I1227">
        <v>53</v>
      </c>
      <c r="J1227">
        <v>96</v>
      </c>
      <c r="K1227">
        <v>69</v>
      </c>
    </row>
    <row r="1228" spans="1:11" x14ac:dyDescent="0.3">
      <c r="A1228" t="s">
        <v>11</v>
      </c>
      <c r="B1228" t="s">
        <v>38</v>
      </c>
      <c r="C1228" t="s">
        <v>243</v>
      </c>
      <c r="D1228" t="s">
        <v>645</v>
      </c>
      <c r="E1228" s="5">
        <v>45812.958333333343</v>
      </c>
      <c r="F1228">
        <v>22.536750699999999</v>
      </c>
      <c r="G1228">
        <v>88.363802199999995</v>
      </c>
      <c r="H1228" t="s">
        <v>773</v>
      </c>
      <c r="I1228">
        <v>5</v>
      </c>
      <c r="J1228">
        <v>6</v>
      </c>
      <c r="K1228">
        <v>6</v>
      </c>
    </row>
    <row r="1229" spans="1:11" x14ac:dyDescent="0.3">
      <c r="A1229" t="s">
        <v>11</v>
      </c>
      <c r="B1229" t="s">
        <v>38</v>
      </c>
      <c r="C1229" t="s">
        <v>243</v>
      </c>
      <c r="D1229" t="s">
        <v>646</v>
      </c>
      <c r="E1229" s="5">
        <v>45812.958333333343</v>
      </c>
      <c r="F1229">
        <v>22.58157048</v>
      </c>
      <c r="G1229">
        <v>88.410024570000004</v>
      </c>
      <c r="H1229" t="s">
        <v>771</v>
      </c>
      <c r="I1229">
        <v>40</v>
      </c>
      <c r="J1229">
        <v>60</v>
      </c>
      <c r="K1229">
        <v>48</v>
      </c>
    </row>
    <row r="1230" spans="1:11" x14ac:dyDescent="0.3">
      <c r="A1230" t="s">
        <v>11</v>
      </c>
      <c r="B1230" t="s">
        <v>38</v>
      </c>
      <c r="C1230" t="s">
        <v>243</v>
      </c>
      <c r="D1230" t="s">
        <v>646</v>
      </c>
      <c r="E1230" s="5">
        <v>45812.958333333343</v>
      </c>
      <c r="F1230">
        <v>22.58157048</v>
      </c>
      <c r="G1230">
        <v>88.410024570000004</v>
      </c>
      <c r="H1230" t="s">
        <v>774</v>
      </c>
      <c r="I1230">
        <v>6</v>
      </c>
      <c r="J1230">
        <v>18</v>
      </c>
      <c r="K1230">
        <v>10</v>
      </c>
    </row>
    <row r="1231" spans="1:11" x14ac:dyDescent="0.3">
      <c r="A1231" t="s">
        <v>11</v>
      </c>
      <c r="B1231" t="s">
        <v>38</v>
      </c>
      <c r="C1231" t="s">
        <v>243</v>
      </c>
      <c r="D1231" t="s">
        <v>646</v>
      </c>
      <c r="E1231" s="5">
        <v>45812.958333333343</v>
      </c>
      <c r="F1231">
        <v>22.58157048</v>
      </c>
      <c r="G1231">
        <v>88.410024570000004</v>
      </c>
      <c r="H1231" t="s">
        <v>770</v>
      </c>
      <c r="I1231">
        <v>16</v>
      </c>
      <c r="J1231">
        <v>52</v>
      </c>
      <c r="K1231">
        <v>28</v>
      </c>
    </row>
    <row r="1232" spans="1:11" x14ac:dyDescent="0.3">
      <c r="A1232" t="s">
        <v>11</v>
      </c>
      <c r="B1232" t="s">
        <v>38</v>
      </c>
      <c r="C1232" t="s">
        <v>243</v>
      </c>
      <c r="D1232" t="s">
        <v>647</v>
      </c>
      <c r="E1232" s="5">
        <v>45812.958333333343</v>
      </c>
      <c r="F1232">
        <v>22.499289999999998</v>
      </c>
      <c r="G1232">
        <v>88.369169999999997</v>
      </c>
      <c r="H1232" t="s">
        <v>771</v>
      </c>
      <c r="I1232">
        <v>61</v>
      </c>
      <c r="J1232">
        <v>103</v>
      </c>
      <c r="K1232">
        <v>81</v>
      </c>
    </row>
    <row r="1233" spans="1:11" x14ac:dyDescent="0.3">
      <c r="A1233" t="s">
        <v>11</v>
      </c>
      <c r="B1233" t="s">
        <v>38</v>
      </c>
      <c r="C1233" t="s">
        <v>243</v>
      </c>
      <c r="D1233" t="s">
        <v>647</v>
      </c>
      <c r="E1233" s="5">
        <v>45812.958333333343</v>
      </c>
      <c r="F1233">
        <v>22.499289999999998</v>
      </c>
      <c r="G1233">
        <v>88.369169999999997</v>
      </c>
      <c r="H1233" t="s">
        <v>772</v>
      </c>
      <c r="I1233">
        <v>15</v>
      </c>
      <c r="J1233">
        <v>39</v>
      </c>
      <c r="K1233">
        <v>22</v>
      </c>
    </row>
    <row r="1234" spans="1:11" x14ac:dyDescent="0.3">
      <c r="A1234" t="s">
        <v>11</v>
      </c>
      <c r="B1234" t="s">
        <v>38</v>
      </c>
      <c r="C1234" t="s">
        <v>243</v>
      </c>
      <c r="D1234" t="s">
        <v>647</v>
      </c>
      <c r="E1234" s="5">
        <v>45812.958333333343</v>
      </c>
      <c r="F1234">
        <v>22.499289999999998</v>
      </c>
      <c r="G1234">
        <v>88.369169999999997</v>
      </c>
      <c r="H1234" t="s">
        <v>773</v>
      </c>
      <c r="I1234">
        <v>5</v>
      </c>
      <c r="J1234">
        <v>6</v>
      </c>
      <c r="K1234">
        <v>6</v>
      </c>
    </row>
    <row r="1235" spans="1:11" x14ac:dyDescent="0.3">
      <c r="A1235" t="s">
        <v>11</v>
      </c>
      <c r="B1235" t="s">
        <v>38</v>
      </c>
      <c r="C1235" t="s">
        <v>243</v>
      </c>
      <c r="D1235" t="s">
        <v>647</v>
      </c>
      <c r="E1235" s="5">
        <v>45812.958333333343</v>
      </c>
      <c r="F1235">
        <v>22.499289999999998</v>
      </c>
      <c r="G1235">
        <v>88.369169999999997</v>
      </c>
      <c r="H1235" t="s">
        <v>776</v>
      </c>
      <c r="I1235">
        <v>18</v>
      </c>
      <c r="J1235">
        <v>22</v>
      </c>
      <c r="K1235">
        <v>20</v>
      </c>
    </row>
    <row r="1236" spans="1:11" x14ac:dyDescent="0.3">
      <c r="A1236" t="s">
        <v>11</v>
      </c>
      <c r="B1236" t="s">
        <v>38</v>
      </c>
      <c r="C1236" t="s">
        <v>243</v>
      </c>
      <c r="D1236" t="s">
        <v>648</v>
      </c>
      <c r="E1236" s="5">
        <v>45812.958333333343</v>
      </c>
      <c r="F1236">
        <v>22.627846999999999</v>
      </c>
      <c r="G1236">
        <v>88.380668999999997</v>
      </c>
      <c r="H1236" t="s">
        <v>773</v>
      </c>
      <c r="I1236">
        <v>9</v>
      </c>
      <c r="J1236">
        <v>9</v>
      </c>
      <c r="K1236">
        <v>9</v>
      </c>
    </row>
    <row r="1237" spans="1:11" x14ac:dyDescent="0.3">
      <c r="A1237" t="s">
        <v>11</v>
      </c>
      <c r="B1237" t="s">
        <v>38</v>
      </c>
      <c r="C1237" t="s">
        <v>243</v>
      </c>
      <c r="D1237" t="s">
        <v>649</v>
      </c>
      <c r="E1237" s="5">
        <v>45812.958333333343</v>
      </c>
      <c r="F1237">
        <v>22.511060000000001</v>
      </c>
      <c r="G1237">
        <v>88.351420000000005</v>
      </c>
      <c r="H1237" t="s">
        <v>773</v>
      </c>
      <c r="I1237">
        <v>4</v>
      </c>
      <c r="J1237">
        <v>6</v>
      </c>
      <c r="K1237">
        <v>5</v>
      </c>
    </row>
    <row r="1238" spans="1:11" x14ac:dyDescent="0.3">
      <c r="A1238" t="s">
        <v>11</v>
      </c>
      <c r="B1238" t="s">
        <v>38</v>
      </c>
      <c r="C1238" t="s">
        <v>238</v>
      </c>
      <c r="D1238" t="s">
        <v>633</v>
      </c>
      <c r="E1238" s="5">
        <v>45812.958333333343</v>
      </c>
      <c r="F1238">
        <v>23.508763999999999</v>
      </c>
      <c r="G1238">
        <v>87.354439999999997</v>
      </c>
      <c r="H1238" t="s">
        <v>771</v>
      </c>
      <c r="I1238">
        <v>93</v>
      </c>
      <c r="J1238">
        <v>164</v>
      </c>
      <c r="K1238">
        <v>124</v>
      </c>
    </row>
    <row r="1239" spans="1:11" x14ac:dyDescent="0.3">
      <c r="A1239" t="s">
        <v>11</v>
      </c>
      <c r="B1239" t="s">
        <v>38</v>
      </c>
      <c r="C1239" t="s">
        <v>239</v>
      </c>
      <c r="D1239" t="s">
        <v>634</v>
      </c>
      <c r="E1239" s="5">
        <v>45812.958333333343</v>
      </c>
      <c r="F1239">
        <v>22.060469999999999</v>
      </c>
      <c r="G1239">
        <v>88.109736999999996</v>
      </c>
      <c r="H1239" t="s">
        <v>775</v>
      </c>
      <c r="I1239">
        <v>6</v>
      </c>
      <c r="J1239">
        <v>39</v>
      </c>
      <c r="K1239">
        <v>23</v>
      </c>
    </row>
    <row r="1240" spans="1:11" x14ac:dyDescent="0.3">
      <c r="A1240" t="s">
        <v>11</v>
      </c>
      <c r="B1240" t="s">
        <v>38</v>
      </c>
      <c r="C1240" t="s">
        <v>239</v>
      </c>
      <c r="D1240" t="s">
        <v>634</v>
      </c>
      <c r="E1240" s="5">
        <v>45812.958333333343</v>
      </c>
      <c r="F1240">
        <v>22.060469999999999</v>
      </c>
      <c r="G1240">
        <v>88.109736999999996</v>
      </c>
      <c r="H1240" t="s">
        <v>772</v>
      </c>
      <c r="I1240">
        <v>10</v>
      </c>
      <c r="J1240">
        <v>22</v>
      </c>
      <c r="K1240">
        <v>13</v>
      </c>
    </row>
    <row r="1241" spans="1:11" x14ac:dyDescent="0.3">
      <c r="A1241" t="s">
        <v>11</v>
      </c>
      <c r="B1241" t="s">
        <v>38</v>
      </c>
      <c r="C1241" t="s">
        <v>240</v>
      </c>
      <c r="D1241" t="s">
        <v>635</v>
      </c>
      <c r="E1241" s="5">
        <v>45812.958333333343</v>
      </c>
      <c r="F1241">
        <v>22.629801</v>
      </c>
      <c r="G1241">
        <v>88.352017000000004</v>
      </c>
      <c r="H1241" t="s">
        <v>774</v>
      </c>
      <c r="I1241">
        <v>8</v>
      </c>
      <c r="J1241">
        <v>10</v>
      </c>
      <c r="K1241">
        <v>9</v>
      </c>
    </row>
    <row r="1242" spans="1:11" x14ac:dyDescent="0.3">
      <c r="A1242" t="s">
        <v>11</v>
      </c>
      <c r="B1242" t="s">
        <v>38</v>
      </c>
      <c r="C1242" t="s">
        <v>240</v>
      </c>
      <c r="D1242" t="s">
        <v>635</v>
      </c>
      <c r="E1242" s="5">
        <v>45812.958333333343</v>
      </c>
      <c r="F1242">
        <v>22.629801</v>
      </c>
      <c r="G1242">
        <v>88.352017000000004</v>
      </c>
      <c r="H1242" t="s">
        <v>770</v>
      </c>
      <c r="I1242">
        <v>17</v>
      </c>
      <c r="J1242">
        <v>86</v>
      </c>
      <c r="K1242">
        <v>46</v>
      </c>
    </row>
    <row r="1243" spans="1:11" x14ac:dyDescent="0.3">
      <c r="A1243" t="s">
        <v>11</v>
      </c>
      <c r="B1243" t="s">
        <v>38</v>
      </c>
      <c r="C1243" t="s">
        <v>240</v>
      </c>
      <c r="D1243" t="s">
        <v>640</v>
      </c>
      <c r="E1243" s="5">
        <v>45812.958333333343</v>
      </c>
      <c r="F1243">
        <v>22.602557099999999</v>
      </c>
      <c r="G1243">
        <v>88.310566399999999</v>
      </c>
      <c r="H1243" t="s">
        <v>774</v>
      </c>
      <c r="I1243">
        <v>2</v>
      </c>
      <c r="J1243">
        <v>44</v>
      </c>
      <c r="K1243">
        <v>20</v>
      </c>
    </row>
    <row r="1244" spans="1:11" x14ac:dyDescent="0.3">
      <c r="A1244" t="s">
        <v>11</v>
      </c>
      <c r="B1244" t="s">
        <v>38</v>
      </c>
      <c r="C1244" t="s">
        <v>240</v>
      </c>
      <c r="D1244" t="s">
        <v>640</v>
      </c>
      <c r="E1244" s="5">
        <v>45812.958333333343</v>
      </c>
      <c r="F1244">
        <v>22.602557099999999</v>
      </c>
      <c r="G1244">
        <v>88.310566399999999</v>
      </c>
      <c r="H1244" t="s">
        <v>776</v>
      </c>
      <c r="I1244">
        <v>16</v>
      </c>
      <c r="J1244">
        <v>25</v>
      </c>
      <c r="K1244">
        <v>20</v>
      </c>
    </row>
    <row r="1245" spans="1:11" x14ac:dyDescent="0.3">
      <c r="A1245" t="s">
        <v>11</v>
      </c>
      <c r="B1245" t="s">
        <v>36</v>
      </c>
      <c r="C1245" t="s">
        <v>234</v>
      </c>
      <c r="D1245" t="s">
        <v>629</v>
      </c>
      <c r="E1245" s="5">
        <v>45812.958333333343</v>
      </c>
      <c r="F1245">
        <v>25.323930000000001</v>
      </c>
      <c r="G1245">
        <v>82.996870000000001</v>
      </c>
      <c r="H1245" t="s">
        <v>774</v>
      </c>
      <c r="I1245">
        <v>28</v>
      </c>
      <c r="J1245">
        <v>28</v>
      </c>
      <c r="K1245">
        <v>28</v>
      </c>
    </row>
    <row r="1246" spans="1:11" x14ac:dyDescent="0.3">
      <c r="A1246" t="s">
        <v>11</v>
      </c>
      <c r="B1246" t="s">
        <v>36</v>
      </c>
      <c r="C1246" t="s">
        <v>234</v>
      </c>
      <c r="D1246" t="s">
        <v>629</v>
      </c>
      <c r="E1246" s="5">
        <v>45812.958333333343</v>
      </c>
      <c r="F1246">
        <v>25.323930000000001</v>
      </c>
      <c r="G1246">
        <v>82.996870000000001</v>
      </c>
      <c r="H1246" t="s">
        <v>770</v>
      </c>
      <c r="I1246">
        <v>1</v>
      </c>
      <c r="J1246">
        <v>15</v>
      </c>
      <c r="K1246">
        <v>9</v>
      </c>
    </row>
    <row r="1247" spans="1:11" x14ac:dyDescent="0.3">
      <c r="A1247" t="s">
        <v>11</v>
      </c>
      <c r="B1247" t="s">
        <v>38</v>
      </c>
      <c r="C1247" t="s">
        <v>241</v>
      </c>
      <c r="D1247" t="s">
        <v>643</v>
      </c>
      <c r="E1247" s="5">
        <v>45812.958333333343</v>
      </c>
      <c r="F1247">
        <v>23.685296999999998</v>
      </c>
      <c r="G1247">
        <v>86.945967999999993</v>
      </c>
      <c r="H1247" t="s">
        <v>775</v>
      </c>
      <c r="I1247">
        <v>14</v>
      </c>
      <c r="J1247">
        <v>347</v>
      </c>
      <c r="K1247">
        <v>139</v>
      </c>
    </row>
    <row r="1248" spans="1:11" x14ac:dyDescent="0.3">
      <c r="A1248" t="s">
        <v>11</v>
      </c>
      <c r="B1248" t="s">
        <v>37</v>
      </c>
      <c r="C1248" t="s">
        <v>288</v>
      </c>
      <c r="D1248" t="s">
        <v>756</v>
      </c>
      <c r="E1248" s="5">
        <v>45812.958333333343</v>
      </c>
      <c r="F1248">
        <v>30.075911000000001</v>
      </c>
      <c r="G1248">
        <v>78.285954700000005</v>
      </c>
      <c r="H1248" t="s">
        <v>771</v>
      </c>
      <c r="I1248">
        <v>55</v>
      </c>
      <c r="J1248">
        <v>112</v>
      </c>
      <c r="K1248">
        <v>86</v>
      </c>
    </row>
    <row r="1249" spans="1:11" x14ac:dyDescent="0.3">
      <c r="A1249" t="s">
        <v>11</v>
      </c>
      <c r="B1249" t="s">
        <v>38</v>
      </c>
      <c r="C1249" t="s">
        <v>244</v>
      </c>
      <c r="D1249" t="s">
        <v>651</v>
      </c>
      <c r="E1249" s="5">
        <v>45812.958333333343</v>
      </c>
      <c r="F1249">
        <v>26.6879226</v>
      </c>
      <c r="G1249">
        <v>88.415249500000002</v>
      </c>
      <c r="H1249" t="s">
        <v>771</v>
      </c>
      <c r="I1249">
        <v>102</v>
      </c>
      <c r="J1249">
        <v>261</v>
      </c>
      <c r="K1249">
        <v>144</v>
      </c>
    </row>
    <row r="1250" spans="1:11" x14ac:dyDescent="0.3">
      <c r="A1250" t="s">
        <v>11</v>
      </c>
      <c r="B1250" t="s">
        <v>14</v>
      </c>
      <c r="C1250" t="s">
        <v>245</v>
      </c>
      <c r="D1250" t="s">
        <v>652</v>
      </c>
      <c r="E1250" s="5">
        <v>45812.958333333343</v>
      </c>
      <c r="F1250">
        <v>16.987286699999999</v>
      </c>
      <c r="G1250">
        <v>81.736317600000007</v>
      </c>
      <c r="H1250" t="s">
        <v>774</v>
      </c>
      <c r="I1250">
        <v>10</v>
      </c>
      <c r="J1250">
        <v>14</v>
      </c>
      <c r="K1250">
        <v>12</v>
      </c>
    </row>
    <row r="1251" spans="1:11" x14ac:dyDescent="0.3">
      <c r="A1251" t="s">
        <v>11</v>
      </c>
      <c r="B1251" t="s">
        <v>14</v>
      </c>
      <c r="C1251" t="s">
        <v>53</v>
      </c>
      <c r="D1251" t="s">
        <v>302</v>
      </c>
      <c r="E1251" s="5">
        <v>45812.958333333343</v>
      </c>
      <c r="F1251">
        <v>13.67</v>
      </c>
      <c r="G1251">
        <v>79.349999999999994</v>
      </c>
      <c r="H1251" t="s">
        <v>771</v>
      </c>
      <c r="I1251">
        <v>22</v>
      </c>
      <c r="J1251">
        <v>89</v>
      </c>
      <c r="K1251">
        <v>49</v>
      </c>
    </row>
    <row r="1252" spans="1:11" x14ac:dyDescent="0.3">
      <c r="A1252" t="s">
        <v>11</v>
      </c>
      <c r="B1252" t="s">
        <v>14</v>
      </c>
      <c r="C1252" t="s">
        <v>54</v>
      </c>
      <c r="D1252" t="s">
        <v>303</v>
      </c>
      <c r="E1252" s="5">
        <v>45812.958333333343</v>
      </c>
      <c r="F1252">
        <v>13.615387</v>
      </c>
      <c r="G1252">
        <v>79.409229999999994</v>
      </c>
      <c r="H1252" t="s">
        <v>775</v>
      </c>
      <c r="I1252">
        <v>42</v>
      </c>
      <c r="J1252">
        <v>254</v>
      </c>
      <c r="K1252">
        <v>99</v>
      </c>
    </row>
    <row r="1253" spans="1:11" x14ac:dyDescent="0.3">
      <c r="A1253" t="s">
        <v>11</v>
      </c>
      <c r="B1253" t="s">
        <v>14</v>
      </c>
      <c r="C1253" t="s">
        <v>54</v>
      </c>
      <c r="D1253" t="s">
        <v>303</v>
      </c>
      <c r="E1253" s="5">
        <v>45812.958333333343</v>
      </c>
      <c r="F1253">
        <v>13.615387</v>
      </c>
      <c r="G1253">
        <v>79.409229999999994</v>
      </c>
      <c r="H1253" t="s">
        <v>770</v>
      </c>
      <c r="I1253">
        <v>41</v>
      </c>
      <c r="J1253">
        <v>41</v>
      </c>
      <c r="K1253">
        <v>41</v>
      </c>
    </row>
    <row r="1254" spans="1:11" x14ac:dyDescent="0.3">
      <c r="A1254" t="s">
        <v>11</v>
      </c>
      <c r="B1254" t="s">
        <v>14</v>
      </c>
      <c r="C1254" t="s">
        <v>50</v>
      </c>
      <c r="D1254" t="s">
        <v>653</v>
      </c>
      <c r="E1254" s="5">
        <v>45812.958333333343</v>
      </c>
      <c r="F1254">
        <v>16.536107000000001</v>
      </c>
      <c r="G1254">
        <v>80.594233000000003</v>
      </c>
      <c r="H1254" t="s">
        <v>772</v>
      </c>
      <c r="I1254">
        <v>13</v>
      </c>
      <c r="J1254">
        <v>13</v>
      </c>
      <c r="K1254">
        <v>13</v>
      </c>
    </row>
    <row r="1255" spans="1:11" x14ac:dyDescent="0.3">
      <c r="A1255" t="s">
        <v>11</v>
      </c>
      <c r="B1255" t="s">
        <v>14</v>
      </c>
      <c r="C1255" t="s">
        <v>50</v>
      </c>
      <c r="D1255" t="s">
        <v>304</v>
      </c>
      <c r="E1255" s="5">
        <v>45812.958333333343</v>
      </c>
      <c r="F1255">
        <v>16.486692000000001</v>
      </c>
      <c r="G1255">
        <v>80.699436000000006</v>
      </c>
      <c r="H1255" t="s">
        <v>775</v>
      </c>
      <c r="I1255">
        <v>62</v>
      </c>
      <c r="J1255">
        <v>72</v>
      </c>
      <c r="K1255">
        <v>66</v>
      </c>
    </row>
    <row r="1256" spans="1:11" x14ac:dyDescent="0.3">
      <c r="A1256" t="s">
        <v>11</v>
      </c>
      <c r="B1256" t="s">
        <v>14</v>
      </c>
      <c r="C1256" t="s">
        <v>50</v>
      </c>
      <c r="D1256" t="s">
        <v>304</v>
      </c>
      <c r="E1256" s="5">
        <v>45812.958333333343</v>
      </c>
      <c r="F1256">
        <v>16.486692000000001</v>
      </c>
      <c r="G1256">
        <v>80.699436000000006</v>
      </c>
      <c r="H1256" t="s">
        <v>771</v>
      </c>
      <c r="I1256">
        <v>50</v>
      </c>
      <c r="J1256">
        <v>58</v>
      </c>
      <c r="K1256">
        <v>54</v>
      </c>
    </row>
    <row r="1257" spans="1:11" x14ac:dyDescent="0.3">
      <c r="A1257" t="s">
        <v>11</v>
      </c>
      <c r="B1257" t="s">
        <v>14</v>
      </c>
      <c r="C1257" t="s">
        <v>51</v>
      </c>
      <c r="D1257" t="s">
        <v>300</v>
      </c>
      <c r="E1257" s="5">
        <v>45812.958333333343</v>
      </c>
      <c r="F1257">
        <v>17.72</v>
      </c>
      <c r="G1257">
        <v>83.3</v>
      </c>
      <c r="H1257" t="s">
        <v>772</v>
      </c>
      <c r="I1257">
        <v>34</v>
      </c>
      <c r="J1257">
        <v>71</v>
      </c>
      <c r="K1257">
        <v>56</v>
      </c>
    </row>
    <row r="1258" spans="1:11" x14ac:dyDescent="0.3">
      <c r="A1258" t="s">
        <v>11</v>
      </c>
      <c r="B1258" t="s">
        <v>14</v>
      </c>
      <c r="C1258" t="s">
        <v>51</v>
      </c>
      <c r="D1258" t="s">
        <v>300</v>
      </c>
      <c r="E1258" s="5">
        <v>45812.958333333343</v>
      </c>
      <c r="F1258">
        <v>17.72</v>
      </c>
      <c r="G1258">
        <v>83.3</v>
      </c>
      <c r="H1258" t="s">
        <v>773</v>
      </c>
      <c r="I1258">
        <v>1</v>
      </c>
      <c r="J1258">
        <v>7</v>
      </c>
      <c r="K1258">
        <v>2</v>
      </c>
    </row>
    <row r="1259" spans="1:11" x14ac:dyDescent="0.3">
      <c r="A1259" t="s">
        <v>11</v>
      </c>
      <c r="B1259" t="s">
        <v>14</v>
      </c>
      <c r="C1259" t="s">
        <v>51</v>
      </c>
      <c r="D1259" t="s">
        <v>300</v>
      </c>
      <c r="E1259" s="5">
        <v>45812.958333333343</v>
      </c>
      <c r="F1259">
        <v>17.72</v>
      </c>
      <c r="G1259">
        <v>83.3</v>
      </c>
      <c r="H1259" t="s">
        <v>774</v>
      </c>
      <c r="I1259">
        <v>2</v>
      </c>
      <c r="J1259">
        <v>12</v>
      </c>
      <c r="K1259">
        <v>8</v>
      </c>
    </row>
    <row r="1260" spans="1:11" x14ac:dyDescent="0.3">
      <c r="A1260" t="s">
        <v>11</v>
      </c>
      <c r="B1260" t="s">
        <v>14</v>
      </c>
      <c r="C1260" t="s">
        <v>51</v>
      </c>
      <c r="D1260" t="s">
        <v>300</v>
      </c>
      <c r="E1260" s="5">
        <v>45812.958333333343</v>
      </c>
      <c r="F1260">
        <v>17.72</v>
      </c>
      <c r="G1260">
        <v>83.3</v>
      </c>
      <c r="H1260" t="s">
        <v>776</v>
      </c>
      <c r="I1260">
        <v>8</v>
      </c>
      <c r="J1260">
        <v>40</v>
      </c>
      <c r="K1260">
        <v>20</v>
      </c>
    </row>
    <row r="1261" spans="1:11" x14ac:dyDescent="0.3">
      <c r="A1261" t="s">
        <v>11</v>
      </c>
      <c r="B1261" t="s">
        <v>12</v>
      </c>
      <c r="C1261" t="s">
        <v>52</v>
      </c>
      <c r="D1261" t="s">
        <v>301</v>
      </c>
      <c r="E1261" s="5">
        <v>45812.958333333343</v>
      </c>
      <c r="F1261">
        <v>26.071318000000002</v>
      </c>
      <c r="G1261">
        <v>91.874880000000005</v>
      </c>
      <c r="H1261" t="s">
        <v>776</v>
      </c>
      <c r="I1261">
        <v>48</v>
      </c>
      <c r="J1261">
        <v>64</v>
      </c>
      <c r="K1261">
        <v>56</v>
      </c>
    </row>
    <row r="1262" spans="1:11" x14ac:dyDescent="0.3">
      <c r="A1262" t="s">
        <v>11</v>
      </c>
      <c r="B1262" t="s">
        <v>12</v>
      </c>
      <c r="C1262" t="s">
        <v>59</v>
      </c>
      <c r="D1262" t="s">
        <v>309</v>
      </c>
      <c r="E1262" s="5">
        <v>45812.958333333343</v>
      </c>
      <c r="F1262">
        <v>26.202863600000001</v>
      </c>
      <c r="G1262">
        <v>91.700464359999998</v>
      </c>
      <c r="H1262" t="s">
        <v>775</v>
      </c>
      <c r="I1262">
        <v>69</v>
      </c>
      <c r="J1262">
        <v>167</v>
      </c>
      <c r="K1262">
        <v>102</v>
      </c>
    </row>
    <row r="1263" spans="1:11" x14ac:dyDescent="0.3">
      <c r="A1263" t="s">
        <v>11</v>
      </c>
      <c r="B1263" t="s">
        <v>12</v>
      </c>
      <c r="C1263" t="s">
        <v>59</v>
      </c>
      <c r="D1263" t="s">
        <v>757</v>
      </c>
      <c r="E1263" s="5">
        <v>45812.958333333343</v>
      </c>
      <c r="F1263">
        <v>26.181742</v>
      </c>
      <c r="G1263">
        <v>91.780630000000002</v>
      </c>
      <c r="H1263" t="s">
        <v>770</v>
      </c>
      <c r="I1263">
        <v>2</v>
      </c>
      <c r="J1263">
        <v>98</v>
      </c>
      <c r="K1263">
        <v>57</v>
      </c>
    </row>
    <row r="1264" spans="1:11" x14ac:dyDescent="0.3">
      <c r="A1264" t="s">
        <v>11</v>
      </c>
      <c r="B1264" t="s">
        <v>12</v>
      </c>
      <c r="C1264" t="s">
        <v>43</v>
      </c>
      <c r="D1264" t="s">
        <v>292</v>
      </c>
      <c r="E1264" s="5">
        <v>45812.958333333343</v>
      </c>
      <c r="F1264">
        <v>26.349081999999999</v>
      </c>
      <c r="G1264">
        <v>92.684489999999997</v>
      </c>
      <c r="H1264" t="s">
        <v>772</v>
      </c>
      <c r="I1264">
        <v>4</v>
      </c>
      <c r="J1264">
        <v>11</v>
      </c>
      <c r="K1264">
        <v>8</v>
      </c>
    </row>
    <row r="1265" spans="1:11" x14ac:dyDescent="0.3">
      <c r="A1265" t="s">
        <v>11</v>
      </c>
      <c r="B1265" t="s">
        <v>12</v>
      </c>
      <c r="C1265" t="s">
        <v>44</v>
      </c>
      <c r="D1265" t="s">
        <v>293</v>
      </c>
      <c r="E1265" s="5">
        <v>45812.958333333343</v>
      </c>
      <c r="F1265">
        <v>26.446912000000001</v>
      </c>
      <c r="G1265">
        <v>91.439057000000005</v>
      </c>
      <c r="H1265" t="s">
        <v>774</v>
      </c>
      <c r="I1265">
        <v>2</v>
      </c>
      <c r="J1265">
        <v>6</v>
      </c>
      <c r="K1265">
        <v>3</v>
      </c>
    </row>
    <row r="1266" spans="1:11" x14ac:dyDescent="0.3">
      <c r="A1266" t="s">
        <v>11</v>
      </c>
      <c r="B1266" t="s">
        <v>12</v>
      </c>
      <c r="C1266" t="s">
        <v>45</v>
      </c>
      <c r="D1266" t="s">
        <v>294</v>
      </c>
      <c r="E1266" s="5">
        <v>45812.958333333343</v>
      </c>
      <c r="F1266">
        <v>24.82827</v>
      </c>
      <c r="G1266">
        <v>92.795249999999996</v>
      </c>
      <c r="H1266" t="s">
        <v>775</v>
      </c>
      <c r="I1266">
        <v>27</v>
      </c>
      <c r="J1266">
        <v>68</v>
      </c>
      <c r="K1266">
        <v>40</v>
      </c>
    </row>
    <row r="1267" spans="1:11" x14ac:dyDescent="0.3">
      <c r="A1267" t="s">
        <v>11</v>
      </c>
      <c r="B1267" t="s">
        <v>12</v>
      </c>
      <c r="C1267" t="s">
        <v>45</v>
      </c>
      <c r="D1267" t="s">
        <v>294</v>
      </c>
      <c r="E1267" s="5">
        <v>45812.958333333343</v>
      </c>
      <c r="F1267">
        <v>24.82827</v>
      </c>
      <c r="G1267">
        <v>92.795249999999996</v>
      </c>
      <c r="H1267" t="s">
        <v>776</v>
      </c>
      <c r="I1267">
        <v>20</v>
      </c>
      <c r="J1267">
        <v>36</v>
      </c>
      <c r="K1267">
        <v>25</v>
      </c>
    </row>
    <row r="1268" spans="1:11" x14ac:dyDescent="0.3">
      <c r="A1268" t="s">
        <v>11</v>
      </c>
      <c r="B1268" t="s">
        <v>14</v>
      </c>
      <c r="C1268" t="s">
        <v>248</v>
      </c>
      <c r="D1268" t="s">
        <v>658</v>
      </c>
      <c r="E1268" s="5">
        <v>45812.958333333343</v>
      </c>
      <c r="F1268">
        <v>16.515083300000001</v>
      </c>
      <c r="G1268">
        <v>80.518166699999995</v>
      </c>
      <c r="H1268" t="s">
        <v>776</v>
      </c>
      <c r="I1268">
        <v>10</v>
      </c>
      <c r="J1268">
        <v>44</v>
      </c>
      <c r="K1268">
        <v>25</v>
      </c>
    </row>
    <row r="1269" spans="1:11" x14ac:dyDescent="0.3">
      <c r="A1269" t="s">
        <v>11</v>
      </c>
      <c r="B1269" t="s">
        <v>14</v>
      </c>
      <c r="C1269" t="s">
        <v>248</v>
      </c>
      <c r="D1269" t="s">
        <v>658</v>
      </c>
      <c r="E1269" s="5">
        <v>45812.958333333343</v>
      </c>
      <c r="F1269">
        <v>16.515083300000001</v>
      </c>
      <c r="G1269">
        <v>80.518166699999995</v>
      </c>
      <c r="H1269" t="s">
        <v>770</v>
      </c>
      <c r="I1269">
        <v>1</v>
      </c>
      <c r="J1269">
        <v>64</v>
      </c>
      <c r="K1269">
        <v>39</v>
      </c>
    </row>
    <row r="1270" spans="1:11" x14ac:dyDescent="0.3">
      <c r="A1270" t="s">
        <v>11</v>
      </c>
      <c r="B1270" t="s">
        <v>14</v>
      </c>
      <c r="C1270" t="s">
        <v>56</v>
      </c>
      <c r="D1270" t="s">
        <v>306</v>
      </c>
      <c r="E1270" s="5">
        <v>45812.958333333343</v>
      </c>
      <c r="F1270">
        <v>13.204879999999999</v>
      </c>
      <c r="G1270">
        <v>79.097888999999995</v>
      </c>
      <c r="H1270" t="s">
        <v>771</v>
      </c>
      <c r="I1270">
        <v>33</v>
      </c>
      <c r="J1270">
        <v>91</v>
      </c>
      <c r="K1270">
        <v>56</v>
      </c>
    </row>
    <row r="1271" spans="1:11" x14ac:dyDescent="0.3">
      <c r="A1271" t="s">
        <v>11</v>
      </c>
      <c r="B1271" t="s">
        <v>14</v>
      </c>
      <c r="C1271" t="s">
        <v>56</v>
      </c>
      <c r="D1271" t="s">
        <v>306</v>
      </c>
      <c r="E1271" s="5">
        <v>45812.958333333343</v>
      </c>
      <c r="F1271">
        <v>13.204879999999999</v>
      </c>
      <c r="G1271">
        <v>79.097888999999995</v>
      </c>
      <c r="H1271" t="s">
        <v>774</v>
      </c>
      <c r="I1271">
        <v>5</v>
      </c>
      <c r="J1271">
        <v>6</v>
      </c>
      <c r="K1271">
        <v>5</v>
      </c>
    </row>
    <row r="1272" spans="1:11" x14ac:dyDescent="0.3">
      <c r="A1272" t="s">
        <v>11</v>
      </c>
      <c r="B1272" t="s">
        <v>14</v>
      </c>
      <c r="C1272" t="s">
        <v>247</v>
      </c>
      <c r="D1272" t="s">
        <v>655</v>
      </c>
      <c r="E1272" s="5">
        <v>45812.958333333343</v>
      </c>
      <c r="F1272">
        <v>14.465052</v>
      </c>
      <c r="G1272">
        <v>78.824186999999995</v>
      </c>
      <c r="H1272" t="s">
        <v>770</v>
      </c>
      <c r="I1272">
        <v>32</v>
      </c>
      <c r="J1272">
        <v>32</v>
      </c>
      <c r="K1272">
        <v>32</v>
      </c>
    </row>
    <row r="1273" spans="1:11" x14ac:dyDescent="0.3">
      <c r="A1273" t="s">
        <v>11</v>
      </c>
      <c r="B1273" t="s">
        <v>13</v>
      </c>
      <c r="C1273" t="s">
        <v>47</v>
      </c>
      <c r="D1273" t="s">
        <v>296</v>
      </c>
      <c r="E1273" s="5">
        <v>45812.958333333343</v>
      </c>
      <c r="F1273">
        <v>26.146529000000001</v>
      </c>
      <c r="G1273">
        <v>87.454183999999998</v>
      </c>
      <c r="H1273" t="s">
        <v>771</v>
      </c>
      <c r="I1273">
        <v>94</v>
      </c>
      <c r="J1273">
        <v>125</v>
      </c>
      <c r="K1273">
        <v>110</v>
      </c>
    </row>
    <row r="1274" spans="1:11" x14ac:dyDescent="0.3">
      <c r="A1274" t="s">
        <v>11</v>
      </c>
      <c r="B1274" t="s">
        <v>13</v>
      </c>
      <c r="C1274" t="s">
        <v>47</v>
      </c>
      <c r="D1274" t="s">
        <v>296</v>
      </c>
      <c r="E1274" s="5">
        <v>45812.958333333343</v>
      </c>
      <c r="F1274">
        <v>26.146529000000001</v>
      </c>
      <c r="G1274">
        <v>87.454183999999998</v>
      </c>
      <c r="H1274" t="s">
        <v>773</v>
      </c>
      <c r="I1274">
        <v>10</v>
      </c>
      <c r="J1274">
        <v>12</v>
      </c>
      <c r="K1274">
        <v>11</v>
      </c>
    </row>
    <row r="1275" spans="1:11" x14ac:dyDescent="0.3">
      <c r="A1275" t="s">
        <v>11</v>
      </c>
      <c r="B1275" t="s">
        <v>13</v>
      </c>
      <c r="C1275" t="s">
        <v>48</v>
      </c>
      <c r="D1275" t="s">
        <v>297</v>
      </c>
      <c r="E1275" s="5">
        <v>45812.958333333343</v>
      </c>
      <c r="F1275">
        <v>25.562609500000001</v>
      </c>
      <c r="G1275">
        <v>84.663263999999998</v>
      </c>
      <c r="H1275" t="s">
        <v>771</v>
      </c>
    </row>
    <row r="1276" spans="1:11" x14ac:dyDescent="0.3">
      <c r="A1276" t="s">
        <v>11</v>
      </c>
      <c r="B1276" t="s">
        <v>13</v>
      </c>
      <c r="C1276" t="s">
        <v>49</v>
      </c>
      <c r="D1276" t="s">
        <v>298</v>
      </c>
      <c r="E1276" s="5">
        <v>45812.958333333343</v>
      </c>
      <c r="F1276">
        <v>24.757459999999998</v>
      </c>
      <c r="G1276">
        <v>84.366208</v>
      </c>
      <c r="H1276" t="s">
        <v>771</v>
      </c>
      <c r="I1276">
        <v>35</v>
      </c>
      <c r="J1276">
        <v>467</v>
      </c>
      <c r="K1276">
        <v>189</v>
      </c>
    </row>
    <row r="1277" spans="1:11" x14ac:dyDescent="0.3">
      <c r="A1277" t="s">
        <v>11</v>
      </c>
      <c r="B1277" t="s">
        <v>13</v>
      </c>
      <c r="C1277" t="s">
        <v>49</v>
      </c>
      <c r="D1277" t="s">
        <v>298</v>
      </c>
      <c r="E1277" s="5">
        <v>45812.958333333343</v>
      </c>
      <c r="F1277">
        <v>24.757459999999998</v>
      </c>
      <c r="G1277">
        <v>84.366208</v>
      </c>
      <c r="H1277" t="s">
        <v>770</v>
      </c>
      <c r="I1277">
        <v>8</v>
      </c>
      <c r="J1277">
        <v>96</v>
      </c>
      <c r="K1277">
        <v>69</v>
      </c>
    </row>
    <row r="1278" spans="1:11" x14ac:dyDescent="0.3">
      <c r="A1278" t="s">
        <v>11</v>
      </c>
      <c r="B1278" t="s">
        <v>13</v>
      </c>
      <c r="C1278" t="s">
        <v>246</v>
      </c>
      <c r="D1278" t="s">
        <v>654</v>
      </c>
      <c r="E1278" s="5">
        <v>45812.958333333343</v>
      </c>
      <c r="F1278">
        <v>25.427420229999999</v>
      </c>
      <c r="G1278">
        <v>86.138860789999995</v>
      </c>
      <c r="H1278" t="s">
        <v>772</v>
      </c>
      <c r="I1278">
        <v>83</v>
      </c>
      <c r="J1278">
        <v>114</v>
      </c>
      <c r="K1278">
        <v>97</v>
      </c>
    </row>
    <row r="1279" spans="1:11" x14ac:dyDescent="0.3">
      <c r="A1279" t="s">
        <v>11</v>
      </c>
      <c r="B1279" t="s">
        <v>13</v>
      </c>
      <c r="C1279" t="s">
        <v>57</v>
      </c>
      <c r="D1279" t="s">
        <v>307</v>
      </c>
      <c r="E1279" s="5">
        <v>45812.958333333343</v>
      </c>
      <c r="F1279">
        <v>26.803650000000001</v>
      </c>
      <c r="G1279">
        <v>84.519540000000006</v>
      </c>
      <c r="H1279" t="s">
        <v>771</v>
      </c>
      <c r="I1279">
        <v>56</v>
      </c>
      <c r="J1279">
        <v>185</v>
      </c>
      <c r="K1279">
        <v>122</v>
      </c>
    </row>
    <row r="1280" spans="1:11" x14ac:dyDescent="0.3">
      <c r="A1280" t="s">
        <v>11</v>
      </c>
      <c r="B1280" t="s">
        <v>13</v>
      </c>
      <c r="C1280" t="s">
        <v>58</v>
      </c>
      <c r="D1280" t="s">
        <v>657</v>
      </c>
      <c r="E1280" s="5">
        <v>45812.958333333343</v>
      </c>
      <c r="F1280">
        <v>25.251013</v>
      </c>
      <c r="G1280">
        <v>86.989001000000002</v>
      </c>
      <c r="H1280" t="s">
        <v>775</v>
      </c>
    </row>
    <row r="1281" spans="1:11" x14ac:dyDescent="0.3">
      <c r="A1281" t="s">
        <v>11</v>
      </c>
      <c r="B1281" t="s">
        <v>13</v>
      </c>
      <c r="C1281" t="s">
        <v>58</v>
      </c>
      <c r="D1281" t="s">
        <v>657</v>
      </c>
      <c r="E1281" s="5">
        <v>45812.958333333343</v>
      </c>
      <c r="F1281">
        <v>25.251013</v>
      </c>
      <c r="G1281">
        <v>86.989001000000002</v>
      </c>
      <c r="H1281" t="s">
        <v>771</v>
      </c>
    </row>
    <row r="1282" spans="1:11" x14ac:dyDescent="0.3">
      <c r="A1282" t="s">
        <v>11</v>
      </c>
      <c r="B1282" t="s">
        <v>14</v>
      </c>
      <c r="C1282" t="s">
        <v>50</v>
      </c>
      <c r="D1282" t="s">
        <v>656</v>
      </c>
      <c r="E1282" s="5">
        <v>45812.958333333343</v>
      </c>
      <c r="F1282">
        <v>16.509716999999998</v>
      </c>
      <c r="G1282">
        <v>80.612222000000003</v>
      </c>
      <c r="H1282" t="s">
        <v>771</v>
      </c>
      <c r="I1282">
        <v>58</v>
      </c>
      <c r="J1282">
        <v>86</v>
      </c>
      <c r="K1282">
        <v>73</v>
      </c>
    </row>
    <row r="1283" spans="1:11" x14ac:dyDescent="0.3">
      <c r="A1283" t="s">
        <v>11</v>
      </c>
      <c r="B1283" t="s">
        <v>14</v>
      </c>
      <c r="C1283" t="s">
        <v>50</v>
      </c>
      <c r="D1283" t="s">
        <v>656</v>
      </c>
      <c r="E1283" s="5">
        <v>45812.958333333343</v>
      </c>
      <c r="F1283">
        <v>16.509716999999998</v>
      </c>
      <c r="G1283">
        <v>80.612222000000003</v>
      </c>
      <c r="H1283" t="s">
        <v>772</v>
      </c>
      <c r="I1283">
        <v>41</v>
      </c>
      <c r="J1283">
        <v>77</v>
      </c>
      <c r="K1283">
        <v>57</v>
      </c>
    </row>
    <row r="1284" spans="1:11" x14ac:dyDescent="0.3">
      <c r="A1284" t="s">
        <v>11</v>
      </c>
      <c r="B1284" t="s">
        <v>14</v>
      </c>
      <c r="C1284" t="s">
        <v>50</v>
      </c>
      <c r="D1284" t="s">
        <v>656</v>
      </c>
      <c r="E1284" s="5">
        <v>45812.958333333343</v>
      </c>
      <c r="F1284">
        <v>16.509716999999998</v>
      </c>
      <c r="G1284">
        <v>80.612222000000003</v>
      </c>
      <c r="H1284" t="s">
        <v>774</v>
      </c>
      <c r="I1284">
        <v>8</v>
      </c>
      <c r="J1284">
        <v>13</v>
      </c>
      <c r="K1284">
        <v>9</v>
      </c>
    </row>
    <row r="1285" spans="1:11" x14ac:dyDescent="0.3">
      <c r="A1285" t="s">
        <v>11</v>
      </c>
      <c r="B1285" t="s">
        <v>14</v>
      </c>
      <c r="C1285" t="s">
        <v>50</v>
      </c>
      <c r="D1285" t="s">
        <v>656</v>
      </c>
      <c r="E1285" s="5">
        <v>45812.958333333343</v>
      </c>
      <c r="F1285">
        <v>16.509716999999998</v>
      </c>
      <c r="G1285">
        <v>80.612222000000003</v>
      </c>
      <c r="H1285" t="s">
        <v>776</v>
      </c>
      <c r="I1285">
        <v>30</v>
      </c>
      <c r="J1285">
        <v>44</v>
      </c>
      <c r="K1285">
        <v>39</v>
      </c>
    </row>
    <row r="1286" spans="1:11" x14ac:dyDescent="0.3">
      <c r="A1286" t="s">
        <v>11</v>
      </c>
      <c r="B1286" t="s">
        <v>14</v>
      </c>
      <c r="C1286" t="s">
        <v>50</v>
      </c>
      <c r="D1286" t="s">
        <v>656</v>
      </c>
      <c r="E1286" s="5">
        <v>45812.958333333343</v>
      </c>
      <c r="F1286">
        <v>16.509716999999998</v>
      </c>
      <c r="G1286">
        <v>80.612222000000003</v>
      </c>
      <c r="H1286" t="s">
        <v>770</v>
      </c>
      <c r="I1286">
        <v>6</v>
      </c>
      <c r="J1286">
        <v>27</v>
      </c>
      <c r="K1286">
        <v>17</v>
      </c>
    </row>
    <row r="1287" spans="1:11" x14ac:dyDescent="0.3">
      <c r="A1287" t="s">
        <v>11</v>
      </c>
      <c r="B1287" t="s">
        <v>12</v>
      </c>
      <c r="C1287" t="s">
        <v>59</v>
      </c>
      <c r="D1287" t="s">
        <v>309</v>
      </c>
      <c r="E1287" s="5">
        <v>45812.958333333343</v>
      </c>
      <c r="F1287">
        <v>26.202863600000001</v>
      </c>
      <c r="G1287">
        <v>91.700464359999998</v>
      </c>
      <c r="H1287" t="s">
        <v>774</v>
      </c>
      <c r="I1287">
        <v>19</v>
      </c>
      <c r="J1287">
        <v>20</v>
      </c>
      <c r="K1287">
        <v>19</v>
      </c>
    </row>
    <row r="1288" spans="1:11" x14ac:dyDescent="0.3">
      <c r="A1288" t="s">
        <v>11</v>
      </c>
      <c r="B1288" t="s">
        <v>12</v>
      </c>
      <c r="C1288" t="s">
        <v>59</v>
      </c>
      <c r="D1288" t="s">
        <v>310</v>
      </c>
      <c r="E1288" s="5">
        <v>45812.958333333343</v>
      </c>
      <c r="F1288">
        <v>26.10887</v>
      </c>
      <c r="G1288">
        <v>91.589544000000004</v>
      </c>
      <c r="H1288" t="s">
        <v>771</v>
      </c>
      <c r="I1288">
        <v>63</v>
      </c>
      <c r="J1288">
        <v>272</v>
      </c>
      <c r="K1288">
        <v>131</v>
      </c>
    </row>
    <row r="1289" spans="1:11" x14ac:dyDescent="0.3">
      <c r="A1289" t="s">
        <v>11</v>
      </c>
      <c r="B1289" t="s">
        <v>12</v>
      </c>
      <c r="C1289" t="s">
        <v>59</v>
      </c>
      <c r="D1289" t="s">
        <v>311</v>
      </c>
      <c r="E1289" s="5">
        <v>45812.958333333343</v>
      </c>
      <c r="F1289">
        <v>26.1875</v>
      </c>
      <c r="G1289">
        <v>91.744193999999993</v>
      </c>
      <c r="H1289" t="s">
        <v>774</v>
      </c>
      <c r="I1289">
        <v>25</v>
      </c>
      <c r="J1289">
        <v>42</v>
      </c>
      <c r="K1289">
        <v>32</v>
      </c>
    </row>
    <row r="1290" spans="1:11" x14ac:dyDescent="0.3">
      <c r="A1290" t="s">
        <v>11</v>
      </c>
      <c r="B1290" t="s">
        <v>15</v>
      </c>
      <c r="C1290" t="s">
        <v>60</v>
      </c>
      <c r="D1290" t="s">
        <v>312</v>
      </c>
      <c r="E1290" s="5">
        <v>45812.958333333343</v>
      </c>
      <c r="F1290">
        <v>11.654054</v>
      </c>
      <c r="G1290">
        <v>92.734054999999998</v>
      </c>
      <c r="H1290" t="s">
        <v>776</v>
      </c>
      <c r="I1290">
        <v>18</v>
      </c>
      <c r="J1290">
        <v>100</v>
      </c>
      <c r="K1290">
        <v>32</v>
      </c>
    </row>
    <row r="1291" spans="1:11" x14ac:dyDescent="0.3">
      <c r="A1291" t="s">
        <v>11</v>
      </c>
      <c r="B1291" t="s">
        <v>14</v>
      </c>
      <c r="C1291" t="s">
        <v>248</v>
      </c>
      <c r="D1291" t="s">
        <v>658</v>
      </c>
      <c r="E1291" s="5">
        <v>45812.958333333343</v>
      </c>
      <c r="F1291">
        <v>16.515083300000001</v>
      </c>
      <c r="G1291">
        <v>80.518166699999995</v>
      </c>
      <c r="H1291" t="s">
        <v>771</v>
      </c>
      <c r="I1291">
        <v>17</v>
      </c>
      <c r="J1291">
        <v>72</v>
      </c>
      <c r="K1291">
        <v>38</v>
      </c>
    </row>
    <row r="1292" spans="1:11" x14ac:dyDescent="0.3">
      <c r="A1292" t="s">
        <v>11</v>
      </c>
      <c r="B1292" t="s">
        <v>13</v>
      </c>
      <c r="C1292" t="s">
        <v>58</v>
      </c>
      <c r="D1292" t="s">
        <v>308</v>
      </c>
      <c r="E1292" s="5">
        <v>45812.958333333343</v>
      </c>
      <c r="F1292">
        <v>25.265194000000001</v>
      </c>
      <c r="G1292">
        <v>87.012946999999997</v>
      </c>
      <c r="H1292" t="s">
        <v>771</v>
      </c>
      <c r="I1292">
        <v>100</v>
      </c>
      <c r="J1292">
        <v>213</v>
      </c>
      <c r="K1292">
        <v>146</v>
      </c>
    </row>
    <row r="1293" spans="1:11" x14ac:dyDescent="0.3">
      <c r="A1293" t="s">
        <v>11</v>
      </c>
      <c r="B1293" t="s">
        <v>13</v>
      </c>
      <c r="C1293" t="s">
        <v>71</v>
      </c>
      <c r="D1293" t="s">
        <v>325</v>
      </c>
      <c r="E1293" s="5">
        <v>45812.958333333343</v>
      </c>
      <c r="F1293">
        <v>26.114419999999999</v>
      </c>
      <c r="G1293">
        <v>85.398129999999995</v>
      </c>
      <c r="H1293" t="s">
        <v>776</v>
      </c>
      <c r="I1293">
        <v>18</v>
      </c>
      <c r="J1293">
        <v>84</v>
      </c>
      <c r="K1293">
        <v>32</v>
      </c>
    </row>
    <row r="1294" spans="1:11" x14ac:dyDescent="0.3">
      <c r="A1294" t="s">
        <v>11</v>
      </c>
      <c r="B1294" t="s">
        <v>13</v>
      </c>
      <c r="C1294" t="s">
        <v>71</v>
      </c>
      <c r="D1294" t="s">
        <v>659</v>
      </c>
      <c r="E1294" s="5">
        <v>45812.958333333343</v>
      </c>
      <c r="F1294">
        <v>26.140334500000002</v>
      </c>
      <c r="G1294">
        <v>85.365019200000006</v>
      </c>
      <c r="H1294" t="s">
        <v>775</v>
      </c>
      <c r="I1294">
        <v>37</v>
      </c>
      <c r="J1294">
        <v>320</v>
      </c>
      <c r="K1294">
        <v>156</v>
      </c>
    </row>
    <row r="1295" spans="1:11" x14ac:dyDescent="0.3">
      <c r="A1295" t="s">
        <v>11</v>
      </c>
      <c r="B1295" t="s">
        <v>13</v>
      </c>
      <c r="C1295" t="s">
        <v>71</v>
      </c>
      <c r="D1295" t="s">
        <v>659</v>
      </c>
      <c r="E1295" s="5">
        <v>45812.958333333343</v>
      </c>
      <c r="F1295">
        <v>26.140334500000002</v>
      </c>
      <c r="G1295">
        <v>85.365019200000006</v>
      </c>
      <c r="H1295" t="s">
        <v>771</v>
      </c>
    </row>
    <row r="1296" spans="1:11" x14ac:dyDescent="0.3">
      <c r="A1296" t="s">
        <v>11</v>
      </c>
      <c r="B1296" t="s">
        <v>13</v>
      </c>
      <c r="C1296" t="s">
        <v>71</v>
      </c>
      <c r="D1296" t="s">
        <v>659</v>
      </c>
      <c r="E1296" s="5">
        <v>45812.958333333343</v>
      </c>
      <c r="F1296">
        <v>26.140334500000002</v>
      </c>
      <c r="G1296">
        <v>85.365019200000006</v>
      </c>
      <c r="H1296" t="s">
        <v>773</v>
      </c>
      <c r="I1296">
        <v>4</v>
      </c>
      <c r="J1296">
        <v>4</v>
      </c>
      <c r="K1296">
        <v>4</v>
      </c>
    </row>
    <row r="1297" spans="1:11" x14ac:dyDescent="0.3">
      <c r="A1297" t="s">
        <v>11</v>
      </c>
      <c r="B1297" t="s">
        <v>13</v>
      </c>
      <c r="C1297" t="s">
        <v>71</v>
      </c>
      <c r="D1297" t="s">
        <v>659</v>
      </c>
      <c r="E1297" s="5">
        <v>45812.958333333343</v>
      </c>
      <c r="F1297">
        <v>26.140334500000002</v>
      </c>
      <c r="G1297">
        <v>85.365019200000006</v>
      </c>
      <c r="H1297" t="s">
        <v>774</v>
      </c>
      <c r="I1297">
        <v>8</v>
      </c>
      <c r="J1297">
        <v>9</v>
      </c>
      <c r="K1297">
        <v>9</v>
      </c>
    </row>
    <row r="1298" spans="1:11" x14ac:dyDescent="0.3">
      <c r="A1298" t="s">
        <v>11</v>
      </c>
      <c r="B1298" t="s">
        <v>13</v>
      </c>
      <c r="C1298" t="s">
        <v>71</v>
      </c>
      <c r="D1298" t="s">
        <v>659</v>
      </c>
      <c r="E1298" s="5">
        <v>45812.958333333343</v>
      </c>
      <c r="F1298">
        <v>26.140334500000002</v>
      </c>
      <c r="G1298">
        <v>85.365019200000006</v>
      </c>
      <c r="H1298" t="s">
        <v>776</v>
      </c>
      <c r="I1298">
        <v>47</v>
      </c>
      <c r="J1298">
        <v>107</v>
      </c>
      <c r="K1298">
        <v>71</v>
      </c>
    </row>
    <row r="1299" spans="1:11" x14ac:dyDescent="0.3">
      <c r="A1299" t="s">
        <v>11</v>
      </c>
      <c r="B1299" t="s">
        <v>13</v>
      </c>
      <c r="C1299" t="s">
        <v>71</v>
      </c>
      <c r="D1299" t="s">
        <v>659</v>
      </c>
      <c r="E1299" s="5">
        <v>45812.958333333343</v>
      </c>
      <c r="F1299">
        <v>26.140334500000002</v>
      </c>
      <c r="G1299">
        <v>85.365019200000006</v>
      </c>
      <c r="H1299" t="s">
        <v>770</v>
      </c>
      <c r="I1299">
        <v>3</v>
      </c>
      <c r="J1299">
        <v>73</v>
      </c>
      <c r="K1299">
        <v>47</v>
      </c>
    </row>
    <row r="1300" spans="1:11" x14ac:dyDescent="0.3">
      <c r="A1300" t="s">
        <v>11</v>
      </c>
      <c r="B1300" t="s">
        <v>13</v>
      </c>
      <c r="C1300" t="s">
        <v>61</v>
      </c>
      <c r="D1300" t="s">
        <v>326</v>
      </c>
      <c r="E1300" s="5">
        <v>45812.958333333343</v>
      </c>
      <c r="F1300">
        <v>25.586562000000001</v>
      </c>
      <c r="G1300">
        <v>85.043586000000005</v>
      </c>
      <c r="H1300" t="s">
        <v>771</v>
      </c>
      <c r="I1300">
        <v>75</v>
      </c>
      <c r="J1300">
        <v>500</v>
      </c>
      <c r="K1300">
        <v>175</v>
      </c>
    </row>
    <row r="1301" spans="1:11" x14ac:dyDescent="0.3">
      <c r="A1301" t="s">
        <v>11</v>
      </c>
      <c r="B1301" t="s">
        <v>13</v>
      </c>
      <c r="C1301" t="s">
        <v>61</v>
      </c>
      <c r="D1301" t="s">
        <v>326</v>
      </c>
      <c r="E1301" s="5">
        <v>45812.958333333343</v>
      </c>
      <c r="F1301">
        <v>25.586562000000001</v>
      </c>
      <c r="G1301">
        <v>85.043586000000005</v>
      </c>
      <c r="H1301" t="s">
        <v>774</v>
      </c>
      <c r="I1301">
        <v>2</v>
      </c>
      <c r="J1301">
        <v>8</v>
      </c>
      <c r="K1301">
        <v>4</v>
      </c>
    </row>
    <row r="1302" spans="1:11" x14ac:dyDescent="0.3">
      <c r="A1302" t="s">
        <v>11</v>
      </c>
      <c r="B1302" t="s">
        <v>13</v>
      </c>
      <c r="C1302" t="s">
        <v>61</v>
      </c>
      <c r="D1302" t="s">
        <v>326</v>
      </c>
      <c r="E1302" s="5">
        <v>45812.958333333343</v>
      </c>
      <c r="F1302">
        <v>25.586562000000001</v>
      </c>
      <c r="G1302">
        <v>85.043586000000005</v>
      </c>
      <c r="H1302" t="s">
        <v>776</v>
      </c>
      <c r="I1302">
        <v>16</v>
      </c>
      <c r="J1302">
        <v>110</v>
      </c>
      <c r="K1302">
        <v>54</v>
      </c>
    </row>
    <row r="1303" spans="1:11" x14ac:dyDescent="0.3">
      <c r="A1303" t="s">
        <v>11</v>
      </c>
      <c r="B1303" t="s">
        <v>13</v>
      </c>
      <c r="C1303" t="s">
        <v>61</v>
      </c>
      <c r="D1303" t="s">
        <v>329</v>
      </c>
      <c r="E1303" s="5">
        <v>45812.958333333343</v>
      </c>
      <c r="F1303">
        <v>25.592538999999999</v>
      </c>
      <c r="G1303">
        <v>85.227158000000003</v>
      </c>
      <c r="H1303" t="s">
        <v>775</v>
      </c>
      <c r="I1303">
        <v>58</v>
      </c>
      <c r="J1303">
        <v>233</v>
      </c>
      <c r="K1303">
        <v>117</v>
      </c>
    </row>
    <row r="1304" spans="1:11" x14ac:dyDescent="0.3">
      <c r="A1304" t="s">
        <v>11</v>
      </c>
      <c r="B1304" t="s">
        <v>13</v>
      </c>
      <c r="C1304" t="s">
        <v>68</v>
      </c>
      <c r="D1304" t="s">
        <v>320</v>
      </c>
      <c r="E1304" s="5">
        <v>45812.958333333343</v>
      </c>
      <c r="F1304">
        <v>25.780825700000001</v>
      </c>
      <c r="G1304">
        <v>84.744676799999993</v>
      </c>
      <c r="H1304" t="s">
        <v>772</v>
      </c>
      <c r="I1304">
        <v>2</v>
      </c>
      <c r="J1304">
        <v>81</v>
      </c>
      <c r="K1304">
        <v>26</v>
      </c>
    </row>
    <row r="1305" spans="1:11" x14ac:dyDescent="0.3">
      <c r="A1305" t="s">
        <v>11</v>
      </c>
      <c r="B1305" t="s">
        <v>13</v>
      </c>
      <c r="C1305" t="s">
        <v>68</v>
      </c>
      <c r="D1305" t="s">
        <v>320</v>
      </c>
      <c r="E1305" s="5">
        <v>45812.958333333343</v>
      </c>
      <c r="F1305">
        <v>25.780825700000001</v>
      </c>
      <c r="G1305">
        <v>84.744676799999993</v>
      </c>
      <c r="H1305" t="s">
        <v>776</v>
      </c>
      <c r="I1305">
        <v>8</v>
      </c>
      <c r="J1305">
        <v>27</v>
      </c>
      <c r="K1305">
        <v>11</v>
      </c>
    </row>
    <row r="1306" spans="1:11" x14ac:dyDescent="0.3">
      <c r="A1306" t="s">
        <v>11</v>
      </c>
      <c r="B1306" t="s">
        <v>13</v>
      </c>
      <c r="C1306" t="s">
        <v>69</v>
      </c>
      <c r="D1306" t="s">
        <v>758</v>
      </c>
      <c r="E1306" s="5">
        <v>45812.958333333343</v>
      </c>
      <c r="F1306">
        <v>24.795500000000001</v>
      </c>
      <c r="G1306">
        <v>84.999399999999994</v>
      </c>
      <c r="H1306" t="s">
        <v>775</v>
      </c>
      <c r="I1306">
        <v>21</v>
      </c>
      <c r="J1306">
        <v>263</v>
      </c>
      <c r="K1306">
        <v>119</v>
      </c>
    </row>
    <row r="1307" spans="1:11" x14ac:dyDescent="0.3">
      <c r="A1307" t="s">
        <v>11</v>
      </c>
      <c r="B1307" t="s">
        <v>13</v>
      </c>
      <c r="C1307" t="s">
        <v>69</v>
      </c>
      <c r="D1307" t="s">
        <v>758</v>
      </c>
      <c r="E1307" s="5">
        <v>45812.958333333343</v>
      </c>
      <c r="F1307">
        <v>24.795500000000001</v>
      </c>
      <c r="G1307">
        <v>84.999399999999994</v>
      </c>
      <c r="H1307" t="s">
        <v>776</v>
      </c>
      <c r="I1307">
        <v>8</v>
      </c>
      <c r="J1307">
        <v>92</v>
      </c>
      <c r="K1307">
        <v>51</v>
      </c>
    </row>
    <row r="1308" spans="1:11" x14ac:dyDescent="0.3">
      <c r="A1308" t="s">
        <v>11</v>
      </c>
      <c r="B1308" t="s">
        <v>13</v>
      </c>
      <c r="C1308" t="s">
        <v>69</v>
      </c>
      <c r="D1308" t="s">
        <v>321</v>
      </c>
      <c r="E1308" s="5">
        <v>45812.958333333343</v>
      </c>
      <c r="F1308">
        <v>24.792403</v>
      </c>
      <c r="G1308">
        <v>84.992416000000006</v>
      </c>
      <c r="H1308" t="s">
        <v>771</v>
      </c>
      <c r="I1308">
        <v>81</v>
      </c>
      <c r="J1308">
        <v>281</v>
      </c>
      <c r="K1308">
        <v>153</v>
      </c>
    </row>
    <row r="1309" spans="1:11" x14ac:dyDescent="0.3">
      <c r="A1309" t="s">
        <v>11</v>
      </c>
      <c r="B1309" t="s">
        <v>13</v>
      </c>
      <c r="C1309" t="s">
        <v>69</v>
      </c>
      <c r="D1309" t="s">
        <v>321</v>
      </c>
      <c r="E1309" s="5">
        <v>45812.958333333343</v>
      </c>
      <c r="F1309">
        <v>24.792403</v>
      </c>
      <c r="G1309">
        <v>84.992416000000006</v>
      </c>
      <c r="H1309" t="s">
        <v>773</v>
      </c>
      <c r="I1309">
        <v>4</v>
      </c>
      <c r="J1309">
        <v>7</v>
      </c>
      <c r="K1309">
        <v>5</v>
      </c>
    </row>
    <row r="1310" spans="1:11" x14ac:dyDescent="0.3">
      <c r="A1310" t="s">
        <v>11</v>
      </c>
      <c r="B1310" t="s">
        <v>13</v>
      </c>
      <c r="C1310" t="s">
        <v>69</v>
      </c>
      <c r="D1310" t="s">
        <v>662</v>
      </c>
      <c r="E1310" s="5">
        <v>45812.958333333343</v>
      </c>
      <c r="F1310">
        <v>24.762518</v>
      </c>
      <c r="G1310">
        <v>84.982348000000002</v>
      </c>
      <c r="H1310" t="s">
        <v>771</v>
      </c>
      <c r="I1310">
        <v>57</v>
      </c>
      <c r="J1310">
        <v>105</v>
      </c>
      <c r="K1310">
        <v>80</v>
      </c>
    </row>
    <row r="1311" spans="1:11" x14ac:dyDescent="0.3">
      <c r="A1311" t="s">
        <v>11</v>
      </c>
      <c r="B1311" t="s">
        <v>13</v>
      </c>
      <c r="C1311" t="s">
        <v>69</v>
      </c>
      <c r="D1311" t="s">
        <v>662</v>
      </c>
      <c r="E1311" s="5">
        <v>45812.958333333343</v>
      </c>
      <c r="F1311">
        <v>24.762518</v>
      </c>
      <c r="G1311">
        <v>84.982348000000002</v>
      </c>
      <c r="H1311" t="s">
        <v>774</v>
      </c>
      <c r="I1311">
        <v>8</v>
      </c>
      <c r="J1311">
        <v>9</v>
      </c>
      <c r="K1311">
        <v>8</v>
      </c>
    </row>
    <row r="1312" spans="1:11" x14ac:dyDescent="0.3">
      <c r="A1312" t="s">
        <v>11</v>
      </c>
      <c r="B1312" t="s">
        <v>13</v>
      </c>
      <c r="C1312" t="s">
        <v>69</v>
      </c>
      <c r="D1312" t="s">
        <v>662</v>
      </c>
      <c r="E1312" s="5">
        <v>45812.958333333343</v>
      </c>
      <c r="F1312">
        <v>24.762518</v>
      </c>
      <c r="G1312">
        <v>84.982348000000002</v>
      </c>
      <c r="H1312" t="s">
        <v>776</v>
      </c>
      <c r="I1312">
        <v>2</v>
      </c>
      <c r="J1312">
        <v>30</v>
      </c>
      <c r="K1312">
        <v>20</v>
      </c>
    </row>
    <row r="1313" spans="1:11" x14ac:dyDescent="0.3">
      <c r="A1313" t="s">
        <v>11</v>
      </c>
      <c r="B1313" t="s">
        <v>13</v>
      </c>
      <c r="C1313" t="s">
        <v>72</v>
      </c>
      <c r="D1313" t="s">
        <v>327</v>
      </c>
      <c r="E1313" s="5">
        <v>45812.958333333343</v>
      </c>
      <c r="F1313">
        <v>25.697189000000002</v>
      </c>
      <c r="G1313">
        <v>85.245900000000006</v>
      </c>
      <c r="H1313" t="s">
        <v>775</v>
      </c>
      <c r="I1313">
        <v>125</v>
      </c>
      <c r="J1313">
        <v>319</v>
      </c>
      <c r="K1313">
        <v>227</v>
      </c>
    </row>
    <row r="1314" spans="1:11" x14ac:dyDescent="0.3">
      <c r="A1314" t="s">
        <v>11</v>
      </c>
      <c r="B1314" t="s">
        <v>13</v>
      </c>
      <c r="C1314" t="s">
        <v>249</v>
      </c>
      <c r="D1314" t="s">
        <v>663</v>
      </c>
      <c r="E1314" s="5">
        <v>45812.958333333343</v>
      </c>
      <c r="F1314">
        <v>26.630859999999998</v>
      </c>
      <c r="G1314">
        <v>84.900509999999997</v>
      </c>
      <c r="H1314" t="s">
        <v>775</v>
      </c>
      <c r="I1314">
        <v>13</v>
      </c>
      <c r="J1314">
        <v>62</v>
      </c>
      <c r="K1314">
        <v>43</v>
      </c>
    </row>
    <row r="1315" spans="1:11" x14ac:dyDescent="0.3">
      <c r="A1315" t="s">
        <v>11</v>
      </c>
      <c r="B1315" t="s">
        <v>13</v>
      </c>
      <c r="C1315" t="s">
        <v>249</v>
      </c>
      <c r="D1315" t="s">
        <v>663</v>
      </c>
      <c r="E1315" s="5">
        <v>45812.958333333343</v>
      </c>
      <c r="F1315">
        <v>26.630859999999998</v>
      </c>
      <c r="G1315">
        <v>84.900509999999997</v>
      </c>
      <c r="H1315" t="s">
        <v>773</v>
      </c>
      <c r="I1315">
        <v>3</v>
      </c>
      <c r="J1315">
        <v>3</v>
      </c>
      <c r="K1315">
        <v>3</v>
      </c>
    </row>
    <row r="1316" spans="1:11" x14ac:dyDescent="0.3">
      <c r="A1316" t="s">
        <v>11</v>
      </c>
      <c r="B1316" t="s">
        <v>13</v>
      </c>
      <c r="C1316" t="s">
        <v>249</v>
      </c>
      <c r="D1316" t="s">
        <v>663</v>
      </c>
      <c r="E1316" s="5">
        <v>45812.958333333343</v>
      </c>
      <c r="F1316">
        <v>26.630859999999998</v>
      </c>
      <c r="G1316">
        <v>84.900509999999997</v>
      </c>
      <c r="H1316" t="s">
        <v>776</v>
      </c>
      <c r="I1316">
        <v>20</v>
      </c>
      <c r="J1316">
        <v>65</v>
      </c>
      <c r="K1316">
        <v>30</v>
      </c>
    </row>
    <row r="1317" spans="1:11" x14ac:dyDescent="0.3">
      <c r="A1317" t="s">
        <v>11</v>
      </c>
      <c r="B1317" t="s">
        <v>13</v>
      </c>
      <c r="C1317" t="s">
        <v>67</v>
      </c>
      <c r="D1317" t="s">
        <v>319</v>
      </c>
      <c r="E1317" s="5">
        <v>45812.958333333343</v>
      </c>
      <c r="F1317">
        <v>25.376776</v>
      </c>
      <c r="G1317">
        <v>86.471523000000005</v>
      </c>
      <c r="H1317" t="s">
        <v>774</v>
      </c>
    </row>
    <row r="1318" spans="1:11" x14ac:dyDescent="0.3">
      <c r="A1318" t="s">
        <v>11</v>
      </c>
      <c r="B1318" t="s">
        <v>13</v>
      </c>
      <c r="C1318" t="s">
        <v>71</v>
      </c>
      <c r="D1318" t="s">
        <v>325</v>
      </c>
      <c r="E1318" s="5">
        <v>45812.958333333343</v>
      </c>
      <c r="F1318">
        <v>26.114419999999999</v>
      </c>
      <c r="G1318">
        <v>85.398129999999995</v>
      </c>
      <c r="H1318" t="s">
        <v>771</v>
      </c>
      <c r="I1318">
        <v>83</v>
      </c>
      <c r="J1318">
        <v>252</v>
      </c>
      <c r="K1318">
        <v>148</v>
      </c>
    </row>
    <row r="1319" spans="1:11" x14ac:dyDescent="0.3">
      <c r="A1319" t="s">
        <v>11</v>
      </c>
      <c r="B1319" t="s">
        <v>13</v>
      </c>
      <c r="C1319" t="s">
        <v>72</v>
      </c>
      <c r="D1319" t="s">
        <v>327</v>
      </c>
      <c r="E1319" s="5">
        <v>45812.958333333343</v>
      </c>
      <c r="F1319">
        <v>25.697189000000002</v>
      </c>
      <c r="G1319">
        <v>85.245900000000006</v>
      </c>
      <c r="H1319" t="s">
        <v>771</v>
      </c>
      <c r="I1319">
        <v>77</v>
      </c>
      <c r="J1319">
        <v>214</v>
      </c>
      <c r="K1319">
        <v>142</v>
      </c>
    </row>
    <row r="1320" spans="1:11" x14ac:dyDescent="0.3">
      <c r="A1320" t="s">
        <v>11</v>
      </c>
      <c r="B1320" t="s">
        <v>13</v>
      </c>
      <c r="C1320" t="s">
        <v>73</v>
      </c>
      <c r="D1320" t="s">
        <v>328</v>
      </c>
      <c r="E1320" s="5">
        <v>45812.958333333343</v>
      </c>
      <c r="F1320">
        <v>25.560082999999999</v>
      </c>
      <c r="G1320">
        <v>87.553264999999996</v>
      </c>
      <c r="H1320" t="s">
        <v>771</v>
      </c>
      <c r="I1320">
        <v>32</v>
      </c>
      <c r="J1320">
        <v>60</v>
      </c>
      <c r="K1320">
        <v>50</v>
      </c>
    </row>
    <row r="1321" spans="1:11" x14ac:dyDescent="0.3">
      <c r="A1321" t="s">
        <v>11</v>
      </c>
      <c r="B1321" t="s">
        <v>13</v>
      </c>
      <c r="C1321" t="s">
        <v>73</v>
      </c>
      <c r="D1321" t="s">
        <v>328</v>
      </c>
      <c r="E1321" s="5">
        <v>45812.958333333343</v>
      </c>
      <c r="F1321">
        <v>25.560082999999999</v>
      </c>
      <c r="G1321">
        <v>87.553264999999996</v>
      </c>
      <c r="H1321" t="s">
        <v>772</v>
      </c>
      <c r="I1321">
        <v>9</v>
      </c>
      <c r="J1321">
        <v>15</v>
      </c>
      <c r="K1321">
        <v>14</v>
      </c>
    </row>
    <row r="1322" spans="1:11" x14ac:dyDescent="0.3">
      <c r="A1322" t="s">
        <v>11</v>
      </c>
      <c r="B1322" t="s">
        <v>13</v>
      </c>
      <c r="C1322" t="s">
        <v>73</v>
      </c>
      <c r="D1322" t="s">
        <v>328</v>
      </c>
      <c r="E1322" s="5">
        <v>45812.958333333343</v>
      </c>
      <c r="F1322">
        <v>25.560082999999999</v>
      </c>
      <c r="G1322">
        <v>87.553264999999996</v>
      </c>
      <c r="H1322" t="s">
        <v>770</v>
      </c>
      <c r="I1322">
        <v>1</v>
      </c>
      <c r="J1322">
        <v>25</v>
      </c>
      <c r="K1322">
        <v>16</v>
      </c>
    </row>
    <row r="1323" spans="1:11" x14ac:dyDescent="0.3">
      <c r="A1323" t="s">
        <v>11</v>
      </c>
      <c r="B1323" t="s">
        <v>13</v>
      </c>
      <c r="C1323" t="s">
        <v>61</v>
      </c>
      <c r="D1323" t="s">
        <v>313</v>
      </c>
      <c r="E1323" s="5">
        <v>45812.958333333343</v>
      </c>
      <c r="F1323">
        <v>25.596727000000001</v>
      </c>
      <c r="G1323">
        <v>85.085623999999996</v>
      </c>
      <c r="H1323" t="s">
        <v>774</v>
      </c>
      <c r="I1323">
        <v>4</v>
      </c>
      <c r="J1323">
        <v>9</v>
      </c>
      <c r="K1323">
        <v>6</v>
      </c>
    </row>
    <row r="1324" spans="1:11" x14ac:dyDescent="0.3">
      <c r="A1324" t="s">
        <v>11</v>
      </c>
      <c r="B1324" t="s">
        <v>13</v>
      </c>
      <c r="C1324" t="s">
        <v>62</v>
      </c>
      <c r="D1324" t="s">
        <v>314</v>
      </c>
      <c r="E1324" s="5">
        <v>45812.958333333343</v>
      </c>
      <c r="F1324">
        <v>25.366336</v>
      </c>
      <c r="G1324">
        <v>87.117468000000002</v>
      </c>
      <c r="H1324" t="s">
        <v>775</v>
      </c>
      <c r="I1324">
        <v>88</v>
      </c>
      <c r="J1324">
        <v>243</v>
      </c>
      <c r="K1324">
        <v>165</v>
      </c>
    </row>
    <row r="1325" spans="1:11" x14ac:dyDescent="0.3">
      <c r="A1325" t="s">
        <v>11</v>
      </c>
      <c r="B1325" t="s">
        <v>13</v>
      </c>
      <c r="C1325" t="s">
        <v>64</v>
      </c>
      <c r="D1325" t="s">
        <v>316</v>
      </c>
      <c r="E1325" s="5">
        <v>45812.958333333343</v>
      </c>
      <c r="F1325">
        <v>25.892357000000001</v>
      </c>
      <c r="G1325">
        <v>86.590325000000007</v>
      </c>
      <c r="H1325" t="s">
        <v>772</v>
      </c>
      <c r="I1325">
        <v>6</v>
      </c>
      <c r="J1325">
        <v>8</v>
      </c>
      <c r="K1325">
        <v>7</v>
      </c>
    </row>
    <row r="1326" spans="1:11" x14ac:dyDescent="0.3">
      <c r="A1326" t="s">
        <v>11</v>
      </c>
      <c r="B1326" t="s">
        <v>13</v>
      </c>
      <c r="C1326" t="s">
        <v>61</v>
      </c>
      <c r="D1326" t="s">
        <v>322</v>
      </c>
      <c r="E1326" s="5">
        <v>45812.958333333343</v>
      </c>
      <c r="F1326">
        <v>25.619651000000001</v>
      </c>
      <c r="G1326">
        <v>85.147381999999993</v>
      </c>
      <c r="H1326" t="s">
        <v>771</v>
      </c>
      <c r="I1326">
        <v>120</v>
      </c>
      <c r="J1326">
        <v>500</v>
      </c>
      <c r="K1326">
        <v>270</v>
      </c>
    </row>
    <row r="1327" spans="1:11" x14ac:dyDescent="0.3">
      <c r="A1327" t="s">
        <v>11</v>
      </c>
      <c r="B1327" t="s">
        <v>13</v>
      </c>
      <c r="C1327" t="s">
        <v>61</v>
      </c>
      <c r="D1327" t="s">
        <v>323</v>
      </c>
      <c r="E1327" s="5">
        <v>45812.958333333343</v>
      </c>
      <c r="F1327">
        <v>25.599485999999999</v>
      </c>
      <c r="G1327">
        <v>85.113665999999995</v>
      </c>
      <c r="H1327" t="s">
        <v>771</v>
      </c>
      <c r="I1327">
        <v>78</v>
      </c>
      <c r="J1327">
        <v>169</v>
      </c>
      <c r="K1327">
        <v>119</v>
      </c>
    </row>
    <row r="1328" spans="1:11" x14ac:dyDescent="0.3">
      <c r="A1328" t="s">
        <v>11</v>
      </c>
      <c r="B1328" t="s">
        <v>13</v>
      </c>
      <c r="C1328" t="s">
        <v>61</v>
      </c>
      <c r="D1328" t="s">
        <v>323</v>
      </c>
      <c r="E1328" s="5">
        <v>45812.958333333343</v>
      </c>
      <c r="F1328">
        <v>25.599485999999999</v>
      </c>
      <c r="G1328">
        <v>85.113665999999995</v>
      </c>
      <c r="H1328" t="s">
        <v>770</v>
      </c>
      <c r="I1328">
        <v>2</v>
      </c>
      <c r="J1328">
        <v>181</v>
      </c>
      <c r="K1328">
        <v>100</v>
      </c>
    </row>
    <row r="1329" spans="1:11" x14ac:dyDescent="0.3">
      <c r="A1329" t="s">
        <v>11</v>
      </c>
      <c r="B1329" t="s">
        <v>13</v>
      </c>
      <c r="C1329" t="s">
        <v>70</v>
      </c>
      <c r="D1329" t="s">
        <v>324</v>
      </c>
      <c r="E1329" s="5">
        <v>45812.958333333343</v>
      </c>
      <c r="F1329">
        <v>25.567519999999998</v>
      </c>
      <c r="G1329">
        <v>83.966379000000003</v>
      </c>
      <c r="H1329" t="s">
        <v>770</v>
      </c>
      <c r="I1329">
        <v>6</v>
      </c>
      <c r="J1329">
        <v>165</v>
      </c>
      <c r="K1329">
        <v>136</v>
      </c>
    </row>
    <row r="1330" spans="1:11" x14ac:dyDescent="0.3">
      <c r="A1330" t="s">
        <v>11</v>
      </c>
      <c r="B1330" t="s">
        <v>13</v>
      </c>
      <c r="C1330" t="s">
        <v>68</v>
      </c>
      <c r="D1330" t="s">
        <v>320</v>
      </c>
      <c r="E1330" s="5">
        <v>45812.958333333343</v>
      </c>
      <c r="F1330">
        <v>25.780825700000001</v>
      </c>
      <c r="G1330">
        <v>84.744676799999993</v>
      </c>
      <c r="H1330" t="s">
        <v>775</v>
      </c>
    </row>
    <row r="1331" spans="1:11" x14ac:dyDescent="0.3">
      <c r="A1331" t="s">
        <v>11</v>
      </c>
      <c r="B1331" t="s">
        <v>13</v>
      </c>
      <c r="C1331" t="s">
        <v>61</v>
      </c>
      <c r="D1331" t="s">
        <v>329</v>
      </c>
      <c r="E1331" s="5">
        <v>45812.958333333343</v>
      </c>
      <c r="F1331">
        <v>25.592538999999999</v>
      </c>
      <c r="G1331">
        <v>85.227158000000003</v>
      </c>
      <c r="H1331" t="s">
        <v>776</v>
      </c>
      <c r="I1331">
        <v>22</v>
      </c>
      <c r="J1331">
        <v>96</v>
      </c>
      <c r="K1331">
        <v>46</v>
      </c>
    </row>
    <row r="1332" spans="1:11" x14ac:dyDescent="0.3">
      <c r="A1332" t="s">
        <v>11</v>
      </c>
      <c r="B1332" t="s">
        <v>13</v>
      </c>
      <c r="C1332" t="s">
        <v>61</v>
      </c>
      <c r="D1332" t="s">
        <v>661</v>
      </c>
      <c r="E1332" s="5">
        <v>45812.958333333343</v>
      </c>
      <c r="F1332">
        <v>25.610368999999999</v>
      </c>
      <c r="G1332">
        <v>85.132568000000006</v>
      </c>
      <c r="H1332" t="s">
        <v>775</v>
      </c>
      <c r="I1332">
        <v>58</v>
      </c>
      <c r="J1332">
        <v>308</v>
      </c>
      <c r="K1332">
        <v>161</v>
      </c>
    </row>
    <row r="1333" spans="1:11" x14ac:dyDescent="0.3">
      <c r="A1333" t="s">
        <v>11</v>
      </c>
      <c r="B1333" t="s">
        <v>13</v>
      </c>
      <c r="C1333" t="s">
        <v>65</v>
      </c>
      <c r="D1333" t="s">
        <v>317</v>
      </c>
      <c r="E1333" s="5">
        <v>45812.958333333343</v>
      </c>
      <c r="F1333">
        <v>26.088130499999998</v>
      </c>
      <c r="G1333">
        <v>87.938403359999995</v>
      </c>
      <c r="H1333" t="s">
        <v>771</v>
      </c>
    </row>
    <row r="1334" spans="1:11" x14ac:dyDescent="0.3">
      <c r="A1334" t="s">
        <v>11</v>
      </c>
      <c r="B1334" t="s">
        <v>13</v>
      </c>
      <c r="C1334" t="s">
        <v>65</v>
      </c>
      <c r="D1334" t="s">
        <v>317</v>
      </c>
      <c r="E1334" s="5">
        <v>45812.958333333343</v>
      </c>
      <c r="F1334">
        <v>26.088130499999998</v>
      </c>
      <c r="G1334">
        <v>87.938403359999995</v>
      </c>
      <c r="H1334" t="s">
        <v>773</v>
      </c>
    </row>
    <row r="1335" spans="1:11" x14ac:dyDescent="0.3">
      <c r="A1335" t="s">
        <v>11</v>
      </c>
      <c r="B1335" t="s">
        <v>16</v>
      </c>
      <c r="C1335" t="s">
        <v>78</v>
      </c>
      <c r="D1335" t="s">
        <v>335</v>
      </c>
      <c r="E1335" s="5">
        <v>45812.958333333343</v>
      </c>
      <c r="F1335">
        <v>22.348441000000001</v>
      </c>
      <c r="G1335">
        <v>82.549610999999999</v>
      </c>
      <c r="H1335" t="s">
        <v>773</v>
      </c>
      <c r="I1335">
        <v>1</v>
      </c>
      <c r="J1335">
        <v>7</v>
      </c>
      <c r="K1335">
        <v>3</v>
      </c>
    </row>
    <row r="1336" spans="1:11" x14ac:dyDescent="0.3">
      <c r="A1336" t="s">
        <v>11</v>
      </c>
      <c r="B1336" t="s">
        <v>16</v>
      </c>
      <c r="C1336" t="s">
        <v>250</v>
      </c>
      <c r="D1336" t="s">
        <v>665</v>
      </c>
      <c r="E1336" s="5">
        <v>45812.958333333343</v>
      </c>
      <c r="F1336">
        <v>22.126650000000001</v>
      </c>
      <c r="G1336">
        <v>83.483211999999995</v>
      </c>
      <c r="H1336" t="s">
        <v>775</v>
      </c>
      <c r="I1336">
        <v>40</v>
      </c>
      <c r="J1336">
        <v>87</v>
      </c>
      <c r="K1336">
        <v>56</v>
      </c>
    </row>
    <row r="1337" spans="1:11" x14ac:dyDescent="0.3">
      <c r="A1337" t="s">
        <v>11</v>
      </c>
      <c r="B1337" t="s">
        <v>16</v>
      </c>
      <c r="C1337" t="s">
        <v>251</v>
      </c>
      <c r="D1337" t="s">
        <v>666</v>
      </c>
      <c r="E1337" s="5">
        <v>45812.958333333343</v>
      </c>
      <c r="F1337">
        <v>22.191017200000001</v>
      </c>
      <c r="G1337">
        <v>83.519700900000004</v>
      </c>
      <c r="H1337" t="s">
        <v>775</v>
      </c>
      <c r="I1337">
        <v>24</v>
      </c>
      <c r="J1337">
        <v>66</v>
      </c>
      <c r="K1337">
        <v>44</v>
      </c>
    </row>
    <row r="1338" spans="1:11" x14ac:dyDescent="0.3">
      <c r="A1338" t="s">
        <v>11</v>
      </c>
      <c r="B1338" t="s">
        <v>16</v>
      </c>
      <c r="C1338" t="s">
        <v>251</v>
      </c>
      <c r="D1338" t="s">
        <v>666</v>
      </c>
      <c r="E1338" s="5">
        <v>45812.958333333343</v>
      </c>
      <c r="F1338">
        <v>22.191017200000001</v>
      </c>
      <c r="G1338">
        <v>83.519700900000004</v>
      </c>
      <c r="H1338" t="s">
        <v>773</v>
      </c>
      <c r="I1338">
        <v>1</v>
      </c>
      <c r="J1338">
        <v>3</v>
      </c>
      <c r="K1338">
        <v>2</v>
      </c>
    </row>
    <row r="1339" spans="1:11" x14ac:dyDescent="0.3">
      <c r="A1339" t="s">
        <v>11</v>
      </c>
      <c r="B1339" t="s">
        <v>16</v>
      </c>
      <c r="C1339" t="s">
        <v>251</v>
      </c>
      <c r="D1339" t="s">
        <v>666</v>
      </c>
      <c r="E1339" s="5">
        <v>45812.958333333343</v>
      </c>
      <c r="F1339">
        <v>22.191017200000001</v>
      </c>
      <c r="G1339">
        <v>83.519700900000004</v>
      </c>
      <c r="H1339" t="s">
        <v>776</v>
      </c>
      <c r="I1339">
        <v>10</v>
      </c>
      <c r="J1339">
        <v>57</v>
      </c>
      <c r="K1339">
        <v>26</v>
      </c>
    </row>
    <row r="1340" spans="1:11" x14ac:dyDescent="0.3">
      <c r="A1340" t="s">
        <v>11</v>
      </c>
      <c r="B1340" t="s">
        <v>16</v>
      </c>
      <c r="C1340" t="s">
        <v>81</v>
      </c>
      <c r="D1340" t="s">
        <v>347</v>
      </c>
      <c r="E1340" s="5">
        <v>45812.958333333343</v>
      </c>
      <c r="F1340">
        <v>21.258814999999998</v>
      </c>
      <c r="G1340">
        <v>81.578979000000004</v>
      </c>
      <c r="H1340" t="s">
        <v>772</v>
      </c>
      <c r="I1340">
        <v>34</v>
      </c>
      <c r="J1340">
        <v>58</v>
      </c>
      <c r="K1340">
        <v>45</v>
      </c>
    </row>
    <row r="1341" spans="1:11" x14ac:dyDescent="0.3">
      <c r="A1341" t="s">
        <v>11</v>
      </c>
      <c r="B1341" t="s">
        <v>16</v>
      </c>
      <c r="C1341" t="s">
        <v>81</v>
      </c>
      <c r="D1341" t="s">
        <v>347</v>
      </c>
      <c r="E1341" s="5">
        <v>45812.958333333343</v>
      </c>
      <c r="F1341">
        <v>21.258814999999998</v>
      </c>
      <c r="G1341">
        <v>81.578979000000004</v>
      </c>
      <c r="H1341" t="s">
        <v>774</v>
      </c>
      <c r="I1341">
        <v>4</v>
      </c>
      <c r="J1341">
        <v>12</v>
      </c>
      <c r="K1341">
        <v>8</v>
      </c>
    </row>
    <row r="1342" spans="1:11" x14ac:dyDescent="0.3">
      <c r="A1342" t="s">
        <v>11</v>
      </c>
      <c r="B1342" t="s">
        <v>16</v>
      </c>
      <c r="C1342" t="s">
        <v>81</v>
      </c>
      <c r="D1342" t="s">
        <v>347</v>
      </c>
      <c r="E1342" s="5">
        <v>45812.958333333343</v>
      </c>
      <c r="F1342">
        <v>21.258814999999998</v>
      </c>
      <c r="G1342">
        <v>81.578979000000004</v>
      </c>
      <c r="H1342" t="s">
        <v>776</v>
      </c>
      <c r="I1342">
        <v>20</v>
      </c>
      <c r="J1342">
        <v>40</v>
      </c>
      <c r="K1342">
        <v>24</v>
      </c>
    </row>
    <row r="1343" spans="1:11" x14ac:dyDescent="0.3">
      <c r="A1343" t="s">
        <v>11</v>
      </c>
      <c r="B1343" t="s">
        <v>18</v>
      </c>
      <c r="C1343" t="s">
        <v>18</v>
      </c>
      <c r="D1343" t="s">
        <v>343</v>
      </c>
      <c r="E1343" s="5">
        <v>45812.958333333343</v>
      </c>
      <c r="F1343">
        <v>28.656756000000001</v>
      </c>
      <c r="G1343">
        <v>77.227233999999996</v>
      </c>
      <c r="H1343" t="s">
        <v>773</v>
      </c>
      <c r="I1343">
        <v>3</v>
      </c>
      <c r="J1343">
        <v>13</v>
      </c>
      <c r="K1343">
        <v>5</v>
      </c>
    </row>
    <row r="1344" spans="1:11" x14ac:dyDescent="0.3">
      <c r="A1344" t="s">
        <v>11</v>
      </c>
      <c r="B1344" t="s">
        <v>18</v>
      </c>
      <c r="C1344" t="s">
        <v>18</v>
      </c>
      <c r="D1344" t="s">
        <v>671</v>
      </c>
      <c r="E1344" s="5">
        <v>45812.958333333343</v>
      </c>
      <c r="F1344">
        <v>28.7500499</v>
      </c>
      <c r="G1344">
        <v>77.111261499999998</v>
      </c>
      <c r="H1344" t="s">
        <v>773</v>
      </c>
      <c r="I1344">
        <v>11</v>
      </c>
      <c r="J1344">
        <v>14</v>
      </c>
      <c r="K1344">
        <v>12</v>
      </c>
    </row>
    <row r="1345" spans="1:11" x14ac:dyDescent="0.3">
      <c r="A1345" t="s">
        <v>11</v>
      </c>
      <c r="B1345" t="s">
        <v>18</v>
      </c>
      <c r="C1345" t="s">
        <v>18</v>
      </c>
      <c r="D1345" t="s">
        <v>344</v>
      </c>
      <c r="E1345" s="5">
        <v>45812.958333333343</v>
      </c>
      <c r="F1345">
        <v>28.498570999999998</v>
      </c>
      <c r="G1345">
        <v>77.264840000000007</v>
      </c>
      <c r="H1345" t="s">
        <v>775</v>
      </c>
      <c r="I1345">
        <v>52</v>
      </c>
      <c r="J1345">
        <v>331</v>
      </c>
      <c r="K1345">
        <v>168</v>
      </c>
    </row>
    <row r="1346" spans="1:11" x14ac:dyDescent="0.3">
      <c r="A1346" t="s">
        <v>11</v>
      </c>
      <c r="B1346" t="s">
        <v>18</v>
      </c>
      <c r="C1346" t="s">
        <v>18</v>
      </c>
      <c r="D1346" t="s">
        <v>344</v>
      </c>
      <c r="E1346" s="5">
        <v>45812.958333333343</v>
      </c>
      <c r="F1346">
        <v>28.498570999999998</v>
      </c>
      <c r="G1346">
        <v>77.264840000000007</v>
      </c>
      <c r="H1346" t="s">
        <v>772</v>
      </c>
      <c r="I1346">
        <v>41</v>
      </c>
      <c r="J1346">
        <v>101</v>
      </c>
      <c r="K1346">
        <v>71</v>
      </c>
    </row>
    <row r="1347" spans="1:11" x14ac:dyDescent="0.3">
      <c r="A1347" t="s">
        <v>11</v>
      </c>
      <c r="B1347" t="s">
        <v>18</v>
      </c>
      <c r="C1347" t="s">
        <v>18</v>
      </c>
      <c r="D1347" t="s">
        <v>344</v>
      </c>
      <c r="E1347" s="5">
        <v>45812.958333333343</v>
      </c>
      <c r="F1347">
        <v>28.498570999999998</v>
      </c>
      <c r="G1347">
        <v>77.264840000000007</v>
      </c>
      <c r="H1347" t="s">
        <v>773</v>
      </c>
      <c r="I1347">
        <v>3</v>
      </c>
      <c r="J1347">
        <v>9</v>
      </c>
      <c r="K1347">
        <v>6</v>
      </c>
    </row>
    <row r="1348" spans="1:11" x14ac:dyDescent="0.3">
      <c r="A1348" t="s">
        <v>11</v>
      </c>
      <c r="B1348" t="s">
        <v>18</v>
      </c>
      <c r="C1348" t="s">
        <v>18</v>
      </c>
      <c r="D1348" t="s">
        <v>344</v>
      </c>
      <c r="E1348" s="5">
        <v>45812.958333333343</v>
      </c>
      <c r="F1348">
        <v>28.498570999999998</v>
      </c>
      <c r="G1348">
        <v>77.264840000000007</v>
      </c>
      <c r="H1348" t="s">
        <v>770</v>
      </c>
      <c r="I1348">
        <v>4</v>
      </c>
      <c r="J1348">
        <v>178</v>
      </c>
      <c r="K1348">
        <v>100</v>
      </c>
    </row>
    <row r="1349" spans="1:11" x14ac:dyDescent="0.3">
      <c r="A1349" t="s">
        <v>11</v>
      </c>
      <c r="B1349" t="s">
        <v>18</v>
      </c>
      <c r="C1349" t="s">
        <v>18</v>
      </c>
      <c r="D1349" t="s">
        <v>672</v>
      </c>
      <c r="E1349" s="5">
        <v>45812.958333333343</v>
      </c>
      <c r="F1349">
        <v>28.571027399999998</v>
      </c>
      <c r="G1349">
        <v>77.071900600000006</v>
      </c>
      <c r="H1349" t="s">
        <v>776</v>
      </c>
      <c r="I1349">
        <v>25</v>
      </c>
      <c r="J1349">
        <v>186</v>
      </c>
      <c r="K1349">
        <v>172</v>
      </c>
    </row>
    <row r="1350" spans="1:11" x14ac:dyDescent="0.3">
      <c r="A1350" t="s">
        <v>11</v>
      </c>
      <c r="B1350" t="s">
        <v>16</v>
      </c>
      <c r="C1350" t="s">
        <v>75</v>
      </c>
      <c r="D1350" t="s">
        <v>331</v>
      </c>
      <c r="E1350" s="5">
        <v>45812.958333333343</v>
      </c>
      <c r="F1350">
        <v>21.224231</v>
      </c>
      <c r="G1350">
        <v>81.408349999999999</v>
      </c>
      <c r="H1350" t="s">
        <v>772</v>
      </c>
      <c r="I1350">
        <v>17</v>
      </c>
      <c r="J1350">
        <v>93</v>
      </c>
      <c r="K1350">
        <v>41</v>
      </c>
    </row>
    <row r="1351" spans="1:11" x14ac:dyDescent="0.3">
      <c r="A1351" t="s">
        <v>11</v>
      </c>
      <c r="B1351" t="s">
        <v>16</v>
      </c>
      <c r="C1351" t="s">
        <v>76</v>
      </c>
      <c r="D1351" t="s">
        <v>332</v>
      </c>
      <c r="E1351" s="5">
        <v>45812.958333333343</v>
      </c>
      <c r="F1351">
        <v>22.088149999999999</v>
      </c>
      <c r="G1351">
        <v>82.137370000000004</v>
      </c>
      <c r="H1351" t="s">
        <v>772</v>
      </c>
    </row>
    <row r="1352" spans="1:11" x14ac:dyDescent="0.3">
      <c r="A1352" t="s">
        <v>11</v>
      </c>
      <c r="B1352" t="s">
        <v>16</v>
      </c>
      <c r="C1352" t="s">
        <v>76</v>
      </c>
      <c r="D1352" t="s">
        <v>332</v>
      </c>
      <c r="E1352" s="5">
        <v>45812.958333333343</v>
      </c>
      <c r="F1352">
        <v>22.088149999999999</v>
      </c>
      <c r="G1352">
        <v>82.137370000000004</v>
      </c>
      <c r="H1352" t="s">
        <v>776</v>
      </c>
    </row>
    <row r="1353" spans="1:11" x14ac:dyDescent="0.3">
      <c r="A1353" t="s">
        <v>11</v>
      </c>
      <c r="B1353" t="s">
        <v>16</v>
      </c>
      <c r="C1353" t="s">
        <v>77</v>
      </c>
      <c r="D1353" t="s">
        <v>333</v>
      </c>
      <c r="E1353" s="5">
        <v>45812.958333333343</v>
      </c>
      <c r="F1353">
        <v>22.118124999999999</v>
      </c>
      <c r="G1353">
        <v>83.140608</v>
      </c>
      <c r="H1353" t="s">
        <v>776</v>
      </c>
      <c r="I1353">
        <v>30</v>
      </c>
      <c r="J1353">
        <v>72</v>
      </c>
      <c r="K1353">
        <v>34</v>
      </c>
    </row>
    <row r="1354" spans="1:11" x14ac:dyDescent="0.3">
      <c r="A1354" t="s">
        <v>11</v>
      </c>
      <c r="B1354" t="s">
        <v>16</v>
      </c>
      <c r="C1354" t="s">
        <v>78</v>
      </c>
      <c r="D1354" t="s">
        <v>334</v>
      </c>
      <c r="E1354" s="5">
        <v>45812.958333333343</v>
      </c>
      <c r="F1354">
        <v>22.368195</v>
      </c>
      <c r="G1354">
        <v>82.746431000000001</v>
      </c>
      <c r="H1354" t="s">
        <v>775</v>
      </c>
    </row>
    <row r="1355" spans="1:11" x14ac:dyDescent="0.3">
      <c r="A1355" t="s">
        <v>11</v>
      </c>
      <c r="B1355" t="s">
        <v>16</v>
      </c>
      <c r="C1355" t="s">
        <v>78</v>
      </c>
      <c r="D1355" t="s">
        <v>335</v>
      </c>
      <c r="E1355" s="5">
        <v>45812.958333333343</v>
      </c>
      <c r="F1355">
        <v>22.348441000000001</v>
      </c>
      <c r="G1355">
        <v>82.549610999999999</v>
      </c>
      <c r="H1355" t="s">
        <v>775</v>
      </c>
      <c r="I1355">
        <v>111</v>
      </c>
      <c r="J1355">
        <v>347</v>
      </c>
      <c r="K1355">
        <v>198</v>
      </c>
    </row>
    <row r="1356" spans="1:11" x14ac:dyDescent="0.3">
      <c r="A1356" t="s">
        <v>11</v>
      </c>
      <c r="B1356" t="s">
        <v>17</v>
      </c>
      <c r="C1356" t="s">
        <v>17</v>
      </c>
      <c r="D1356" t="s">
        <v>345</v>
      </c>
      <c r="E1356" s="5">
        <v>45812.958333333343</v>
      </c>
      <c r="F1356">
        <v>30.719859</v>
      </c>
      <c r="G1356">
        <v>76.738636999999997</v>
      </c>
      <c r="H1356" t="s">
        <v>774</v>
      </c>
    </row>
    <row r="1357" spans="1:11" x14ac:dyDescent="0.3">
      <c r="A1357" t="s">
        <v>11</v>
      </c>
      <c r="B1357" t="s">
        <v>16</v>
      </c>
      <c r="C1357" t="s">
        <v>75</v>
      </c>
      <c r="D1357" t="s">
        <v>668</v>
      </c>
      <c r="E1357" s="5">
        <v>45812.958333333343</v>
      </c>
      <c r="F1357">
        <v>21.194814999999998</v>
      </c>
      <c r="G1357">
        <v>81.314769999999996</v>
      </c>
      <c r="H1357" t="s">
        <v>775</v>
      </c>
      <c r="I1357">
        <v>35</v>
      </c>
      <c r="J1357">
        <v>56</v>
      </c>
      <c r="K1357">
        <v>47</v>
      </c>
    </row>
    <row r="1358" spans="1:11" x14ac:dyDescent="0.3">
      <c r="A1358" t="s">
        <v>11</v>
      </c>
      <c r="B1358" t="s">
        <v>16</v>
      </c>
      <c r="C1358" t="s">
        <v>75</v>
      </c>
      <c r="D1358" t="s">
        <v>346</v>
      </c>
      <c r="E1358" s="5">
        <v>45812.958333333343</v>
      </c>
      <c r="F1358">
        <v>21.185570999999999</v>
      </c>
      <c r="G1358">
        <v>81.343175000000002</v>
      </c>
      <c r="H1358" t="s">
        <v>775</v>
      </c>
      <c r="I1358">
        <v>20</v>
      </c>
      <c r="J1358">
        <v>45</v>
      </c>
      <c r="K1358">
        <v>31</v>
      </c>
    </row>
    <row r="1359" spans="1:11" x14ac:dyDescent="0.3">
      <c r="A1359" t="s">
        <v>11</v>
      </c>
      <c r="B1359" t="s">
        <v>16</v>
      </c>
      <c r="C1359" t="s">
        <v>75</v>
      </c>
      <c r="D1359" t="s">
        <v>346</v>
      </c>
      <c r="E1359" s="5">
        <v>45812.958333333343</v>
      </c>
      <c r="F1359">
        <v>21.185570999999999</v>
      </c>
      <c r="G1359">
        <v>81.343175000000002</v>
      </c>
      <c r="H1359" t="s">
        <v>776</v>
      </c>
      <c r="I1359">
        <v>7</v>
      </c>
      <c r="J1359">
        <v>186</v>
      </c>
      <c r="K1359">
        <v>105</v>
      </c>
    </row>
    <row r="1360" spans="1:11" x14ac:dyDescent="0.3">
      <c r="A1360" t="s">
        <v>11</v>
      </c>
      <c r="B1360" t="s">
        <v>16</v>
      </c>
      <c r="C1360" t="s">
        <v>75</v>
      </c>
      <c r="D1360" t="s">
        <v>346</v>
      </c>
      <c r="E1360" s="5">
        <v>45812.958333333343</v>
      </c>
      <c r="F1360">
        <v>21.185570999999999</v>
      </c>
      <c r="G1360">
        <v>81.343175000000002</v>
      </c>
      <c r="H1360" t="s">
        <v>770</v>
      </c>
      <c r="I1360">
        <v>5</v>
      </c>
      <c r="J1360">
        <v>25</v>
      </c>
      <c r="K1360">
        <v>15</v>
      </c>
    </row>
    <row r="1361" spans="1:11" x14ac:dyDescent="0.3">
      <c r="A1361" t="s">
        <v>11</v>
      </c>
      <c r="B1361" t="s">
        <v>16</v>
      </c>
      <c r="C1361" t="s">
        <v>252</v>
      </c>
      <c r="D1361" t="s">
        <v>669</v>
      </c>
      <c r="E1361" s="5">
        <v>45812.958333333343</v>
      </c>
      <c r="F1361">
        <v>22.06631475</v>
      </c>
      <c r="G1361">
        <v>83.33820077</v>
      </c>
      <c r="H1361" t="s">
        <v>773</v>
      </c>
      <c r="I1361">
        <v>1</v>
      </c>
      <c r="J1361">
        <v>3</v>
      </c>
      <c r="K1361">
        <v>2</v>
      </c>
    </row>
    <row r="1362" spans="1:11" x14ac:dyDescent="0.3">
      <c r="A1362" t="s">
        <v>11</v>
      </c>
      <c r="B1362" t="s">
        <v>16</v>
      </c>
      <c r="C1362" t="s">
        <v>252</v>
      </c>
      <c r="D1362" t="s">
        <v>669</v>
      </c>
      <c r="E1362" s="5">
        <v>45812.958333333343</v>
      </c>
      <c r="F1362">
        <v>22.06631475</v>
      </c>
      <c r="G1362">
        <v>83.33820077</v>
      </c>
      <c r="H1362" t="s">
        <v>770</v>
      </c>
      <c r="I1362">
        <v>4</v>
      </c>
      <c r="J1362">
        <v>106</v>
      </c>
      <c r="K1362">
        <v>67</v>
      </c>
    </row>
    <row r="1363" spans="1:11" x14ac:dyDescent="0.3">
      <c r="A1363" t="s">
        <v>11</v>
      </c>
      <c r="B1363" t="s">
        <v>18</v>
      </c>
      <c r="C1363" t="s">
        <v>18</v>
      </c>
      <c r="D1363" t="s">
        <v>339</v>
      </c>
      <c r="E1363" s="5">
        <v>45812.958333333343</v>
      </c>
      <c r="F1363">
        <v>28.815328999999998</v>
      </c>
      <c r="G1363">
        <v>77.153009999999995</v>
      </c>
      <c r="H1363" t="s">
        <v>771</v>
      </c>
      <c r="I1363">
        <v>85</v>
      </c>
      <c r="J1363">
        <v>428</v>
      </c>
      <c r="K1363">
        <v>240</v>
      </c>
    </row>
    <row r="1364" spans="1:11" x14ac:dyDescent="0.3">
      <c r="A1364" t="s">
        <v>11</v>
      </c>
      <c r="B1364" t="s">
        <v>18</v>
      </c>
      <c r="C1364" t="s">
        <v>18</v>
      </c>
      <c r="D1364" t="s">
        <v>664</v>
      </c>
      <c r="E1364" s="5">
        <v>45812.958333333343</v>
      </c>
      <c r="F1364">
        <v>28.647621999999998</v>
      </c>
      <c r="G1364">
        <v>77.315809000000002</v>
      </c>
      <c r="H1364" t="s">
        <v>772</v>
      </c>
      <c r="I1364">
        <v>48</v>
      </c>
      <c r="J1364">
        <v>126</v>
      </c>
      <c r="K1364">
        <v>84</v>
      </c>
    </row>
    <row r="1365" spans="1:11" x14ac:dyDescent="0.3">
      <c r="A1365" t="s">
        <v>11</v>
      </c>
      <c r="B1365" t="s">
        <v>18</v>
      </c>
      <c r="C1365" t="s">
        <v>18</v>
      </c>
      <c r="D1365" t="s">
        <v>340</v>
      </c>
      <c r="E1365" s="5">
        <v>45812.958333333343</v>
      </c>
      <c r="F1365">
        <v>28.695381000000001</v>
      </c>
      <c r="G1365">
        <v>77.181664999999995</v>
      </c>
      <c r="H1365" t="s">
        <v>770</v>
      </c>
      <c r="I1365">
        <v>1</v>
      </c>
      <c r="J1365">
        <v>301</v>
      </c>
      <c r="K1365">
        <v>123</v>
      </c>
    </row>
    <row r="1366" spans="1:11" x14ac:dyDescent="0.3">
      <c r="A1366" t="s">
        <v>11</v>
      </c>
      <c r="B1366" t="s">
        <v>18</v>
      </c>
      <c r="C1366" t="s">
        <v>18</v>
      </c>
      <c r="D1366" t="s">
        <v>341</v>
      </c>
      <c r="E1366" s="5">
        <v>45812.958333333343</v>
      </c>
      <c r="F1366">
        <v>28.776199999999999</v>
      </c>
      <c r="G1366">
        <v>77.051074</v>
      </c>
      <c r="H1366" t="s">
        <v>773</v>
      </c>
      <c r="I1366">
        <v>6</v>
      </c>
      <c r="J1366">
        <v>8</v>
      </c>
      <c r="K1366">
        <v>7</v>
      </c>
    </row>
    <row r="1367" spans="1:11" x14ac:dyDescent="0.3">
      <c r="A1367" t="s">
        <v>11</v>
      </c>
      <c r="B1367" t="s">
        <v>13</v>
      </c>
      <c r="C1367" t="s">
        <v>80</v>
      </c>
      <c r="D1367" t="s">
        <v>337</v>
      </c>
      <c r="E1367" s="5">
        <v>45812.958333333343</v>
      </c>
      <c r="F1367">
        <v>26.227166499999999</v>
      </c>
      <c r="G1367">
        <v>84.357042699999994</v>
      </c>
      <c r="H1367" t="s">
        <v>773</v>
      </c>
    </row>
    <row r="1368" spans="1:11" x14ac:dyDescent="0.3">
      <c r="A1368" t="s">
        <v>11</v>
      </c>
      <c r="B1368" t="s">
        <v>17</v>
      </c>
      <c r="C1368" t="s">
        <v>17</v>
      </c>
      <c r="D1368" t="s">
        <v>667</v>
      </c>
      <c r="E1368" s="5">
        <v>45812.958333333343</v>
      </c>
      <c r="F1368">
        <v>30.751462</v>
      </c>
      <c r="G1368">
        <v>76.762878999999998</v>
      </c>
      <c r="H1368" t="s">
        <v>773</v>
      </c>
      <c r="I1368">
        <v>17</v>
      </c>
      <c r="J1368">
        <v>32</v>
      </c>
      <c r="K1368">
        <v>24</v>
      </c>
    </row>
    <row r="1369" spans="1:11" x14ac:dyDescent="0.3">
      <c r="A1369" t="s">
        <v>11</v>
      </c>
      <c r="B1369" t="s">
        <v>16</v>
      </c>
      <c r="C1369" t="s">
        <v>81</v>
      </c>
      <c r="D1369" t="s">
        <v>348</v>
      </c>
      <c r="E1369" s="5">
        <v>45812.958333333343</v>
      </c>
      <c r="F1369">
        <v>21.219664999999999</v>
      </c>
      <c r="G1369">
        <v>81.630094</v>
      </c>
      <c r="H1369" t="s">
        <v>775</v>
      </c>
      <c r="I1369">
        <v>1</v>
      </c>
      <c r="J1369">
        <v>65</v>
      </c>
      <c r="K1369">
        <v>33</v>
      </c>
    </row>
    <row r="1370" spans="1:11" x14ac:dyDescent="0.3">
      <c r="A1370" t="s">
        <v>11</v>
      </c>
      <c r="B1370" t="s">
        <v>13</v>
      </c>
      <c r="C1370" t="s">
        <v>79</v>
      </c>
      <c r="D1370" t="s">
        <v>336</v>
      </c>
      <c r="E1370" s="5">
        <v>45812.958333333343</v>
      </c>
      <c r="F1370">
        <v>24.952822000000001</v>
      </c>
      <c r="G1370">
        <v>84.002396000000005</v>
      </c>
      <c r="H1370" t="s">
        <v>771</v>
      </c>
      <c r="I1370">
        <v>69</v>
      </c>
      <c r="J1370">
        <v>164</v>
      </c>
      <c r="K1370">
        <v>105</v>
      </c>
    </row>
    <row r="1371" spans="1:11" x14ac:dyDescent="0.3">
      <c r="A1371" t="s">
        <v>11</v>
      </c>
      <c r="B1371" t="s">
        <v>18</v>
      </c>
      <c r="C1371" t="s">
        <v>18</v>
      </c>
      <c r="D1371" t="s">
        <v>364</v>
      </c>
      <c r="E1371" s="5">
        <v>45812.958333333343</v>
      </c>
      <c r="F1371">
        <v>28.822835999999999</v>
      </c>
      <c r="G1371">
        <v>77.101980999999995</v>
      </c>
      <c r="H1371" t="s">
        <v>773</v>
      </c>
      <c r="I1371">
        <v>7</v>
      </c>
      <c r="J1371">
        <v>14</v>
      </c>
      <c r="K1371">
        <v>9</v>
      </c>
    </row>
    <row r="1372" spans="1:11" x14ac:dyDescent="0.3">
      <c r="A1372" t="s">
        <v>11</v>
      </c>
      <c r="B1372" t="s">
        <v>18</v>
      </c>
      <c r="C1372" t="s">
        <v>18</v>
      </c>
      <c r="D1372" t="s">
        <v>365</v>
      </c>
      <c r="E1372" s="5">
        <v>45812.958333333343</v>
      </c>
      <c r="F1372">
        <v>28.567889999999998</v>
      </c>
      <c r="G1372">
        <v>77.250514999999993</v>
      </c>
      <c r="H1372" t="s">
        <v>772</v>
      </c>
      <c r="I1372">
        <v>14</v>
      </c>
      <c r="J1372">
        <v>98</v>
      </c>
      <c r="K1372">
        <v>54</v>
      </c>
    </row>
    <row r="1373" spans="1:11" x14ac:dyDescent="0.3">
      <c r="A1373" t="s">
        <v>11</v>
      </c>
      <c r="B1373" t="s">
        <v>18</v>
      </c>
      <c r="C1373" t="s">
        <v>18</v>
      </c>
      <c r="D1373" t="s">
        <v>365</v>
      </c>
      <c r="E1373" s="5">
        <v>45812.958333333343</v>
      </c>
      <c r="F1373">
        <v>28.567889999999998</v>
      </c>
      <c r="G1373">
        <v>77.250514999999993</v>
      </c>
      <c r="H1373" t="s">
        <v>776</v>
      </c>
      <c r="I1373">
        <v>19</v>
      </c>
      <c r="J1373">
        <v>120</v>
      </c>
      <c r="K1373">
        <v>45</v>
      </c>
    </row>
    <row r="1374" spans="1:11" x14ac:dyDescent="0.3">
      <c r="A1374" t="s">
        <v>11</v>
      </c>
      <c r="B1374" t="s">
        <v>18</v>
      </c>
      <c r="C1374" t="s">
        <v>18</v>
      </c>
      <c r="D1374" t="s">
        <v>366</v>
      </c>
      <c r="E1374" s="5">
        <v>45812.958333333343</v>
      </c>
      <c r="F1374">
        <v>28.657381399999998</v>
      </c>
      <c r="G1374">
        <v>77.158544699999993</v>
      </c>
      <c r="H1374" t="s">
        <v>771</v>
      </c>
      <c r="I1374">
        <v>88</v>
      </c>
      <c r="J1374">
        <v>335</v>
      </c>
      <c r="K1374">
        <v>175</v>
      </c>
    </row>
    <row r="1375" spans="1:11" x14ac:dyDescent="0.3">
      <c r="A1375" t="s">
        <v>11</v>
      </c>
      <c r="B1375" t="s">
        <v>18</v>
      </c>
      <c r="C1375" t="s">
        <v>18</v>
      </c>
      <c r="D1375" t="s">
        <v>759</v>
      </c>
      <c r="E1375" s="5">
        <v>45812.958333333343</v>
      </c>
      <c r="F1375">
        <v>28.530785000000002</v>
      </c>
      <c r="G1375">
        <v>77.271254999999996</v>
      </c>
      <c r="H1375" t="s">
        <v>774</v>
      </c>
      <c r="I1375">
        <v>10</v>
      </c>
      <c r="J1375">
        <v>34</v>
      </c>
      <c r="K1375">
        <v>21</v>
      </c>
    </row>
    <row r="1376" spans="1:11" x14ac:dyDescent="0.3">
      <c r="A1376" t="s">
        <v>11</v>
      </c>
      <c r="B1376" t="s">
        <v>18</v>
      </c>
      <c r="C1376" t="s">
        <v>18</v>
      </c>
      <c r="D1376" t="s">
        <v>759</v>
      </c>
      <c r="E1376" s="5">
        <v>45812.958333333343</v>
      </c>
      <c r="F1376">
        <v>28.530785000000002</v>
      </c>
      <c r="G1376">
        <v>77.271254999999996</v>
      </c>
      <c r="H1376" t="s">
        <v>770</v>
      </c>
      <c r="I1376">
        <v>4</v>
      </c>
      <c r="J1376">
        <v>303</v>
      </c>
      <c r="K1376">
        <v>165</v>
      </c>
    </row>
    <row r="1377" spans="1:11" x14ac:dyDescent="0.3">
      <c r="A1377" t="s">
        <v>11</v>
      </c>
      <c r="B1377" t="s">
        <v>18</v>
      </c>
      <c r="C1377" t="s">
        <v>18</v>
      </c>
      <c r="D1377" t="s">
        <v>351</v>
      </c>
      <c r="E1377" s="5">
        <v>45812.958333333343</v>
      </c>
      <c r="F1377">
        <v>28.623763</v>
      </c>
      <c r="G1377">
        <v>77.287209000000004</v>
      </c>
      <c r="H1377" t="s">
        <v>775</v>
      </c>
      <c r="I1377">
        <v>32</v>
      </c>
      <c r="J1377">
        <v>329</v>
      </c>
      <c r="K1377">
        <v>137</v>
      </c>
    </row>
    <row r="1378" spans="1:11" x14ac:dyDescent="0.3">
      <c r="A1378" t="s">
        <v>11</v>
      </c>
      <c r="B1378" t="s">
        <v>18</v>
      </c>
      <c r="C1378" t="s">
        <v>18</v>
      </c>
      <c r="D1378" t="s">
        <v>351</v>
      </c>
      <c r="E1378" s="5">
        <v>45812.958333333343</v>
      </c>
      <c r="F1378">
        <v>28.623763</v>
      </c>
      <c r="G1378">
        <v>77.287209000000004</v>
      </c>
      <c r="H1378" t="s">
        <v>776</v>
      </c>
      <c r="I1378">
        <v>15</v>
      </c>
      <c r="J1378">
        <v>112</v>
      </c>
      <c r="K1378">
        <v>35</v>
      </c>
    </row>
    <row r="1379" spans="1:11" x14ac:dyDescent="0.3">
      <c r="A1379" t="s">
        <v>11</v>
      </c>
      <c r="B1379" t="s">
        <v>18</v>
      </c>
      <c r="C1379" t="s">
        <v>18</v>
      </c>
      <c r="D1379" t="s">
        <v>352</v>
      </c>
      <c r="E1379" s="5">
        <v>45812.958333333343</v>
      </c>
      <c r="F1379">
        <v>28.674045</v>
      </c>
      <c r="G1379">
        <v>77.131022999999999</v>
      </c>
      <c r="H1379" t="s">
        <v>776</v>
      </c>
      <c r="I1379">
        <v>32</v>
      </c>
      <c r="J1379">
        <v>127</v>
      </c>
      <c r="K1379">
        <v>53</v>
      </c>
    </row>
    <row r="1380" spans="1:11" x14ac:dyDescent="0.3">
      <c r="A1380" t="s">
        <v>11</v>
      </c>
      <c r="B1380" t="s">
        <v>18</v>
      </c>
      <c r="C1380" t="s">
        <v>18</v>
      </c>
      <c r="D1380" t="s">
        <v>353</v>
      </c>
      <c r="E1380" s="5">
        <v>45812.958333333343</v>
      </c>
      <c r="F1380">
        <v>28.639652000000002</v>
      </c>
      <c r="G1380">
        <v>77.146275000000003</v>
      </c>
      <c r="H1380" t="s">
        <v>773</v>
      </c>
      <c r="I1380">
        <v>6</v>
      </c>
      <c r="J1380">
        <v>15</v>
      </c>
      <c r="K1380">
        <v>11</v>
      </c>
    </row>
    <row r="1381" spans="1:11" x14ac:dyDescent="0.3">
      <c r="A1381" t="s">
        <v>11</v>
      </c>
      <c r="B1381" t="s">
        <v>18</v>
      </c>
      <c r="C1381" t="s">
        <v>18</v>
      </c>
      <c r="D1381" t="s">
        <v>354</v>
      </c>
      <c r="E1381" s="5">
        <v>45812.958333333343</v>
      </c>
      <c r="F1381">
        <v>28.563262000000002</v>
      </c>
      <c r="G1381">
        <v>77.186937</v>
      </c>
      <c r="H1381" t="s">
        <v>772</v>
      </c>
      <c r="I1381">
        <v>10</v>
      </c>
      <c r="J1381">
        <v>102</v>
      </c>
      <c r="K1381">
        <v>55</v>
      </c>
    </row>
    <row r="1382" spans="1:11" x14ac:dyDescent="0.3">
      <c r="A1382" t="s">
        <v>11</v>
      </c>
      <c r="B1382" t="s">
        <v>18</v>
      </c>
      <c r="C1382" t="s">
        <v>18</v>
      </c>
      <c r="D1382" t="s">
        <v>674</v>
      </c>
      <c r="E1382" s="5">
        <v>45812.958333333343</v>
      </c>
      <c r="F1382">
        <v>28.611281000000002</v>
      </c>
      <c r="G1382">
        <v>77.237737999999993</v>
      </c>
      <c r="H1382" t="s">
        <v>774</v>
      </c>
      <c r="I1382">
        <v>12</v>
      </c>
      <c r="J1382">
        <v>53</v>
      </c>
      <c r="K1382">
        <v>24</v>
      </c>
    </row>
    <row r="1383" spans="1:11" x14ac:dyDescent="0.3">
      <c r="A1383" t="s">
        <v>11</v>
      </c>
      <c r="B1383" t="s">
        <v>18</v>
      </c>
      <c r="C1383" t="s">
        <v>18</v>
      </c>
      <c r="D1383" t="s">
        <v>675</v>
      </c>
      <c r="E1383" s="5">
        <v>45812.958333333343</v>
      </c>
      <c r="F1383">
        <v>28.636429</v>
      </c>
      <c r="G1383">
        <v>77.201066999999995</v>
      </c>
      <c r="H1383" t="s">
        <v>776</v>
      </c>
      <c r="I1383">
        <v>8</v>
      </c>
      <c r="J1383">
        <v>47</v>
      </c>
      <c r="K1383">
        <v>20</v>
      </c>
    </row>
    <row r="1384" spans="1:11" x14ac:dyDescent="0.3">
      <c r="A1384" t="s">
        <v>11</v>
      </c>
      <c r="B1384" t="s">
        <v>18</v>
      </c>
      <c r="C1384" t="s">
        <v>18</v>
      </c>
      <c r="D1384" t="s">
        <v>361</v>
      </c>
      <c r="E1384" s="5">
        <v>45812.958333333343</v>
      </c>
      <c r="F1384">
        <v>28.684678000000002</v>
      </c>
      <c r="G1384">
        <v>77.076573999999994</v>
      </c>
      <c r="H1384" t="s">
        <v>773</v>
      </c>
      <c r="I1384">
        <v>6</v>
      </c>
      <c r="J1384">
        <v>12</v>
      </c>
      <c r="K1384">
        <v>8</v>
      </c>
    </row>
    <row r="1385" spans="1:11" x14ac:dyDescent="0.3">
      <c r="A1385" t="s">
        <v>11</v>
      </c>
      <c r="B1385" t="s">
        <v>18</v>
      </c>
      <c r="C1385" t="s">
        <v>18</v>
      </c>
      <c r="D1385" t="s">
        <v>361</v>
      </c>
      <c r="E1385" s="5">
        <v>45812.958333333343</v>
      </c>
      <c r="F1385">
        <v>28.684678000000002</v>
      </c>
      <c r="G1385">
        <v>77.076573999999994</v>
      </c>
      <c r="H1385" t="s">
        <v>770</v>
      </c>
      <c r="I1385">
        <v>4</v>
      </c>
      <c r="J1385">
        <v>94</v>
      </c>
      <c r="K1385">
        <v>56</v>
      </c>
    </row>
    <row r="1386" spans="1:11" x14ac:dyDescent="0.3">
      <c r="A1386" t="s">
        <v>11</v>
      </c>
      <c r="B1386" t="s">
        <v>18</v>
      </c>
      <c r="C1386" t="s">
        <v>18</v>
      </c>
      <c r="D1386" t="s">
        <v>355</v>
      </c>
      <c r="E1386" s="5">
        <v>45812.958333333343</v>
      </c>
      <c r="F1386">
        <v>28.732527999999999</v>
      </c>
      <c r="G1386">
        <v>77.119919999999993</v>
      </c>
      <c r="H1386" t="s">
        <v>773</v>
      </c>
      <c r="I1386">
        <v>8</v>
      </c>
      <c r="J1386">
        <v>19</v>
      </c>
      <c r="K1386">
        <v>12</v>
      </c>
    </row>
    <row r="1387" spans="1:11" x14ac:dyDescent="0.3">
      <c r="A1387" t="s">
        <v>11</v>
      </c>
      <c r="B1387" t="s">
        <v>18</v>
      </c>
      <c r="C1387" t="s">
        <v>18</v>
      </c>
      <c r="D1387" t="s">
        <v>355</v>
      </c>
      <c r="E1387" s="5">
        <v>45812.958333333343</v>
      </c>
      <c r="F1387">
        <v>28.732527999999999</v>
      </c>
      <c r="G1387">
        <v>77.119919999999993</v>
      </c>
      <c r="H1387" t="s">
        <v>776</v>
      </c>
      <c r="I1387">
        <v>14</v>
      </c>
      <c r="J1387">
        <v>163</v>
      </c>
      <c r="K1387">
        <v>150</v>
      </c>
    </row>
    <row r="1388" spans="1:11" x14ac:dyDescent="0.3">
      <c r="A1388" t="s">
        <v>11</v>
      </c>
      <c r="B1388" t="s">
        <v>18</v>
      </c>
      <c r="C1388" t="s">
        <v>18</v>
      </c>
      <c r="D1388" t="s">
        <v>356</v>
      </c>
      <c r="E1388" s="5">
        <v>45812.958333333343</v>
      </c>
      <c r="F1388">
        <v>28.651478099999999</v>
      </c>
      <c r="G1388">
        <v>77.147310500000003</v>
      </c>
      <c r="H1388" t="s">
        <v>772</v>
      </c>
      <c r="I1388">
        <v>56</v>
      </c>
      <c r="J1388">
        <v>104</v>
      </c>
      <c r="K1388">
        <v>74</v>
      </c>
    </row>
    <row r="1389" spans="1:11" x14ac:dyDescent="0.3">
      <c r="A1389" t="s">
        <v>11</v>
      </c>
      <c r="B1389" t="s">
        <v>18</v>
      </c>
      <c r="C1389" t="s">
        <v>18</v>
      </c>
      <c r="D1389" t="s">
        <v>357</v>
      </c>
      <c r="E1389" s="5">
        <v>45812.958333333343</v>
      </c>
      <c r="F1389">
        <v>28.550424899999999</v>
      </c>
      <c r="G1389">
        <v>77.215937699999998</v>
      </c>
      <c r="H1389" t="s">
        <v>773</v>
      </c>
      <c r="I1389">
        <v>8</v>
      </c>
      <c r="J1389">
        <v>27</v>
      </c>
      <c r="K1389">
        <v>15</v>
      </c>
    </row>
    <row r="1390" spans="1:11" x14ac:dyDescent="0.3">
      <c r="A1390" t="s">
        <v>11</v>
      </c>
      <c r="B1390" t="s">
        <v>18</v>
      </c>
      <c r="C1390" t="s">
        <v>18</v>
      </c>
      <c r="D1390" t="s">
        <v>368</v>
      </c>
      <c r="E1390" s="5">
        <v>45812.958333333343</v>
      </c>
      <c r="F1390">
        <v>28.588332999999999</v>
      </c>
      <c r="G1390">
        <v>77.221666999999997</v>
      </c>
      <c r="H1390" t="s">
        <v>771</v>
      </c>
      <c r="I1390">
        <v>71</v>
      </c>
      <c r="J1390">
        <v>192</v>
      </c>
      <c r="K1390">
        <v>134</v>
      </c>
    </row>
    <row r="1391" spans="1:11" x14ac:dyDescent="0.3">
      <c r="A1391" t="s">
        <v>11</v>
      </c>
      <c r="B1391" t="s">
        <v>18</v>
      </c>
      <c r="C1391" t="s">
        <v>18</v>
      </c>
      <c r="D1391" t="s">
        <v>673</v>
      </c>
      <c r="E1391" s="5">
        <v>45812.958333333343</v>
      </c>
      <c r="F1391">
        <v>28.591824500000001</v>
      </c>
      <c r="G1391">
        <v>77.227307400000001</v>
      </c>
      <c r="H1391" t="s">
        <v>770</v>
      </c>
      <c r="I1391">
        <v>81</v>
      </c>
      <c r="J1391">
        <v>110</v>
      </c>
      <c r="K1391">
        <v>89</v>
      </c>
    </row>
    <row r="1392" spans="1:11" x14ac:dyDescent="0.3">
      <c r="A1392" t="s">
        <v>11</v>
      </c>
      <c r="B1392" t="s">
        <v>18</v>
      </c>
      <c r="C1392" t="s">
        <v>18</v>
      </c>
      <c r="D1392" t="s">
        <v>676</v>
      </c>
      <c r="E1392" s="5">
        <v>45812.958333333343</v>
      </c>
      <c r="F1392">
        <v>28.628623999999999</v>
      </c>
      <c r="G1392">
        <v>77.241060000000004</v>
      </c>
      <c r="H1392" t="s">
        <v>774</v>
      </c>
      <c r="I1392">
        <v>11</v>
      </c>
      <c r="J1392">
        <v>28</v>
      </c>
      <c r="K1392">
        <v>19</v>
      </c>
    </row>
    <row r="1393" spans="1:11" x14ac:dyDescent="0.3">
      <c r="A1393" t="s">
        <v>11</v>
      </c>
      <c r="B1393" t="s">
        <v>18</v>
      </c>
      <c r="C1393" t="s">
        <v>18</v>
      </c>
      <c r="D1393" t="s">
        <v>360</v>
      </c>
      <c r="E1393" s="5">
        <v>45812.958333333343</v>
      </c>
      <c r="F1393">
        <v>28.73282</v>
      </c>
      <c r="G1393">
        <v>77.170632999999995</v>
      </c>
      <c r="H1393" t="s">
        <v>774</v>
      </c>
      <c r="I1393">
        <v>20</v>
      </c>
      <c r="J1393">
        <v>116</v>
      </c>
      <c r="K1393">
        <v>56</v>
      </c>
    </row>
    <row r="1394" spans="1:11" x14ac:dyDescent="0.3">
      <c r="A1394" t="s">
        <v>11</v>
      </c>
      <c r="B1394" t="s">
        <v>18</v>
      </c>
      <c r="C1394" t="s">
        <v>18</v>
      </c>
      <c r="D1394" t="s">
        <v>677</v>
      </c>
      <c r="E1394" s="5">
        <v>45812.958333333343</v>
      </c>
      <c r="F1394">
        <v>28.580279999999998</v>
      </c>
      <c r="G1394">
        <v>77.233829</v>
      </c>
      <c r="H1394" t="s">
        <v>770</v>
      </c>
      <c r="I1394">
        <v>2</v>
      </c>
      <c r="J1394">
        <v>93</v>
      </c>
      <c r="K1394">
        <v>60</v>
      </c>
    </row>
    <row r="1395" spans="1:11" x14ac:dyDescent="0.3">
      <c r="A1395" t="s">
        <v>11</v>
      </c>
      <c r="B1395" t="s">
        <v>18</v>
      </c>
      <c r="C1395" t="s">
        <v>18</v>
      </c>
      <c r="D1395" t="s">
        <v>677</v>
      </c>
      <c r="E1395" s="5">
        <v>45812.958333333343</v>
      </c>
      <c r="F1395">
        <v>28.580279999999998</v>
      </c>
      <c r="G1395">
        <v>77.233829</v>
      </c>
      <c r="H1395" t="s">
        <v>776</v>
      </c>
      <c r="I1395">
        <v>40</v>
      </c>
      <c r="J1395">
        <v>128</v>
      </c>
      <c r="K1395">
        <v>63</v>
      </c>
    </row>
    <row r="1396" spans="1:11" x14ac:dyDescent="0.3">
      <c r="A1396" t="s">
        <v>11</v>
      </c>
      <c r="B1396" t="s">
        <v>18</v>
      </c>
      <c r="C1396" t="s">
        <v>18</v>
      </c>
      <c r="D1396" t="s">
        <v>367</v>
      </c>
      <c r="E1396" s="5">
        <v>45812.958333333343</v>
      </c>
      <c r="F1396">
        <v>28.531345999999999</v>
      </c>
      <c r="G1396">
        <v>77.190156000000002</v>
      </c>
      <c r="H1396" t="s">
        <v>773</v>
      </c>
      <c r="I1396">
        <v>8</v>
      </c>
      <c r="J1396">
        <v>12</v>
      </c>
      <c r="K1396">
        <v>10</v>
      </c>
    </row>
    <row r="1397" spans="1:11" x14ac:dyDescent="0.3">
      <c r="A1397" t="s">
        <v>11</v>
      </c>
      <c r="B1397" t="s">
        <v>20</v>
      </c>
      <c r="C1397" t="s">
        <v>83</v>
      </c>
      <c r="D1397" t="s">
        <v>375</v>
      </c>
      <c r="E1397" s="5">
        <v>45812.958333333343</v>
      </c>
      <c r="F1397">
        <v>30.943887</v>
      </c>
      <c r="G1397">
        <v>76.801991000000001</v>
      </c>
      <c r="H1397" t="s">
        <v>770</v>
      </c>
      <c r="I1397">
        <v>31</v>
      </c>
      <c r="J1397">
        <v>136</v>
      </c>
      <c r="K1397">
        <v>105</v>
      </c>
    </row>
    <row r="1398" spans="1:11" x14ac:dyDescent="0.3">
      <c r="A1398" t="s">
        <v>11</v>
      </c>
      <c r="B1398" t="s">
        <v>21</v>
      </c>
      <c r="C1398" t="s">
        <v>84</v>
      </c>
      <c r="D1398" t="s">
        <v>376</v>
      </c>
      <c r="E1398" s="5">
        <v>45812.958333333343</v>
      </c>
      <c r="F1398">
        <v>34.066206000000001</v>
      </c>
      <c r="G1398">
        <v>74.819820000000007</v>
      </c>
      <c r="H1398" t="s">
        <v>773</v>
      </c>
      <c r="I1398">
        <v>2</v>
      </c>
      <c r="J1398">
        <v>2</v>
      </c>
      <c r="K1398">
        <v>2</v>
      </c>
    </row>
    <row r="1399" spans="1:11" x14ac:dyDescent="0.3">
      <c r="A1399" t="s">
        <v>11</v>
      </c>
      <c r="B1399" t="s">
        <v>39</v>
      </c>
      <c r="C1399" t="s">
        <v>256</v>
      </c>
      <c r="D1399" t="s">
        <v>682</v>
      </c>
      <c r="E1399" s="5">
        <v>45812.958333333343</v>
      </c>
      <c r="F1399">
        <v>23.805689999999998</v>
      </c>
      <c r="G1399">
        <v>86.442679999999996</v>
      </c>
      <c r="H1399" t="s">
        <v>775</v>
      </c>
      <c r="I1399">
        <v>76</v>
      </c>
      <c r="J1399">
        <v>337</v>
      </c>
      <c r="K1399">
        <v>163</v>
      </c>
    </row>
    <row r="1400" spans="1:11" x14ac:dyDescent="0.3">
      <c r="A1400" t="s">
        <v>11</v>
      </c>
      <c r="B1400" t="s">
        <v>39</v>
      </c>
      <c r="C1400" t="s">
        <v>256</v>
      </c>
      <c r="D1400" t="s">
        <v>682</v>
      </c>
      <c r="E1400" s="5">
        <v>45812.958333333343</v>
      </c>
      <c r="F1400">
        <v>23.805689999999998</v>
      </c>
      <c r="G1400">
        <v>86.442679999999996</v>
      </c>
      <c r="H1400" t="s">
        <v>776</v>
      </c>
      <c r="I1400">
        <v>2</v>
      </c>
      <c r="J1400">
        <v>2</v>
      </c>
      <c r="K1400">
        <v>2</v>
      </c>
    </row>
    <row r="1401" spans="1:11" x14ac:dyDescent="0.3">
      <c r="A1401" t="s">
        <v>11</v>
      </c>
      <c r="B1401" t="s">
        <v>39</v>
      </c>
      <c r="C1401" t="s">
        <v>256</v>
      </c>
      <c r="D1401" t="s">
        <v>682</v>
      </c>
      <c r="E1401" s="5">
        <v>45812.958333333343</v>
      </c>
      <c r="F1401">
        <v>23.805689999999998</v>
      </c>
      <c r="G1401">
        <v>86.442679999999996</v>
      </c>
      <c r="H1401" t="s">
        <v>770</v>
      </c>
      <c r="I1401">
        <v>15</v>
      </c>
      <c r="J1401">
        <v>57</v>
      </c>
      <c r="K1401">
        <v>41</v>
      </c>
    </row>
    <row r="1402" spans="1:11" x14ac:dyDescent="0.3">
      <c r="A1402" t="s">
        <v>11</v>
      </c>
      <c r="B1402" t="s">
        <v>22</v>
      </c>
      <c r="C1402" t="s">
        <v>85</v>
      </c>
      <c r="D1402" t="s">
        <v>377</v>
      </c>
      <c r="E1402" s="5">
        <v>45812.958333333343</v>
      </c>
      <c r="F1402">
        <v>16.172806000000001</v>
      </c>
      <c r="G1402">
        <v>75.659694000000002</v>
      </c>
      <c r="H1402" t="s">
        <v>771</v>
      </c>
      <c r="I1402">
        <v>45</v>
      </c>
      <c r="J1402">
        <v>46</v>
      </c>
      <c r="K1402">
        <v>46</v>
      </c>
    </row>
    <row r="1403" spans="1:11" x14ac:dyDescent="0.3">
      <c r="A1403" t="s">
        <v>11</v>
      </c>
      <c r="B1403" t="s">
        <v>22</v>
      </c>
      <c r="C1403" t="s">
        <v>85</v>
      </c>
      <c r="D1403" t="s">
        <v>377</v>
      </c>
      <c r="E1403" s="5">
        <v>45812.958333333343</v>
      </c>
      <c r="F1403">
        <v>16.172806000000001</v>
      </c>
      <c r="G1403">
        <v>75.659694000000002</v>
      </c>
      <c r="H1403" t="s">
        <v>773</v>
      </c>
      <c r="I1403">
        <v>1</v>
      </c>
      <c r="J1403">
        <v>2</v>
      </c>
      <c r="K1403">
        <v>1</v>
      </c>
    </row>
    <row r="1404" spans="1:11" x14ac:dyDescent="0.3">
      <c r="A1404" t="s">
        <v>11</v>
      </c>
      <c r="B1404" t="s">
        <v>19</v>
      </c>
      <c r="C1404" t="s">
        <v>90</v>
      </c>
      <c r="D1404" t="s">
        <v>683</v>
      </c>
      <c r="E1404" s="5">
        <v>45812.958333333343</v>
      </c>
      <c r="F1404">
        <v>23.243639000000002</v>
      </c>
      <c r="G1404">
        <v>72.689940000000007</v>
      </c>
      <c r="H1404" t="s">
        <v>771</v>
      </c>
      <c r="I1404">
        <v>60</v>
      </c>
      <c r="J1404">
        <v>142</v>
      </c>
      <c r="K1404">
        <v>97</v>
      </c>
    </row>
    <row r="1405" spans="1:11" x14ac:dyDescent="0.3">
      <c r="A1405" t="s">
        <v>11</v>
      </c>
      <c r="B1405" t="s">
        <v>19</v>
      </c>
      <c r="C1405" t="s">
        <v>90</v>
      </c>
      <c r="D1405" t="s">
        <v>683</v>
      </c>
      <c r="E1405" s="5">
        <v>45812.958333333343</v>
      </c>
      <c r="F1405">
        <v>23.243639000000002</v>
      </c>
      <c r="G1405">
        <v>72.689940000000007</v>
      </c>
      <c r="H1405" t="s">
        <v>770</v>
      </c>
      <c r="I1405">
        <v>2</v>
      </c>
      <c r="J1405">
        <v>49</v>
      </c>
      <c r="K1405">
        <v>26</v>
      </c>
    </row>
    <row r="1406" spans="1:11" x14ac:dyDescent="0.3">
      <c r="A1406" t="s">
        <v>11</v>
      </c>
      <c r="B1406" t="s">
        <v>19</v>
      </c>
      <c r="C1406" t="s">
        <v>90</v>
      </c>
      <c r="D1406" t="s">
        <v>387</v>
      </c>
      <c r="E1406" s="5">
        <v>45812.958333333343</v>
      </c>
      <c r="F1406">
        <v>23.221713999999999</v>
      </c>
      <c r="G1406">
        <v>72.654328000000007</v>
      </c>
      <c r="H1406" t="s">
        <v>775</v>
      </c>
      <c r="I1406">
        <v>18</v>
      </c>
      <c r="J1406">
        <v>67</v>
      </c>
      <c r="K1406">
        <v>37</v>
      </c>
    </row>
    <row r="1407" spans="1:11" x14ac:dyDescent="0.3">
      <c r="A1407" t="s">
        <v>11</v>
      </c>
      <c r="B1407" t="s">
        <v>19</v>
      </c>
      <c r="C1407" t="s">
        <v>90</v>
      </c>
      <c r="D1407" t="s">
        <v>387</v>
      </c>
      <c r="E1407" s="5">
        <v>45812.958333333343</v>
      </c>
      <c r="F1407">
        <v>23.221713999999999</v>
      </c>
      <c r="G1407">
        <v>72.654328000000007</v>
      </c>
      <c r="H1407" t="s">
        <v>772</v>
      </c>
      <c r="I1407">
        <v>23</v>
      </c>
      <c r="J1407">
        <v>25</v>
      </c>
      <c r="K1407">
        <v>24</v>
      </c>
    </row>
    <row r="1408" spans="1:11" x14ac:dyDescent="0.3">
      <c r="A1408" t="s">
        <v>11</v>
      </c>
      <c r="B1408" t="s">
        <v>19</v>
      </c>
      <c r="C1408" t="s">
        <v>257</v>
      </c>
      <c r="D1408" t="s">
        <v>684</v>
      </c>
      <c r="E1408" s="5">
        <v>45812.958333333343</v>
      </c>
      <c r="F1408">
        <v>22.410802</v>
      </c>
      <c r="G1408">
        <v>73.097922999999994</v>
      </c>
      <c r="H1408" t="s">
        <v>772</v>
      </c>
      <c r="I1408">
        <v>4</v>
      </c>
      <c r="J1408">
        <v>27</v>
      </c>
      <c r="K1408">
        <v>14</v>
      </c>
    </row>
    <row r="1409" spans="1:11" x14ac:dyDescent="0.3">
      <c r="A1409" t="s">
        <v>11</v>
      </c>
      <c r="B1409" t="s">
        <v>19</v>
      </c>
      <c r="C1409" t="s">
        <v>91</v>
      </c>
      <c r="D1409" t="s">
        <v>388</v>
      </c>
      <c r="E1409" s="5">
        <v>45812.958333333343</v>
      </c>
      <c r="F1409">
        <v>21.170045999999999</v>
      </c>
      <c r="G1409">
        <v>72.795405000000002</v>
      </c>
      <c r="H1409" t="s">
        <v>776</v>
      </c>
    </row>
    <row r="1410" spans="1:11" x14ac:dyDescent="0.3">
      <c r="A1410" t="s">
        <v>11</v>
      </c>
      <c r="B1410" t="s">
        <v>19</v>
      </c>
      <c r="C1410" t="s">
        <v>253</v>
      </c>
      <c r="D1410" t="s">
        <v>678</v>
      </c>
      <c r="E1410" s="5">
        <v>45812.958333333343</v>
      </c>
      <c r="F1410">
        <v>20.362421000000001</v>
      </c>
      <c r="G1410">
        <v>72.918013000000002</v>
      </c>
      <c r="H1410" t="s">
        <v>775</v>
      </c>
      <c r="I1410">
        <v>42</v>
      </c>
      <c r="J1410">
        <v>309</v>
      </c>
      <c r="K1410">
        <v>122</v>
      </c>
    </row>
    <row r="1411" spans="1:11" x14ac:dyDescent="0.3">
      <c r="A1411" t="s">
        <v>11</v>
      </c>
      <c r="B1411" t="s">
        <v>19</v>
      </c>
      <c r="C1411" t="s">
        <v>254</v>
      </c>
      <c r="D1411" t="s">
        <v>679</v>
      </c>
      <c r="E1411" s="5">
        <v>45812.958333333343</v>
      </c>
      <c r="F1411">
        <v>22.969611</v>
      </c>
      <c r="G1411">
        <v>72.643500000000003</v>
      </c>
      <c r="H1411" t="s">
        <v>774</v>
      </c>
      <c r="I1411">
        <v>17</v>
      </c>
      <c r="J1411">
        <v>34</v>
      </c>
      <c r="K1411">
        <v>24</v>
      </c>
    </row>
    <row r="1412" spans="1:11" x14ac:dyDescent="0.3">
      <c r="A1412" t="s">
        <v>11</v>
      </c>
      <c r="B1412" t="s">
        <v>19</v>
      </c>
      <c r="C1412" t="s">
        <v>254</v>
      </c>
      <c r="D1412" t="s">
        <v>679</v>
      </c>
      <c r="E1412" s="5">
        <v>45812.958333333343</v>
      </c>
      <c r="F1412">
        <v>22.969611</v>
      </c>
      <c r="G1412">
        <v>72.643500000000003</v>
      </c>
      <c r="H1412" t="s">
        <v>770</v>
      </c>
      <c r="I1412">
        <v>1</v>
      </c>
      <c r="J1412">
        <v>2</v>
      </c>
      <c r="K1412">
        <v>1</v>
      </c>
    </row>
    <row r="1413" spans="1:11" x14ac:dyDescent="0.3">
      <c r="A1413" t="s">
        <v>11</v>
      </c>
      <c r="B1413" t="s">
        <v>23</v>
      </c>
      <c r="C1413" t="s">
        <v>87</v>
      </c>
      <c r="D1413" t="s">
        <v>383</v>
      </c>
      <c r="E1413" s="5">
        <v>45812.958333333343</v>
      </c>
      <c r="F1413">
        <v>28.422681000000001</v>
      </c>
      <c r="G1413">
        <v>77.148944</v>
      </c>
      <c r="H1413" t="s">
        <v>775</v>
      </c>
      <c r="I1413">
        <v>42</v>
      </c>
      <c r="J1413">
        <v>304</v>
      </c>
      <c r="K1413">
        <v>141</v>
      </c>
    </row>
    <row r="1414" spans="1:11" x14ac:dyDescent="0.3">
      <c r="A1414" t="s">
        <v>11</v>
      </c>
      <c r="B1414" t="s">
        <v>23</v>
      </c>
      <c r="C1414" t="s">
        <v>87</v>
      </c>
      <c r="D1414" t="s">
        <v>383</v>
      </c>
      <c r="E1414" s="5">
        <v>45812.958333333343</v>
      </c>
      <c r="F1414">
        <v>28.422681000000001</v>
      </c>
      <c r="G1414">
        <v>77.148944</v>
      </c>
      <c r="H1414" t="s">
        <v>771</v>
      </c>
      <c r="I1414">
        <v>33</v>
      </c>
      <c r="J1414">
        <v>162</v>
      </c>
      <c r="K1414">
        <v>108</v>
      </c>
    </row>
    <row r="1415" spans="1:11" x14ac:dyDescent="0.3">
      <c r="A1415" t="s">
        <v>11</v>
      </c>
      <c r="B1415" t="s">
        <v>23</v>
      </c>
      <c r="C1415" t="s">
        <v>88</v>
      </c>
      <c r="D1415" t="s">
        <v>384</v>
      </c>
      <c r="E1415" s="5">
        <v>45812.958333333343</v>
      </c>
      <c r="F1415">
        <v>28.315300000000001</v>
      </c>
      <c r="G1415">
        <v>76.914299999999997</v>
      </c>
      <c r="H1415" t="s">
        <v>775</v>
      </c>
      <c r="I1415">
        <v>23</v>
      </c>
      <c r="J1415">
        <v>46</v>
      </c>
      <c r="K1415">
        <v>37</v>
      </c>
    </row>
    <row r="1416" spans="1:11" x14ac:dyDescent="0.3">
      <c r="A1416" t="s">
        <v>11</v>
      </c>
      <c r="B1416" t="s">
        <v>19</v>
      </c>
      <c r="C1416" t="s">
        <v>82</v>
      </c>
      <c r="D1416" t="s">
        <v>685</v>
      </c>
      <c r="E1416" s="5">
        <v>45812.958333333343</v>
      </c>
      <c r="F1416">
        <v>23.016833999999999</v>
      </c>
      <c r="G1416">
        <v>72.625775000000004</v>
      </c>
      <c r="H1416" t="s">
        <v>775</v>
      </c>
      <c r="I1416">
        <v>21</v>
      </c>
      <c r="J1416">
        <v>309</v>
      </c>
      <c r="K1416">
        <v>99</v>
      </c>
    </row>
    <row r="1417" spans="1:11" x14ac:dyDescent="0.3">
      <c r="A1417" t="s">
        <v>11</v>
      </c>
      <c r="B1417" t="s">
        <v>19</v>
      </c>
      <c r="C1417" t="s">
        <v>82</v>
      </c>
      <c r="D1417" t="s">
        <v>685</v>
      </c>
      <c r="E1417" s="5">
        <v>45812.958333333343</v>
      </c>
      <c r="F1417">
        <v>23.016833999999999</v>
      </c>
      <c r="G1417">
        <v>72.625775000000004</v>
      </c>
      <c r="H1417" t="s">
        <v>773</v>
      </c>
      <c r="I1417">
        <v>6</v>
      </c>
      <c r="J1417">
        <v>15</v>
      </c>
      <c r="K1417">
        <v>9</v>
      </c>
    </row>
    <row r="1418" spans="1:11" x14ac:dyDescent="0.3">
      <c r="A1418" t="s">
        <v>11</v>
      </c>
      <c r="B1418" t="s">
        <v>19</v>
      </c>
      <c r="C1418" t="s">
        <v>82</v>
      </c>
      <c r="D1418" t="s">
        <v>379</v>
      </c>
      <c r="E1418" s="5">
        <v>45812.958333333343</v>
      </c>
      <c r="F1418">
        <v>23.076792999999999</v>
      </c>
      <c r="G1418">
        <v>72.627874000000006</v>
      </c>
      <c r="H1418" t="s">
        <v>771</v>
      </c>
      <c r="I1418">
        <v>40</v>
      </c>
      <c r="J1418">
        <v>185</v>
      </c>
      <c r="K1418">
        <v>85</v>
      </c>
    </row>
    <row r="1419" spans="1:11" x14ac:dyDescent="0.3">
      <c r="A1419" t="s">
        <v>11</v>
      </c>
      <c r="B1419" t="s">
        <v>19</v>
      </c>
      <c r="C1419" t="s">
        <v>82</v>
      </c>
      <c r="D1419" t="s">
        <v>379</v>
      </c>
      <c r="E1419" s="5">
        <v>45812.958333333343</v>
      </c>
      <c r="F1419">
        <v>23.076792999999999</v>
      </c>
      <c r="G1419">
        <v>72.627874000000006</v>
      </c>
      <c r="H1419" t="s">
        <v>774</v>
      </c>
      <c r="I1419">
        <v>1</v>
      </c>
      <c r="J1419">
        <v>12</v>
      </c>
      <c r="K1419">
        <v>4</v>
      </c>
    </row>
    <row r="1420" spans="1:11" x14ac:dyDescent="0.3">
      <c r="A1420" t="s">
        <v>11</v>
      </c>
      <c r="B1420" t="s">
        <v>19</v>
      </c>
      <c r="C1420" t="s">
        <v>82</v>
      </c>
      <c r="D1420" t="s">
        <v>379</v>
      </c>
      <c r="E1420" s="5">
        <v>45812.958333333343</v>
      </c>
      <c r="F1420">
        <v>23.076792999999999</v>
      </c>
      <c r="G1420">
        <v>72.627874000000006</v>
      </c>
      <c r="H1420" t="s">
        <v>770</v>
      </c>
      <c r="I1420">
        <v>1</v>
      </c>
      <c r="J1420">
        <v>55</v>
      </c>
      <c r="K1420">
        <v>26</v>
      </c>
    </row>
    <row r="1421" spans="1:11" x14ac:dyDescent="0.3">
      <c r="A1421" t="s">
        <v>11</v>
      </c>
      <c r="B1421" t="s">
        <v>18</v>
      </c>
      <c r="C1421" t="s">
        <v>18</v>
      </c>
      <c r="D1421" t="s">
        <v>369</v>
      </c>
      <c r="E1421" s="5">
        <v>45812.958333333343</v>
      </c>
      <c r="F1421">
        <v>28.672342</v>
      </c>
      <c r="G1421">
        <v>77.315259999999995</v>
      </c>
      <c r="H1421" t="s">
        <v>775</v>
      </c>
      <c r="I1421">
        <v>45</v>
      </c>
      <c r="J1421">
        <v>361</v>
      </c>
      <c r="K1421">
        <v>158</v>
      </c>
    </row>
    <row r="1422" spans="1:11" x14ac:dyDescent="0.3">
      <c r="A1422" t="s">
        <v>11</v>
      </c>
      <c r="B1422" t="s">
        <v>18</v>
      </c>
      <c r="C1422" t="s">
        <v>18</v>
      </c>
      <c r="D1422" t="s">
        <v>369</v>
      </c>
      <c r="E1422" s="5">
        <v>45812.958333333343</v>
      </c>
      <c r="F1422">
        <v>28.672342</v>
      </c>
      <c r="G1422">
        <v>77.315259999999995</v>
      </c>
      <c r="H1422" t="s">
        <v>771</v>
      </c>
      <c r="I1422">
        <v>84</v>
      </c>
      <c r="J1422">
        <v>308</v>
      </c>
      <c r="K1422">
        <v>170</v>
      </c>
    </row>
    <row r="1423" spans="1:11" x14ac:dyDescent="0.3">
      <c r="A1423" t="s">
        <v>11</v>
      </c>
      <c r="B1423" t="s">
        <v>18</v>
      </c>
      <c r="C1423" t="s">
        <v>18</v>
      </c>
      <c r="D1423" t="s">
        <v>369</v>
      </c>
      <c r="E1423" s="5">
        <v>45812.958333333343</v>
      </c>
      <c r="F1423">
        <v>28.672342</v>
      </c>
      <c r="G1423">
        <v>77.315259999999995</v>
      </c>
      <c r="H1423" t="s">
        <v>776</v>
      </c>
      <c r="I1423">
        <v>30</v>
      </c>
      <c r="J1423">
        <v>111</v>
      </c>
      <c r="K1423">
        <v>53</v>
      </c>
    </row>
    <row r="1424" spans="1:11" x14ac:dyDescent="0.3">
      <c r="A1424" t="s">
        <v>11</v>
      </c>
      <c r="B1424" t="s">
        <v>18</v>
      </c>
      <c r="C1424" t="s">
        <v>18</v>
      </c>
      <c r="D1424" t="s">
        <v>369</v>
      </c>
      <c r="E1424" s="5">
        <v>45812.958333333343</v>
      </c>
      <c r="F1424">
        <v>28.672342</v>
      </c>
      <c r="G1424">
        <v>77.315259999999995</v>
      </c>
      <c r="H1424" t="s">
        <v>770</v>
      </c>
      <c r="I1424">
        <v>2</v>
      </c>
      <c r="J1424">
        <v>238</v>
      </c>
      <c r="K1424">
        <v>100</v>
      </c>
    </row>
    <row r="1425" spans="1:11" x14ac:dyDescent="0.3">
      <c r="A1425" t="s">
        <v>11</v>
      </c>
      <c r="B1425" t="s">
        <v>18</v>
      </c>
      <c r="C1425" t="s">
        <v>18</v>
      </c>
      <c r="D1425" t="s">
        <v>370</v>
      </c>
      <c r="E1425" s="5">
        <v>45812.958333333343</v>
      </c>
      <c r="F1425">
        <v>28.699793</v>
      </c>
      <c r="G1425">
        <v>77.165452999999999</v>
      </c>
      <c r="H1425" t="s">
        <v>774</v>
      </c>
      <c r="I1425">
        <v>27</v>
      </c>
      <c r="J1425">
        <v>102</v>
      </c>
      <c r="K1425">
        <v>55</v>
      </c>
    </row>
    <row r="1426" spans="1:11" x14ac:dyDescent="0.3">
      <c r="A1426" t="s">
        <v>11</v>
      </c>
      <c r="B1426" t="s">
        <v>19</v>
      </c>
      <c r="C1426" t="s">
        <v>82</v>
      </c>
      <c r="D1426" t="s">
        <v>385</v>
      </c>
      <c r="E1426" s="5">
        <v>45812.958333333343</v>
      </c>
      <c r="F1426">
        <v>23.04307</v>
      </c>
      <c r="G1426">
        <v>72.562967999999998</v>
      </c>
      <c r="H1426" t="s">
        <v>774</v>
      </c>
      <c r="I1426">
        <v>7</v>
      </c>
      <c r="J1426">
        <v>42</v>
      </c>
      <c r="K1426">
        <v>18</v>
      </c>
    </row>
    <row r="1427" spans="1:11" x14ac:dyDescent="0.3">
      <c r="A1427" t="s">
        <v>11</v>
      </c>
      <c r="B1427" t="s">
        <v>19</v>
      </c>
      <c r="C1427" t="s">
        <v>89</v>
      </c>
      <c r="D1427" t="s">
        <v>386</v>
      </c>
      <c r="E1427" s="5">
        <v>45812.958333333343</v>
      </c>
      <c r="F1427">
        <v>21.613267</v>
      </c>
      <c r="G1427">
        <v>73.010554999999997</v>
      </c>
      <c r="H1427" t="s">
        <v>771</v>
      </c>
      <c r="I1427">
        <v>45</v>
      </c>
      <c r="J1427">
        <v>129</v>
      </c>
      <c r="K1427">
        <v>74</v>
      </c>
    </row>
    <row r="1428" spans="1:11" x14ac:dyDescent="0.3">
      <c r="A1428" t="s">
        <v>11</v>
      </c>
      <c r="B1428" t="s">
        <v>19</v>
      </c>
      <c r="C1428" t="s">
        <v>89</v>
      </c>
      <c r="D1428" t="s">
        <v>386</v>
      </c>
      <c r="E1428" s="5">
        <v>45812.958333333343</v>
      </c>
      <c r="F1428">
        <v>21.613267</v>
      </c>
      <c r="G1428">
        <v>73.010554999999997</v>
      </c>
      <c r="H1428" t="s">
        <v>772</v>
      </c>
      <c r="I1428">
        <v>70</v>
      </c>
      <c r="J1428">
        <v>106</v>
      </c>
      <c r="K1428">
        <v>88</v>
      </c>
    </row>
    <row r="1429" spans="1:11" x14ac:dyDescent="0.3">
      <c r="A1429" t="s">
        <v>11</v>
      </c>
      <c r="B1429" t="s">
        <v>19</v>
      </c>
      <c r="C1429" t="s">
        <v>89</v>
      </c>
      <c r="D1429" t="s">
        <v>386</v>
      </c>
      <c r="E1429" s="5">
        <v>45812.958333333343</v>
      </c>
      <c r="F1429">
        <v>21.613267</v>
      </c>
      <c r="G1429">
        <v>73.010554999999997</v>
      </c>
      <c r="H1429" t="s">
        <v>774</v>
      </c>
      <c r="I1429">
        <v>45</v>
      </c>
      <c r="J1429">
        <v>45</v>
      </c>
      <c r="K1429">
        <v>45</v>
      </c>
    </row>
    <row r="1430" spans="1:11" x14ac:dyDescent="0.3">
      <c r="A1430" t="s">
        <v>11</v>
      </c>
      <c r="B1430" t="s">
        <v>22</v>
      </c>
      <c r="C1430" t="s">
        <v>255</v>
      </c>
      <c r="D1430" t="s">
        <v>680</v>
      </c>
      <c r="E1430" s="5">
        <v>45812.958333333343</v>
      </c>
      <c r="F1430">
        <v>15.888653</v>
      </c>
      <c r="G1430">
        <v>74.541751000000005</v>
      </c>
      <c r="H1430" t="s">
        <v>772</v>
      </c>
      <c r="I1430">
        <v>65</v>
      </c>
      <c r="J1430">
        <v>122</v>
      </c>
      <c r="K1430">
        <v>92</v>
      </c>
    </row>
    <row r="1431" spans="1:11" x14ac:dyDescent="0.3">
      <c r="A1431" t="s">
        <v>11</v>
      </c>
      <c r="B1431" t="s">
        <v>22</v>
      </c>
      <c r="C1431" t="s">
        <v>86</v>
      </c>
      <c r="D1431" t="s">
        <v>381</v>
      </c>
      <c r="E1431" s="5">
        <v>45812.958333333343</v>
      </c>
      <c r="F1431">
        <v>12.951912999999999</v>
      </c>
      <c r="G1431">
        <v>77.539783999999997</v>
      </c>
      <c r="H1431" t="s">
        <v>776</v>
      </c>
      <c r="I1431">
        <v>18</v>
      </c>
      <c r="J1431">
        <v>100</v>
      </c>
      <c r="K1431">
        <v>72</v>
      </c>
    </row>
    <row r="1432" spans="1:11" x14ac:dyDescent="0.3">
      <c r="A1432" t="s">
        <v>11</v>
      </c>
      <c r="B1432" t="s">
        <v>22</v>
      </c>
      <c r="C1432" t="s">
        <v>86</v>
      </c>
      <c r="D1432" t="s">
        <v>382</v>
      </c>
      <c r="E1432" s="5">
        <v>45812.958333333343</v>
      </c>
      <c r="F1432">
        <v>12.975684299999999</v>
      </c>
      <c r="G1432">
        <v>77.566074900000004</v>
      </c>
      <c r="H1432" t="s">
        <v>771</v>
      </c>
      <c r="I1432">
        <v>84</v>
      </c>
      <c r="J1432">
        <v>100</v>
      </c>
      <c r="K1432">
        <v>92</v>
      </c>
    </row>
    <row r="1433" spans="1:11" x14ac:dyDescent="0.3">
      <c r="A1433" t="s">
        <v>11</v>
      </c>
      <c r="B1433" t="s">
        <v>19</v>
      </c>
      <c r="C1433" t="s">
        <v>82</v>
      </c>
      <c r="D1433" t="s">
        <v>373</v>
      </c>
      <c r="E1433" s="5">
        <v>45812.958333333343</v>
      </c>
      <c r="F1433">
        <v>23.002656999999999</v>
      </c>
      <c r="G1433">
        <v>72.591911999999994</v>
      </c>
      <c r="H1433" t="s">
        <v>772</v>
      </c>
      <c r="I1433">
        <v>30</v>
      </c>
      <c r="J1433">
        <v>31</v>
      </c>
      <c r="K1433">
        <v>30</v>
      </c>
    </row>
    <row r="1434" spans="1:11" x14ac:dyDescent="0.3">
      <c r="A1434" t="s">
        <v>11</v>
      </c>
      <c r="B1434" t="s">
        <v>19</v>
      </c>
      <c r="C1434" t="s">
        <v>82</v>
      </c>
      <c r="D1434" t="s">
        <v>374</v>
      </c>
      <c r="E1434" s="5">
        <v>45812.958333333343</v>
      </c>
      <c r="F1434">
        <v>23.020509000000001</v>
      </c>
      <c r="G1434">
        <v>72.579261000000002</v>
      </c>
      <c r="H1434" t="s">
        <v>772</v>
      </c>
      <c r="I1434">
        <v>8</v>
      </c>
      <c r="J1434">
        <v>106</v>
      </c>
      <c r="K1434">
        <v>27</v>
      </c>
    </row>
    <row r="1435" spans="1:11" x14ac:dyDescent="0.3">
      <c r="A1435" t="s">
        <v>11</v>
      </c>
      <c r="B1435" t="s">
        <v>19</v>
      </c>
      <c r="C1435" t="s">
        <v>82</v>
      </c>
      <c r="D1435" t="s">
        <v>389</v>
      </c>
      <c r="E1435" s="5">
        <v>45812.958333333343</v>
      </c>
      <c r="F1435">
        <v>23.107969000000001</v>
      </c>
      <c r="G1435">
        <v>72.574647999999996</v>
      </c>
      <c r="H1435" t="s">
        <v>775</v>
      </c>
      <c r="I1435">
        <v>30</v>
      </c>
      <c r="J1435">
        <v>328</v>
      </c>
      <c r="K1435">
        <v>104</v>
      </c>
    </row>
    <row r="1436" spans="1:11" x14ac:dyDescent="0.3">
      <c r="A1436" t="s">
        <v>11</v>
      </c>
      <c r="B1436" t="s">
        <v>19</v>
      </c>
      <c r="C1436" t="s">
        <v>82</v>
      </c>
      <c r="D1436" t="s">
        <v>389</v>
      </c>
      <c r="E1436" s="5">
        <v>45812.958333333343</v>
      </c>
      <c r="F1436">
        <v>23.107969000000001</v>
      </c>
      <c r="G1436">
        <v>72.574647999999996</v>
      </c>
      <c r="H1436" t="s">
        <v>770</v>
      </c>
      <c r="I1436">
        <v>1</v>
      </c>
      <c r="J1436">
        <v>105</v>
      </c>
      <c r="K1436">
        <v>48</v>
      </c>
    </row>
    <row r="1437" spans="1:11" x14ac:dyDescent="0.3">
      <c r="A1437" t="s">
        <v>11</v>
      </c>
      <c r="B1437" t="s">
        <v>22</v>
      </c>
      <c r="C1437" t="s">
        <v>86</v>
      </c>
      <c r="D1437" t="s">
        <v>760</v>
      </c>
      <c r="E1437" s="5">
        <v>45812.958333333343</v>
      </c>
      <c r="F1437">
        <v>12.990328</v>
      </c>
      <c r="G1437">
        <v>77.543138499999998</v>
      </c>
      <c r="H1437" t="s">
        <v>771</v>
      </c>
      <c r="I1437">
        <v>38</v>
      </c>
      <c r="J1437">
        <v>46</v>
      </c>
      <c r="K1437">
        <v>39</v>
      </c>
    </row>
    <row r="1438" spans="1:11" x14ac:dyDescent="0.3">
      <c r="A1438" t="s">
        <v>11</v>
      </c>
      <c r="B1438" t="s">
        <v>22</v>
      </c>
      <c r="C1438" t="s">
        <v>86</v>
      </c>
      <c r="D1438" t="s">
        <v>760</v>
      </c>
      <c r="E1438" s="5">
        <v>45812.958333333343</v>
      </c>
      <c r="F1438">
        <v>12.990328</v>
      </c>
      <c r="G1438">
        <v>77.543138499999998</v>
      </c>
      <c r="H1438" t="s">
        <v>772</v>
      </c>
      <c r="I1438">
        <v>21</v>
      </c>
      <c r="J1438">
        <v>29</v>
      </c>
      <c r="K1438">
        <v>23</v>
      </c>
    </row>
    <row r="1439" spans="1:11" x14ac:dyDescent="0.3">
      <c r="A1439" t="s">
        <v>11</v>
      </c>
      <c r="B1439" t="s">
        <v>22</v>
      </c>
      <c r="C1439" t="s">
        <v>86</v>
      </c>
      <c r="D1439" t="s">
        <v>760</v>
      </c>
      <c r="E1439" s="5">
        <v>45812.958333333343</v>
      </c>
      <c r="F1439">
        <v>12.990328</v>
      </c>
      <c r="G1439">
        <v>77.543138499999998</v>
      </c>
      <c r="H1439" t="s">
        <v>776</v>
      </c>
      <c r="I1439">
        <v>26</v>
      </c>
      <c r="J1439">
        <v>40</v>
      </c>
      <c r="K1439">
        <v>33</v>
      </c>
    </row>
    <row r="1440" spans="1:11" x14ac:dyDescent="0.3">
      <c r="A1440" t="s">
        <v>11</v>
      </c>
      <c r="B1440" t="s">
        <v>22</v>
      </c>
      <c r="C1440" t="s">
        <v>86</v>
      </c>
      <c r="D1440" t="s">
        <v>401</v>
      </c>
      <c r="E1440" s="5">
        <v>45812.958333333343</v>
      </c>
      <c r="F1440">
        <v>13.024634199999999</v>
      </c>
      <c r="G1440">
        <v>77.508011499999995</v>
      </c>
      <c r="H1440" t="s">
        <v>775</v>
      </c>
      <c r="I1440">
        <v>36</v>
      </c>
      <c r="J1440">
        <v>46</v>
      </c>
      <c r="K1440">
        <v>42</v>
      </c>
    </row>
    <row r="1441" spans="1:11" x14ac:dyDescent="0.3">
      <c r="A1441" t="s">
        <v>11</v>
      </c>
      <c r="B1441" t="s">
        <v>22</v>
      </c>
      <c r="C1441" t="s">
        <v>86</v>
      </c>
      <c r="D1441" t="s">
        <v>401</v>
      </c>
      <c r="E1441" s="5">
        <v>45812.958333333343</v>
      </c>
      <c r="F1441">
        <v>13.024634199999999</v>
      </c>
      <c r="G1441">
        <v>77.508011499999995</v>
      </c>
      <c r="H1441" t="s">
        <v>774</v>
      </c>
      <c r="I1441">
        <v>6</v>
      </c>
      <c r="J1441">
        <v>10</v>
      </c>
      <c r="K1441">
        <v>8</v>
      </c>
    </row>
    <row r="1442" spans="1:11" x14ac:dyDescent="0.3">
      <c r="A1442" t="s">
        <v>11</v>
      </c>
      <c r="B1442" t="s">
        <v>22</v>
      </c>
      <c r="C1442" t="s">
        <v>86</v>
      </c>
      <c r="D1442" t="s">
        <v>402</v>
      </c>
      <c r="E1442" s="5">
        <v>45812.958333333343</v>
      </c>
      <c r="F1442">
        <v>12.917348</v>
      </c>
      <c r="G1442">
        <v>77.622812999999994</v>
      </c>
      <c r="H1442" t="s">
        <v>771</v>
      </c>
      <c r="I1442">
        <v>41</v>
      </c>
      <c r="J1442">
        <v>131</v>
      </c>
      <c r="K1442">
        <v>94</v>
      </c>
    </row>
    <row r="1443" spans="1:11" x14ac:dyDescent="0.3">
      <c r="A1443" t="s">
        <v>11</v>
      </c>
      <c r="B1443" t="s">
        <v>22</v>
      </c>
      <c r="C1443" t="s">
        <v>86</v>
      </c>
      <c r="D1443" t="s">
        <v>402</v>
      </c>
      <c r="E1443" s="5">
        <v>45812.958333333343</v>
      </c>
      <c r="F1443">
        <v>12.917348</v>
      </c>
      <c r="G1443">
        <v>77.622812999999994</v>
      </c>
      <c r="H1443" t="s">
        <v>776</v>
      </c>
      <c r="I1443">
        <v>5</v>
      </c>
      <c r="J1443">
        <v>32</v>
      </c>
      <c r="K1443">
        <v>13</v>
      </c>
    </row>
    <row r="1444" spans="1:11" x14ac:dyDescent="0.3">
      <c r="A1444" t="s">
        <v>11</v>
      </c>
      <c r="B1444" t="s">
        <v>22</v>
      </c>
      <c r="C1444" t="s">
        <v>102</v>
      </c>
      <c r="D1444" t="s">
        <v>403</v>
      </c>
      <c r="E1444" s="5">
        <v>45812.958333333343</v>
      </c>
      <c r="F1444">
        <v>11.55358</v>
      </c>
      <c r="G1444">
        <v>76.555210000000002</v>
      </c>
      <c r="H1444" t="s">
        <v>775</v>
      </c>
      <c r="I1444">
        <v>20</v>
      </c>
      <c r="J1444">
        <v>31</v>
      </c>
      <c r="K1444">
        <v>29</v>
      </c>
    </row>
    <row r="1445" spans="1:11" x14ac:dyDescent="0.3">
      <c r="A1445" t="s">
        <v>11</v>
      </c>
      <c r="B1445" t="s">
        <v>22</v>
      </c>
      <c r="C1445" t="s">
        <v>95</v>
      </c>
      <c r="D1445" t="s">
        <v>686</v>
      </c>
      <c r="E1445" s="5">
        <v>45812.958333333343</v>
      </c>
      <c r="F1445">
        <v>17.336317999999999</v>
      </c>
      <c r="G1445">
        <v>76.847397000000001</v>
      </c>
      <c r="H1445" t="s">
        <v>772</v>
      </c>
      <c r="I1445">
        <v>8</v>
      </c>
      <c r="J1445">
        <v>18</v>
      </c>
      <c r="K1445">
        <v>14</v>
      </c>
    </row>
    <row r="1446" spans="1:11" x14ac:dyDescent="0.3">
      <c r="A1446" t="s">
        <v>11</v>
      </c>
      <c r="B1446" t="s">
        <v>22</v>
      </c>
      <c r="C1446" t="s">
        <v>95</v>
      </c>
      <c r="D1446" t="s">
        <v>686</v>
      </c>
      <c r="E1446" s="5">
        <v>45812.958333333343</v>
      </c>
      <c r="F1446">
        <v>17.336317999999999</v>
      </c>
      <c r="G1446">
        <v>76.847397000000001</v>
      </c>
      <c r="H1446" t="s">
        <v>773</v>
      </c>
      <c r="I1446">
        <v>2</v>
      </c>
      <c r="J1446">
        <v>3</v>
      </c>
      <c r="K1446">
        <v>3</v>
      </c>
    </row>
    <row r="1447" spans="1:11" x14ac:dyDescent="0.3">
      <c r="A1447" t="s">
        <v>11</v>
      </c>
      <c r="B1447" t="s">
        <v>22</v>
      </c>
      <c r="C1447" t="s">
        <v>105</v>
      </c>
      <c r="D1447" t="s">
        <v>408</v>
      </c>
      <c r="E1447" s="5">
        <v>45812.958333333343</v>
      </c>
      <c r="F1447">
        <v>12.415910999999999</v>
      </c>
      <c r="G1447">
        <v>75.735050000000001</v>
      </c>
      <c r="H1447" t="s">
        <v>771</v>
      </c>
      <c r="I1447">
        <v>6</v>
      </c>
      <c r="J1447">
        <v>48</v>
      </c>
      <c r="K1447">
        <v>18</v>
      </c>
    </row>
    <row r="1448" spans="1:11" x14ac:dyDescent="0.3">
      <c r="A1448" t="s">
        <v>11</v>
      </c>
      <c r="B1448" t="s">
        <v>22</v>
      </c>
      <c r="C1448" t="s">
        <v>105</v>
      </c>
      <c r="D1448" t="s">
        <v>408</v>
      </c>
      <c r="E1448" s="5">
        <v>45812.958333333343</v>
      </c>
      <c r="F1448">
        <v>12.415910999999999</v>
      </c>
      <c r="G1448">
        <v>75.735050000000001</v>
      </c>
      <c r="H1448" t="s">
        <v>776</v>
      </c>
      <c r="I1448">
        <v>10</v>
      </c>
      <c r="J1448">
        <v>19</v>
      </c>
      <c r="K1448">
        <v>15</v>
      </c>
    </row>
    <row r="1449" spans="1:11" x14ac:dyDescent="0.3">
      <c r="A1449" t="s">
        <v>11</v>
      </c>
      <c r="B1449" t="s">
        <v>22</v>
      </c>
      <c r="C1449" t="s">
        <v>105</v>
      </c>
      <c r="D1449" t="s">
        <v>408</v>
      </c>
      <c r="E1449" s="5">
        <v>45812.958333333343</v>
      </c>
      <c r="F1449">
        <v>12.415910999999999</v>
      </c>
      <c r="G1449">
        <v>75.735050000000001</v>
      </c>
      <c r="H1449" t="s">
        <v>770</v>
      </c>
      <c r="I1449">
        <v>3</v>
      </c>
      <c r="J1449">
        <v>7</v>
      </c>
      <c r="K1449">
        <v>5</v>
      </c>
    </row>
    <row r="1450" spans="1:11" x14ac:dyDescent="0.3">
      <c r="A1450" t="s">
        <v>11</v>
      </c>
      <c r="B1450" t="s">
        <v>22</v>
      </c>
      <c r="C1450" t="s">
        <v>259</v>
      </c>
      <c r="D1450" t="s">
        <v>689</v>
      </c>
      <c r="E1450" s="5">
        <v>45812.958333333343</v>
      </c>
      <c r="F1450">
        <v>12.889250000000001</v>
      </c>
      <c r="G1450">
        <v>74.852999999999994</v>
      </c>
      <c r="H1450" t="s">
        <v>774</v>
      </c>
      <c r="I1450">
        <v>6</v>
      </c>
      <c r="J1450">
        <v>7</v>
      </c>
      <c r="K1450">
        <v>6</v>
      </c>
    </row>
    <row r="1451" spans="1:11" x14ac:dyDescent="0.3">
      <c r="A1451" t="s">
        <v>11</v>
      </c>
      <c r="B1451" t="s">
        <v>22</v>
      </c>
      <c r="C1451" t="s">
        <v>103</v>
      </c>
      <c r="D1451" t="s">
        <v>406</v>
      </c>
      <c r="E1451" s="5">
        <v>45812.958333333343</v>
      </c>
      <c r="F1451">
        <v>12.21041</v>
      </c>
      <c r="G1451">
        <v>76.373760000000004</v>
      </c>
      <c r="H1451" t="s">
        <v>776</v>
      </c>
      <c r="I1451">
        <v>6</v>
      </c>
      <c r="J1451">
        <v>34</v>
      </c>
      <c r="K1451">
        <v>18</v>
      </c>
    </row>
    <row r="1452" spans="1:11" x14ac:dyDescent="0.3">
      <c r="A1452" t="s">
        <v>11</v>
      </c>
      <c r="B1452" t="s">
        <v>22</v>
      </c>
      <c r="C1452" t="s">
        <v>260</v>
      </c>
      <c r="D1452" t="s">
        <v>691</v>
      </c>
      <c r="E1452" s="5">
        <v>45812.958333333343</v>
      </c>
      <c r="F1452">
        <v>13.94</v>
      </c>
      <c r="G1452">
        <v>75.555916999999994</v>
      </c>
      <c r="H1452" t="s">
        <v>775</v>
      </c>
      <c r="I1452">
        <v>24</v>
      </c>
      <c r="J1452">
        <v>45</v>
      </c>
      <c r="K1452">
        <v>34</v>
      </c>
    </row>
    <row r="1453" spans="1:11" x14ac:dyDescent="0.3">
      <c r="A1453" t="s">
        <v>11</v>
      </c>
      <c r="B1453" t="s">
        <v>22</v>
      </c>
      <c r="C1453" t="s">
        <v>260</v>
      </c>
      <c r="D1453" t="s">
        <v>691</v>
      </c>
      <c r="E1453" s="5">
        <v>45812.958333333343</v>
      </c>
      <c r="F1453">
        <v>13.94</v>
      </c>
      <c r="G1453">
        <v>75.555916999999994</v>
      </c>
      <c r="H1453" t="s">
        <v>771</v>
      </c>
      <c r="I1453">
        <v>38</v>
      </c>
      <c r="J1453">
        <v>61</v>
      </c>
      <c r="K1453">
        <v>49</v>
      </c>
    </row>
    <row r="1454" spans="1:11" x14ac:dyDescent="0.3">
      <c r="A1454" t="s">
        <v>11</v>
      </c>
      <c r="B1454" t="s">
        <v>22</v>
      </c>
      <c r="C1454" t="s">
        <v>96</v>
      </c>
      <c r="D1454" t="s">
        <v>395</v>
      </c>
      <c r="E1454" s="5">
        <v>45812.958333333343</v>
      </c>
      <c r="F1454">
        <v>13.428827999999999</v>
      </c>
      <c r="G1454">
        <v>77.731418000000005</v>
      </c>
      <c r="H1454" t="s">
        <v>774</v>
      </c>
      <c r="I1454">
        <v>16</v>
      </c>
      <c r="J1454">
        <v>26</v>
      </c>
      <c r="K1454">
        <v>20</v>
      </c>
    </row>
    <row r="1455" spans="1:11" x14ac:dyDescent="0.3">
      <c r="A1455" t="s">
        <v>11</v>
      </c>
      <c r="B1455" t="s">
        <v>22</v>
      </c>
      <c r="C1455" t="s">
        <v>98</v>
      </c>
      <c r="D1455" t="s">
        <v>397</v>
      </c>
      <c r="E1455" s="5">
        <v>45812.958333333343</v>
      </c>
      <c r="F1455">
        <v>14.4758</v>
      </c>
      <c r="G1455">
        <v>75.905199999999994</v>
      </c>
      <c r="H1455" t="s">
        <v>770</v>
      </c>
      <c r="I1455">
        <v>19</v>
      </c>
      <c r="J1455">
        <v>20</v>
      </c>
      <c r="K1455">
        <v>19</v>
      </c>
    </row>
    <row r="1456" spans="1:11" x14ac:dyDescent="0.3">
      <c r="A1456" t="s">
        <v>11</v>
      </c>
      <c r="B1456" t="s">
        <v>22</v>
      </c>
      <c r="C1456" t="s">
        <v>99</v>
      </c>
      <c r="D1456" t="s">
        <v>398</v>
      </c>
      <c r="E1456" s="5">
        <v>45812.958333333343</v>
      </c>
      <c r="F1456">
        <v>15.459706000000001</v>
      </c>
      <c r="G1456">
        <v>75.008381</v>
      </c>
      <c r="H1456" t="s">
        <v>774</v>
      </c>
      <c r="I1456">
        <v>2</v>
      </c>
      <c r="J1456">
        <v>5</v>
      </c>
      <c r="K1456">
        <v>3</v>
      </c>
    </row>
    <row r="1457" spans="1:11" x14ac:dyDescent="0.3">
      <c r="A1457" t="s">
        <v>11</v>
      </c>
      <c r="B1457" t="s">
        <v>22</v>
      </c>
      <c r="C1457" t="s">
        <v>92</v>
      </c>
      <c r="D1457" t="s">
        <v>391</v>
      </c>
      <c r="E1457" s="5">
        <v>45812.958333333343</v>
      </c>
      <c r="F1457">
        <v>15.411455999999999</v>
      </c>
      <c r="G1457">
        <v>75.638132999999996</v>
      </c>
      <c r="H1457" t="s">
        <v>775</v>
      </c>
      <c r="I1457">
        <v>4</v>
      </c>
      <c r="J1457">
        <v>19</v>
      </c>
      <c r="K1457">
        <v>10</v>
      </c>
    </row>
    <row r="1458" spans="1:11" x14ac:dyDescent="0.3">
      <c r="A1458" t="s">
        <v>11</v>
      </c>
      <c r="B1458" t="s">
        <v>22</v>
      </c>
      <c r="C1458" t="s">
        <v>93</v>
      </c>
      <c r="D1458" t="s">
        <v>392</v>
      </c>
      <c r="E1458" s="5">
        <v>45812.958333333343</v>
      </c>
      <c r="F1458">
        <v>14.7918</v>
      </c>
      <c r="G1458">
        <v>75.389600000000002</v>
      </c>
      <c r="H1458" t="s">
        <v>770</v>
      </c>
    </row>
    <row r="1459" spans="1:11" x14ac:dyDescent="0.3">
      <c r="A1459" t="s">
        <v>11</v>
      </c>
      <c r="B1459" t="s">
        <v>22</v>
      </c>
      <c r="C1459" t="s">
        <v>95</v>
      </c>
      <c r="D1459" t="s">
        <v>686</v>
      </c>
      <c r="E1459" s="5">
        <v>45812.958333333343</v>
      </c>
      <c r="F1459">
        <v>17.336317999999999</v>
      </c>
      <c r="G1459">
        <v>76.847397000000001</v>
      </c>
      <c r="H1459" t="s">
        <v>775</v>
      </c>
      <c r="I1459">
        <v>11</v>
      </c>
      <c r="J1459">
        <v>42</v>
      </c>
      <c r="K1459">
        <v>20</v>
      </c>
    </row>
    <row r="1460" spans="1:11" x14ac:dyDescent="0.3">
      <c r="A1460" t="s">
        <v>11</v>
      </c>
      <c r="B1460" t="s">
        <v>22</v>
      </c>
      <c r="C1460" t="s">
        <v>86</v>
      </c>
      <c r="D1460" t="s">
        <v>688</v>
      </c>
      <c r="E1460" s="5">
        <v>45812.958333333343</v>
      </c>
      <c r="F1460">
        <v>13.003871999999999</v>
      </c>
      <c r="G1460">
        <v>77.664216999999994</v>
      </c>
      <c r="H1460" t="s">
        <v>776</v>
      </c>
      <c r="I1460">
        <v>18</v>
      </c>
      <c r="J1460">
        <v>62</v>
      </c>
      <c r="K1460">
        <v>38</v>
      </c>
    </row>
    <row r="1461" spans="1:11" x14ac:dyDescent="0.3">
      <c r="A1461" t="s">
        <v>11</v>
      </c>
      <c r="B1461" t="s">
        <v>22</v>
      </c>
      <c r="C1461" t="s">
        <v>86</v>
      </c>
      <c r="D1461" t="s">
        <v>404</v>
      </c>
      <c r="E1461" s="5">
        <v>45812.958333333343</v>
      </c>
      <c r="F1461">
        <v>13.027019900000001</v>
      </c>
      <c r="G1461">
        <v>77.494094000000004</v>
      </c>
      <c r="H1461" t="s">
        <v>775</v>
      </c>
      <c r="I1461">
        <v>4</v>
      </c>
      <c r="J1461">
        <v>81</v>
      </c>
      <c r="K1461">
        <v>36</v>
      </c>
    </row>
    <row r="1462" spans="1:11" x14ac:dyDescent="0.3">
      <c r="A1462" t="s">
        <v>11</v>
      </c>
      <c r="B1462" t="s">
        <v>22</v>
      </c>
      <c r="C1462" t="s">
        <v>86</v>
      </c>
      <c r="D1462" t="s">
        <v>405</v>
      </c>
      <c r="E1462" s="5">
        <v>45812.958333333343</v>
      </c>
      <c r="F1462">
        <v>12.921417999999999</v>
      </c>
      <c r="G1462">
        <v>77.502465999999998</v>
      </c>
      <c r="H1462" t="s">
        <v>770</v>
      </c>
      <c r="I1462">
        <v>21</v>
      </c>
      <c r="J1462">
        <v>22</v>
      </c>
      <c r="K1462">
        <v>21</v>
      </c>
    </row>
    <row r="1463" spans="1:11" x14ac:dyDescent="0.3">
      <c r="A1463" t="s">
        <v>11</v>
      </c>
      <c r="B1463" t="s">
        <v>22</v>
      </c>
      <c r="C1463" t="s">
        <v>86</v>
      </c>
      <c r="D1463" t="s">
        <v>390</v>
      </c>
      <c r="E1463" s="5">
        <v>45812.958333333343</v>
      </c>
      <c r="F1463">
        <v>12.938539</v>
      </c>
      <c r="G1463">
        <v>77.590100000000007</v>
      </c>
      <c r="H1463" t="s">
        <v>771</v>
      </c>
      <c r="I1463">
        <v>24</v>
      </c>
      <c r="J1463">
        <v>44</v>
      </c>
      <c r="K1463">
        <v>35</v>
      </c>
    </row>
    <row r="1464" spans="1:11" x14ac:dyDescent="0.3">
      <c r="A1464" t="s">
        <v>11</v>
      </c>
      <c r="B1464" t="s">
        <v>22</v>
      </c>
      <c r="C1464" t="s">
        <v>86</v>
      </c>
      <c r="D1464" t="s">
        <v>690</v>
      </c>
      <c r="E1464" s="5">
        <v>45812.958333333343</v>
      </c>
      <c r="F1464">
        <v>12.920984000000001</v>
      </c>
      <c r="G1464">
        <v>77.584907999999999</v>
      </c>
      <c r="H1464" t="s">
        <v>776</v>
      </c>
      <c r="I1464">
        <v>2</v>
      </c>
      <c r="J1464">
        <v>36</v>
      </c>
      <c r="K1464">
        <v>18</v>
      </c>
    </row>
    <row r="1465" spans="1:11" x14ac:dyDescent="0.3">
      <c r="A1465" t="s">
        <v>11</v>
      </c>
      <c r="B1465" t="s">
        <v>22</v>
      </c>
      <c r="C1465" t="s">
        <v>86</v>
      </c>
      <c r="D1465" t="s">
        <v>690</v>
      </c>
      <c r="E1465" s="5">
        <v>45812.958333333343</v>
      </c>
      <c r="F1465">
        <v>12.920984000000001</v>
      </c>
      <c r="G1465">
        <v>77.584907999999999</v>
      </c>
      <c r="H1465" t="s">
        <v>770</v>
      </c>
      <c r="I1465">
        <v>4</v>
      </c>
      <c r="J1465">
        <v>21</v>
      </c>
      <c r="K1465">
        <v>7</v>
      </c>
    </row>
    <row r="1466" spans="1:11" x14ac:dyDescent="0.3">
      <c r="A1466" t="s">
        <v>11</v>
      </c>
      <c r="B1466" t="s">
        <v>22</v>
      </c>
      <c r="C1466" t="s">
        <v>104</v>
      </c>
      <c r="D1466" t="s">
        <v>407</v>
      </c>
      <c r="E1466" s="5">
        <v>45812.958333333343</v>
      </c>
      <c r="F1466">
        <v>13.377516</v>
      </c>
      <c r="G1466">
        <v>77.099072000000007</v>
      </c>
      <c r="H1466" t="s">
        <v>776</v>
      </c>
      <c r="I1466">
        <v>56</v>
      </c>
      <c r="J1466">
        <v>60</v>
      </c>
      <c r="K1466">
        <v>57</v>
      </c>
    </row>
    <row r="1467" spans="1:11" x14ac:dyDescent="0.3">
      <c r="A1467" t="s">
        <v>11</v>
      </c>
      <c r="B1467" t="s">
        <v>22</v>
      </c>
      <c r="C1467" t="s">
        <v>100</v>
      </c>
      <c r="D1467" t="s">
        <v>399</v>
      </c>
      <c r="E1467" s="5">
        <v>45812.958333333343</v>
      </c>
      <c r="F1467">
        <v>16.760200000000001</v>
      </c>
      <c r="G1467">
        <v>77.142799999999994</v>
      </c>
      <c r="H1467" t="s">
        <v>774</v>
      </c>
      <c r="I1467">
        <v>13</v>
      </c>
      <c r="J1467">
        <v>19</v>
      </c>
      <c r="K1467">
        <v>15</v>
      </c>
    </row>
    <row r="1468" spans="1:11" x14ac:dyDescent="0.3">
      <c r="A1468" t="s">
        <v>11</v>
      </c>
      <c r="B1468" t="s">
        <v>24</v>
      </c>
      <c r="C1468" t="s">
        <v>106</v>
      </c>
      <c r="D1468" t="s">
        <v>409</v>
      </c>
      <c r="E1468" s="5">
        <v>45812.958333333343</v>
      </c>
      <c r="F1468">
        <v>8.5149092999999993</v>
      </c>
      <c r="G1468">
        <v>76.943587899999997</v>
      </c>
      <c r="H1468" t="s">
        <v>776</v>
      </c>
      <c r="I1468">
        <v>9</v>
      </c>
      <c r="J1468">
        <v>16</v>
      </c>
      <c r="K1468">
        <v>11</v>
      </c>
    </row>
    <row r="1469" spans="1:11" x14ac:dyDescent="0.3">
      <c r="A1469" t="s">
        <v>11</v>
      </c>
      <c r="B1469" t="s">
        <v>24</v>
      </c>
      <c r="C1469" t="s">
        <v>107</v>
      </c>
      <c r="D1469" t="s">
        <v>410</v>
      </c>
      <c r="E1469" s="5">
        <v>45812.958333333343</v>
      </c>
      <c r="F1469">
        <v>10.532400000000001</v>
      </c>
      <c r="G1469">
        <v>76.215900000000005</v>
      </c>
      <c r="H1469" t="s">
        <v>771</v>
      </c>
      <c r="I1469">
        <v>55</v>
      </c>
      <c r="J1469">
        <v>62</v>
      </c>
      <c r="K1469">
        <v>59</v>
      </c>
    </row>
    <row r="1470" spans="1:11" x14ac:dyDescent="0.3">
      <c r="A1470" t="s">
        <v>11</v>
      </c>
      <c r="B1470" t="s">
        <v>24</v>
      </c>
      <c r="C1470" t="s">
        <v>107</v>
      </c>
      <c r="D1470" t="s">
        <v>410</v>
      </c>
      <c r="E1470" s="5">
        <v>45812.958333333343</v>
      </c>
      <c r="F1470">
        <v>10.532400000000001</v>
      </c>
      <c r="G1470">
        <v>76.215900000000005</v>
      </c>
      <c r="H1470" t="s">
        <v>774</v>
      </c>
      <c r="I1470">
        <v>1</v>
      </c>
      <c r="J1470">
        <v>1</v>
      </c>
      <c r="K1470">
        <v>1</v>
      </c>
    </row>
    <row r="1471" spans="1:11" x14ac:dyDescent="0.3">
      <c r="A1471" t="s">
        <v>11</v>
      </c>
      <c r="B1471" t="s">
        <v>24</v>
      </c>
      <c r="C1471" t="s">
        <v>107</v>
      </c>
      <c r="D1471" t="s">
        <v>410</v>
      </c>
      <c r="E1471" s="5">
        <v>45812.958333333343</v>
      </c>
      <c r="F1471">
        <v>10.532400000000001</v>
      </c>
      <c r="G1471">
        <v>76.215900000000005</v>
      </c>
      <c r="H1471" t="s">
        <v>776</v>
      </c>
      <c r="I1471">
        <v>24</v>
      </c>
      <c r="J1471">
        <v>28</v>
      </c>
      <c r="K1471">
        <v>26</v>
      </c>
    </row>
    <row r="1472" spans="1:11" x14ac:dyDescent="0.3">
      <c r="A1472" t="s">
        <v>11</v>
      </c>
      <c r="B1472" t="s">
        <v>25</v>
      </c>
      <c r="C1472" t="s">
        <v>108</v>
      </c>
      <c r="D1472" t="s">
        <v>411</v>
      </c>
      <c r="E1472" s="5">
        <v>45812.958333333343</v>
      </c>
      <c r="F1472">
        <v>23.264759000000002</v>
      </c>
      <c r="G1472">
        <v>77.381568000000001</v>
      </c>
      <c r="H1472" t="s">
        <v>771</v>
      </c>
      <c r="I1472">
        <v>73</v>
      </c>
      <c r="J1472">
        <v>119</v>
      </c>
      <c r="K1472">
        <v>89</v>
      </c>
    </row>
    <row r="1473" spans="1:11" x14ac:dyDescent="0.3">
      <c r="A1473" t="s">
        <v>11</v>
      </c>
      <c r="B1473" t="s">
        <v>25</v>
      </c>
      <c r="C1473" t="s">
        <v>108</v>
      </c>
      <c r="D1473" t="s">
        <v>411</v>
      </c>
      <c r="E1473" s="5">
        <v>45812.958333333343</v>
      </c>
      <c r="F1473">
        <v>23.264759000000002</v>
      </c>
      <c r="G1473">
        <v>77.381568000000001</v>
      </c>
      <c r="H1473" t="s">
        <v>772</v>
      </c>
      <c r="I1473">
        <v>14</v>
      </c>
      <c r="J1473">
        <v>90</v>
      </c>
      <c r="K1473">
        <v>29</v>
      </c>
    </row>
    <row r="1474" spans="1:11" x14ac:dyDescent="0.3">
      <c r="A1474" t="s">
        <v>11</v>
      </c>
      <c r="B1474" t="s">
        <v>25</v>
      </c>
      <c r="C1474" t="s">
        <v>108</v>
      </c>
      <c r="D1474" t="s">
        <v>693</v>
      </c>
      <c r="E1474" s="5">
        <v>45812.958333333343</v>
      </c>
      <c r="F1474">
        <v>23.210494000000001</v>
      </c>
      <c r="G1474">
        <v>77.425409000000002</v>
      </c>
      <c r="H1474" t="s">
        <v>775</v>
      </c>
      <c r="I1474">
        <v>15</v>
      </c>
      <c r="J1474">
        <v>233</v>
      </c>
      <c r="K1474">
        <v>63</v>
      </c>
    </row>
    <row r="1475" spans="1:11" x14ac:dyDescent="0.3">
      <c r="A1475" t="s">
        <v>11</v>
      </c>
      <c r="B1475" t="s">
        <v>25</v>
      </c>
      <c r="C1475" t="s">
        <v>108</v>
      </c>
      <c r="D1475" t="s">
        <v>693</v>
      </c>
      <c r="E1475" s="5">
        <v>45812.958333333343</v>
      </c>
      <c r="F1475">
        <v>23.210494000000001</v>
      </c>
      <c r="G1475">
        <v>77.425409000000002</v>
      </c>
      <c r="H1475" t="s">
        <v>770</v>
      </c>
      <c r="I1475">
        <v>10</v>
      </c>
      <c r="J1475">
        <v>63</v>
      </c>
      <c r="K1475">
        <v>42</v>
      </c>
    </row>
    <row r="1476" spans="1:11" x14ac:dyDescent="0.3">
      <c r="A1476" t="s">
        <v>11</v>
      </c>
      <c r="B1476" t="s">
        <v>25</v>
      </c>
      <c r="C1476" t="s">
        <v>108</v>
      </c>
      <c r="D1476" t="s">
        <v>412</v>
      </c>
      <c r="E1476" s="5">
        <v>45812.958333333343</v>
      </c>
      <c r="F1476">
        <v>23.233584</v>
      </c>
      <c r="G1476">
        <v>77.400574000000006</v>
      </c>
      <c r="H1476" t="s">
        <v>774</v>
      </c>
      <c r="I1476">
        <v>16</v>
      </c>
      <c r="J1476">
        <v>28</v>
      </c>
      <c r="K1476">
        <v>21</v>
      </c>
    </row>
    <row r="1477" spans="1:11" x14ac:dyDescent="0.3">
      <c r="A1477" t="s">
        <v>11</v>
      </c>
      <c r="B1477" t="s">
        <v>25</v>
      </c>
      <c r="C1477" t="s">
        <v>115</v>
      </c>
      <c r="D1477" t="s">
        <v>423</v>
      </c>
      <c r="E1477" s="5">
        <v>45812.958333333343</v>
      </c>
      <c r="F1477">
        <v>23.817486779999999</v>
      </c>
      <c r="G1477">
        <v>79.446246000000002</v>
      </c>
      <c r="H1477" t="s">
        <v>775</v>
      </c>
      <c r="I1477">
        <v>12</v>
      </c>
      <c r="J1477">
        <v>79</v>
      </c>
      <c r="K1477">
        <v>46</v>
      </c>
    </row>
    <row r="1478" spans="1:11" x14ac:dyDescent="0.3">
      <c r="A1478" t="s">
        <v>11</v>
      </c>
      <c r="B1478" t="s">
        <v>25</v>
      </c>
      <c r="C1478" t="s">
        <v>263</v>
      </c>
      <c r="D1478" t="s">
        <v>695</v>
      </c>
      <c r="E1478" s="5">
        <v>45812.958333333343</v>
      </c>
      <c r="F1478">
        <v>22.968259100000001</v>
      </c>
      <c r="G1478">
        <v>76.064117999999993</v>
      </c>
      <c r="H1478" t="s">
        <v>773</v>
      </c>
      <c r="I1478">
        <v>5</v>
      </c>
      <c r="J1478">
        <v>10</v>
      </c>
      <c r="K1478">
        <v>7</v>
      </c>
    </row>
    <row r="1479" spans="1:11" x14ac:dyDescent="0.3">
      <c r="A1479" t="s">
        <v>11</v>
      </c>
      <c r="B1479" t="s">
        <v>25</v>
      </c>
      <c r="C1479" t="s">
        <v>263</v>
      </c>
      <c r="D1479" t="s">
        <v>695</v>
      </c>
      <c r="E1479" s="5">
        <v>45812.958333333343</v>
      </c>
      <c r="F1479">
        <v>22.968259100000001</v>
      </c>
      <c r="G1479">
        <v>76.064117999999993</v>
      </c>
      <c r="H1479" t="s">
        <v>776</v>
      </c>
      <c r="I1479">
        <v>16</v>
      </c>
      <c r="J1479">
        <v>109</v>
      </c>
      <c r="K1479">
        <v>34</v>
      </c>
    </row>
    <row r="1480" spans="1:11" x14ac:dyDescent="0.3">
      <c r="A1480" t="s">
        <v>11</v>
      </c>
      <c r="B1480" t="s">
        <v>25</v>
      </c>
      <c r="C1480" t="s">
        <v>263</v>
      </c>
      <c r="D1480" t="s">
        <v>695</v>
      </c>
      <c r="E1480" s="5">
        <v>45812.958333333343</v>
      </c>
      <c r="F1480">
        <v>22.968259100000001</v>
      </c>
      <c r="G1480">
        <v>76.064117999999993</v>
      </c>
      <c r="H1480" t="s">
        <v>770</v>
      </c>
      <c r="I1480">
        <v>59</v>
      </c>
      <c r="J1480">
        <v>82</v>
      </c>
      <c r="K1480">
        <v>65</v>
      </c>
    </row>
    <row r="1481" spans="1:11" x14ac:dyDescent="0.3">
      <c r="A1481" t="s">
        <v>11</v>
      </c>
      <c r="B1481" t="s">
        <v>25</v>
      </c>
      <c r="C1481" t="s">
        <v>116</v>
      </c>
      <c r="D1481" t="s">
        <v>424</v>
      </c>
      <c r="E1481" s="5">
        <v>45812.958333333343</v>
      </c>
      <c r="F1481">
        <v>26.203441999999999</v>
      </c>
      <c r="G1481">
        <v>78.193251000000004</v>
      </c>
      <c r="H1481" t="s">
        <v>772</v>
      </c>
      <c r="I1481">
        <v>7</v>
      </c>
      <c r="J1481">
        <v>88</v>
      </c>
      <c r="K1481">
        <v>28</v>
      </c>
    </row>
    <row r="1482" spans="1:11" x14ac:dyDescent="0.3">
      <c r="A1482" t="s">
        <v>11</v>
      </c>
      <c r="B1482" t="s">
        <v>25</v>
      </c>
      <c r="C1482" t="s">
        <v>116</v>
      </c>
      <c r="D1482" t="s">
        <v>425</v>
      </c>
      <c r="E1482" s="5">
        <v>45812.958333333343</v>
      </c>
      <c r="F1482">
        <v>26.259242</v>
      </c>
      <c r="G1482">
        <v>78.216431999999998</v>
      </c>
      <c r="H1482" t="s">
        <v>772</v>
      </c>
      <c r="I1482">
        <v>5</v>
      </c>
      <c r="J1482">
        <v>118</v>
      </c>
      <c r="K1482">
        <v>51</v>
      </c>
    </row>
    <row r="1483" spans="1:11" x14ac:dyDescent="0.3">
      <c r="A1483" t="s">
        <v>11</v>
      </c>
      <c r="B1483" t="s">
        <v>25</v>
      </c>
      <c r="C1483" t="s">
        <v>116</v>
      </c>
      <c r="D1483" t="s">
        <v>426</v>
      </c>
      <c r="E1483" s="5">
        <v>45812.958333333343</v>
      </c>
      <c r="F1483">
        <v>26.200388</v>
      </c>
      <c r="G1483">
        <v>78.147713999999993</v>
      </c>
      <c r="H1483" t="s">
        <v>775</v>
      </c>
      <c r="I1483">
        <v>37</v>
      </c>
      <c r="J1483">
        <v>301</v>
      </c>
      <c r="K1483">
        <v>81</v>
      </c>
    </row>
    <row r="1484" spans="1:11" x14ac:dyDescent="0.3">
      <c r="A1484" t="s">
        <v>11</v>
      </c>
      <c r="B1484" t="s">
        <v>25</v>
      </c>
      <c r="C1484" t="s">
        <v>116</v>
      </c>
      <c r="D1484" t="s">
        <v>426</v>
      </c>
      <c r="E1484" s="5">
        <v>45812.958333333343</v>
      </c>
      <c r="F1484">
        <v>26.200388</v>
      </c>
      <c r="G1484">
        <v>78.147713999999993</v>
      </c>
      <c r="H1484" t="s">
        <v>771</v>
      </c>
      <c r="I1484">
        <v>72</v>
      </c>
      <c r="J1484">
        <v>368</v>
      </c>
      <c r="K1484">
        <v>132</v>
      </c>
    </row>
    <row r="1485" spans="1:11" x14ac:dyDescent="0.3">
      <c r="A1485" t="s">
        <v>11</v>
      </c>
      <c r="B1485" t="s">
        <v>25</v>
      </c>
      <c r="C1485" t="s">
        <v>116</v>
      </c>
      <c r="D1485" t="s">
        <v>426</v>
      </c>
      <c r="E1485" s="5">
        <v>45812.958333333343</v>
      </c>
      <c r="F1485">
        <v>26.200388</v>
      </c>
      <c r="G1485">
        <v>78.147713999999993</v>
      </c>
      <c r="H1485" t="s">
        <v>772</v>
      </c>
      <c r="I1485">
        <v>1</v>
      </c>
      <c r="J1485">
        <v>5</v>
      </c>
      <c r="K1485">
        <v>3</v>
      </c>
    </row>
    <row r="1486" spans="1:11" x14ac:dyDescent="0.3">
      <c r="A1486" t="s">
        <v>11</v>
      </c>
      <c r="B1486" t="s">
        <v>25</v>
      </c>
      <c r="C1486" t="s">
        <v>116</v>
      </c>
      <c r="D1486" t="s">
        <v>426</v>
      </c>
      <c r="E1486" s="5">
        <v>45812.958333333343</v>
      </c>
      <c r="F1486">
        <v>26.200388</v>
      </c>
      <c r="G1486">
        <v>78.147713999999993</v>
      </c>
      <c r="H1486" t="s">
        <v>773</v>
      </c>
      <c r="I1486">
        <v>2</v>
      </c>
      <c r="J1486">
        <v>2</v>
      </c>
      <c r="K1486">
        <v>2</v>
      </c>
    </row>
    <row r="1487" spans="1:11" x14ac:dyDescent="0.3">
      <c r="A1487" t="s">
        <v>11</v>
      </c>
      <c r="B1487" t="s">
        <v>25</v>
      </c>
      <c r="C1487" t="s">
        <v>289</v>
      </c>
      <c r="D1487" t="s">
        <v>761</v>
      </c>
      <c r="E1487" s="5">
        <v>45812.958333333343</v>
      </c>
      <c r="F1487">
        <v>23.182718999999999</v>
      </c>
      <c r="G1487">
        <v>75.768218000000005</v>
      </c>
      <c r="H1487" t="s">
        <v>770</v>
      </c>
      <c r="I1487">
        <v>46</v>
      </c>
      <c r="J1487">
        <v>72</v>
      </c>
      <c r="K1487">
        <v>51</v>
      </c>
    </row>
    <row r="1488" spans="1:11" x14ac:dyDescent="0.3">
      <c r="A1488" t="s">
        <v>11</v>
      </c>
      <c r="B1488" t="s">
        <v>26</v>
      </c>
      <c r="C1488" t="s">
        <v>128</v>
      </c>
      <c r="D1488" t="s">
        <v>443</v>
      </c>
      <c r="E1488" s="5">
        <v>45812.958333333343</v>
      </c>
      <c r="F1488">
        <v>19.101220000000001</v>
      </c>
      <c r="G1488">
        <v>74.73339</v>
      </c>
      <c r="H1488" t="s">
        <v>772</v>
      </c>
      <c r="I1488">
        <v>15</v>
      </c>
      <c r="J1488">
        <v>122</v>
      </c>
      <c r="K1488">
        <v>55</v>
      </c>
    </row>
    <row r="1489" spans="1:11" x14ac:dyDescent="0.3">
      <c r="A1489" t="s">
        <v>11</v>
      </c>
      <c r="B1489" t="s">
        <v>26</v>
      </c>
      <c r="C1489" t="s">
        <v>128</v>
      </c>
      <c r="D1489" t="s">
        <v>443</v>
      </c>
      <c r="E1489" s="5">
        <v>45812.958333333343</v>
      </c>
      <c r="F1489">
        <v>19.101220000000001</v>
      </c>
      <c r="G1489">
        <v>74.73339</v>
      </c>
      <c r="H1489" t="s">
        <v>770</v>
      </c>
      <c r="I1489">
        <v>6</v>
      </c>
      <c r="J1489">
        <v>115</v>
      </c>
      <c r="K1489">
        <v>69</v>
      </c>
    </row>
    <row r="1490" spans="1:11" x14ac:dyDescent="0.3">
      <c r="A1490" t="s">
        <v>11</v>
      </c>
      <c r="B1490" t="s">
        <v>26</v>
      </c>
      <c r="C1490" t="s">
        <v>130</v>
      </c>
      <c r="D1490" t="s">
        <v>445</v>
      </c>
      <c r="E1490" s="5">
        <v>45812.958333333343</v>
      </c>
      <c r="F1490">
        <v>20.940235900000001</v>
      </c>
      <c r="G1490">
        <v>77.789524799999995</v>
      </c>
      <c r="H1490" t="s">
        <v>771</v>
      </c>
      <c r="I1490">
        <v>79</v>
      </c>
      <c r="J1490">
        <v>121</v>
      </c>
      <c r="K1490">
        <v>96</v>
      </c>
    </row>
    <row r="1491" spans="1:11" x14ac:dyDescent="0.3">
      <c r="A1491" t="s">
        <v>11</v>
      </c>
      <c r="B1491" t="s">
        <v>26</v>
      </c>
      <c r="C1491" t="s">
        <v>130</v>
      </c>
      <c r="D1491" t="s">
        <v>445</v>
      </c>
      <c r="E1491" s="5">
        <v>45812.958333333343</v>
      </c>
      <c r="F1491">
        <v>20.940235900000001</v>
      </c>
      <c r="G1491">
        <v>77.789524799999995</v>
      </c>
      <c r="H1491" t="s">
        <v>772</v>
      </c>
      <c r="I1491">
        <v>7</v>
      </c>
      <c r="J1491">
        <v>51</v>
      </c>
      <c r="K1491">
        <v>25</v>
      </c>
    </row>
    <row r="1492" spans="1:11" x14ac:dyDescent="0.3">
      <c r="A1492" t="s">
        <v>11</v>
      </c>
      <c r="B1492" t="s">
        <v>26</v>
      </c>
      <c r="C1492" t="s">
        <v>130</v>
      </c>
      <c r="D1492" t="s">
        <v>446</v>
      </c>
      <c r="E1492" s="5">
        <v>45812.958333333343</v>
      </c>
      <c r="F1492">
        <v>20.939198000000001</v>
      </c>
      <c r="G1492">
        <v>77.765701000000007</v>
      </c>
      <c r="H1492" t="s">
        <v>770</v>
      </c>
      <c r="I1492">
        <v>2</v>
      </c>
      <c r="J1492">
        <v>79</v>
      </c>
      <c r="K1492">
        <v>49</v>
      </c>
    </row>
    <row r="1493" spans="1:11" x14ac:dyDescent="0.3">
      <c r="A1493" t="s">
        <v>11</v>
      </c>
      <c r="B1493" t="s">
        <v>24</v>
      </c>
      <c r="C1493" t="s">
        <v>262</v>
      </c>
      <c r="D1493" t="s">
        <v>694</v>
      </c>
      <c r="E1493" s="5">
        <v>45812.958333333343</v>
      </c>
      <c r="F1493">
        <v>11.875</v>
      </c>
      <c r="G1493">
        <v>75.373199999999997</v>
      </c>
      <c r="H1493" t="s">
        <v>772</v>
      </c>
      <c r="I1493">
        <v>15</v>
      </c>
      <c r="J1493">
        <v>17</v>
      </c>
      <c r="K1493">
        <v>16</v>
      </c>
    </row>
    <row r="1494" spans="1:11" x14ac:dyDescent="0.3">
      <c r="A1494" t="s">
        <v>11</v>
      </c>
      <c r="B1494" t="s">
        <v>24</v>
      </c>
      <c r="C1494" t="s">
        <v>262</v>
      </c>
      <c r="D1494" t="s">
        <v>694</v>
      </c>
      <c r="E1494" s="5">
        <v>45812.958333333343</v>
      </c>
      <c r="F1494">
        <v>11.875</v>
      </c>
      <c r="G1494">
        <v>75.373199999999997</v>
      </c>
      <c r="H1494" t="s">
        <v>770</v>
      </c>
      <c r="I1494">
        <v>26</v>
      </c>
      <c r="J1494">
        <v>32</v>
      </c>
      <c r="K1494">
        <v>28</v>
      </c>
    </row>
    <row r="1495" spans="1:11" x14ac:dyDescent="0.3">
      <c r="A1495" t="s">
        <v>11</v>
      </c>
      <c r="B1495" t="s">
        <v>24</v>
      </c>
      <c r="C1495" t="s">
        <v>120</v>
      </c>
      <c r="D1495" t="s">
        <v>434</v>
      </c>
      <c r="E1495" s="5">
        <v>45812.958333333343</v>
      </c>
      <c r="F1495">
        <v>8.8787000000000003</v>
      </c>
      <c r="G1495">
        <v>76.607299999999995</v>
      </c>
      <c r="H1495" t="s">
        <v>770</v>
      </c>
      <c r="I1495">
        <v>29</v>
      </c>
      <c r="J1495">
        <v>37</v>
      </c>
      <c r="K1495">
        <v>34</v>
      </c>
    </row>
    <row r="1496" spans="1:11" x14ac:dyDescent="0.3">
      <c r="A1496" t="s">
        <v>11</v>
      </c>
      <c r="B1496" t="s">
        <v>24</v>
      </c>
      <c r="C1496" t="s">
        <v>106</v>
      </c>
      <c r="D1496" t="s">
        <v>433</v>
      </c>
      <c r="E1496" s="5">
        <v>45812.958333333343</v>
      </c>
      <c r="F1496">
        <v>8.5637000000000008</v>
      </c>
      <c r="G1496">
        <v>76.886499999999998</v>
      </c>
      <c r="H1496" t="s">
        <v>775</v>
      </c>
      <c r="I1496">
        <v>40</v>
      </c>
      <c r="J1496">
        <v>45</v>
      </c>
      <c r="K1496">
        <v>42</v>
      </c>
    </row>
    <row r="1497" spans="1:11" x14ac:dyDescent="0.3">
      <c r="A1497" t="s">
        <v>11</v>
      </c>
      <c r="B1497" t="s">
        <v>24</v>
      </c>
      <c r="C1497" t="s">
        <v>106</v>
      </c>
      <c r="D1497" t="s">
        <v>433</v>
      </c>
      <c r="E1497" s="5">
        <v>45812.958333333343</v>
      </c>
      <c r="F1497">
        <v>8.5637000000000008</v>
      </c>
      <c r="G1497">
        <v>76.886499999999998</v>
      </c>
      <c r="H1497" t="s">
        <v>771</v>
      </c>
      <c r="I1497">
        <v>56</v>
      </c>
      <c r="J1497">
        <v>63</v>
      </c>
      <c r="K1497">
        <v>60</v>
      </c>
    </row>
    <row r="1498" spans="1:11" x14ac:dyDescent="0.3">
      <c r="A1498" t="s">
        <v>11</v>
      </c>
      <c r="B1498" t="s">
        <v>25</v>
      </c>
      <c r="C1498" t="s">
        <v>109</v>
      </c>
      <c r="D1498" t="s">
        <v>413</v>
      </c>
      <c r="E1498" s="5">
        <v>45812.958333333343</v>
      </c>
      <c r="F1498">
        <v>23.218135</v>
      </c>
      <c r="G1498">
        <v>79.957769999999996</v>
      </c>
      <c r="H1498" t="s">
        <v>771</v>
      </c>
      <c r="I1498">
        <v>40</v>
      </c>
      <c r="J1498">
        <v>129</v>
      </c>
      <c r="K1498">
        <v>92</v>
      </c>
    </row>
    <row r="1499" spans="1:11" x14ac:dyDescent="0.3">
      <c r="A1499" t="s">
        <v>11</v>
      </c>
      <c r="B1499" t="s">
        <v>25</v>
      </c>
      <c r="C1499" t="s">
        <v>110</v>
      </c>
      <c r="D1499" t="s">
        <v>414</v>
      </c>
      <c r="E1499" s="5">
        <v>45812.958333333343</v>
      </c>
      <c r="F1499">
        <v>23.500160000000001</v>
      </c>
      <c r="G1499">
        <v>80.232839999999996</v>
      </c>
      <c r="H1499" t="s">
        <v>770</v>
      </c>
      <c r="I1499">
        <v>6</v>
      </c>
      <c r="J1499">
        <v>145</v>
      </c>
      <c r="K1499">
        <v>72</v>
      </c>
    </row>
    <row r="1500" spans="1:11" x14ac:dyDescent="0.3">
      <c r="A1500" t="s">
        <v>11</v>
      </c>
      <c r="B1500" t="s">
        <v>25</v>
      </c>
      <c r="C1500" t="s">
        <v>113</v>
      </c>
      <c r="D1500" t="s">
        <v>417</v>
      </c>
      <c r="E1500" s="5">
        <v>45812.958333333343</v>
      </c>
      <c r="F1500">
        <v>22.624758</v>
      </c>
      <c r="G1500">
        <v>75.675237999999993</v>
      </c>
      <c r="H1500" t="s">
        <v>771</v>
      </c>
      <c r="I1500">
        <v>53</v>
      </c>
      <c r="J1500">
        <v>254</v>
      </c>
      <c r="K1500">
        <v>111</v>
      </c>
    </row>
    <row r="1501" spans="1:11" x14ac:dyDescent="0.3">
      <c r="A1501" t="s">
        <v>11</v>
      </c>
      <c r="B1501" t="s">
        <v>25</v>
      </c>
      <c r="C1501" t="s">
        <v>113</v>
      </c>
      <c r="D1501" t="s">
        <v>417</v>
      </c>
      <c r="E1501" s="5">
        <v>45812.958333333343</v>
      </c>
      <c r="F1501">
        <v>22.624758</v>
      </c>
      <c r="G1501">
        <v>75.675237999999993</v>
      </c>
      <c r="H1501" t="s">
        <v>774</v>
      </c>
      <c r="I1501">
        <v>10</v>
      </c>
      <c r="J1501">
        <v>49</v>
      </c>
      <c r="K1501">
        <v>21</v>
      </c>
    </row>
    <row r="1502" spans="1:11" x14ac:dyDescent="0.3">
      <c r="A1502" t="s">
        <v>11</v>
      </c>
      <c r="B1502" t="s">
        <v>25</v>
      </c>
      <c r="C1502" t="s">
        <v>261</v>
      </c>
      <c r="D1502" t="s">
        <v>692</v>
      </c>
      <c r="E1502" s="5">
        <v>45812.958333333343</v>
      </c>
      <c r="F1502">
        <v>23.331731000000001</v>
      </c>
      <c r="G1502">
        <v>75.045980999999998</v>
      </c>
      <c r="H1502" t="s">
        <v>772</v>
      </c>
      <c r="I1502">
        <v>40</v>
      </c>
      <c r="J1502">
        <v>42</v>
      </c>
      <c r="K1502">
        <v>41</v>
      </c>
    </row>
    <row r="1503" spans="1:11" x14ac:dyDescent="0.3">
      <c r="A1503" t="s">
        <v>11</v>
      </c>
      <c r="B1503" t="s">
        <v>25</v>
      </c>
      <c r="C1503" t="s">
        <v>261</v>
      </c>
      <c r="D1503" t="s">
        <v>692</v>
      </c>
      <c r="E1503" s="5">
        <v>45812.958333333343</v>
      </c>
      <c r="F1503">
        <v>23.331731000000001</v>
      </c>
      <c r="G1503">
        <v>75.045980999999998</v>
      </c>
      <c r="H1503" t="s">
        <v>774</v>
      </c>
      <c r="I1503">
        <v>40</v>
      </c>
      <c r="J1503">
        <v>46</v>
      </c>
      <c r="K1503">
        <v>42</v>
      </c>
    </row>
    <row r="1504" spans="1:11" x14ac:dyDescent="0.3">
      <c r="A1504" t="s">
        <v>11</v>
      </c>
      <c r="B1504" t="s">
        <v>25</v>
      </c>
      <c r="C1504" t="s">
        <v>117</v>
      </c>
      <c r="D1504" t="s">
        <v>429</v>
      </c>
      <c r="E1504" s="5">
        <v>45812.958333333343</v>
      </c>
      <c r="F1504">
        <v>23.838585999999999</v>
      </c>
      <c r="G1504">
        <v>78.759431000000006</v>
      </c>
      <c r="H1504" t="s">
        <v>776</v>
      </c>
      <c r="I1504">
        <v>49</v>
      </c>
      <c r="J1504">
        <v>76</v>
      </c>
      <c r="K1504">
        <v>56</v>
      </c>
    </row>
    <row r="1505" spans="1:11" x14ac:dyDescent="0.3">
      <c r="A1505" t="s">
        <v>11</v>
      </c>
      <c r="B1505" t="s">
        <v>25</v>
      </c>
      <c r="C1505" t="s">
        <v>117</v>
      </c>
      <c r="D1505" t="s">
        <v>429</v>
      </c>
      <c r="E1505" s="5">
        <v>45812.958333333343</v>
      </c>
      <c r="F1505">
        <v>23.838585999999999</v>
      </c>
      <c r="G1505">
        <v>78.759431000000006</v>
      </c>
      <c r="H1505" t="s">
        <v>770</v>
      </c>
      <c r="I1505">
        <v>9</v>
      </c>
      <c r="J1505">
        <v>48</v>
      </c>
      <c r="K1505">
        <v>37</v>
      </c>
    </row>
    <row r="1506" spans="1:11" x14ac:dyDescent="0.3">
      <c r="A1506" t="s">
        <v>11</v>
      </c>
      <c r="B1506" t="s">
        <v>25</v>
      </c>
      <c r="C1506" t="s">
        <v>114</v>
      </c>
      <c r="D1506" t="s">
        <v>428</v>
      </c>
      <c r="E1506" s="5">
        <v>45812.958333333343</v>
      </c>
      <c r="F1506">
        <v>22.431000000000001</v>
      </c>
      <c r="G1506">
        <v>75.521299999999997</v>
      </c>
      <c r="H1506" t="s">
        <v>771</v>
      </c>
      <c r="I1506">
        <v>104</v>
      </c>
      <c r="J1506">
        <v>236</v>
      </c>
      <c r="K1506">
        <v>149</v>
      </c>
    </row>
    <row r="1507" spans="1:11" x14ac:dyDescent="0.3">
      <c r="A1507" t="s">
        <v>11</v>
      </c>
      <c r="B1507" t="s">
        <v>25</v>
      </c>
      <c r="C1507" t="s">
        <v>114</v>
      </c>
      <c r="D1507" t="s">
        <v>428</v>
      </c>
      <c r="E1507" s="5">
        <v>45812.958333333343</v>
      </c>
      <c r="F1507">
        <v>22.431000000000001</v>
      </c>
      <c r="G1507">
        <v>75.521299999999997</v>
      </c>
      <c r="H1507" t="s">
        <v>773</v>
      </c>
      <c r="I1507">
        <v>4</v>
      </c>
      <c r="J1507">
        <v>23</v>
      </c>
      <c r="K1507">
        <v>16</v>
      </c>
    </row>
    <row r="1508" spans="1:11" x14ac:dyDescent="0.3">
      <c r="A1508" t="s">
        <v>11</v>
      </c>
      <c r="B1508" t="s">
        <v>25</v>
      </c>
      <c r="C1508" t="s">
        <v>114</v>
      </c>
      <c r="D1508" t="s">
        <v>428</v>
      </c>
      <c r="E1508" s="5">
        <v>45812.958333333343</v>
      </c>
      <c r="F1508">
        <v>22.431000000000001</v>
      </c>
      <c r="G1508">
        <v>75.521299999999997</v>
      </c>
      <c r="H1508" t="s">
        <v>774</v>
      </c>
      <c r="I1508">
        <v>7</v>
      </c>
      <c r="J1508">
        <v>21</v>
      </c>
      <c r="K1508">
        <v>12</v>
      </c>
    </row>
    <row r="1509" spans="1:11" x14ac:dyDescent="0.3">
      <c r="A1509" t="s">
        <v>11</v>
      </c>
      <c r="B1509" t="s">
        <v>25</v>
      </c>
      <c r="C1509" t="s">
        <v>114</v>
      </c>
      <c r="D1509" t="s">
        <v>418</v>
      </c>
      <c r="E1509" s="5">
        <v>45812.958333333343</v>
      </c>
      <c r="F1509">
        <v>22.678000000000001</v>
      </c>
      <c r="G1509">
        <v>75.855900000000005</v>
      </c>
      <c r="H1509" t="s">
        <v>771</v>
      </c>
      <c r="I1509">
        <v>35</v>
      </c>
      <c r="J1509">
        <v>130</v>
      </c>
      <c r="K1509">
        <v>67</v>
      </c>
    </row>
    <row r="1510" spans="1:11" x14ac:dyDescent="0.3">
      <c r="A1510" t="s">
        <v>11</v>
      </c>
      <c r="B1510" t="s">
        <v>25</v>
      </c>
      <c r="C1510" t="s">
        <v>109</v>
      </c>
      <c r="D1510" t="s">
        <v>420</v>
      </c>
      <c r="E1510" s="5">
        <v>45812.958333333343</v>
      </c>
      <c r="F1510">
        <v>23.163174000000001</v>
      </c>
      <c r="G1510">
        <v>79.973061000000001</v>
      </c>
      <c r="H1510" t="s">
        <v>770</v>
      </c>
      <c r="I1510">
        <v>11</v>
      </c>
      <c r="J1510">
        <v>99</v>
      </c>
      <c r="K1510">
        <v>63</v>
      </c>
    </row>
    <row r="1511" spans="1:11" x14ac:dyDescent="0.3">
      <c r="A1511" t="s">
        <v>11</v>
      </c>
      <c r="B1511" t="s">
        <v>25</v>
      </c>
      <c r="C1511" t="s">
        <v>109</v>
      </c>
      <c r="D1511" t="s">
        <v>421</v>
      </c>
      <c r="E1511" s="5">
        <v>45812.958333333343</v>
      </c>
      <c r="F1511">
        <v>23.142887999999999</v>
      </c>
      <c r="G1511">
        <v>79.916146999999995</v>
      </c>
      <c r="H1511" t="s">
        <v>773</v>
      </c>
    </row>
    <row r="1512" spans="1:11" x14ac:dyDescent="0.3">
      <c r="A1512" t="s">
        <v>11</v>
      </c>
      <c r="B1512" t="s">
        <v>25</v>
      </c>
      <c r="C1512" t="s">
        <v>109</v>
      </c>
      <c r="D1512" t="s">
        <v>422</v>
      </c>
      <c r="E1512" s="5">
        <v>45812.958333333343</v>
      </c>
      <c r="F1512">
        <v>23.168606</v>
      </c>
      <c r="G1512">
        <v>79.932247000000004</v>
      </c>
      <c r="H1512" t="s">
        <v>773</v>
      </c>
      <c r="I1512">
        <v>2</v>
      </c>
      <c r="J1512">
        <v>3</v>
      </c>
      <c r="K1512">
        <v>3</v>
      </c>
    </row>
    <row r="1513" spans="1:11" x14ac:dyDescent="0.3">
      <c r="A1513" t="s">
        <v>11</v>
      </c>
      <c r="B1513" t="s">
        <v>25</v>
      </c>
      <c r="C1513" t="s">
        <v>119</v>
      </c>
      <c r="D1513" t="s">
        <v>432</v>
      </c>
      <c r="E1513" s="5">
        <v>45812.958333333343</v>
      </c>
      <c r="F1513">
        <v>24.108969999999999</v>
      </c>
      <c r="G1513">
        <v>82.645579999999995</v>
      </c>
      <c r="H1513" t="s">
        <v>776</v>
      </c>
      <c r="I1513">
        <v>39</v>
      </c>
      <c r="J1513">
        <v>108</v>
      </c>
      <c r="K1513">
        <v>48</v>
      </c>
    </row>
    <row r="1514" spans="1:11" x14ac:dyDescent="0.3">
      <c r="A1514" t="s">
        <v>11</v>
      </c>
      <c r="B1514" t="s">
        <v>26</v>
      </c>
      <c r="C1514" t="s">
        <v>265</v>
      </c>
      <c r="D1514" t="s">
        <v>698</v>
      </c>
      <c r="E1514" s="5">
        <v>45812.958333333343</v>
      </c>
      <c r="F1514">
        <v>18.399629999999998</v>
      </c>
      <c r="G1514">
        <v>76.574520000000007</v>
      </c>
      <c r="H1514" t="s">
        <v>774</v>
      </c>
      <c r="I1514">
        <v>4</v>
      </c>
      <c r="J1514">
        <v>18</v>
      </c>
      <c r="K1514">
        <v>9</v>
      </c>
    </row>
    <row r="1515" spans="1:11" x14ac:dyDescent="0.3">
      <c r="A1515" t="s">
        <v>11</v>
      </c>
      <c r="B1515" t="s">
        <v>26</v>
      </c>
      <c r="C1515" t="s">
        <v>265</v>
      </c>
      <c r="D1515" t="s">
        <v>698</v>
      </c>
      <c r="E1515" s="5">
        <v>45812.958333333343</v>
      </c>
      <c r="F1515">
        <v>18.399629999999998</v>
      </c>
      <c r="G1515">
        <v>76.574520000000007</v>
      </c>
      <c r="H1515" t="s">
        <v>770</v>
      </c>
      <c r="I1515">
        <v>1</v>
      </c>
      <c r="J1515">
        <v>126</v>
      </c>
      <c r="K1515">
        <v>72</v>
      </c>
    </row>
    <row r="1516" spans="1:11" x14ac:dyDescent="0.3">
      <c r="A1516" t="s">
        <v>11</v>
      </c>
      <c r="B1516" t="s">
        <v>26</v>
      </c>
      <c r="C1516" t="s">
        <v>122</v>
      </c>
      <c r="D1516" t="s">
        <v>436</v>
      </c>
      <c r="E1516" s="5">
        <v>45812.958333333343</v>
      </c>
      <c r="F1516">
        <v>18.1023399</v>
      </c>
      <c r="G1516">
        <v>73.478368700000004</v>
      </c>
      <c r="H1516" t="s">
        <v>773</v>
      </c>
      <c r="I1516">
        <v>7</v>
      </c>
      <c r="J1516">
        <v>8</v>
      </c>
      <c r="K1516">
        <v>7</v>
      </c>
    </row>
    <row r="1517" spans="1:11" x14ac:dyDescent="0.3">
      <c r="A1517" t="s">
        <v>11</v>
      </c>
      <c r="B1517" t="s">
        <v>26</v>
      </c>
      <c r="C1517" t="s">
        <v>123</v>
      </c>
      <c r="D1517" t="s">
        <v>437</v>
      </c>
      <c r="E1517" s="5">
        <v>45812.958333333343</v>
      </c>
      <c r="F1517">
        <v>20.555712</v>
      </c>
      <c r="G1517">
        <v>74.529235999999997</v>
      </c>
      <c r="H1517" t="s">
        <v>772</v>
      </c>
      <c r="I1517">
        <v>9</v>
      </c>
      <c r="J1517">
        <v>54</v>
      </c>
      <c r="K1517">
        <v>25</v>
      </c>
    </row>
    <row r="1518" spans="1:11" x14ac:dyDescent="0.3">
      <c r="A1518" t="s">
        <v>11</v>
      </c>
      <c r="B1518" t="s">
        <v>26</v>
      </c>
      <c r="C1518" t="s">
        <v>124</v>
      </c>
      <c r="D1518" t="s">
        <v>438</v>
      </c>
      <c r="E1518" s="5">
        <v>45812.958333333343</v>
      </c>
      <c r="F1518">
        <v>19.296481</v>
      </c>
      <c r="G1518">
        <v>72.840923000000004</v>
      </c>
      <c r="H1518" t="s">
        <v>775</v>
      </c>
      <c r="I1518">
        <v>33</v>
      </c>
      <c r="J1518">
        <v>58</v>
      </c>
      <c r="K1518">
        <v>43</v>
      </c>
    </row>
    <row r="1519" spans="1:11" x14ac:dyDescent="0.3">
      <c r="A1519" t="s">
        <v>11</v>
      </c>
      <c r="B1519" t="s">
        <v>26</v>
      </c>
      <c r="C1519" t="s">
        <v>126</v>
      </c>
      <c r="D1519" t="s">
        <v>440</v>
      </c>
      <c r="E1519" s="5">
        <v>45812.958333333343</v>
      </c>
      <c r="F1519">
        <v>19.962900000000001</v>
      </c>
      <c r="G1519">
        <v>79.298714000000004</v>
      </c>
      <c r="H1519" t="s">
        <v>774</v>
      </c>
      <c r="I1519">
        <v>19</v>
      </c>
      <c r="J1519">
        <v>48</v>
      </c>
      <c r="K1519">
        <v>23</v>
      </c>
    </row>
    <row r="1520" spans="1:11" x14ac:dyDescent="0.3">
      <c r="A1520" t="s">
        <v>11</v>
      </c>
      <c r="B1520" t="s">
        <v>26</v>
      </c>
      <c r="C1520" t="s">
        <v>126</v>
      </c>
      <c r="D1520" t="s">
        <v>441</v>
      </c>
      <c r="E1520" s="5">
        <v>45812.958333333343</v>
      </c>
      <c r="F1520">
        <v>19.9775302</v>
      </c>
      <c r="G1520">
        <v>79.2337086</v>
      </c>
      <c r="H1520" t="s">
        <v>775</v>
      </c>
      <c r="I1520">
        <v>36</v>
      </c>
      <c r="J1520">
        <v>95</v>
      </c>
      <c r="K1520">
        <v>70</v>
      </c>
    </row>
    <row r="1521" spans="1:11" x14ac:dyDescent="0.3">
      <c r="A1521" t="s">
        <v>11</v>
      </c>
      <c r="B1521" t="s">
        <v>26</v>
      </c>
      <c r="C1521" t="s">
        <v>126</v>
      </c>
      <c r="D1521" t="s">
        <v>441</v>
      </c>
      <c r="E1521" s="5">
        <v>45812.958333333343</v>
      </c>
      <c r="F1521">
        <v>19.9775302</v>
      </c>
      <c r="G1521">
        <v>79.2337086</v>
      </c>
      <c r="H1521" t="s">
        <v>771</v>
      </c>
      <c r="I1521">
        <v>99</v>
      </c>
      <c r="J1521">
        <v>194</v>
      </c>
      <c r="K1521">
        <v>144</v>
      </c>
    </row>
    <row r="1522" spans="1:11" x14ac:dyDescent="0.3">
      <c r="A1522" t="s">
        <v>11</v>
      </c>
      <c r="B1522" t="s">
        <v>26</v>
      </c>
      <c r="C1522" t="s">
        <v>126</v>
      </c>
      <c r="D1522" t="s">
        <v>441</v>
      </c>
      <c r="E1522" s="5">
        <v>45812.958333333343</v>
      </c>
      <c r="F1522">
        <v>19.9775302</v>
      </c>
      <c r="G1522">
        <v>79.2337086</v>
      </c>
      <c r="H1522" t="s">
        <v>776</v>
      </c>
      <c r="I1522">
        <v>4</v>
      </c>
      <c r="J1522">
        <v>16</v>
      </c>
      <c r="K1522">
        <v>9</v>
      </c>
    </row>
    <row r="1523" spans="1:11" x14ac:dyDescent="0.3">
      <c r="A1523" t="s">
        <v>11</v>
      </c>
      <c r="B1523" t="s">
        <v>26</v>
      </c>
      <c r="C1523" t="s">
        <v>127</v>
      </c>
      <c r="D1523" t="s">
        <v>442</v>
      </c>
      <c r="E1523" s="5">
        <v>45812.958333333343</v>
      </c>
      <c r="F1523">
        <v>20.918945999999998</v>
      </c>
      <c r="G1523">
        <v>74.776387999999997</v>
      </c>
      <c r="H1523" t="s">
        <v>775</v>
      </c>
      <c r="I1523">
        <v>38</v>
      </c>
      <c r="J1523">
        <v>54</v>
      </c>
      <c r="K1523">
        <v>48</v>
      </c>
    </row>
    <row r="1524" spans="1:11" x14ac:dyDescent="0.3">
      <c r="A1524" t="s">
        <v>11</v>
      </c>
      <c r="B1524" t="s">
        <v>26</v>
      </c>
      <c r="C1524" t="s">
        <v>127</v>
      </c>
      <c r="D1524" t="s">
        <v>442</v>
      </c>
      <c r="E1524" s="5">
        <v>45812.958333333343</v>
      </c>
      <c r="F1524">
        <v>20.918945999999998</v>
      </c>
      <c r="G1524">
        <v>74.776387999999997</v>
      </c>
      <c r="H1524" t="s">
        <v>772</v>
      </c>
      <c r="I1524">
        <v>8</v>
      </c>
      <c r="J1524">
        <v>45</v>
      </c>
      <c r="K1524">
        <v>18</v>
      </c>
    </row>
    <row r="1525" spans="1:11" x14ac:dyDescent="0.3">
      <c r="A1525" t="s">
        <v>11</v>
      </c>
      <c r="B1525" t="s">
        <v>26</v>
      </c>
      <c r="C1525" t="s">
        <v>264</v>
      </c>
      <c r="D1525" t="s">
        <v>696</v>
      </c>
      <c r="E1525" s="5">
        <v>45812.958333333343</v>
      </c>
      <c r="F1525">
        <v>21.001263999999999</v>
      </c>
      <c r="G1525">
        <v>75.565601999999998</v>
      </c>
      <c r="H1525" t="s">
        <v>773</v>
      </c>
    </row>
    <row r="1526" spans="1:11" x14ac:dyDescent="0.3">
      <c r="A1526" t="s">
        <v>11</v>
      </c>
      <c r="B1526" t="s">
        <v>26</v>
      </c>
      <c r="C1526" t="s">
        <v>131</v>
      </c>
      <c r="D1526" t="s">
        <v>447</v>
      </c>
      <c r="E1526" s="5">
        <v>45812.958333333343</v>
      </c>
      <c r="F1526">
        <v>19.854616</v>
      </c>
      <c r="G1526">
        <v>75.905894000000004</v>
      </c>
      <c r="H1526" t="s">
        <v>774</v>
      </c>
      <c r="I1526">
        <v>3</v>
      </c>
      <c r="J1526">
        <v>4</v>
      </c>
      <c r="K1526">
        <v>3</v>
      </c>
    </row>
    <row r="1527" spans="1:11" x14ac:dyDescent="0.3">
      <c r="A1527" t="s">
        <v>11</v>
      </c>
      <c r="B1527" t="s">
        <v>26</v>
      </c>
      <c r="C1527" t="s">
        <v>132</v>
      </c>
      <c r="D1527" t="s">
        <v>448</v>
      </c>
      <c r="E1527" s="5">
        <v>45812.958333333343</v>
      </c>
      <c r="F1527">
        <v>19.25292</v>
      </c>
      <c r="G1527">
        <v>73.142019000000005</v>
      </c>
      <c r="H1527" t="s">
        <v>775</v>
      </c>
      <c r="I1527">
        <v>50</v>
      </c>
      <c r="J1527">
        <v>97</v>
      </c>
      <c r="K1527">
        <v>72</v>
      </c>
    </row>
    <row r="1528" spans="1:11" x14ac:dyDescent="0.3">
      <c r="A1528" t="s">
        <v>11</v>
      </c>
      <c r="B1528" t="s">
        <v>26</v>
      </c>
      <c r="C1528" t="s">
        <v>132</v>
      </c>
      <c r="D1528" t="s">
        <v>449</v>
      </c>
      <c r="E1528" s="5">
        <v>45812.958333333343</v>
      </c>
      <c r="F1528">
        <v>19.192056000000001</v>
      </c>
      <c r="G1528">
        <v>72.958518799999993</v>
      </c>
      <c r="H1528" t="s">
        <v>774</v>
      </c>
      <c r="I1528">
        <v>3</v>
      </c>
      <c r="J1528">
        <v>16</v>
      </c>
      <c r="K1528">
        <v>8</v>
      </c>
    </row>
    <row r="1529" spans="1:11" x14ac:dyDescent="0.3">
      <c r="A1529" t="s">
        <v>11</v>
      </c>
      <c r="B1529" t="s">
        <v>26</v>
      </c>
      <c r="C1529" t="s">
        <v>135</v>
      </c>
      <c r="D1529" t="s">
        <v>469</v>
      </c>
      <c r="E1529" s="5">
        <v>45812.958333333343</v>
      </c>
      <c r="F1529">
        <v>19.11074</v>
      </c>
      <c r="G1529">
        <v>72.860839999999996</v>
      </c>
      <c r="H1529" t="s">
        <v>771</v>
      </c>
      <c r="I1529">
        <v>62</v>
      </c>
      <c r="J1529">
        <v>193</v>
      </c>
      <c r="K1529">
        <v>118</v>
      </c>
    </row>
    <row r="1530" spans="1:11" x14ac:dyDescent="0.3">
      <c r="A1530" t="s">
        <v>11</v>
      </c>
      <c r="B1530" t="s">
        <v>26</v>
      </c>
      <c r="C1530" t="s">
        <v>135</v>
      </c>
      <c r="D1530" t="s">
        <v>701</v>
      </c>
      <c r="E1530" s="5">
        <v>45812.958333333343</v>
      </c>
      <c r="F1530">
        <v>19.036458499999998</v>
      </c>
      <c r="G1530">
        <v>72.895437099999995</v>
      </c>
      <c r="H1530" t="s">
        <v>776</v>
      </c>
      <c r="I1530">
        <v>23</v>
      </c>
      <c r="J1530">
        <v>74</v>
      </c>
      <c r="K1530">
        <v>28</v>
      </c>
    </row>
    <row r="1531" spans="1:11" x14ac:dyDescent="0.3">
      <c r="A1531" t="s">
        <v>11</v>
      </c>
      <c r="B1531" t="s">
        <v>26</v>
      </c>
      <c r="C1531" t="s">
        <v>135</v>
      </c>
      <c r="D1531" t="s">
        <v>470</v>
      </c>
      <c r="E1531" s="5">
        <v>45812.958333333343</v>
      </c>
      <c r="F1531">
        <v>19.10078</v>
      </c>
      <c r="G1531">
        <v>72.874619999999993</v>
      </c>
      <c r="H1531" t="s">
        <v>775</v>
      </c>
      <c r="I1531">
        <v>40</v>
      </c>
      <c r="J1531">
        <v>60</v>
      </c>
      <c r="K1531">
        <v>48</v>
      </c>
    </row>
    <row r="1532" spans="1:11" x14ac:dyDescent="0.3">
      <c r="A1532" t="s">
        <v>11</v>
      </c>
      <c r="B1532" t="s">
        <v>26</v>
      </c>
      <c r="C1532" t="s">
        <v>266</v>
      </c>
      <c r="D1532" t="s">
        <v>700</v>
      </c>
      <c r="E1532" s="5">
        <v>45812.958333333343</v>
      </c>
      <c r="F1532">
        <v>19.164850000000001</v>
      </c>
      <c r="G1532">
        <v>73.234089999999995</v>
      </c>
      <c r="H1532" t="s">
        <v>775</v>
      </c>
      <c r="I1532">
        <v>61</v>
      </c>
      <c r="J1532">
        <v>143</v>
      </c>
      <c r="K1532">
        <v>91</v>
      </c>
    </row>
    <row r="1533" spans="1:11" x14ac:dyDescent="0.3">
      <c r="A1533" t="s">
        <v>11</v>
      </c>
      <c r="B1533" t="s">
        <v>26</v>
      </c>
      <c r="C1533" t="s">
        <v>266</v>
      </c>
      <c r="D1533" t="s">
        <v>700</v>
      </c>
      <c r="E1533" s="5">
        <v>45812.958333333343</v>
      </c>
      <c r="F1533">
        <v>19.164850000000001</v>
      </c>
      <c r="G1533">
        <v>73.234089999999995</v>
      </c>
      <c r="H1533" t="s">
        <v>773</v>
      </c>
      <c r="I1533">
        <v>2</v>
      </c>
      <c r="J1533">
        <v>6</v>
      </c>
      <c r="K1533">
        <v>4</v>
      </c>
    </row>
    <row r="1534" spans="1:11" x14ac:dyDescent="0.3">
      <c r="A1534" t="s">
        <v>11</v>
      </c>
      <c r="B1534" t="s">
        <v>26</v>
      </c>
      <c r="C1534" t="s">
        <v>133</v>
      </c>
      <c r="D1534" t="s">
        <v>452</v>
      </c>
      <c r="E1534" s="5">
        <v>45812.958333333343</v>
      </c>
      <c r="F1534">
        <v>19.024390199999999</v>
      </c>
      <c r="G1534">
        <v>73.040672099999995</v>
      </c>
      <c r="H1534" t="s">
        <v>773</v>
      </c>
      <c r="I1534">
        <v>5</v>
      </c>
      <c r="J1534">
        <v>17</v>
      </c>
      <c r="K1534">
        <v>10</v>
      </c>
    </row>
    <row r="1535" spans="1:11" x14ac:dyDescent="0.3">
      <c r="A1535" t="s">
        <v>11</v>
      </c>
      <c r="B1535" t="s">
        <v>26</v>
      </c>
      <c r="C1535" t="s">
        <v>135</v>
      </c>
      <c r="D1535" t="s">
        <v>762</v>
      </c>
      <c r="E1535" s="5">
        <v>45812.958333333343</v>
      </c>
      <c r="F1535">
        <v>19.224333300000001</v>
      </c>
      <c r="G1535">
        <v>72.865811300000004</v>
      </c>
      <c r="H1535" t="s">
        <v>771</v>
      </c>
      <c r="I1535">
        <v>45</v>
      </c>
      <c r="J1535">
        <v>119</v>
      </c>
      <c r="K1535">
        <v>67</v>
      </c>
    </row>
    <row r="1536" spans="1:11" x14ac:dyDescent="0.3">
      <c r="A1536" t="s">
        <v>11</v>
      </c>
      <c r="B1536" t="s">
        <v>26</v>
      </c>
      <c r="C1536" t="s">
        <v>135</v>
      </c>
      <c r="D1536" t="s">
        <v>762</v>
      </c>
      <c r="E1536" s="5">
        <v>45812.958333333343</v>
      </c>
      <c r="F1536">
        <v>19.224333300000001</v>
      </c>
      <c r="G1536">
        <v>72.865811300000004</v>
      </c>
      <c r="H1536" t="s">
        <v>774</v>
      </c>
      <c r="I1536">
        <v>6</v>
      </c>
      <c r="J1536">
        <v>31</v>
      </c>
      <c r="K1536">
        <v>17</v>
      </c>
    </row>
    <row r="1537" spans="1:11" x14ac:dyDescent="0.3">
      <c r="A1537" t="s">
        <v>11</v>
      </c>
      <c r="B1537" t="s">
        <v>26</v>
      </c>
      <c r="C1537" t="s">
        <v>135</v>
      </c>
      <c r="D1537" t="s">
        <v>699</v>
      </c>
      <c r="E1537" s="5">
        <v>45812.958333333343</v>
      </c>
      <c r="F1537">
        <v>18.976700000000001</v>
      </c>
      <c r="G1537">
        <v>72.837999999999994</v>
      </c>
      <c r="H1537" t="s">
        <v>775</v>
      </c>
      <c r="I1537">
        <v>29</v>
      </c>
      <c r="J1537">
        <v>58</v>
      </c>
      <c r="K1537">
        <v>40</v>
      </c>
    </row>
    <row r="1538" spans="1:11" x14ac:dyDescent="0.3">
      <c r="A1538" t="s">
        <v>11</v>
      </c>
      <c r="B1538" t="s">
        <v>26</v>
      </c>
      <c r="C1538" t="s">
        <v>49</v>
      </c>
      <c r="D1538" t="s">
        <v>453</v>
      </c>
      <c r="E1538" s="5">
        <v>45812.958333333343</v>
      </c>
      <c r="F1538">
        <v>19.875620000000001</v>
      </c>
      <c r="G1538">
        <v>75.387309999999999</v>
      </c>
      <c r="H1538" t="s">
        <v>772</v>
      </c>
      <c r="I1538">
        <v>7</v>
      </c>
      <c r="J1538">
        <v>105</v>
      </c>
      <c r="K1538">
        <v>31</v>
      </c>
    </row>
    <row r="1539" spans="1:11" x14ac:dyDescent="0.3">
      <c r="A1539" t="s">
        <v>11</v>
      </c>
      <c r="B1539" t="s">
        <v>26</v>
      </c>
      <c r="C1539" t="s">
        <v>49</v>
      </c>
      <c r="D1539" t="s">
        <v>453</v>
      </c>
      <c r="E1539" s="5">
        <v>45812.958333333343</v>
      </c>
      <c r="F1539">
        <v>19.875620000000001</v>
      </c>
      <c r="G1539">
        <v>75.387309999999999</v>
      </c>
      <c r="H1539" t="s">
        <v>770</v>
      </c>
      <c r="I1539">
        <v>7</v>
      </c>
      <c r="J1539">
        <v>88</v>
      </c>
      <c r="K1539">
        <v>63</v>
      </c>
    </row>
    <row r="1540" spans="1:11" x14ac:dyDescent="0.3">
      <c r="A1540" t="s">
        <v>11</v>
      </c>
      <c r="B1540" t="s">
        <v>26</v>
      </c>
      <c r="C1540" t="s">
        <v>121</v>
      </c>
      <c r="D1540" t="s">
        <v>435</v>
      </c>
      <c r="E1540" s="5">
        <v>45812.958333333343</v>
      </c>
      <c r="F1540">
        <v>16.714374500000002</v>
      </c>
      <c r="G1540">
        <v>74.242639800000006</v>
      </c>
      <c r="H1540" t="s">
        <v>775</v>
      </c>
      <c r="I1540">
        <v>34</v>
      </c>
      <c r="J1540">
        <v>69</v>
      </c>
      <c r="K1540">
        <v>45</v>
      </c>
    </row>
    <row r="1541" spans="1:11" x14ac:dyDescent="0.3">
      <c r="A1541" t="s">
        <v>11</v>
      </c>
      <c r="B1541" t="s">
        <v>26</v>
      </c>
      <c r="C1541" t="s">
        <v>121</v>
      </c>
      <c r="D1541" t="s">
        <v>435</v>
      </c>
      <c r="E1541" s="5">
        <v>45812.958333333343</v>
      </c>
      <c r="F1541">
        <v>16.714374500000002</v>
      </c>
      <c r="G1541">
        <v>74.242639800000006</v>
      </c>
      <c r="H1541" t="s">
        <v>773</v>
      </c>
    </row>
    <row r="1542" spans="1:11" x14ac:dyDescent="0.3">
      <c r="A1542" t="s">
        <v>11</v>
      </c>
      <c r="B1542" t="s">
        <v>26</v>
      </c>
      <c r="C1542" t="s">
        <v>134</v>
      </c>
      <c r="D1542" t="s">
        <v>454</v>
      </c>
      <c r="E1542" s="5">
        <v>45812.958333333343</v>
      </c>
      <c r="F1542">
        <v>19.309073000000001</v>
      </c>
      <c r="G1542">
        <v>73.057222999999993</v>
      </c>
      <c r="H1542" t="s">
        <v>771</v>
      </c>
      <c r="I1542">
        <v>62</v>
      </c>
      <c r="J1542">
        <v>159</v>
      </c>
      <c r="K1542">
        <v>110</v>
      </c>
    </row>
    <row r="1543" spans="1:11" x14ac:dyDescent="0.3">
      <c r="A1543" t="s">
        <v>11</v>
      </c>
      <c r="B1543" t="s">
        <v>26</v>
      </c>
      <c r="C1543" t="s">
        <v>138</v>
      </c>
      <c r="D1543" t="s">
        <v>703</v>
      </c>
      <c r="E1543" s="5">
        <v>45812.958333333343</v>
      </c>
      <c r="F1543">
        <v>21.152875000000002</v>
      </c>
      <c r="G1543">
        <v>79.051753099999999</v>
      </c>
      <c r="H1543" t="s">
        <v>772</v>
      </c>
      <c r="I1543">
        <v>5</v>
      </c>
      <c r="J1543">
        <v>68</v>
      </c>
      <c r="K1543">
        <v>31</v>
      </c>
    </row>
    <row r="1544" spans="1:11" x14ac:dyDescent="0.3">
      <c r="A1544" t="s">
        <v>11</v>
      </c>
      <c r="B1544" t="s">
        <v>26</v>
      </c>
      <c r="C1544" t="s">
        <v>138</v>
      </c>
      <c r="D1544" t="s">
        <v>703</v>
      </c>
      <c r="E1544" s="5">
        <v>45812.958333333343</v>
      </c>
      <c r="F1544">
        <v>21.152875000000002</v>
      </c>
      <c r="G1544">
        <v>79.051753099999999</v>
      </c>
      <c r="H1544" t="s">
        <v>773</v>
      </c>
      <c r="I1544">
        <v>2</v>
      </c>
      <c r="J1544">
        <v>9</v>
      </c>
      <c r="K1544">
        <v>4</v>
      </c>
    </row>
    <row r="1545" spans="1:11" x14ac:dyDescent="0.3">
      <c r="A1545" t="s">
        <v>11</v>
      </c>
      <c r="B1545" t="s">
        <v>26</v>
      </c>
      <c r="C1545" t="s">
        <v>138</v>
      </c>
      <c r="D1545" t="s">
        <v>703</v>
      </c>
      <c r="E1545" s="5">
        <v>45812.958333333343</v>
      </c>
      <c r="F1545">
        <v>21.152875000000002</v>
      </c>
      <c r="G1545">
        <v>79.051753099999999</v>
      </c>
      <c r="H1545" t="s">
        <v>774</v>
      </c>
      <c r="I1545">
        <v>5</v>
      </c>
      <c r="J1545">
        <v>60</v>
      </c>
      <c r="K1545">
        <v>22</v>
      </c>
    </row>
    <row r="1546" spans="1:11" x14ac:dyDescent="0.3">
      <c r="A1546" t="s">
        <v>11</v>
      </c>
      <c r="B1546" t="s">
        <v>26</v>
      </c>
      <c r="C1546" t="s">
        <v>138</v>
      </c>
      <c r="D1546" t="s">
        <v>482</v>
      </c>
      <c r="E1546" s="5">
        <v>45812.958333333343</v>
      </c>
      <c r="F1546">
        <v>21.143383</v>
      </c>
      <c r="G1546">
        <v>79.048912000000001</v>
      </c>
      <c r="H1546" t="s">
        <v>773</v>
      </c>
      <c r="I1546">
        <v>3</v>
      </c>
      <c r="J1546">
        <v>11</v>
      </c>
      <c r="K1546">
        <v>6</v>
      </c>
    </row>
    <row r="1547" spans="1:11" x14ac:dyDescent="0.3">
      <c r="A1547" t="s">
        <v>11</v>
      </c>
      <c r="B1547" t="s">
        <v>26</v>
      </c>
      <c r="C1547" t="s">
        <v>138</v>
      </c>
      <c r="D1547" t="s">
        <v>482</v>
      </c>
      <c r="E1547" s="5">
        <v>45812.958333333343</v>
      </c>
      <c r="F1547">
        <v>21.143383</v>
      </c>
      <c r="G1547">
        <v>79.048912000000001</v>
      </c>
      <c r="H1547" t="s">
        <v>774</v>
      </c>
      <c r="I1547">
        <v>1</v>
      </c>
      <c r="J1547">
        <v>43</v>
      </c>
      <c r="K1547">
        <v>17</v>
      </c>
    </row>
    <row r="1548" spans="1:11" x14ac:dyDescent="0.3">
      <c r="A1548" t="s">
        <v>11</v>
      </c>
      <c r="B1548" t="s">
        <v>26</v>
      </c>
      <c r="C1548" t="s">
        <v>139</v>
      </c>
      <c r="D1548" t="s">
        <v>483</v>
      </c>
      <c r="E1548" s="5">
        <v>45812.958333333343</v>
      </c>
      <c r="F1548">
        <v>19.173852</v>
      </c>
      <c r="G1548">
        <v>77.296290999999997</v>
      </c>
      <c r="H1548" t="s">
        <v>776</v>
      </c>
      <c r="I1548">
        <v>6</v>
      </c>
      <c r="J1548">
        <v>67</v>
      </c>
      <c r="K1548">
        <v>19</v>
      </c>
    </row>
    <row r="1549" spans="1:11" x14ac:dyDescent="0.3">
      <c r="A1549" t="s">
        <v>11</v>
      </c>
      <c r="B1549" t="s">
        <v>26</v>
      </c>
      <c r="C1549" t="s">
        <v>140</v>
      </c>
      <c r="D1549" t="s">
        <v>484</v>
      </c>
      <c r="E1549" s="5">
        <v>45812.958333333343</v>
      </c>
      <c r="F1549">
        <v>20.0073285</v>
      </c>
      <c r="G1549">
        <v>73.776242699999997</v>
      </c>
      <c r="H1549" t="s">
        <v>775</v>
      </c>
      <c r="I1549">
        <v>119</v>
      </c>
      <c r="J1549">
        <v>219</v>
      </c>
      <c r="K1549">
        <v>165</v>
      </c>
    </row>
    <row r="1550" spans="1:11" x14ac:dyDescent="0.3">
      <c r="A1550" t="s">
        <v>11</v>
      </c>
      <c r="B1550" t="s">
        <v>26</v>
      </c>
      <c r="C1550" t="s">
        <v>140</v>
      </c>
      <c r="D1550" t="s">
        <v>484</v>
      </c>
      <c r="E1550" s="5">
        <v>45812.958333333343</v>
      </c>
      <c r="F1550">
        <v>20.0073285</v>
      </c>
      <c r="G1550">
        <v>73.776242699999997</v>
      </c>
      <c r="H1550" t="s">
        <v>776</v>
      </c>
      <c r="I1550">
        <v>28</v>
      </c>
      <c r="J1550">
        <v>36</v>
      </c>
      <c r="K1550">
        <v>31</v>
      </c>
    </row>
    <row r="1551" spans="1:11" x14ac:dyDescent="0.3">
      <c r="A1551" t="s">
        <v>11</v>
      </c>
      <c r="B1551" t="s">
        <v>26</v>
      </c>
      <c r="C1551" t="s">
        <v>135</v>
      </c>
      <c r="D1551" t="s">
        <v>455</v>
      </c>
      <c r="E1551" s="5">
        <v>45812.958333333343</v>
      </c>
      <c r="F1551">
        <v>19.083694000000001</v>
      </c>
      <c r="G1551">
        <v>72.920967000000005</v>
      </c>
      <c r="H1551" t="s">
        <v>775</v>
      </c>
      <c r="I1551">
        <v>28</v>
      </c>
      <c r="J1551">
        <v>100</v>
      </c>
      <c r="K1551">
        <v>59</v>
      </c>
    </row>
    <row r="1552" spans="1:11" x14ac:dyDescent="0.3">
      <c r="A1552" t="s">
        <v>11</v>
      </c>
      <c r="B1552" t="s">
        <v>26</v>
      </c>
      <c r="C1552" t="s">
        <v>135</v>
      </c>
      <c r="D1552" t="s">
        <v>455</v>
      </c>
      <c r="E1552" s="5">
        <v>45812.958333333343</v>
      </c>
      <c r="F1552">
        <v>19.083694000000001</v>
      </c>
      <c r="G1552">
        <v>72.920967000000005</v>
      </c>
      <c r="H1552" t="s">
        <v>773</v>
      </c>
      <c r="I1552">
        <v>2</v>
      </c>
      <c r="J1552">
        <v>30</v>
      </c>
      <c r="K1552">
        <v>10</v>
      </c>
    </row>
    <row r="1553" spans="1:11" x14ac:dyDescent="0.3">
      <c r="A1553" t="s">
        <v>11</v>
      </c>
      <c r="B1553" t="s">
        <v>26</v>
      </c>
      <c r="C1553" t="s">
        <v>135</v>
      </c>
      <c r="D1553" t="s">
        <v>455</v>
      </c>
      <c r="E1553" s="5">
        <v>45812.958333333343</v>
      </c>
      <c r="F1553">
        <v>19.083694000000001</v>
      </c>
      <c r="G1553">
        <v>72.920967000000005</v>
      </c>
      <c r="H1553" t="s">
        <v>774</v>
      </c>
      <c r="I1553">
        <v>1</v>
      </c>
      <c r="J1553">
        <v>10</v>
      </c>
      <c r="K1553">
        <v>3</v>
      </c>
    </row>
    <row r="1554" spans="1:11" x14ac:dyDescent="0.3">
      <c r="A1554" t="s">
        <v>11</v>
      </c>
      <c r="B1554" t="s">
        <v>26</v>
      </c>
      <c r="C1554" t="s">
        <v>135</v>
      </c>
      <c r="D1554" t="s">
        <v>455</v>
      </c>
      <c r="E1554" s="5">
        <v>45812.958333333343</v>
      </c>
      <c r="F1554">
        <v>19.083694000000001</v>
      </c>
      <c r="G1554">
        <v>72.920967000000005</v>
      </c>
      <c r="H1554" t="s">
        <v>770</v>
      </c>
      <c r="I1554">
        <v>2</v>
      </c>
      <c r="J1554">
        <v>46</v>
      </c>
      <c r="K1554">
        <v>26</v>
      </c>
    </row>
    <row r="1555" spans="1:11" x14ac:dyDescent="0.3">
      <c r="A1555" t="s">
        <v>11</v>
      </c>
      <c r="B1555" t="s">
        <v>26</v>
      </c>
      <c r="C1555" t="s">
        <v>135</v>
      </c>
      <c r="D1555" t="s">
        <v>456</v>
      </c>
      <c r="E1555" s="5">
        <v>45812.958333333343</v>
      </c>
      <c r="F1555">
        <v>19.2058</v>
      </c>
      <c r="G1555">
        <v>72.868200000000002</v>
      </c>
      <c r="H1555" t="s">
        <v>775</v>
      </c>
      <c r="I1555">
        <v>78</v>
      </c>
      <c r="J1555">
        <v>90</v>
      </c>
      <c r="K1555">
        <v>82</v>
      </c>
    </row>
    <row r="1556" spans="1:11" x14ac:dyDescent="0.3">
      <c r="A1556" t="s">
        <v>11</v>
      </c>
      <c r="B1556" t="s">
        <v>26</v>
      </c>
      <c r="C1556" t="s">
        <v>135</v>
      </c>
      <c r="D1556" t="s">
        <v>456</v>
      </c>
      <c r="E1556" s="5">
        <v>45812.958333333343</v>
      </c>
      <c r="F1556">
        <v>19.2058</v>
      </c>
      <c r="G1556">
        <v>72.868200000000002</v>
      </c>
      <c r="H1556" t="s">
        <v>772</v>
      </c>
      <c r="I1556">
        <v>1</v>
      </c>
      <c r="J1556">
        <v>1</v>
      </c>
      <c r="K1556">
        <v>1</v>
      </c>
    </row>
    <row r="1557" spans="1:11" x14ac:dyDescent="0.3">
      <c r="A1557" t="s">
        <v>11</v>
      </c>
      <c r="B1557" t="s">
        <v>26</v>
      </c>
      <c r="C1557" t="s">
        <v>135</v>
      </c>
      <c r="D1557" t="s">
        <v>456</v>
      </c>
      <c r="E1557" s="5">
        <v>45812.958333333343</v>
      </c>
      <c r="F1557">
        <v>19.2058</v>
      </c>
      <c r="G1557">
        <v>72.868200000000002</v>
      </c>
      <c r="H1557" t="s">
        <v>774</v>
      </c>
    </row>
    <row r="1558" spans="1:11" x14ac:dyDescent="0.3">
      <c r="A1558" t="s">
        <v>11</v>
      </c>
      <c r="B1558" t="s">
        <v>26</v>
      </c>
      <c r="C1558" t="s">
        <v>135</v>
      </c>
      <c r="D1558" t="s">
        <v>458</v>
      </c>
      <c r="E1558" s="5">
        <v>45812.958333333343</v>
      </c>
      <c r="F1558">
        <v>19.063214299999999</v>
      </c>
      <c r="G1558">
        <v>72.8456324</v>
      </c>
      <c r="H1558" t="s">
        <v>771</v>
      </c>
      <c r="I1558">
        <v>19</v>
      </c>
      <c r="J1558">
        <v>121</v>
      </c>
      <c r="K1558">
        <v>58</v>
      </c>
    </row>
    <row r="1559" spans="1:11" x14ac:dyDescent="0.3">
      <c r="A1559" t="s">
        <v>11</v>
      </c>
      <c r="B1559" t="s">
        <v>26</v>
      </c>
      <c r="C1559" t="s">
        <v>135</v>
      </c>
      <c r="D1559" t="s">
        <v>458</v>
      </c>
      <c r="E1559" s="5">
        <v>45812.958333333343</v>
      </c>
      <c r="F1559">
        <v>19.063214299999999</v>
      </c>
      <c r="G1559">
        <v>72.8456324</v>
      </c>
      <c r="H1559" t="s">
        <v>772</v>
      </c>
      <c r="I1559">
        <v>9</v>
      </c>
      <c r="J1559">
        <v>97</v>
      </c>
      <c r="K1559">
        <v>39</v>
      </c>
    </row>
    <row r="1560" spans="1:11" x14ac:dyDescent="0.3">
      <c r="A1560" t="s">
        <v>11</v>
      </c>
      <c r="B1560" t="s">
        <v>26</v>
      </c>
      <c r="C1560" t="s">
        <v>135</v>
      </c>
      <c r="D1560" t="s">
        <v>458</v>
      </c>
      <c r="E1560" s="5">
        <v>45812.958333333343</v>
      </c>
      <c r="F1560">
        <v>19.063214299999999</v>
      </c>
      <c r="G1560">
        <v>72.8456324</v>
      </c>
      <c r="H1560" t="s">
        <v>770</v>
      </c>
      <c r="I1560">
        <v>2</v>
      </c>
      <c r="J1560">
        <v>49</v>
      </c>
      <c r="K1560">
        <v>40</v>
      </c>
    </row>
    <row r="1561" spans="1:11" x14ac:dyDescent="0.3">
      <c r="A1561" t="s">
        <v>11</v>
      </c>
      <c r="B1561" t="s">
        <v>26</v>
      </c>
      <c r="C1561" t="s">
        <v>135</v>
      </c>
      <c r="D1561" t="s">
        <v>471</v>
      </c>
      <c r="E1561" s="5">
        <v>45812.958333333343</v>
      </c>
      <c r="F1561">
        <v>19.165332299999999</v>
      </c>
      <c r="G1561">
        <v>72.922099000000003</v>
      </c>
      <c r="H1561" t="s">
        <v>772</v>
      </c>
      <c r="I1561">
        <v>16</v>
      </c>
      <c r="J1561">
        <v>71</v>
      </c>
      <c r="K1561">
        <v>33</v>
      </c>
    </row>
    <row r="1562" spans="1:11" x14ac:dyDescent="0.3">
      <c r="A1562" t="s">
        <v>11</v>
      </c>
      <c r="B1562" t="s">
        <v>26</v>
      </c>
      <c r="C1562" t="s">
        <v>135</v>
      </c>
      <c r="D1562" t="s">
        <v>471</v>
      </c>
      <c r="E1562" s="5">
        <v>45812.958333333343</v>
      </c>
      <c r="F1562">
        <v>19.165332299999999</v>
      </c>
      <c r="G1562">
        <v>72.922099000000003</v>
      </c>
      <c r="H1562" t="s">
        <v>770</v>
      </c>
      <c r="I1562">
        <v>4</v>
      </c>
      <c r="J1562">
        <v>99</v>
      </c>
      <c r="K1562">
        <v>60</v>
      </c>
    </row>
    <row r="1563" spans="1:11" x14ac:dyDescent="0.3">
      <c r="A1563" t="s">
        <v>11</v>
      </c>
      <c r="B1563" t="s">
        <v>26</v>
      </c>
      <c r="C1563" t="s">
        <v>135</v>
      </c>
      <c r="D1563" t="s">
        <v>704</v>
      </c>
      <c r="E1563" s="5">
        <v>45812.958333333343</v>
      </c>
      <c r="F1563">
        <v>19.086300000000001</v>
      </c>
      <c r="G1563">
        <v>72.888800000000003</v>
      </c>
      <c r="H1563" t="s">
        <v>773</v>
      </c>
    </row>
    <row r="1564" spans="1:11" x14ac:dyDescent="0.3">
      <c r="A1564" t="s">
        <v>11</v>
      </c>
      <c r="B1564" t="s">
        <v>26</v>
      </c>
      <c r="C1564" t="s">
        <v>135</v>
      </c>
      <c r="D1564" t="s">
        <v>704</v>
      </c>
      <c r="E1564" s="5">
        <v>45812.958333333343</v>
      </c>
      <c r="F1564">
        <v>19.086300000000001</v>
      </c>
      <c r="G1564">
        <v>72.888800000000003</v>
      </c>
      <c r="H1564" t="s">
        <v>770</v>
      </c>
      <c r="I1564">
        <v>28</v>
      </c>
      <c r="J1564">
        <v>29</v>
      </c>
      <c r="K1564">
        <v>28</v>
      </c>
    </row>
    <row r="1565" spans="1:11" x14ac:dyDescent="0.3">
      <c r="A1565" t="s">
        <v>11</v>
      </c>
      <c r="B1565" t="s">
        <v>26</v>
      </c>
      <c r="C1565" t="s">
        <v>140</v>
      </c>
      <c r="D1565" t="s">
        <v>491</v>
      </c>
      <c r="E1565" s="5">
        <v>45812.958333333343</v>
      </c>
      <c r="F1565">
        <v>19.950220000000002</v>
      </c>
      <c r="G1565">
        <v>73.731480000000005</v>
      </c>
      <c r="H1565" t="s">
        <v>776</v>
      </c>
      <c r="I1565">
        <v>5</v>
      </c>
      <c r="J1565">
        <v>52</v>
      </c>
      <c r="K1565">
        <v>19</v>
      </c>
    </row>
    <row r="1566" spans="1:11" x14ac:dyDescent="0.3">
      <c r="A1566" t="s">
        <v>11</v>
      </c>
      <c r="B1566" t="s">
        <v>26</v>
      </c>
      <c r="C1566" t="s">
        <v>140</v>
      </c>
      <c r="D1566" t="s">
        <v>491</v>
      </c>
      <c r="E1566" s="5">
        <v>45812.958333333343</v>
      </c>
      <c r="F1566">
        <v>19.950220000000002</v>
      </c>
      <c r="G1566">
        <v>73.731480000000005</v>
      </c>
      <c r="H1566" t="s">
        <v>770</v>
      </c>
      <c r="I1566">
        <v>20</v>
      </c>
      <c r="J1566">
        <v>100</v>
      </c>
      <c r="K1566">
        <v>78</v>
      </c>
    </row>
    <row r="1567" spans="1:11" x14ac:dyDescent="0.3">
      <c r="A1567" t="s">
        <v>11</v>
      </c>
      <c r="B1567" t="s">
        <v>26</v>
      </c>
      <c r="C1567" t="s">
        <v>140</v>
      </c>
      <c r="D1567" t="s">
        <v>492</v>
      </c>
      <c r="E1567" s="5">
        <v>45812.958333333343</v>
      </c>
      <c r="F1567">
        <v>19.959134599999999</v>
      </c>
      <c r="G1567">
        <v>73.778800799999999</v>
      </c>
      <c r="H1567" t="s">
        <v>773</v>
      </c>
      <c r="I1567">
        <v>3</v>
      </c>
      <c r="J1567">
        <v>4</v>
      </c>
      <c r="K1567">
        <v>4</v>
      </c>
    </row>
    <row r="1568" spans="1:11" x14ac:dyDescent="0.3">
      <c r="A1568" t="s">
        <v>11</v>
      </c>
      <c r="B1568" t="s">
        <v>26</v>
      </c>
      <c r="C1568" t="s">
        <v>137</v>
      </c>
      <c r="D1568" t="s">
        <v>709</v>
      </c>
      <c r="E1568" s="5">
        <v>45812.958333333343</v>
      </c>
      <c r="F1568">
        <v>19.090337000000002</v>
      </c>
      <c r="G1568">
        <v>73.014232000000007</v>
      </c>
      <c r="H1568" t="s">
        <v>775</v>
      </c>
      <c r="I1568">
        <v>38</v>
      </c>
      <c r="J1568">
        <v>335</v>
      </c>
      <c r="K1568">
        <v>141</v>
      </c>
    </row>
    <row r="1569" spans="1:11" x14ac:dyDescent="0.3">
      <c r="A1569" t="s">
        <v>11</v>
      </c>
      <c r="B1569" t="s">
        <v>26</v>
      </c>
      <c r="C1569" t="s">
        <v>135</v>
      </c>
      <c r="D1569" t="s">
        <v>459</v>
      </c>
      <c r="E1569" s="5">
        <v>45812.958333333343</v>
      </c>
      <c r="F1569">
        <v>19.383199999999999</v>
      </c>
      <c r="G1569">
        <v>72.820400000000006</v>
      </c>
      <c r="H1569" t="s">
        <v>772</v>
      </c>
      <c r="I1569">
        <v>47</v>
      </c>
      <c r="J1569">
        <v>80</v>
      </c>
      <c r="K1569">
        <v>58</v>
      </c>
    </row>
    <row r="1570" spans="1:11" x14ac:dyDescent="0.3">
      <c r="A1570" t="s">
        <v>11</v>
      </c>
      <c r="B1570" t="s">
        <v>26</v>
      </c>
      <c r="C1570" t="s">
        <v>135</v>
      </c>
      <c r="D1570" t="s">
        <v>459</v>
      </c>
      <c r="E1570" s="5">
        <v>45812.958333333343</v>
      </c>
      <c r="F1570">
        <v>19.383199999999999</v>
      </c>
      <c r="G1570">
        <v>72.820400000000006</v>
      </c>
      <c r="H1570" t="s">
        <v>774</v>
      </c>
      <c r="I1570">
        <v>32</v>
      </c>
      <c r="J1570">
        <v>33</v>
      </c>
      <c r="K1570">
        <v>32</v>
      </c>
    </row>
    <row r="1571" spans="1:11" x14ac:dyDescent="0.3">
      <c r="A1571" t="s">
        <v>11</v>
      </c>
      <c r="B1571" t="s">
        <v>26</v>
      </c>
      <c r="C1571" t="s">
        <v>138</v>
      </c>
      <c r="D1571" t="s">
        <v>481</v>
      </c>
      <c r="E1571" s="5">
        <v>45812.958333333343</v>
      </c>
      <c r="F1571">
        <v>21.121801000000001</v>
      </c>
      <c r="G1571">
        <v>79.049520000000001</v>
      </c>
      <c r="H1571" t="s">
        <v>775</v>
      </c>
      <c r="I1571">
        <v>44</v>
      </c>
      <c r="J1571">
        <v>268</v>
      </c>
      <c r="K1571">
        <v>137</v>
      </c>
    </row>
    <row r="1572" spans="1:11" x14ac:dyDescent="0.3">
      <c r="A1572" t="s">
        <v>11</v>
      </c>
      <c r="B1572" t="s">
        <v>26</v>
      </c>
      <c r="C1572" t="s">
        <v>138</v>
      </c>
      <c r="D1572" t="s">
        <v>481</v>
      </c>
      <c r="E1572" s="5">
        <v>45812.958333333343</v>
      </c>
      <c r="F1572">
        <v>21.121801000000001</v>
      </c>
      <c r="G1572">
        <v>79.049520000000001</v>
      </c>
      <c r="H1572" t="s">
        <v>773</v>
      </c>
      <c r="I1572">
        <v>2</v>
      </c>
      <c r="J1572">
        <v>20</v>
      </c>
      <c r="K1572">
        <v>7</v>
      </c>
    </row>
    <row r="1573" spans="1:11" x14ac:dyDescent="0.3">
      <c r="A1573" t="s">
        <v>11</v>
      </c>
      <c r="B1573" t="s">
        <v>26</v>
      </c>
      <c r="C1573" t="s">
        <v>138</v>
      </c>
      <c r="D1573" t="s">
        <v>481</v>
      </c>
      <c r="E1573" s="5">
        <v>45812.958333333343</v>
      </c>
      <c r="F1573">
        <v>21.121801000000001</v>
      </c>
      <c r="G1573">
        <v>79.049520000000001</v>
      </c>
      <c r="H1573" t="s">
        <v>776</v>
      </c>
      <c r="I1573">
        <v>2</v>
      </c>
      <c r="J1573">
        <v>104</v>
      </c>
      <c r="K1573">
        <v>37</v>
      </c>
    </row>
    <row r="1574" spans="1:11" x14ac:dyDescent="0.3">
      <c r="A1574" t="s">
        <v>11</v>
      </c>
      <c r="B1574" t="s">
        <v>26</v>
      </c>
      <c r="C1574" t="s">
        <v>135</v>
      </c>
      <c r="D1574" t="s">
        <v>468</v>
      </c>
      <c r="E1574" s="5">
        <v>45812.958333333343</v>
      </c>
      <c r="F1574">
        <v>18.967020000000002</v>
      </c>
      <c r="G1574">
        <v>72.842140000000001</v>
      </c>
      <c r="H1574" t="s">
        <v>774</v>
      </c>
      <c r="I1574">
        <v>1</v>
      </c>
      <c r="J1574">
        <v>30</v>
      </c>
      <c r="K1574">
        <v>6</v>
      </c>
    </row>
    <row r="1575" spans="1:11" x14ac:dyDescent="0.3">
      <c r="A1575" t="s">
        <v>11</v>
      </c>
      <c r="B1575" t="s">
        <v>26</v>
      </c>
      <c r="C1575" t="s">
        <v>135</v>
      </c>
      <c r="D1575" t="s">
        <v>466</v>
      </c>
      <c r="E1575" s="5">
        <v>45812.958333333343</v>
      </c>
      <c r="F1575">
        <v>18.897756000000001</v>
      </c>
      <c r="G1575">
        <v>72.813320000000004</v>
      </c>
      <c r="H1575" t="s">
        <v>772</v>
      </c>
      <c r="I1575">
        <v>11</v>
      </c>
      <c r="J1575">
        <v>65</v>
      </c>
      <c r="K1575">
        <v>27</v>
      </c>
    </row>
    <row r="1576" spans="1:11" x14ac:dyDescent="0.3">
      <c r="A1576" t="s">
        <v>11</v>
      </c>
      <c r="B1576" t="s">
        <v>26</v>
      </c>
      <c r="C1576" t="s">
        <v>135</v>
      </c>
      <c r="D1576" t="s">
        <v>466</v>
      </c>
      <c r="E1576" s="5">
        <v>45812.958333333343</v>
      </c>
      <c r="F1576">
        <v>18.897756000000001</v>
      </c>
      <c r="G1576">
        <v>72.813320000000004</v>
      </c>
      <c r="H1576" t="s">
        <v>773</v>
      </c>
      <c r="I1576">
        <v>4</v>
      </c>
      <c r="J1576">
        <v>4</v>
      </c>
      <c r="K1576">
        <v>4</v>
      </c>
    </row>
    <row r="1577" spans="1:11" x14ac:dyDescent="0.3">
      <c r="A1577" t="s">
        <v>11</v>
      </c>
      <c r="B1577" t="s">
        <v>26</v>
      </c>
      <c r="C1577" t="s">
        <v>135</v>
      </c>
      <c r="D1577" t="s">
        <v>463</v>
      </c>
      <c r="E1577" s="5">
        <v>45812.958333333343</v>
      </c>
      <c r="F1577">
        <v>19.137499999999999</v>
      </c>
      <c r="G1577">
        <v>72.915056000000007</v>
      </c>
      <c r="H1577" t="s">
        <v>771</v>
      </c>
      <c r="I1577">
        <v>63</v>
      </c>
      <c r="J1577">
        <v>122</v>
      </c>
      <c r="K1577">
        <v>82</v>
      </c>
    </row>
    <row r="1578" spans="1:11" x14ac:dyDescent="0.3">
      <c r="A1578" t="s">
        <v>11</v>
      </c>
      <c r="B1578" t="s">
        <v>26</v>
      </c>
      <c r="C1578" t="s">
        <v>135</v>
      </c>
      <c r="D1578" t="s">
        <v>464</v>
      </c>
      <c r="E1578" s="5">
        <v>45812.958333333343</v>
      </c>
      <c r="F1578">
        <v>19.060497999999999</v>
      </c>
      <c r="G1578">
        <v>72.923355999999998</v>
      </c>
      <c r="H1578" t="s">
        <v>771</v>
      </c>
      <c r="I1578">
        <v>55</v>
      </c>
      <c r="J1578">
        <v>142</v>
      </c>
      <c r="K1578">
        <v>101</v>
      </c>
    </row>
    <row r="1579" spans="1:11" x14ac:dyDescent="0.3">
      <c r="A1579" t="s">
        <v>11</v>
      </c>
      <c r="B1579" t="s">
        <v>26</v>
      </c>
      <c r="C1579" t="s">
        <v>135</v>
      </c>
      <c r="D1579" t="s">
        <v>763</v>
      </c>
      <c r="E1579" s="5">
        <v>45812.958333333343</v>
      </c>
      <c r="F1579">
        <v>19.000083</v>
      </c>
      <c r="G1579">
        <v>72.813992999999996</v>
      </c>
      <c r="H1579" t="s">
        <v>772</v>
      </c>
      <c r="I1579">
        <v>17</v>
      </c>
      <c r="J1579">
        <v>77</v>
      </c>
      <c r="K1579">
        <v>32</v>
      </c>
    </row>
    <row r="1580" spans="1:11" x14ac:dyDescent="0.3">
      <c r="A1580" t="s">
        <v>11</v>
      </c>
      <c r="B1580" t="s">
        <v>26</v>
      </c>
      <c r="C1580" t="s">
        <v>135</v>
      </c>
      <c r="D1580" t="s">
        <v>763</v>
      </c>
      <c r="E1580" s="5">
        <v>45812.958333333343</v>
      </c>
      <c r="F1580">
        <v>19.000083</v>
      </c>
      <c r="G1580">
        <v>72.813992999999996</v>
      </c>
      <c r="H1580" t="s">
        <v>776</v>
      </c>
      <c r="I1580">
        <v>49</v>
      </c>
      <c r="J1580">
        <v>83</v>
      </c>
      <c r="K1580">
        <v>61</v>
      </c>
    </row>
    <row r="1581" spans="1:11" x14ac:dyDescent="0.3">
      <c r="A1581" t="s">
        <v>11</v>
      </c>
      <c r="B1581" t="s">
        <v>26</v>
      </c>
      <c r="C1581" t="s">
        <v>135</v>
      </c>
      <c r="D1581" t="s">
        <v>472</v>
      </c>
      <c r="E1581" s="5">
        <v>45812.958333333343</v>
      </c>
      <c r="F1581">
        <v>18.91</v>
      </c>
      <c r="G1581">
        <v>72.819999999999993</v>
      </c>
      <c r="H1581" t="s">
        <v>775</v>
      </c>
      <c r="I1581">
        <v>10</v>
      </c>
      <c r="J1581">
        <v>22</v>
      </c>
      <c r="K1581">
        <v>15</v>
      </c>
    </row>
    <row r="1582" spans="1:11" x14ac:dyDescent="0.3">
      <c r="A1582" t="s">
        <v>11</v>
      </c>
      <c r="B1582" t="s">
        <v>26</v>
      </c>
      <c r="C1582" t="s">
        <v>135</v>
      </c>
      <c r="D1582" t="s">
        <v>472</v>
      </c>
      <c r="E1582" s="5">
        <v>45812.958333333343</v>
      </c>
      <c r="F1582">
        <v>18.91</v>
      </c>
      <c r="G1582">
        <v>72.819999999999993</v>
      </c>
      <c r="H1582" t="s">
        <v>772</v>
      </c>
      <c r="I1582">
        <v>26</v>
      </c>
      <c r="J1582">
        <v>30</v>
      </c>
      <c r="K1582">
        <v>27</v>
      </c>
    </row>
    <row r="1583" spans="1:11" x14ac:dyDescent="0.3">
      <c r="A1583" t="s">
        <v>11</v>
      </c>
      <c r="B1583" t="s">
        <v>26</v>
      </c>
      <c r="C1583" t="s">
        <v>135</v>
      </c>
      <c r="D1583" t="s">
        <v>472</v>
      </c>
      <c r="E1583" s="5">
        <v>45812.958333333343</v>
      </c>
      <c r="F1583">
        <v>18.91</v>
      </c>
      <c r="G1583">
        <v>72.819999999999993</v>
      </c>
      <c r="H1583" t="s">
        <v>770</v>
      </c>
      <c r="I1583">
        <v>10</v>
      </c>
      <c r="J1583">
        <v>11</v>
      </c>
      <c r="K1583">
        <v>11</v>
      </c>
    </row>
    <row r="1584" spans="1:11" x14ac:dyDescent="0.3">
      <c r="A1584" t="s">
        <v>11</v>
      </c>
      <c r="B1584" t="s">
        <v>26</v>
      </c>
      <c r="C1584" t="s">
        <v>140</v>
      </c>
      <c r="D1584" t="s">
        <v>490</v>
      </c>
      <c r="E1584" s="5">
        <v>45812.958333333343</v>
      </c>
      <c r="F1584">
        <v>20.021502999999999</v>
      </c>
      <c r="G1584">
        <v>73.813844000000003</v>
      </c>
      <c r="H1584" t="s">
        <v>772</v>
      </c>
      <c r="I1584">
        <v>2</v>
      </c>
      <c r="J1584">
        <v>32</v>
      </c>
      <c r="K1584">
        <v>12</v>
      </c>
    </row>
    <row r="1585" spans="1:11" x14ac:dyDescent="0.3">
      <c r="A1585" t="s">
        <v>11</v>
      </c>
      <c r="B1585" t="s">
        <v>26</v>
      </c>
      <c r="C1585" t="s">
        <v>140</v>
      </c>
      <c r="D1585" t="s">
        <v>490</v>
      </c>
      <c r="E1585" s="5">
        <v>45812.958333333343</v>
      </c>
      <c r="F1585">
        <v>20.021502999999999</v>
      </c>
      <c r="G1585">
        <v>73.813844000000003</v>
      </c>
      <c r="H1585" t="s">
        <v>770</v>
      </c>
      <c r="I1585">
        <v>1</v>
      </c>
      <c r="J1585">
        <v>68</v>
      </c>
      <c r="K1585">
        <v>60</v>
      </c>
    </row>
    <row r="1586" spans="1:11" x14ac:dyDescent="0.3">
      <c r="A1586" t="s">
        <v>11</v>
      </c>
      <c r="B1586" t="s">
        <v>41</v>
      </c>
      <c r="C1586" t="s">
        <v>273</v>
      </c>
      <c r="D1586" t="s">
        <v>716</v>
      </c>
      <c r="E1586" s="5">
        <v>45812.958333333343</v>
      </c>
      <c r="F1586">
        <v>25.580341900000001</v>
      </c>
      <c r="G1586">
        <v>91.894257100000004</v>
      </c>
      <c r="H1586" t="s">
        <v>770</v>
      </c>
      <c r="I1586">
        <v>1</v>
      </c>
      <c r="J1586">
        <v>9</v>
      </c>
      <c r="K1586">
        <v>7</v>
      </c>
    </row>
    <row r="1587" spans="1:11" x14ac:dyDescent="0.3">
      <c r="A1587" t="s">
        <v>11</v>
      </c>
      <c r="B1587" t="s">
        <v>41</v>
      </c>
      <c r="C1587" t="s">
        <v>273</v>
      </c>
      <c r="D1587" t="s">
        <v>717</v>
      </c>
      <c r="E1587" s="5">
        <v>45812.958333333343</v>
      </c>
      <c r="F1587">
        <v>25.558599999999998</v>
      </c>
      <c r="G1587">
        <v>91.898499999999999</v>
      </c>
      <c r="H1587" t="s">
        <v>776</v>
      </c>
      <c r="I1587">
        <v>10</v>
      </c>
      <c r="J1587">
        <v>24</v>
      </c>
      <c r="K1587">
        <v>19</v>
      </c>
    </row>
    <row r="1588" spans="1:11" x14ac:dyDescent="0.3">
      <c r="A1588" t="s">
        <v>11</v>
      </c>
      <c r="B1588" t="s">
        <v>41</v>
      </c>
      <c r="C1588" t="s">
        <v>273</v>
      </c>
      <c r="D1588" t="s">
        <v>717</v>
      </c>
      <c r="E1588" s="5">
        <v>45812.958333333343</v>
      </c>
      <c r="F1588">
        <v>25.558599999999998</v>
      </c>
      <c r="G1588">
        <v>91.898499999999999</v>
      </c>
      <c r="H1588" t="s">
        <v>770</v>
      </c>
      <c r="I1588">
        <v>89</v>
      </c>
      <c r="J1588">
        <v>190</v>
      </c>
      <c r="K1588">
        <v>107</v>
      </c>
    </row>
    <row r="1589" spans="1:11" x14ac:dyDescent="0.3">
      <c r="A1589" t="s">
        <v>11</v>
      </c>
      <c r="B1589" t="s">
        <v>29</v>
      </c>
      <c r="C1589" t="s">
        <v>159</v>
      </c>
      <c r="D1589" t="s">
        <v>513</v>
      </c>
      <c r="E1589" s="5">
        <v>45812.958333333343</v>
      </c>
      <c r="F1589">
        <v>23.717634199999999</v>
      </c>
      <c r="G1589">
        <v>92.719284099999996</v>
      </c>
      <c r="H1589" t="s">
        <v>774</v>
      </c>
      <c r="I1589">
        <v>2</v>
      </c>
      <c r="J1589">
        <v>2</v>
      </c>
      <c r="K1589">
        <v>2</v>
      </c>
    </row>
    <row r="1590" spans="1:11" x14ac:dyDescent="0.3">
      <c r="A1590" t="s">
        <v>11</v>
      </c>
      <c r="B1590" t="s">
        <v>29</v>
      </c>
      <c r="C1590" t="s">
        <v>159</v>
      </c>
      <c r="D1590" t="s">
        <v>513</v>
      </c>
      <c r="E1590" s="5">
        <v>45812.958333333343</v>
      </c>
      <c r="F1590">
        <v>23.717634199999999</v>
      </c>
      <c r="G1590">
        <v>92.719284099999996</v>
      </c>
      <c r="H1590" t="s">
        <v>770</v>
      </c>
      <c r="I1590">
        <v>1</v>
      </c>
      <c r="J1590">
        <v>7</v>
      </c>
      <c r="K1590">
        <v>3</v>
      </c>
    </row>
    <row r="1591" spans="1:11" x14ac:dyDescent="0.3">
      <c r="A1591" t="s">
        <v>11</v>
      </c>
      <c r="B1591" t="s">
        <v>27</v>
      </c>
      <c r="C1591" t="s">
        <v>272</v>
      </c>
      <c r="D1591" t="s">
        <v>715</v>
      </c>
      <c r="E1591" s="5">
        <v>45812.958333333343</v>
      </c>
      <c r="F1591">
        <v>20.832874</v>
      </c>
      <c r="G1591">
        <v>85.104082000000005</v>
      </c>
      <c r="H1591" t="s">
        <v>773</v>
      </c>
      <c r="I1591">
        <v>3</v>
      </c>
      <c r="J1591">
        <v>5</v>
      </c>
      <c r="K1591">
        <v>4</v>
      </c>
    </row>
    <row r="1592" spans="1:11" x14ac:dyDescent="0.3">
      <c r="A1592" t="s">
        <v>11</v>
      </c>
      <c r="B1592" t="s">
        <v>27</v>
      </c>
      <c r="C1592" t="s">
        <v>272</v>
      </c>
      <c r="D1592" t="s">
        <v>715</v>
      </c>
      <c r="E1592" s="5">
        <v>45812.958333333343</v>
      </c>
      <c r="F1592">
        <v>20.832874</v>
      </c>
      <c r="G1592">
        <v>85.104082000000005</v>
      </c>
      <c r="H1592" t="s">
        <v>774</v>
      </c>
      <c r="I1592">
        <v>15</v>
      </c>
      <c r="J1592">
        <v>123</v>
      </c>
      <c r="K1592">
        <v>43</v>
      </c>
    </row>
    <row r="1593" spans="1:11" x14ac:dyDescent="0.3">
      <c r="A1593" t="s">
        <v>11</v>
      </c>
      <c r="B1593" t="s">
        <v>26</v>
      </c>
      <c r="C1593" t="s">
        <v>290</v>
      </c>
      <c r="D1593" t="s">
        <v>764</v>
      </c>
      <c r="E1593" s="5">
        <v>45812.958333333343</v>
      </c>
      <c r="F1593">
        <v>16.503799999999998</v>
      </c>
      <c r="G1593">
        <v>74.362300000000005</v>
      </c>
      <c r="H1593" t="s">
        <v>771</v>
      </c>
      <c r="I1593">
        <v>58</v>
      </c>
      <c r="J1593">
        <v>152</v>
      </c>
      <c r="K1593">
        <v>88</v>
      </c>
    </row>
    <row r="1594" spans="1:11" x14ac:dyDescent="0.3">
      <c r="A1594" t="s">
        <v>11</v>
      </c>
      <c r="B1594" t="s">
        <v>26</v>
      </c>
      <c r="C1594" t="s">
        <v>290</v>
      </c>
      <c r="D1594" t="s">
        <v>764</v>
      </c>
      <c r="E1594" s="5">
        <v>45812.958333333343</v>
      </c>
      <c r="F1594">
        <v>16.503799999999998</v>
      </c>
      <c r="G1594">
        <v>74.362300000000005</v>
      </c>
      <c r="H1594" t="s">
        <v>772</v>
      </c>
      <c r="I1594">
        <v>12</v>
      </c>
      <c r="J1594">
        <v>142</v>
      </c>
      <c r="K1594">
        <v>40</v>
      </c>
    </row>
    <row r="1595" spans="1:11" x14ac:dyDescent="0.3">
      <c r="A1595" t="s">
        <v>11</v>
      </c>
      <c r="B1595" t="s">
        <v>26</v>
      </c>
      <c r="C1595" t="s">
        <v>290</v>
      </c>
      <c r="D1595" t="s">
        <v>764</v>
      </c>
      <c r="E1595" s="5">
        <v>45812.958333333343</v>
      </c>
      <c r="F1595">
        <v>16.503799999999998</v>
      </c>
      <c r="G1595">
        <v>74.362300000000005</v>
      </c>
      <c r="H1595" t="s">
        <v>773</v>
      </c>
      <c r="I1595">
        <v>2</v>
      </c>
      <c r="J1595">
        <v>7</v>
      </c>
      <c r="K1595">
        <v>3</v>
      </c>
    </row>
    <row r="1596" spans="1:11" x14ac:dyDescent="0.3">
      <c r="A1596" t="s">
        <v>11</v>
      </c>
      <c r="B1596" t="s">
        <v>26</v>
      </c>
      <c r="C1596" t="s">
        <v>157</v>
      </c>
      <c r="D1596" t="s">
        <v>512</v>
      </c>
      <c r="E1596" s="5">
        <v>45812.958333333343</v>
      </c>
      <c r="F1596">
        <v>17.633626400000001</v>
      </c>
      <c r="G1596">
        <v>75.913249500000006</v>
      </c>
      <c r="H1596" t="s">
        <v>774</v>
      </c>
      <c r="I1596">
        <v>3</v>
      </c>
      <c r="J1596">
        <v>8</v>
      </c>
      <c r="K1596">
        <v>5</v>
      </c>
    </row>
    <row r="1597" spans="1:11" x14ac:dyDescent="0.3">
      <c r="A1597" t="s">
        <v>11</v>
      </c>
      <c r="B1597" t="s">
        <v>26</v>
      </c>
      <c r="C1597" t="s">
        <v>157</v>
      </c>
      <c r="D1597" t="s">
        <v>705</v>
      </c>
      <c r="E1597" s="5">
        <v>45812.958333333343</v>
      </c>
      <c r="F1597">
        <v>17.654389999999999</v>
      </c>
      <c r="G1597">
        <v>75.906490000000005</v>
      </c>
      <c r="H1597" t="s">
        <v>775</v>
      </c>
      <c r="I1597">
        <v>40</v>
      </c>
      <c r="J1597">
        <v>133</v>
      </c>
      <c r="K1597">
        <v>69</v>
      </c>
    </row>
    <row r="1598" spans="1:11" x14ac:dyDescent="0.3">
      <c r="A1598" t="s">
        <v>11</v>
      </c>
      <c r="B1598" t="s">
        <v>26</v>
      </c>
      <c r="C1598" t="s">
        <v>157</v>
      </c>
      <c r="D1598" t="s">
        <v>705</v>
      </c>
      <c r="E1598" s="5">
        <v>45812.958333333343</v>
      </c>
      <c r="F1598">
        <v>17.654389999999999</v>
      </c>
      <c r="G1598">
        <v>75.906490000000005</v>
      </c>
      <c r="H1598" t="s">
        <v>772</v>
      </c>
      <c r="I1598">
        <v>12</v>
      </c>
      <c r="J1598">
        <v>97</v>
      </c>
      <c r="K1598">
        <v>38</v>
      </c>
    </row>
    <row r="1599" spans="1:11" x14ac:dyDescent="0.3">
      <c r="A1599" t="s">
        <v>11</v>
      </c>
      <c r="B1599" t="s">
        <v>26</v>
      </c>
      <c r="C1599" t="s">
        <v>157</v>
      </c>
      <c r="D1599" t="s">
        <v>705</v>
      </c>
      <c r="E1599" s="5">
        <v>45812.958333333343</v>
      </c>
      <c r="F1599">
        <v>17.654389999999999</v>
      </c>
      <c r="G1599">
        <v>75.906490000000005</v>
      </c>
      <c r="H1599" t="s">
        <v>774</v>
      </c>
      <c r="I1599">
        <v>1</v>
      </c>
      <c r="J1599">
        <v>19</v>
      </c>
      <c r="K1599">
        <v>6</v>
      </c>
    </row>
    <row r="1600" spans="1:11" x14ac:dyDescent="0.3">
      <c r="A1600" t="s">
        <v>11</v>
      </c>
      <c r="B1600" t="s">
        <v>26</v>
      </c>
      <c r="C1600" t="s">
        <v>155</v>
      </c>
      <c r="D1600" t="s">
        <v>507</v>
      </c>
      <c r="E1600" s="5">
        <v>45812.958333333343</v>
      </c>
      <c r="F1600">
        <v>19.235581</v>
      </c>
      <c r="G1600">
        <v>73.159120999999999</v>
      </c>
      <c r="H1600" t="s">
        <v>771</v>
      </c>
      <c r="I1600">
        <v>74</v>
      </c>
      <c r="J1600">
        <v>205</v>
      </c>
      <c r="K1600">
        <v>127</v>
      </c>
    </row>
    <row r="1601" spans="1:11" x14ac:dyDescent="0.3">
      <c r="A1601" t="s">
        <v>11</v>
      </c>
      <c r="B1601" t="s">
        <v>26</v>
      </c>
      <c r="C1601" t="s">
        <v>267</v>
      </c>
      <c r="D1601" t="s">
        <v>710</v>
      </c>
      <c r="E1601" s="5">
        <v>45812.958333333343</v>
      </c>
      <c r="F1601">
        <v>19.445820999999999</v>
      </c>
      <c r="G1601">
        <v>72.798823100000007</v>
      </c>
      <c r="H1601" t="s">
        <v>772</v>
      </c>
      <c r="I1601">
        <v>9</v>
      </c>
      <c r="J1601">
        <v>73</v>
      </c>
      <c r="K1601">
        <v>31</v>
      </c>
    </row>
    <row r="1602" spans="1:11" x14ac:dyDescent="0.3">
      <c r="A1602" t="s">
        <v>11</v>
      </c>
      <c r="B1602" t="s">
        <v>26</v>
      </c>
      <c r="C1602" t="s">
        <v>267</v>
      </c>
      <c r="D1602" t="s">
        <v>710</v>
      </c>
      <c r="E1602" s="5">
        <v>45812.958333333343</v>
      </c>
      <c r="F1602">
        <v>19.445820999999999</v>
      </c>
      <c r="G1602">
        <v>72.798823100000007</v>
      </c>
      <c r="H1602" t="s">
        <v>773</v>
      </c>
      <c r="I1602">
        <v>1</v>
      </c>
      <c r="J1602">
        <v>3</v>
      </c>
      <c r="K1602">
        <v>3</v>
      </c>
    </row>
    <row r="1603" spans="1:11" x14ac:dyDescent="0.3">
      <c r="A1603" t="s">
        <v>11</v>
      </c>
      <c r="B1603" t="s">
        <v>26</v>
      </c>
      <c r="C1603" t="s">
        <v>267</v>
      </c>
      <c r="D1603" t="s">
        <v>710</v>
      </c>
      <c r="E1603" s="5">
        <v>45812.958333333343</v>
      </c>
      <c r="F1603">
        <v>19.445820999999999</v>
      </c>
      <c r="G1603">
        <v>72.798823100000007</v>
      </c>
      <c r="H1603" t="s">
        <v>776</v>
      </c>
      <c r="I1603">
        <v>12</v>
      </c>
      <c r="J1603">
        <v>120</v>
      </c>
      <c r="K1603">
        <v>36</v>
      </c>
    </row>
    <row r="1604" spans="1:11" x14ac:dyDescent="0.3">
      <c r="A1604" t="s">
        <v>11</v>
      </c>
      <c r="B1604" t="s">
        <v>28</v>
      </c>
      <c r="C1604" t="s">
        <v>156</v>
      </c>
      <c r="D1604" t="s">
        <v>508</v>
      </c>
      <c r="E1604" s="5">
        <v>45812.958333333343</v>
      </c>
      <c r="F1604">
        <v>24.820738899999998</v>
      </c>
      <c r="G1604">
        <v>93.942308499999996</v>
      </c>
      <c r="H1604" t="s">
        <v>775</v>
      </c>
    </row>
    <row r="1605" spans="1:11" x14ac:dyDescent="0.3">
      <c r="A1605" t="s">
        <v>11</v>
      </c>
      <c r="B1605" t="s">
        <v>28</v>
      </c>
      <c r="C1605" t="s">
        <v>156</v>
      </c>
      <c r="D1605" t="s">
        <v>508</v>
      </c>
      <c r="E1605" s="5">
        <v>45812.958333333343</v>
      </c>
      <c r="F1605">
        <v>24.820738899999998</v>
      </c>
      <c r="G1605">
        <v>93.942308499999996</v>
      </c>
      <c r="H1605" t="s">
        <v>774</v>
      </c>
    </row>
    <row r="1606" spans="1:11" x14ac:dyDescent="0.3">
      <c r="A1606" t="s">
        <v>11</v>
      </c>
      <c r="B1606" t="s">
        <v>26</v>
      </c>
      <c r="C1606" t="s">
        <v>137</v>
      </c>
      <c r="D1606" t="s">
        <v>477</v>
      </c>
      <c r="E1606" s="5">
        <v>45812.958333333343</v>
      </c>
      <c r="F1606">
        <v>19.113505100000001</v>
      </c>
      <c r="G1606">
        <v>73.008977999999999</v>
      </c>
      <c r="H1606" t="s">
        <v>775</v>
      </c>
    </row>
    <row r="1607" spans="1:11" x14ac:dyDescent="0.3">
      <c r="A1607" t="s">
        <v>11</v>
      </c>
      <c r="B1607" t="s">
        <v>26</v>
      </c>
      <c r="C1607" t="s">
        <v>137</v>
      </c>
      <c r="D1607" t="s">
        <v>477</v>
      </c>
      <c r="E1607" s="5">
        <v>45812.958333333343</v>
      </c>
      <c r="F1607">
        <v>19.113505100000001</v>
      </c>
      <c r="G1607">
        <v>73.008977999999999</v>
      </c>
      <c r="H1607" t="s">
        <v>776</v>
      </c>
      <c r="I1607">
        <v>36</v>
      </c>
      <c r="J1607">
        <v>57</v>
      </c>
      <c r="K1607">
        <v>38</v>
      </c>
    </row>
    <row r="1608" spans="1:11" x14ac:dyDescent="0.3">
      <c r="A1608" t="s">
        <v>11</v>
      </c>
      <c r="B1608" t="s">
        <v>26</v>
      </c>
      <c r="C1608" t="s">
        <v>137</v>
      </c>
      <c r="D1608" t="s">
        <v>479</v>
      </c>
      <c r="E1608" s="5">
        <v>45812.958333333343</v>
      </c>
      <c r="F1608">
        <v>19.025790000000001</v>
      </c>
      <c r="G1608">
        <v>73.102969999999999</v>
      </c>
      <c r="H1608" t="s">
        <v>772</v>
      </c>
      <c r="I1608">
        <v>20</v>
      </c>
      <c r="J1608">
        <v>78</v>
      </c>
      <c r="K1608">
        <v>48</v>
      </c>
    </row>
    <row r="1609" spans="1:11" x14ac:dyDescent="0.3">
      <c r="A1609" t="s">
        <v>11</v>
      </c>
      <c r="B1609" t="s">
        <v>26</v>
      </c>
      <c r="C1609" t="s">
        <v>137</v>
      </c>
      <c r="D1609" t="s">
        <v>480</v>
      </c>
      <c r="E1609" s="5">
        <v>45812.958333333343</v>
      </c>
      <c r="F1609">
        <v>19.062999999999999</v>
      </c>
      <c r="G1609">
        <v>73.120900000000006</v>
      </c>
      <c r="H1609" t="s">
        <v>774</v>
      </c>
      <c r="I1609">
        <v>1</v>
      </c>
      <c r="J1609">
        <v>2</v>
      </c>
      <c r="K1609">
        <v>1</v>
      </c>
    </row>
    <row r="1610" spans="1:11" x14ac:dyDescent="0.3">
      <c r="A1610" t="s">
        <v>11</v>
      </c>
      <c r="B1610" t="s">
        <v>26</v>
      </c>
      <c r="C1610" t="s">
        <v>142</v>
      </c>
      <c r="D1610" t="s">
        <v>493</v>
      </c>
      <c r="E1610" s="5">
        <v>45812.958333333343</v>
      </c>
      <c r="F1610">
        <v>19.265594</v>
      </c>
      <c r="G1610">
        <v>76.761463000000006</v>
      </c>
      <c r="H1610" t="s">
        <v>772</v>
      </c>
      <c r="I1610">
        <v>13</v>
      </c>
      <c r="J1610">
        <v>77</v>
      </c>
      <c r="K1610">
        <v>29</v>
      </c>
    </row>
    <row r="1611" spans="1:11" x14ac:dyDescent="0.3">
      <c r="A1611" t="s">
        <v>11</v>
      </c>
      <c r="B1611" t="s">
        <v>26</v>
      </c>
      <c r="C1611" t="s">
        <v>141</v>
      </c>
      <c r="D1611" t="s">
        <v>488</v>
      </c>
      <c r="E1611" s="5">
        <v>45812.958333333343</v>
      </c>
      <c r="F1611">
        <v>18.63673</v>
      </c>
      <c r="G1611">
        <v>73.824870000000004</v>
      </c>
      <c r="H1611" t="s">
        <v>770</v>
      </c>
      <c r="I1611">
        <v>1</v>
      </c>
      <c r="J1611">
        <v>86</v>
      </c>
      <c r="K1611">
        <v>68</v>
      </c>
    </row>
    <row r="1612" spans="1:11" x14ac:dyDescent="0.3">
      <c r="A1612" t="s">
        <v>11</v>
      </c>
      <c r="B1612" t="s">
        <v>26</v>
      </c>
      <c r="C1612" t="s">
        <v>141</v>
      </c>
      <c r="D1612" t="s">
        <v>489</v>
      </c>
      <c r="E1612" s="5">
        <v>45812.958333333343</v>
      </c>
      <c r="F1612">
        <v>18.590509999999998</v>
      </c>
      <c r="G1612">
        <v>73.77946</v>
      </c>
      <c r="H1612" t="s">
        <v>775</v>
      </c>
      <c r="I1612">
        <v>14</v>
      </c>
      <c r="J1612">
        <v>125</v>
      </c>
      <c r="K1612">
        <v>78</v>
      </c>
    </row>
    <row r="1613" spans="1:11" x14ac:dyDescent="0.3">
      <c r="A1613" t="s">
        <v>11</v>
      </c>
      <c r="B1613" t="s">
        <v>26</v>
      </c>
      <c r="C1613" t="s">
        <v>141</v>
      </c>
      <c r="D1613" t="s">
        <v>707</v>
      </c>
      <c r="E1613" s="5">
        <v>45812.958333333343</v>
      </c>
      <c r="F1613">
        <v>18.614767000000001</v>
      </c>
      <c r="G1613">
        <v>73.799515999999997</v>
      </c>
      <c r="H1613" t="s">
        <v>770</v>
      </c>
      <c r="I1613">
        <v>1</v>
      </c>
      <c r="J1613">
        <v>86</v>
      </c>
      <c r="K1613">
        <v>61</v>
      </c>
    </row>
    <row r="1614" spans="1:11" x14ac:dyDescent="0.3">
      <c r="A1614" t="s">
        <v>11</v>
      </c>
      <c r="B1614" t="s">
        <v>26</v>
      </c>
      <c r="C1614" t="s">
        <v>141</v>
      </c>
      <c r="D1614" t="s">
        <v>485</v>
      </c>
      <c r="E1614" s="5">
        <v>45812.958333333343</v>
      </c>
      <c r="F1614">
        <v>18.616318</v>
      </c>
      <c r="G1614">
        <v>73.765797000000006</v>
      </c>
      <c r="H1614" t="s">
        <v>775</v>
      </c>
      <c r="I1614">
        <v>43</v>
      </c>
      <c r="J1614">
        <v>181</v>
      </c>
      <c r="K1614">
        <v>89</v>
      </c>
    </row>
    <row r="1615" spans="1:11" x14ac:dyDescent="0.3">
      <c r="A1615" t="s">
        <v>11</v>
      </c>
      <c r="B1615" t="s">
        <v>26</v>
      </c>
      <c r="C1615" t="s">
        <v>158</v>
      </c>
      <c r="D1615" t="s">
        <v>706</v>
      </c>
      <c r="E1615" s="5">
        <v>45812.958333333343</v>
      </c>
      <c r="F1615">
        <v>19.267769999999999</v>
      </c>
      <c r="G1615">
        <v>72.971819999999994</v>
      </c>
      <c r="H1615" t="s">
        <v>774</v>
      </c>
      <c r="I1615">
        <v>2</v>
      </c>
      <c r="J1615">
        <v>31</v>
      </c>
      <c r="K1615">
        <v>8</v>
      </c>
    </row>
    <row r="1616" spans="1:11" x14ac:dyDescent="0.3">
      <c r="A1616" t="s">
        <v>11</v>
      </c>
      <c r="B1616" t="s">
        <v>26</v>
      </c>
      <c r="C1616" t="s">
        <v>158</v>
      </c>
      <c r="D1616" t="s">
        <v>510</v>
      </c>
      <c r="E1616" s="5">
        <v>45812.958333333343</v>
      </c>
      <c r="F1616">
        <v>19.222279</v>
      </c>
      <c r="G1616">
        <v>72.957978999999995</v>
      </c>
      <c r="H1616" t="s">
        <v>775</v>
      </c>
      <c r="I1616">
        <v>22</v>
      </c>
      <c r="J1616">
        <v>134</v>
      </c>
      <c r="K1616">
        <v>58</v>
      </c>
    </row>
    <row r="1617" spans="1:11" x14ac:dyDescent="0.3">
      <c r="A1617" t="s">
        <v>11</v>
      </c>
      <c r="B1617" t="s">
        <v>26</v>
      </c>
      <c r="C1617" t="s">
        <v>158</v>
      </c>
      <c r="D1617" t="s">
        <v>510</v>
      </c>
      <c r="E1617" s="5">
        <v>45812.958333333343</v>
      </c>
      <c r="F1617">
        <v>19.222279</v>
      </c>
      <c r="G1617">
        <v>72.957978999999995</v>
      </c>
      <c r="H1617" t="s">
        <v>773</v>
      </c>
      <c r="I1617">
        <v>4</v>
      </c>
      <c r="J1617">
        <v>8</v>
      </c>
      <c r="K1617">
        <v>6</v>
      </c>
    </row>
    <row r="1618" spans="1:11" x14ac:dyDescent="0.3">
      <c r="A1618" t="s">
        <v>11</v>
      </c>
      <c r="B1618" t="s">
        <v>26</v>
      </c>
      <c r="C1618" t="s">
        <v>158</v>
      </c>
      <c r="D1618" t="s">
        <v>510</v>
      </c>
      <c r="E1618" s="5">
        <v>45812.958333333343</v>
      </c>
      <c r="F1618">
        <v>19.222279</v>
      </c>
      <c r="G1618">
        <v>72.957978999999995</v>
      </c>
      <c r="H1618" t="s">
        <v>770</v>
      </c>
      <c r="I1618">
        <v>2</v>
      </c>
      <c r="J1618">
        <v>190</v>
      </c>
      <c r="K1618">
        <v>75</v>
      </c>
    </row>
    <row r="1619" spans="1:11" x14ac:dyDescent="0.3">
      <c r="A1619" t="s">
        <v>11</v>
      </c>
      <c r="B1619" t="s">
        <v>26</v>
      </c>
      <c r="C1619" t="s">
        <v>136</v>
      </c>
      <c r="D1619" t="s">
        <v>476</v>
      </c>
      <c r="E1619" s="5">
        <v>45812.958333333343</v>
      </c>
      <c r="F1619">
        <v>18.454450000000001</v>
      </c>
      <c r="G1619">
        <v>73.854155000000006</v>
      </c>
      <c r="H1619" t="s">
        <v>774</v>
      </c>
      <c r="I1619">
        <v>2</v>
      </c>
      <c r="J1619">
        <v>8</v>
      </c>
      <c r="K1619">
        <v>7</v>
      </c>
    </row>
    <row r="1620" spans="1:11" x14ac:dyDescent="0.3">
      <c r="A1620" t="s">
        <v>11</v>
      </c>
      <c r="B1620" t="s">
        <v>26</v>
      </c>
      <c r="C1620" t="s">
        <v>136</v>
      </c>
      <c r="D1620" t="s">
        <v>476</v>
      </c>
      <c r="E1620" s="5">
        <v>45812.958333333343</v>
      </c>
      <c r="F1620">
        <v>18.454450000000001</v>
      </c>
      <c r="G1620">
        <v>73.854155000000006</v>
      </c>
      <c r="H1620" t="s">
        <v>776</v>
      </c>
      <c r="I1620">
        <v>18</v>
      </c>
      <c r="J1620">
        <v>74</v>
      </c>
      <c r="K1620">
        <v>48</v>
      </c>
    </row>
    <row r="1621" spans="1:11" x14ac:dyDescent="0.3">
      <c r="A1621" t="s">
        <v>11</v>
      </c>
      <c r="B1621" t="s">
        <v>26</v>
      </c>
      <c r="C1621" t="s">
        <v>136</v>
      </c>
      <c r="D1621" t="s">
        <v>476</v>
      </c>
      <c r="E1621" s="5">
        <v>45812.958333333343</v>
      </c>
      <c r="F1621">
        <v>18.454450000000001</v>
      </c>
      <c r="G1621">
        <v>73.854155000000006</v>
      </c>
      <c r="H1621" t="s">
        <v>770</v>
      </c>
      <c r="I1621">
        <v>44</v>
      </c>
      <c r="J1621">
        <v>87</v>
      </c>
      <c r="K1621">
        <v>70</v>
      </c>
    </row>
    <row r="1622" spans="1:11" x14ac:dyDescent="0.3">
      <c r="A1622" t="s">
        <v>11</v>
      </c>
      <c r="B1622" t="s">
        <v>26</v>
      </c>
      <c r="C1622" t="s">
        <v>136</v>
      </c>
      <c r="D1622" t="s">
        <v>486</v>
      </c>
      <c r="E1622" s="5">
        <v>45812.958333333343</v>
      </c>
      <c r="F1622">
        <v>18.536456999999999</v>
      </c>
      <c r="G1622">
        <v>73.805453999999997</v>
      </c>
      <c r="H1622" t="s">
        <v>776</v>
      </c>
      <c r="I1622">
        <v>14</v>
      </c>
      <c r="J1622">
        <v>35</v>
      </c>
      <c r="K1622">
        <v>22</v>
      </c>
    </row>
    <row r="1623" spans="1:11" x14ac:dyDescent="0.3">
      <c r="A1623" t="s">
        <v>11</v>
      </c>
      <c r="B1623" t="s">
        <v>26</v>
      </c>
      <c r="C1623" t="s">
        <v>136</v>
      </c>
      <c r="D1623" t="s">
        <v>708</v>
      </c>
      <c r="E1623" s="5">
        <v>45812.958333333343</v>
      </c>
      <c r="F1623">
        <v>18.501174299999999</v>
      </c>
      <c r="G1623">
        <v>73.816552700000003</v>
      </c>
      <c r="H1623" t="s">
        <v>776</v>
      </c>
      <c r="I1623">
        <v>17</v>
      </c>
      <c r="J1623">
        <v>17</v>
      </c>
      <c r="K1623">
        <v>17</v>
      </c>
    </row>
    <row r="1624" spans="1:11" x14ac:dyDescent="0.3">
      <c r="A1624" t="s">
        <v>11</v>
      </c>
      <c r="B1624" t="s">
        <v>26</v>
      </c>
      <c r="C1624" t="s">
        <v>136</v>
      </c>
      <c r="D1624" t="s">
        <v>476</v>
      </c>
      <c r="E1624" s="5">
        <v>45812.958333333343</v>
      </c>
      <c r="F1624">
        <v>18.454450000000001</v>
      </c>
      <c r="G1624">
        <v>73.854155000000006</v>
      </c>
      <c r="H1624" t="s">
        <v>771</v>
      </c>
      <c r="I1624">
        <v>48</v>
      </c>
      <c r="J1624">
        <v>170</v>
      </c>
      <c r="K1624">
        <v>149</v>
      </c>
    </row>
    <row r="1625" spans="1:11" x14ac:dyDescent="0.3">
      <c r="A1625" t="s">
        <v>11</v>
      </c>
      <c r="B1625" t="s">
        <v>26</v>
      </c>
      <c r="C1625" t="s">
        <v>136</v>
      </c>
      <c r="D1625" t="s">
        <v>487</v>
      </c>
      <c r="E1625" s="5">
        <v>45812.958333333343</v>
      </c>
      <c r="F1625">
        <v>18.530085</v>
      </c>
      <c r="G1625">
        <v>73.849598</v>
      </c>
      <c r="H1625" t="s">
        <v>774</v>
      </c>
      <c r="I1625">
        <v>2</v>
      </c>
      <c r="J1625">
        <v>28</v>
      </c>
      <c r="K1625">
        <v>14</v>
      </c>
    </row>
    <row r="1626" spans="1:11" x14ac:dyDescent="0.3">
      <c r="A1626" t="s">
        <v>11</v>
      </c>
      <c r="B1626" t="s">
        <v>27</v>
      </c>
      <c r="C1626" t="s">
        <v>148</v>
      </c>
      <c r="D1626" t="s">
        <v>499</v>
      </c>
      <c r="E1626" s="5">
        <v>45812.958333333343</v>
      </c>
      <c r="F1626">
        <v>21.511610000000001</v>
      </c>
      <c r="G1626">
        <v>86.890879999999996</v>
      </c>
      <c r="H1626" t="s">
        <v>772</v>
      </c>
      <c r="I1626">
        <v>3</v>
      </c>
      <c r="J1626">
        <v>19</v>
      </c>
      <c r="K1626">
        <v>11</v>
      </c>
    </row>
    <row r="1627" spans="1:11" x14ac:dyDescent="0.3">
      <c r="A1627" t="s">
        <v>11</v>
      </c>
      <c r="B1627" t="s">
        <v>27</v>
      </c>
      <c r="C1627" t="s">
        <v>148</v>
      </c>
      <c r="D1627" t="s">
        <v>499</v>
      </c>
      <c r="E1627" s="5">
        <v>45812.958333333343</v>
      </c>
      <c r="F1627">
        <v>21.511610000000001</v>
      </c>
      <c r="G1627">
        <v>86.890879999999996</v>
      </c>
      <c r="H1627" t="s">
        <v>773</v>
      </c>
      <c r="I1627">
        <v>3</v>
      </c>
      <c r="J1627">
        <v>6</v>
      </c>
      <c r="K1627">
        <v>4</v>
      </c>
    </row>
    <row r="1628" spans="1:11" x14ac:dyDescent="0.3">
      <c r="A1628" t="s">
        <v>11</v>
      </c>
      <c r="B1628" t="s">
        <v>27</v>
      </c>
      <c r="C1628" t="s">
        <v>149</v>
      </c>
      <c r="D1628" t="s">
        <v>500</v>
      </c>
      <c r="E1628" s="5">
        <v>45812.958333333343</v>
      </c>
      <c r="F1628">
        <v>22.116605400000001</v>
      </c>
      <c r="G1628">
        <v>85.394554600000006</v>
      </c>
      <c r="H1628" t="s">
        <v>773</v>
      </c>
      <c r="I1628">
        <v>3</v>
      </c>
      <c r="J1628">
        <v>8</v>
      </c>
      <c r="K1628">
        <v>4</v>
      </c>
    </row>
    <row r="1629" spans="1:11" x14ac:dyDescent="0.3">
      <c r="A1629" t="s">
        <v>11</v>
      </c>
      <c r="B1629" t="s">
        <v>27</v>
      </c>
      <c r="C1629" t="s">
        <v>150</v>
      </c>
      <c r="D1629" t="s">
        <v>501</v>
      </c>
      <c r="E1629" s="5">
        <v>45812.958333333343</v>
      </c>
      <c r="F1629">
        <v>21.941841</v>
      </c>
      <c r="G1629">
        <v>86.728318000000002</v>
      </c>
      <c r="H1629" t="s">
        <v>775</v>
      </c>
      <c r="I1629">
        <v>41</v>
      </c>
      <c r="J1629">
        <v>112</v>
      </c>
      <c r="K1629">
        <v>81</v>
      </c>
    </row>
    <row r="1630" spans="1:11" x14ac:dyDescent="0.3">
      <c r="A1630" t="s">
        <v>11</v>
      </c>
      <c r="B1630" t="s">
        <v>27</v>
      </c>
      <c r="C1630" t="s">
        <v>150</v>
      </c>
      <c r="D1630" t="s">
        <v>501</v>
      </c>
      <c r="E1630" s="5">
        <v>45812.958333333343</v>
      </c>
      <c r="F1630">
        <v>21.941841</v>
      </c>
      <c r="G1630">
        <v>86.728318000000002</v>
      </c>
      <c r="H1630" t="s">
        <v>770</v>
      </c>
      <c r="I1630">
        <v>10</v>
      </c>
      <c r="J1630">
        <v>103</v>
      </c>
      <c r="K1630">
        <v>48</v>
      </c>
    </row>
    <row r="1631" spans="1:11" x14ac:dyDescent="0.3">
      <c r="A1631" t="s">
        <v>11</v>
      </c>
      <c r="B1631" t="s">
        <v>27</v>
      </c>
      <c r="C1631" t="s">
        <v>151</v>
      </c>
      <c r="D1631" t="s">
        <v>502</v>
      </c>
      <c r="E1631" s="5">
        <v>45812.958333333343</v>
      </c>
      <c r="F1631">
        <v>20.240790000000001</v>
      </c>
      <c r="G1631">
        <v>85.836783999999994</v>
      </c>
      <c r="H1631" t="s">
        <v>771</v>
      </c>
      <c r="I1631">
        <v>27</v>
      </c>
      <c r="J1631">
        <v>96</v>
      </c>
      <c r="K1631">
        <v>63</v>
      </c>
    </row>
    <row r="1632" spans="1:11" x14ac:dyDescent="0.3">
      <c r="A1632" t="s">
        <v>11</v>
      </c>
      <c r="B1632" t="s">
        <v>27</v>
      </c>
      <c r="C1632" t="s">
        <v>151</v>
      </c>
      <c r="D1632" t="s">
        <v>502</v>
      </c>
      <c r="E1632" s="5">
        <v>45812.958333333343</v>
      </c>
      <c r="F1632">
        <v>20.240790000000001</v>
      </c>
      <c r="G1632">
        <v>85.836783999999994</v>
      </c>
      <c r="H1632" t="s">
        <v>772</v>
      </c>
      <c r="I1632">
        <v>4</v>
      </c>
      <c r="J1632">
        <v>43</v>
      </c>
      <c r="K1632">
        <v>13</v>
      </c>
    </row>
    <row r="1633" spans="1:11" x14ac:dyDescent="0.3">
      <c r="A1633" t="s">
        <v>11</v>
      </c>
      <c r="B1633" t="s">
        <v>30</v>
      </c>
      <c r="C1633" t="s">
        <v>161</v>
      </c>
      <c r="D1633" t="s">
        <v>515</v>
      </c>
      <c r="E1633" s="5">
        <v>45812.958333333343</v>
      </c>
      <c r="F1633">
        <v>30.649961000000001</v>
      </c>
      <c r="G1633">
        <v>76.331441999999996</v>
      </c>
      <c r="H1633" t="s">
        <v>775</v>
      </c>
      <c r="I1633">
        <v>52</v>
      </c>
      <c r="J1633">
        <v>319</v>
      </c>
      <c r="K1633">
        <v>140</v>
      </c>
    </row>
    <row r="1634" spans="1:11" x14ac:dyDescent="0.3">
      <c r="A1634" t="s">
        <v>11</v>
      </c>
      <c r="B1634" t="s">
        <v>30</v>
      </c>
      <c r="C1634" t="s">
        <v>161</v>
      </c>
      <c r="D1634" t="s">
        <v>515</v>
      </c>
      <c r="E1634" s="5">
        <v>45812.958333333343</v>
      </c>
      <c r="F1634">
        <v>30.649961000000001</v>
      </c>
      <c r="G1634">
        <v>76.331441999999996</v>
      </c>
      <c r="H1634" t="s">
        <v>772</v>
      </c>
      <c r="I1634">
        <v>21</v>
      </c>
      <c r="J1634">
        <v>32</v>
      </c>
      <c r="K1634">
        <v>26</v>
      </c>
    </row>
    <row r="1635" spans="1:11" x14ac:dyDescent="0.3">
      <c r="A1635" t="s">
        <v>11</v>
      </c>
      <c r="B1635" t="s">
        <v>30</v>
      </c>
      <c r="C1635" t="s">
        <v>161</v>
      </c>
      <c r="D1635" t="s">
        <v>515</v>
      </c>
      <c r="E1635" s="5">
        <v>45812.958333333343</v>
      </c>
      <c r="F1635">
        <v>30.649961000000001</v>
      </c>
      <c r="G1635">
        <v>76.331441999999996</v>
      </c>
      <c r="H1635" t="s">
        <v>776</v>
      </c>
      <c r="I1635">
        <v>70</v>
      </c>
      <c r="J1635">
        <v>101</v>
      </c>
      <c r="K1635">
        <v>82</v>
      </c>
    </row>
    <row r="1636" spans="1:11" x14ac:dyDescent="0.3">
      <c r="A1636" t="s">
        <v>11</v>
      </c>
      <c r="B1636" t="s">
        <v>30</v>
      </c>
      <c r="C1636" t="s">
        <v>162</v>
      </c>
      <c r="D1636" t="s">
        <v>516</v>
      </c>
      <c r="E1636" s="5">
        <v>45812.958333333343</v>
      </c>
      <c r="F1636">
        <v>30.349388000000001</v>
      </c>
      <c r="G1636">
        <v>76.366641999999999</v>
      </c>
      <c r="H1636" t="s">
        <v>771</v>
      </c>
      <c r="I1636">
        <v>46</v>
      </c>
      <c r="J1636">
        <v>118</v>
      </c>
      <c r="K1636">
        <v>93</v>
      </c>
    </row>
    <row r="1637" spans="1:11" x14ac:dyDescent="0.3">
      <c r="A1637" t="s">
        <v>11</v>
      </c>
      <c r="B1637" t="s">
        <v>31</v>
      </c>
      <c r="C1637" t="s">
        <v>164</v>
      </c>
      <c r="D1637" t="s">
        <v>518</v>
      </c>
      <c r="E1637" s="5">
        <v>45812.958333333343</v>
      </c>
      <c r="F1637">
        <v>26.470859000000001</v>
      </c>
      <c r="G1637">
        <v>74.646593999999993</v>
      </c>
      <c r="H1637" t="s">
        <v>773</v>
      </c>
      <c r="I1637">
        <v>7</v>
      </c>
      <c r="J1637">
        <v>9</v>
      </c>
      <c r="K1637">
        <v>8</v>
      </c>
    </row>
    <row r="1638" spans="1:11" x14ac:dyDescent="0.3">
      <c r="A1638" t="s">
        <v>11</v>
      </c>
      <c r="B1638" t="s">
        <v>30</v>
      </c>
      <c r="C1638" t="s">
        <v>168</v>
      </c>
      <c r="D1638" t="s">
        <v>524</v>
      </c>
      <c r="E1638" s="5">
        <v>45812.958333333343</v>
      </c>
      <c r="F1638">
        <v>31.62</v>
      </c>
      <c r="G1638">
        <v>74.876512000000005</v>
      </c>
      <c r="H1638" t="s">
        <v>772</v>
      </c>
      <c r="I1638">
        <v>21</v>
      </c>
      <c r="J1638">
        <v>127</v>
      </c>
      <c r="K1638">
        <v>45</v>
      </c>
    </row>
    <row r="1639" spans="1:11" x14ac:dyDescent="0.3">
      <c r="A1639" t="s">
        <v>11</v>
      </c>
      <c r="B1639" t="s">
        <v>30</v>
      </c>
      <c r="C1639" t="s">
        <v>168</v>
      </c>
      <c r="D1639" t="s">
        <v>524</v>
      </c>
      <c r="E1639" s="5">
        <v>45812.958333333343</v>
      </c>
      <c r="F1639">
        <v>31.62</v>
      </c>
      <c r="G1639">
        <v>74.876512000000005</v>
      </c>
      <c r="H1639" t="s">
        <v>773</v>
      </c>
      <c r="I1639">
        <v>6</v>
      </c>
      <c r="J1639">
        <v>13</v>
      </c>
      <c r="K1639">
        <v>8</v>
      </c>
    </row>
    <row r="1640" spans="1:11" x14ac:dyDescent="0.3">
      <c r="A1640" t="s">
        <v>11</v>
      </c>
      <c r="B1640" t="s">
        <v>30</v>
      </c>
      <c r="C1640" t="s">
        <v>169</v>
      </c>
      <c r="D1640" t="s">
        <v>525</v>
      </c>
      <c r="E1640" s="5">
        <v>45812.958333333343</v>
      </c>
      <c r="F1640">
        <v>30.736056000000001</v>
      </c>
      <c r="G1640">
        <v>76.209693999999999</v>
      </c>
      <c r="H1640" t="s">
        <v>776</v>
      </c>
      <c r="I1640">
        <v>50</v>
      </c>
      <c r="J1640">
        <v>66</v>
      </c>
      <c r="K1640">
        <v>56</v>
      </c>
    </row>
    <row r="1641" spans="1:11" x14ac:dyDescent="0.3">
      <c r="A1641" t="s">
        <v>11</v>
      </c>
      <c r="B1641" t="s">
        <v>30</v>
      </c>
      <c r="C1641" t="s">
        <v>169</v>
      </c>
      <c r="D1641" t="s">
        <v>525</v>
      </c>
      <c r="E1641" s="5">
        <v>45812.958333333343</v>
      </c>
      <c r="F1641">
        <v>30.736056000000001</v>
      </c>
      <c r="G1641">
        <v>76.209693999999999</v>
      </c>
      <c r="H1641" t="s">
        <v>770</v>
      </c>
      <c r="I1641">
        <v>28</v>
      </c>
      <c r="J1641">
        <v>57</v>
      </c>
      <c r="K1641">
        <v>40</v>
      </c>
    </row>
    <row r="1642" spans="1:11" x14ac:dyDescent="0.3">
      <c r="A1642" t="s">
        <v>11</v>
      </c>
      <c r="B1642" t="s">
        <v>30</v>
      </c>
      <c r="C1642" t="s">
        <v>160</v>
      </c>
      <c r="D1642" t="s">
        <v>514</v>
      </c>
      <c r="E1642" s="5">
        <v>45812.958333333343</v>
      </c>
      <c r="F1642">
        <v>30.902799999999999</v>
      </c>
      <c r="G1642">
        <v>75.808599999999998</v>
      </c>
      <c r="H1642" t="s">
        <v>776</v>
      </c>
      <c r="I1642">
        <v>2</v>
      </c>
      <c r="J1642">
        <v>113</v>
      </c>
      <c r="K1642">
        <v>32</v>
      </c>
    </row>
    <row r="1643" spans="1:11" x14ac:dyDescent="0.3">
      <c r="A1643" t="s">
        <v>11</v>
      </c>
      <c r="B1643" t="s">
        <v>27</v>
      </c>
      <c r="C1643" t="s">
        <v>147</v>
      </c>
      <c r="D1643" t="s">
        <v>520</v>
      </c>
      <c r="E1643" s="5">
        <v>45812.958333333343</v>
      </c>
      <c r="F1643">
        <v>22.220832999999999</v>
      </c>
      <c r="G1643">
        <v>84.809443999999999</v>
      </c>
      <c r="H1643" t="s">
        <v>771</v>
      </c>
      <c r="I1643">
        <v>139</v>
      </c>
      <c r="J1643">
        <v>337</v>
      </c>
      <c r="K1643">
        <v>207</v>
      </c>
    </row>
    <row r="1644" spans="1:11" x14ac:dyDescent="0.3">
      <c r="A1644" t="s">
        <v>11</v>
      </c>
      <c r="B1644" t="s">
        <v>27</v>
      </c>
      <c r="C1644" t="s">
        <v>166</v>
      </c>
      <c r="D1644" t="s">
        <v>521</v>
      </c>
      <c r="E1644" s="5">
        <v>45812.958333333343</v>
      </c>
      <c r="F1644">
        <v>21.606864999999999</v>
      </c>
      <c r="G1644">
        <v>85.510537999999997</v>
      </c>
      <c r="H1644" t="s">
        <v>771</v>
      </c>
      <c r="I1644">
        <v>91</v>
      </c>
      <c r="J1644">
        <v>106</v>
      </c>
      <c r="K1644">
        <v>99</v>
      </c>
    </row>
    <row r="1645" spans="1:11" x14ac:dyDescent="0.3">
      <c r="A1645" t="s">
        <v>11</v>
      </c>
      <c r="B1645" t="s">
        <v>27</v>
      </c>
      <c r="C1645" t="s">
        <v>166</v>
      </c>
      <c r="D1645" t="s">
        <v>521</v>
      </c>
      <c r="E1645" s="5">
        <v>45812.958333333343</v>
      </c>
      <c r="F1645">
        <v>21.606864999999999</v>
      </c>
      <c r="G1645">
        <v>85.510537999999997</v>
      </c>
      <c r="H1645" t="s">
        <v>774</v>
      </c>
      <c r="I1645">
        <v>6</v>
      </c>
      <c r="J1645">
        <v>60</v>
      </c>
      <c r="K1645">
        <v>21</v>
      </c>
    </row>
    <row r="1646" spans="1:11" x14ac:dyDescent="0.3">
      <c r="A1646" t="s">
        <v>11</v>
      </c>
      <c r="B1646" t="s">
        <v>27</v>
      </c>
      <c r="C1646" t="s">
        <v>268</v>
      </c>
      <c r="D1646" t="s">
        <v>711</v>
      </c>
      <c r="E1646" s="5">
        <v>45812.958333333343</v>
      </c>
      <c r="F1646">
        <v>21.869985</v>
      </c>
      <c r="G1646">
        <v>85.167016000000004</v>
      </c>
      <c r="H1646" t="s">
        <v>775</v>
      </c>
      <c r="I1646">
        <v>74</v>
      </c>
      <c r="J1646">
        <v>114</v>
      </c>
      <c r="K1646">
        <v>89</v>
      </c>
    </row>
    <row r="1647" spans="1:11" x14ac:dyDescent="0.3">
      <c r="A1647" t="s">
        <v>11</v>
      </c>
      <c r="B1647" t="s">
        <v>27</v>
      </c>
      <c r="C1647" t="s">
        <v>268</v>
      </c>
      <c r="D1647" t="s">
        <v>711</v>
      </c>
      <c r="E1647" s="5">
        <v>45812.958333333343</v>
      </c>
      <c r="F1647">
        <v>21.869985</v>
      </c>
      <c r="G1647">
        <v>85.167016000000004</v>
      </c>
      <c r="H1647" t="s">
        <v>772</v>
      </c>
      <c r="I1647">
        <v>45</v>
      </c>
      <c r="J1647">
        <v>60</v>
      </c>
      <c r="K1647">
        <v>52</v>
      </c>
    </row>
    <row r="1648" spans="1:11" x14ac:dyDescent="0.3">
      <c r="A1648" t="s">
        <v>11</v>
      </c>
      <c r="B1648" t="s">
        <v>27</v>
      </c>
      <c r="C1648" t="s">
        <v>143</v>
      </c>
      <c r="D1648" t="s">
        <v>494</v>
      </c>
      <c r="E1648" s="5">
        <v>45812.958333333343</v>
      </c>
      <c r="F1648">
        <v>20.488910000000001</v>
      </c>
      <c r="G1648">
        <v>85.847679999999997</v>
      </c>
      <c r="H1648" t="s">
        <v>772</v>
      </c>
      <c r="I1648">
        <v>9</v>
      </c>
      <c r="J1648">
        <v>33</v>
      </c>
      <c r="K1648">
        <v>17</v>
      </c>
    </row>
    <row r="1649" spans="1:11" x14ac:dyDescent="0.3">
      <c r="A1649" t="s">
        <v>11</v>
      </c>
      <c r="B1649" t="s">
        <v>27</v>
      </c>
      <c r="C1649" t="s">
        <v>143</v>
      </c>
      <c r="D1649" t="s">
        <v>494</v>
      </c>
      <c r="E1649" s="5">
        <v>45812.958333333343</v>
      </c>
      <c r="F1649">
        <v>20.488910000000001</v>
      </c>
      <c r="G1649">
        <v>85.847679999999997</v>
      </c>
      <c r="H1649" t="s">
        <v>773</v>
      </c>
      <c r="I1649">
        <v>1</v>
      </c>
      <c r="J1649">
        <v>2</v>
      </c>
      <c r="K1649">
        <v>2</v>
      </c>
    </row>
    <row r="1650" spans="1:11" x14ac:dyDescent="0.3">
      <c r="A1650" t="s">
        <v>11</v>
      </c>
      <c r="B1650" t="s">
        <v>27</v>
      </c>
      <c r="C1650" t="s">
        <v>143</v>
      </c>
      <c r="D1650" t="s">
        <v>494</v>
      </c>
      <c r="E1650" s="5">
        <v>45812.958333333343</v>
      </c>
      <c r="F1650">
        <v>20.488910000000001</v>
      </c>
      <c r="G1650">
        <v>85.847679999999997</v>
      </c>
      <c r="H1650" t="s">
        <v>770</v>
      </c>
      <c r="I1650">
        <v>11</v>
      </c>
      <c r="J1650">
        <v>142</v>
      </c>
      <c r="K1650">
        <v>78</v>
      </c>
    </row>
    <row r="1651" spans="1:11" x14ac:dyDescent="0.3">
      <c r="A1651" t="s">
        <v>11</v>
      </c>
      <c r="B1651" t="s">
        <v>27</v>
      </c>
      <c r="C1651" t="s">
        <v>145</v>
      </c>
      <c r="D1651" t="s">
        <v>496</v>
      </c>
      <c r="E1651" s="5">
        <v>45812.958333333343</v>
      </c>
      <c r="F1651">
        <v>21.847279</v>
      </c>
      <c r="G1651">
        <v>85.416905</v>
      </c>
      <c r="H1651" t="s">
        <v>775</v>
      </c>
    </row>
    <row r="1652" spans="1:11" x14ac:dyDescent="0.3">
      <c r="A1652" t="s">
        <v>11</v>
      </c>
      <c r="B1652" t="s">
        <v>27</v>
      </c>
      <c r="C1652" t="s">
        <v>145</v>
      </c>
      <c r="D1652" t="s">
        <v>496</v>
      </c>
      <c r="E1652" s="5">
        <v>45812.958333333343</v>
      </c>
      <c r="F1652">
        <v>21.847279</v>
      </c>
      <c r="G1652">
        <v>85.416905</v>
      </c>
      <c r="H1652" t="s">
        <v>774</v>
      </c>
    </row>
    <row r="1653" spans="1:11" x14ac:dyDescent="0.3">
      <c r="A1653" t="s">
        <v>11</v>
      </c>
      <c r="B1653" t="s">
        <v>27</v>
      </c>
      <c r="C1653" t="s">
        <v>145</v>
      </c>
      <c r="D1653" t="s">
        <v>496</v>
      </c>
      <c r="E1653" s="5">
        <v>45812.958333333343</v>
      </c>
      <c r="F1653">
        <v>21.847279</v>
      </c>
      <c r="G1653">
        <v>85.416905</v>
      </c>
      <c r="H1653" t="s">
        <v>770</v>
      </c>
    </row>
    <row r="1654" spans="1:11" x14ac:dyDescent="0.3">
      <c r="A1654" t="s">
        <v>11</v>
      </c>
      <c r="B1654" t="s">
        <v>27</v>
      </c>
      <c r="C1654" t="s">
        <v>153</v>
      </c>
      <c r="D1654" t="s">
        <v>505</v>
      </c>
      <c r="E1654" s="5">
        <v>45812.958333333343</v>
      </c>
      <c r="F1654">
        <v>21.800499599999998</v>
      </c>
      <c r="G1654">
        <v>83.839697700000002</v>
      </c>
      <c r="H1654" t="s">
        <v>770</v>
      </c>
      <c r="I1654">
        <v>2</v>
      </c>
      <c r="J1654">
        <v>56</v>
      </c>
      <c r="K1654">
        <v>36</v>
      </c>
    </row>
    <row r="1655" spans="1:11" x14ac:dyDescent="0.3">
      <c r="A1655" t="s">
        <v>11</v>
      </c>
      <c r="B1655" t="s">
        <v>27</v>
      </c>
      <c r="C1655" t="s">
        <v>154</v>
      </c>
      <c r="D1655" t="s">
        <v>506</v>
      </c>
      <c r="E1655" s="5">
        <v>45812.958333333343</v>
      </c>
      <c r="F1655">
        <v>20.941849999999999</v>
      </c>
      <c r="G1655">
        <v>86.115099999999998</v>
      </c>
      <c r="H1655" t="s">
        <v>771</v>
      </c>
      <c r="I1655">
        <v>37</v>
      </c>
      <c r="J1655">
        <v>142</v>
      </c>
      <c r="K1655">
        <v>85</v>
      </c>
    </row>
    <row r="1656" spans="1:11" x14ac:dyDescent="0.3">
      <c r="A1656" t="s">
        <v>11</v>
      </c>
      <c r="B1656" t="s">
        <v>27</v>
      </c>
      <c r="C1656" t="s">
        <v>154</v>
      </c>
      <c r="D1656" t="s">
        <v>506</v>
      </c>
      <c r="E1656" s="5">
        <v>45812.958333333343</v>
      </c>
      <c r="F1656">
        <v>20.941849999999999</v>
      </c>
      <c r="G1656">
        <v>86.115099999999998</v>
      </c>
      <c r="H1656" t="s">
        <v>772</v>
      </c>
      <c r="I1656">
        <v>1</v>
      </c>
      <c r="J1656">
        <v>12</v>
      </c>
      <c r="K1656">
        <v>3</v>
      </c>
    </row>
    <row r="1657" spans="1:11" x14ac:dyDescent="0.3">
      <c r="A1657" t="s">
        <v>11</v>
      </c>
      <c r="B1657" t="s">
        <v>31</v>
      </c>
      <c r="C1657" t="s">
        <v>176</v>
      </c>
      <c r="D1657" t="s">
        <v>532</v>
      </c>
      <c r="E1657" s="5">
        <v>45812.958333333343</v>
      </c>
      <c r="F1657">
        <v>25.747299000000002</v>
      </c>
      <c r="G1657">
        <v>71.393989000000005</v>
      </c>
      <c r="H1657" t="s">
        <v>775</v>
      </c>
      <c r="I1657">
        <v>13</v>
      </c>
      <c r="J1657">
        <v>72</v>
      </c>
      <c r="K1657">
        <v>31</v>
      </c>
    </row>
    <row r="1658" spans="1:11" x14ac:dyDescent="0.3">
      <c r="A1658" t="s">
        <v>11</v>
      </c>
      <c r="B1658" t="s">
        <v>31</v>
      </c>
      <c r="C1658" t="s">
        <v>176</v>
      </c>
      <c r="D1658" t="s">
        <v>532</v>
      </c>
      <c r="E1658" s="5">
        <v>45812.958333333343</v>
      </c>
      <c r="F1658">
        <v>25.747299000000002</v>
      </c>
      <c r="G1658">
        <v>71.393989000000005</v>
      </c>
      <c r="H1658" t="s">
        <v>774</v>
      </c>
      <c r="I1658">
        <v>5</v>
      </c>
      <c r="J1658">
        <v>9</v>
      </c>
      <c r="K1658">
        <v>7</v>
      </c>
    </row>
    <row r="1659" spans="1:11" x14ac:dyDescent="0.3">
      <c r="A1659" t="s">
        <v>11</v>
      </c>
      <c r="B1659" t="s">
        <v>31</v>
      </c>
      <c r="C1659" t="s">
        <v>165</v>
      </c>
      <c r="D1659" t="s">
        <v>519</v>
      </c>
      <c r="E1659" s="5">
        <v>45812.958333333343</v>
      </c>
      <c r="F1659">
        <v>27.554793</v>
      </c>
      <c r="G1659">
        <v>76.611536000000001</v>
      </c>
      <c r="H1659" t="s">
        <v>771</v>
      </c>
      <c r="I1659">
        <v>50</v>
      </c>
      <c r="J1659">
        <v>107</v>
      </c>
      <c r="K1659">
        <v>74</v>
      </c>
    </row>
    <row r="1660" spans="1:11" x14ac:dyDescent="0.3">
      <c r="A1660" t="s">
        <v>11</v>
      </c>
      <c r="B1660" t="s">
        <v>31</v>
      </c>
      <c r="C1660" t="s">
        <v>165</v>
      </c>
      <c r="D1660" t="s">
        <v>519</v>
      </c>
      <c r="E1660" s="5">
        <v>45812.958333333343</v>
      </c>
      <c r="F1660">
        <v>27.554793</v>
      </c>
      <c r="G1660">
        <v>76.611536000000001</v>
      </c>
      <c r="H1660" t="s">
        <v>773</v>
      </c>
      <c r="I1660">
        <v>13</v>
      </c>
      <c r="J1660">
        <v>23</v>
      </c>
      <c r="K1660">
        <v>19</v>
      </c>
    </row>
    <row r="1661" spans="1:11" x14ac:dyDescent="0.3">
      <c r="A1661" t="s">
        <v>11</v>
      </c>
      <c r="B1661" t="s">
        <v>31</v>
      </c>
      <c r="C1661" t="s">
        <v>172</v>
      </c>
      <c r="D1661" t="s">
        <v>528</v>
      </c>
      <c r="E1661" s="5">
        <v>45812.958333333343</v>
      </c>
      <c r="F1661">
        <v>27.215415</v>
      </c>
      <c r="G1661">
        <v>77.50873</v>
      </c>
      <c r="H1661" t="s">
        <v>770</v>
      </c>
      <c r="I1661">
        <v>56</v>
      </c>
      <c r="J1661">
        <v>133</v>
      </c>
      <c r="K1661">
        <v>92</v>
      </c>
    </row>
    <row r="1662" spans="1:11" x14ac:dyDescent="0.3">
      <c r="A1662" t="s">
        <v>11</v>
      </c>
      <c r="B1662" t="s">
        <v>31</v>
      </c>
      <c r="C1662" t="s">
        <v>179</v>
      </c>
      <c r="D1662" t="s">
        <v>765</v>
      </c>
      <c r="E1662" s="5">
        <v>45812.958333333343</v>
      </c>
      <c r="F1662">
        <v>26.902909000000001</v>
      </c>
      <c r="G1662">
        <v>75.836858000000007</v>
      </c>
      <c r="H1662" t="s">
        <v>774</v>
      </c>
      <c r="I1662">
        <v>12</v>
      </c>
      <c r="J1662">
        <v>33</v>
      </c>
      <c r="K1662">
        <v>20</v>
      </c>
    </row>
    <row r="1663" spans="1:11" x14ac:dyDescent="0.3">
      <c r="A1663" t="s">
        <v>11</v>
      </c>
      <c r="B1663" t="s">
        <v>31</v>
      </c>
      <c r="C1663" t="s">
        <v>179</v>
      </c>
      <c r="D1663" t="s">
        <v>765</v>
      </c>
      <c r="E1663" s="5">
        <v>45812.958333333343</v>
      </c>
      <c r="F1663">
        <v>26.902909000000001</v>
      </c>
      <c r="G1663">
        <v>75.836858000000007</v>
      </c>
      <c r="H1663" t="s">
        <v>770</v>
      </c>
      <c r="I1663">
        <v>28</v>
      </c>
      <c r="J1663">
        <v>68</v>
      </c>
      <c r="K1663">
        <v>51</v>
      </c>
    </row>
    <row r="1664" spans="1:11" x14ac:dyDescent="0.3">
      <c r="A1664" t="s">
        <v>11</v>
      </c>
      <c r="B1664" t="s">
        <v>31</v>
      </c>
      <c r="C1664" t="s">
        <v>179</v>
      </c>
      <c r="D1664" t="s">
        <v>718</v>
      </c>
      <c r="E1664" s="5">
        <v>45812.958333333343</v>
      </c>
      <c r="F1664">
        <v>26.843698</v>
      </c>
      <c r="G1664">
        <v>75.766893999999994</v>
      </c>
      <c r="H1664" t="s">
        <v>775</v>
      </c>
      <c r="I1664">
        <v>23</v>
      </c>
      <c r="J1664">
        <v>318</v>
      </c>
      <c r="K1664">
        <v>75</v>
      </c>
    </row>
    <row r="1665" spans="1:11" x14ac:dyDescent="0.3">
      <c r="A1665" t="s">
        <v>11</v>
      </c>
      <c r="B1665" t="s">
        <v>31</v>
      </c>
      <c r="C1665" t="s">
        <v>179</v>
      </c>
      <c r="D1665" t="s">
        <v>718</v>
      </c>
      <c r="E1665" s="5">
        <v>45812.958333333343</v>
      </c>
      <c r="F1665">
        <v>26.843698</v>
      </c>
      <c r="G1665">
        <v>75.766893999999994</v>
      </c>
      <c r="H1665" t="s">
        <v>770</v>
      </c>
      <c r="I1665">
        <v>9</v>
      </c>
      <c r="J1665">
        <v>86</v>
      </c>
      <c r="K1665">
        <v>43</v>
      </c>
    </row>
    <row r="1666" spans="1:11" x14ac:dyDescent="0.3">
      <c r="A1666" t="s">
        <v>11</v>
      </c>
      <c r="B1666" t="s">
        <v>31</v>
      </c>
      <c r="C1666" t="s">
        <v>179</v>
      </c>
      <c r="D1666" t="s">
        <v>535</v>
      </c>
      <c r="E1666" s="5">
        <v>45812.958333333343</v>
      </c>
      <c r="F1666">
        <v>26.9164092</v>
      </c>
      <c r="G1666">
        <v>75.7994901</v>
      </c>
      <c r="H1666" t="s">
        <v>775</v>
      </c>
      <c r="I1666">
        <v>69</v>
      </c>
      <c r="J1666">
        <v>164</v>
      </c>
      <c r="K1666">
        <v>102</v>
      </c>
    </row>
    <row r="1667" spans="1:11" x14ac:dyDescent="0.3">
      <c r="A1667" t="s">
        <v>11</v>
      </c>
      <c r="B1667" t="s">
        <v>31</v>
      </c>
      <c r="C1667" t="s">
        <v>179</v>
      </c>
      <c r="D1667" t="s">
        <v>535</v>
      </c>
      <c r="E1667" s="5">
        <v>45812.958333333343</v>
      </c>
      <c r="F1667">
        <v>26.9164092</v>
      </c>
      <c r="G1667">
        <v>75.7994901</v>
      </c>
      <c r="H1667" t="s">
        <v>774</v>
      </c>
      <c r="I1667">
        <v>15</v>
      </c>
      <c r="J1667">
        <v>15</v>
      </c>
      <c r="K1667">
        <v>15</v>
      </c>
    </row>
    <row r="1668" spans="1:11" x14ac:dyDescent="0.3">
      <c r="A1668" t="s">
        <v>11</v>
      </c>
      <c r="B1668" t="s">
        <v>31</v>
      </c>
      <c r="C1668" t="s">
        <v>179</v>
      </c>
      <c r="D1668" t="s">
        <v>536</v>
      </c>
      <c r="E1668" s="5">
        <v>45812.958333333343</v>
      </c>
      <c r="F1668">
        <v>26.786681999999999</v>
      </c>
      <c r="G1668">
        <v>75.827928</v>
      </c>
      <c r="H1668" t="s">
        <v>770</v>
      </c>
      <c r="I1668">
        <v>4</v>
      </c>
      <c r="J1668">
        <v>193</v>
      </c>
      <c r="K1668">
        <v>101</v>
      </c>
    </row>
    <row r="1669" spans="1:11" x14ac:dyDescent="0.3">
      <c r="A1669" t="s">
        <v>11</v>
      </c>
      <c r="B1669" t="s">
        <v>31</v>
      </c>
      <c r="C1669" t="s">
        <v>179</v>
      </c>
      <c r="D1669" t="s">
        <v>537</v>
      </c>
      <c r="E1669" s="5">
        <v>45812.958333333343</v>
      </c>
      <c r="F1669">
        <v>26.960668999999999</v>
      </c>
      <c r="G1669">
        <v>75.771816999999999</v>
      </c>
      <c r="H1669" t="s">
        <v>773</v>
      </c>
      <c r="I1669">
        <v>3</v>
      </c>
      <c r="J1669">
        <v>9</v>
      </c>
      <c r="K1669">
        <v>5</v>
      </c>
    </row>
    <row r="1670" spans="1:11" x14ac:dyDescent="0.3">
      <c r="A1670" t="s">
        <v>11</v>
      </c>
      <c r="B1670" t="s">
        <v>31</v>
      </c>
      <c r="C1670" t="s">
        <v>179</v>
      </c>
      <c r="D1670" t="s">
        <v>537</v>
      </c>
      <c r="E1670" s="5">
        <v>45812.958333333343</v>
      </c>
      <c r="F1670">
        <v>26.960668999999999</v>
      </c>
      <c r="G1670">
        <v>75.771816999999999</v>
      </c>
      <c r="H1670" t="s">
        <v>774</v>
      </c>
      <c r="I1670">
        <v>4</v>
      </c>
      <c r="J1670">
        <v>93</v>
      </c>
      <c r="K1670">
        <v>20</v>
      </c>
    </row>
    <row r="1671" spans="1:11" x14ac:dyDescent="0.3">
      <c r="A1671" t="s">
        <v>11</v>
      </c>
      <c r="B1671" t="s">
        <v>31</v>
      </c>
      <c r="C1671" t="s">
        <v>179</v>
      </c>
      <c r="D1671" t="s">
        <v>537</v>
      </c>
      <c r="E1671" s="5">
        <v>45812.958333333343</v>
      </c>
      <c r="F1671">
        <v>26.960668999999999</v>
      </c>
      <c r="G1671">
        <v>75.771816999999999</v>
      </c>
      <c r="H1671" t="s">
        <v>776</v>
      </c>
      <c r="I1671">
        <v>16</v>
      </c>
      <c r="J1671">
        <v>164</v>
      </c>
      <c r="K1671">
        <v>45</v>
      </c>
    </row>
    <row r="1672" spans="1:11" x14ac:dyDescent="0.3">
      <c r="A1672" t="s">
        <v>11</v>
      </c>
      <c r="B1672" t="s">
        <v>31</v>
      </c>
      <c r="C1672" t="s">
        <v>179</v>
      </c>
      <c r="D1672" t="s">
        <v>537</v>
      </c>
      <c r="E1672" s="5">
        <v>45812.958333333343</v>
      </c>
      <c r="F1672">
        <v>26.960668999999999</v>
      </c>
      <c r="G1672">
        <v>75.771816999999999</v>
      </c>
      <c r="H1672" t="s">
        <v>770</v>
      </c>
      <c r="I1672">
        <v>2</v>
      </c>
      <c r="J1672">
        <v>105</v>
      </c>
      <c r="K1672">
        <v>57</v>
      </c>
    </row>
    <row r="1673" spans="1:11" x14ac:dyDescent="0.3">
      <c r="A1673" t="s">
        <v>11</v>
      </c>
      <c r="B1673" t="s">
        <v>31</v>
      </c>
      <c r="C1673" t="s">
        <v>179</v>
      </c>
      <c r="D1673" t="s">
        <v>538</v>
      </c>
      <c r="E1673" s="5">
        <v>45812.958333333343</v>
      </c>
      <c r="F1673">
        <v>26.950292900000001</v>
      </c>
      <c r="G1673">
        <v>75.730942999999996</v>
      </c>
      <c r="H1673" t="s">
        <v>774</v>
      </c>
      <c r="I1673">
        <v>14</v>
      </c>
      <c r="J1673">
        <v>30</v>
      </c>
      <c r="K1673">
        <v>20</v>
      </c>
    </row>
    <row r="1674" spans="1:11" x14ac:dyDescent="0.3">
      <c r="A1674" t="s">
        <v>11</v>
      </c>
      <c r="B1674" t="s">
        <v>31</v>
      </c>
      <c r="C1674" t="s">
        <v>179</v>
      </c>
      <c r="D1674" t="s">
        <v>538</v>
      </c>
      <c r="E1674" s="5">
        <v>45812.958333333343</v>
      </c>
      <c r="F1674">
        <v>26.950292900000001</v>
      </c>
      <c r="G1674">
        <v>75.730942999999996</v>
      </c>
      <c r="H1674" t="s">
        <v>776</v>
      </c>
      <c r="I1674">
        <v>32</v>
      </c>
      <c r="J1674">
        <v>75</v>
      </c>
      <c r="K1674">
        <v>55</v>
      </c>
    </row>
    <row r="1675" spans="1:11" x14ac:dyDescent="0.3">
      <c r="A1675" t="s">
        <v>11</v>
      </c>
      <c r="B1675" t="s">
        <v>31</v>
      </c>
      <c r="C1675" t="s">
        <v>180</v>
      </c>
      <c r="D1675" t="s">
        <v>539</v>
      </c>
      <c r="E1675" s="5">
        <v>45812.958333333343</v>
      </c>
      <c r="F1675">
        <v>26.912329</v>
      </c>
      <c r="G1675">
        <v>70.909167999999994</v>
      </c>
      <c r="H1675" t="s">
        <v>771</v>
      </c>
      <c r="I1675">
        <v>50</v>
      </c>
      <c r="J1675">
        <v>173</v>
      </c>
      <c r="K1675">
        <v>95</v>
      </c>
    </row>
    <row r="1676" spans="1:11" x14ac:dyDescent="0.3">
      <c r="A1676" t="s">
        <v>11</v>
      </c>
      <c r="B1676" t="s">
        <v>31</v>
      </c>
      <c r="C1676" t="s">
        <v>180</v>
      </c>
      <c r="D1676" t="s">
        <v>539</v>
      </c>
      <c r="E1676" s="5">
        <v>45812.958333333343</v>
      </c>
      <c r="F1676">
        <v>26.912329</v>
      </c>
      <c r="G1676">
        <v>70.909167999999994</v>
      </c>
      <c r="H1676" t="s">
        <v>772</v>
      </c>
      <c r="I1676">
        <v>2</v>
      </c>
      <c r="J1676">
        <v>89</v>
      </c>
      <c r="K1676">
        <v>19</v>
      </c>
    </row>
    <row r="1677" spans="1:11" x14ac:dyDescent="0.3">
      <c r="A1677" t="s">
        <v>11</v>
      </c>
      <c r="B1677" t="s">
        <v>31</v>
      </c>
      <c r="C1677" t="s">
        <v>181</v>
      </c>
      <c r="D1677" t="s">
        <v>540</v>
      </c>
      <c r="E1677" s="5">
        <v>45812.958333333343</v>
      </c>
      <c r="F1677">
        <v>25.344694</v>
      </c>
      <c r="G1677">
        <v>72.626208000000005</v>
      </c>
      <c r="H1677" t="s">
        <v>776</v>
      </c>
      <c r="I1677">
        <v>4</v>
      </c>
      <c r="J1677">
        <v>31</v>
      </c>
      <c r="K1677">
        <v>10</v>
      </c>
    </row>
    <row r="1678" spans="1:11" x14ac:dyDescent="0.3">
      <c r="A1678" t="s">
        <v>11</v>
      </c>
      <c r="B1678" t="s">
        <v>31</v>
      </c>
      <c r="C1678" t="s">
        <v>182</v>
      </c>
      <c r="D1678" t="s">
        <v>541</v>
      </c>
      <c r="E1678" s="5">
        <v>45812.958333333343</v>
      </c>
      <c r="F1678">
        <v>24.588397000000001</v>
      </c>
      <c r="G1678">
        <v>76.172781999999998</v>
      </c>
      <c r="H1678" t="s">
        <v>776</v>
      </c>
      <c r="I1678">
        <v>32</v>
      </c>
      <c r="J1678">
        <v>115</v>
      </c>
      <c r="K1678">
        <v>61</v>
      </c>
    </row>
    <row r="1679" spans="1:11" x14ac:dyDescent="0.3">
      <c r="A1679" t="s">
        <v>11</v>
      </c>
      <c r="B1679" t="s">
        <v>31</v>
      </c>
      <c r="C1679" t="s">
        <v>184</v>
      </c>
      <c r="D1679" t="s">
        <v>722</v>
      </c>
      <c r="E1679" s="5">
        <v>45812.958333333343</v>
      </c>
      <c r="F1679">
        <v>26.253384</v>
      </c>
      <c r="G1679">
        <v>72.976571000000007</v>
      </c>
      <c r="H1679" t="s">
        <v>772</v>
      </c>
      <c r="I1679">
        <v>3</v>
      </c>
      <c r="J1679">
        <v>98</v>
      </c>
      <c r="K1679">
        <v>35</v>
      </c>
    </row>
    <row r="1680" spans="1:11" x14ac:dyDescent="0.3">
      <c r="A1680" t="s">
        <v>11</v>
      </c>
      <c r="B1680" t="s">
        <v>31</v>
      </c>
      <c r="C1680" t="s">
        <v>184</v>
      </c>
      <c r="D1680" t="s">
        <v>722</v>
      </c>
      <c r="E1680" s="5">
        <v>45812.958333333343</v>
      </c>
      <c r="F1680">
        <v>26.253384</v>
      </c>
      <c r="G1680">
        <v>72.976571000000007</v>
      </c>
      <c r="H1680" t="s">
        <v>773</v>
      </c>
      <c r="I1680">
        <v>9</v>
      </c>
      <c r="J1680">
        <v>11</v>
      </c>
      <c r="K1680">
        <v>10</v>
      </c>
    </row>
    <row r="1681" spans="1:11" x14ac:dyDescent="0.3">
      <c r="A1681" t="s">
        <v>11</v>
      </c>
      <c r="B1681" t="s">
        <v>31</v>
      </c>
      <c r="C1681" t="s">
        <v>194</v>
      </c>
      <c r="D1681" t="s">
        <v>555</v>
      </c>
      <c r="E1681" s="5">
        <v>45812.958333333343</v>
      </c>
      <c r="F1681">
        <v>26.506177000000001</v>
      </c>
      <c r="G1681">
        <v>77.025988999999996</v>
      </c>
      <c r="H1681" t="s">
        <v>771</v>
      </c>
      <c r="I1681">
        <v>86</v>
      </c>
      <c r="J1681">
        <v>197</v>
      </c>
      <c r="K1681">
        <v>124</v>
      </c>
    </row>
    <row r="1682" spans="1:11" x14ac:dyDescent="0.3">
      <c r="A1682" t="s">
        <v>11</v>
      </c>
      <c r="B1682" t="s">
        <v>31</v>
      </c>
      <c r="C1682" t="s">
        <v>194</v>
      </c>
      <c r="D1682" t="s">
        <v>555</v>
      </c>
      <c r="E1682" s="5">
        <v>45812.958333333343</v>
      </c>
      <c r="F1682">
        <v>26.506177000000001</v>
      </c>
      <c r="G1682">
        <v>77.025988999999996</v>
      </c>
      <c r="H1682" t="s">
        <v>773</v>
      </c>
      <c r="I1682">
        <v>1</v>
      </c>
      <c r="J1682">
        <v>3</v>
      </c>
      <c r="K1682">
        <v>2</v>
      </c>
    </row>
    <row r="1683" spans="1:11" x14ac:dyDescent="0.3">
      <c r="A1683" t="s">
        <v>11</v>
      </c>
      <c r="B1683" t="s">
        <v>31</v>
      </c>
      <c r="C1683" t="s">
        <v>194</v>
      </c>
      <c r="D1683" t="s">
        <v>555</v>
      </c>
      <c r="E1683" s="5">
        <v>45812.958333333343</v>
      </c>
      <c r="F1683">
        <v>26.506177000000001</v>
      </c>
      <c r="G1683">
        <v>77.025988999999996</v>
      </c>
      <c r="H1683" t="s">
        <v>774</v>
      </c>
      <c r="I1683">
        <v>9</v>
      </c>
      <c r="J1683">
        <v>18</v>
      </c>
      <c r="K1683">
        <v>13</v>
      </c>
    </row>
    <row r="1684" spans="1:11" x14ac:dyDescent="0.3">
      <c r="A1684" t="s">
        <v>11</v>
      </c>
      <c r="B1684" t="s">
        <v>31</v>
      </c>
      <c r="C1684" t="s">
        <v>195</v>
      </c>
      <c r="D1684" t="s">
        <v>723</v>
      </c>
      <c r="E1684" s="5">
        <v>45812.958333333343</v>
      </c>
      <c r="F1684">
        <v>25.164090000000002</v>
      </c>
      <c r="G1684">
        <v>75.858136999999999</v>
      </c>
      <c r="H1684" t="s">
        <v>771</v>
      </c>
      <c r="I1684">
        <v>76</v>
      </c>
      <c r="J1684">
        <v>172</v>
      </c>
      <c r="K1684">
        <v>109</v>
      </c>
    </row>
    <row r="1685" spans="1:11" x14ac:dyDescent="0.3">
      <c r="A1685" t="s">
        <v>11</v>
      </c>
      <c r="B1685" t="s">
        <v>31</v>
      </c>
      <c r="C1685" t="s">
        <v>195</v>
      </c>
      <c r="D1685" t="s">
        <v>723</v>
      </c>
      <c r="E1685" s="5">
        <v>45812.958333333343</v>
      </c>
      <c r="F1685">
        <v>25.164090000000002</v>
      </c>
      <c r="G1685">
        <v>75.858136999999999</v>
      </c>
      <c r="H1685" t="s">
        <v>774</v>
      </c>
      <c r="I1685">
        <v>6</v>
      </c>
      <c r="J1685">
        <v>17</v>
      </c>
      <c r="K1685">
        <v>9</v>
      </c>
    </row>
    <row r="1686" spans="1:11" x14ac:dyDescent="0.3">
      <c r="A1686" t="s">
        <v>11</v>
      </c>
      <c r="B1686" t="s">
        <v>31</v>
      </c>
      <c r="C1686" t="s">
        <v>195</v>
      </c>
      <c r="D1686" t="s">
        <v>720</v>
      </c>
      <c r="E1686" s="5">
        <v>45812.958333333343</v>
      </c>
      <c r="F1686">
        <v>25.143889999999999</v>
      </c>
      <c r="G1686">
        <v>75.821256000000005</v>
      </c>
      <c r="H1686" t="s">
        <v>775</v>
      </c>
      <c r="I1686">
        <v>62</v>
      </c>
      <c r="J1686">
        <v>219</v>
      </c>
      <c r="K1686">
        <v>117</v>
      </c>
    </row>
    <row r="1687" spans="1:11" x14ac:dyDescent="0.3">
      <c r="A1687" t="s">
        <v>11</v>
      </c>
      <c r="B1687" t="s">
        <v>31</v>
      </c>
      <c r="C1687" t="s">
        <v>183</v>
      </c>
      <c r="D1687" t="s">
        <v>542</v>
      </c>
      <c r="E1687" s="5">
        <v>45812.958333333343</v>
      </c>
      <c r="F1687">
        <v>28.108988</v>
      </c>
      <c r="G1687">
        <v>75.386577000000003</v>
      </c>
      <c r="H1687" t="s">
        <v>775</v>
      </c>
      <c r="I1687">
        <v>26</v>
      </c>
      <c r="J1687">
        <v>96</v>
      </c>
      <c r="K1687">
        <v>57</v>
      </c>
    </row>
    <row r="1688" spans="1:11" x14ac:dyDescent="0.3">
      <c r="A1688" t="s">
        <v>11</v>
      </c>
      <c r="B1688" t="s">
        <v>31</v>
      </c>
      <c r="C1688" t="s">
        <v>183</v>
      </c>
      <c r="D1688" t="s">
        <v>542</v>
      </c>
      <c r="E1688" s="5">
        <v>45812.958333333343</v>
      </c>
      <c r="F1688">
        <v>28.108988</v>
      </c>
      <c r="G1688">
        <v>75.386577000000003</v>
      </c>
      <c r="H1688" t="s">
        <v>770</v>
      </c>
      <c r="I1688">
        <v>10</v>
      </c>
      <c r="J1688">
        <v>126</v>
      </c>
      <c r="K1688">
        <v>79</v>
      </c>
    </row>
    <row r="1689" spans="1:11" x14ac:dyDescent="0.3">
      <c r="A1689" t="s">
        <v>11</v>
      </c>
      <c r="B1689" t="s">
        <v>31</v>
      </c>
      <c r="C1689" t="s">
        <v>184</v>
      </c>
      <c r="D1689" t="s">
        <v>543</v>
      </c>
      <c r="E1689" s="5">
        <v>45812.958333333343</v>
      </c>
      <c r="F1689">
        <v>26.268249000000001</v>
      </c>
      <c r="G1689">
        <v>73.019385299999996</v>
      </c>
      <c r="H1689" t="s">
        <v>774</v>
      </c>
      <c r="I1689">
        <v>2</v>
      </c>
      <c r="J1689">
        <v>31</v>
      </c>
      <c r="K1689">
        <v>12</v>
      </c>
    </row>
    <row r="1690" spans="1:11" x14ac:dyDescent="0.3">
      <c r="A1690" t="s">
        <v>11</v>
      </c>
      <c r="B1690" t="s">
        <v>31</v>
      </c>
      <c r="C1690" t="s">
        <v>184</v>
      </c>
      <c r="D1690" t="s">
        <v>543</v>
      </c>
      <c r="E1690" s="5">
        <v>45812.958333333343</v>
      </c>
      <c r="F1690">
        <v>26.268249000000001</v>
      </c>
      <c r="G1690">
        <v>73.019385299999996</v>
      </c>
      <c r="H1690" t="s">
        <v>776</v>
      </c>
      <c r="I1690">
        <v>4</v>
      </c>
      <c r="J1690">
        <v>116</v>
      </c>
      <c r="K1690">
        <v>69</v>
      </c>
    </row>
    <row r="1691" spans="1:11" x14ac:dyDescent="0.3">
      <c r="A1691" t="s">
        <v>11</v>
      </c>
      <c r="B1691" t="s">
        <v>31</v>
      </c>
      <c r="C1691" t="s">
        <v>184</v>
      </c>
      <c r="D1691" t="s">
        <v>726</v>
      </c>
      <c r="E1691" s="5">
        <v>45812.958333333343</v>
      </c>
      <c r="F1691">
        <v>26.295809999999999</v>
      </c>
      <c r="G1691">
        <v>73.082283000000004</v>
      </c>
      <c r="H1691" t="s">
        <v>770</v>
      </c>
      <c r="I1691">
        <v>1</v>
      </c>
      <c r="J1691">
        <v>63</v>
      </c>
      <c r="K1691">
        <v>38</v>
      </c>
    </row>
    <row r="1692" spans="1:11" x14ac:dyDescent="0.3">
      <c r="A1692" t="s">
        <v>11</v>
      </c>
      <c r="B1692" t="s">
        <v>31</v>
      </c>
      <c r="C1692" t="s">
        <v>170</v>
      </c>
      <c r="D1692" t="s">
        <v>526</v>
      </c>
      <c r="E1692" s="5">
        <v>45812.958333333343</v>
      </c>
      <c r="F1692">
        <v>28.207266000000001</v>
      </c>
      <c r="G1692">
        <v>76.829265000000007</v>
      </c>
      <c r="H1692" t="s">
        <v>771</v>
      </c>
      <c r="I1692">
        <v>79</v>
      </c>
      <c r="J1692">
        <v>256</v>
      </c>
      <c r="K1692">
        <v>150</v>
      </c>
    </row>
    <row r="1693" spans="1:11" x14ac:dyDescent="0.3">
      <c r="A1693" t="s">
        <v>11</v>
      </c>
      <c r="B1693" t="s">
        <v>31</v>
      </c>
      <c r="C1693" t="s">
        <v>170</v>
      </c>
      <c r="D1693" t="s">
        <v>526</v>
      </c>
      <c r="E1693" s="5">
        <v>45812.958333333343</v>
      </c>
      <c r="F1693">
        <v>28.207266000000001</v>
      </c>
      <c r="G1693">
        <v>76.829265000000007</v>
      </c>
      <c r="H1693" t="s">
        <v>774</v>
      </c>
      <c r="I1693">
        <v>19</v>
      </c>
      <c r="J1693">
        <v>53</v>
      </c>
      <c r="K1693">
        <v>24</v>
      </c>
    </row>
    <row r="1694" spans="1:11" x14ac:dyDescent="0.3">
      <c r="A1694" t="s">
        <v>11</v>
      </c>
      <c r="B1694" t="s">
        <v>31</v>
      </c>
      <c r="C1694" t="s">
        <v>171</v>
      </c>
      <c r="D1694" t="s">
        <v>527</v>
      </c>
      <c r="E1694" s="5">
        <v>45812.958333333343</v>
      </c>
      <c r="F1694">
        <v>28.018792000000001</v>
      </c>
      <c r="G1694">
        <v>73.292658000000003</v>
      </c>
      <c r="H1694" t="s">
        <v>775</v>
      </c>
      <c r="I1694">
        <v>25</v>
      </c>
      <c r="J1694">
        <v>258</v>
      </c>
      <c r="K1694">
        <v>74</v>
      </c>
    </row>
    <row r="1695" spans="1:11" x14ac:dyDescent="0.3">
      <c r="A1695" t="s">
        <v>11</v>
      </c>
      <c r="B1695" t="s">
        <v>31</v>
      </c>
      <c r="C1695" t="s">
        <v>192</v>
      </c>
      <c r="D1695" t="s">
        <v>553</v>
      </c>
      <c r="E1695" s="5">
        <v>45812.958333333343</v>
      </c>
      <c r="F1695">
        <v>26.895551999999999</v>
      </c>
      <c r="G1695">
        <v>76.334753000000006</v>
      </c>
      <c r="H1695" t="s">
        <v>772</v>
      </c>
      <c r="I1695">
        <v>11</v>
      </c>
      <c r="J1695">
        <v>104</v>
      </c>
      <c r="K1695">
        <v>57</v>
      </c>
    </row>
    <row r="1696" spans="1:11" x14ac:dyDescent="0.3">
      <c r="A1696" t="s">
        <v>11</v>
      </c>
      <c r="B1696" t="s">
        <v>31</v>
      </c>
      <c r="C1696" t="s">
        <v>193</v>
      </c>
      <c r="D1696" t="s">
        <v>554</v>
      </c>
      <c r="E1696" s="5">
        <v>45812.958333333343</v>
      </c>
      <c r="F1696">
        <v>26.699556999999999</v>
      </c>
      <c r="G1696">
        <v>77.898881000000003</v>
      </c>
      <c r="H1696" t="s">
        <v>772</v>
      </c>
      <c r="I1696">
        <v>9</v>
      </c>
      <c r="J1696">
        <v>59</v>
      </c>
      <c r="K1696">
        <v>29</v>
      </c>
    </row>
    <row r="1697" spans="1:11" x14ac:dyDescent="0.3">
      <c r="A1697" t="s">
        <v>11</v>
      </c>
      <c r="B1697" t="s">
        <v>31</v>
      </c>
      <c r="C1697" t="s">
        <v>193</v>
      </c>
      <c r="D1697" t="s">
        <v>554</v>
      </c>
      <c r="E1697" s="5">
        <v>45812.958333333343</v>
      </c>
      <c r="F1697">
        <v>26.699556999999999</v>
      </c>
      <c r="G1697">
        <v>77.898881000000003</v>
      </c>
      <c r="H1697" t="s">
        <v>770</v>
      </c>
      <c r="I1697">
        <v>17</v>
      </c>
      <c r="J1697">
        <v>98</v>
      </c>
      <c r="K1697">
        <v>67</v>
      </c>
    </row>
    <row r="1698" spans="1:11" x14ac:dyDescent="0.3">
      <c r="A1698" t="s">
        <v>11</v>
      </c>
      <c r="B1698" t="s">
        <v>31</v>
      </c>
      <c r="C1698" t="s">
        <v>178</v>
      </c>
      <c r="D1698" t="s">
        <v>534</v>
      </c>
      <c r="E1698" s="5">
        <v>45812.958333333343</v>
      </c>
      <c r="F1698">
        <v>25.435773999999999</v>
      </c>
      <c r="G1698">
        <v>75.644272000000001</v>
      </c>
      <c r="H1698" t="s">
        <v>770</v>
      </c>
      <c r="I1698">
        <v>5</v>
      </c>
      <c r="J1698">
        <v>102</v>
      </c>
      <c r="K1698">
        <v>70</v>
      </c>
    </row>
    <row r="1699" spans="1:11" x14ac:dyDescent="0.3">
      <c r="A1699" t="s">
        <v>11</v>
      </c>
      <c r="B1699" t="s">
        <v>31</v>
      </c>
      <c r="C1699" t="s">
        <v>196</v>
      </c>
      <c r="D1699" t="s">
        <v>557</v>
      </c>
      <c r="E1699" s="5">
        <v>45812.958333333343</v>
      </c>
      <c r="F1699">
        <v>28.296139</v>
      </c>
      <c r="G1699">
        <v>74.961696000000003</v>
      </c>
      <c r="H1699" t="s">
        <v>775</v>
      </c>
      <c r="I1699">
        <v>28</v>
      </c>
      <c r="J1699">
        <v>131</v>
      </c>
      <c r="K1699">
        <v>58</v>
      </c>
    </row>
    <row r="1700" spans="1:11" x14ac:dyDescent="0.3">
      <c r="A1700" t="s">
        <v>11</v>
      </c>
      <c r="B1700" t="s">
        <v>31</v>
      </c>
      <c r="C1700" t="s">
        <v>196</v>
      </c>
      <c r="D1700" t="s">
        <v>557</v>
      </c>
      <c r="E1700" s="5">
        <v>45812.958333333343</v>
      </c>
      <c r="F1700">
        <v>28.296139</v>
      </c>
      <c r="G1700">
        <v>74.961696000000003</v>
      </c>
      <c r="H1700" t="s">
        <v>772</v>
      </c>
      <c r="I1700">
        <v>6</v>
      </c>
      <c r="J1700">
        <v>50</v>
      </c>
      <c r="K1700">
        <v>25</v>
      </c>
    </row>
    <row r="1701" spans="1:11" x14ac:dyDescent="0.3">
      <c r="A1701" t="s">
        <v>11</v>
      </c>
      <c r="B1701" t="s">
        <v>31</v>
      </c>
      <c r="C1701" t="s">
        <v>190</v>
      </c>
      <c r="D1701" t="s">
        <v>551</v>
      </c>
      <c r="E1701" s="5">
        <v>45812.958333333343</v>
      </c>
      <c r="F1701">
        <v>23.837789000000001</v>
      </c>
      <c r="G1701">
        <v>73.714926000000006</v>
      </c>
      <c r="H1701" t="s">
        <v>771</v>
      </c>
      <c r="I1701">
        <v>62</v>
      </c>
      <c r="J1701">
        <v>130</v>
      </c>
      <c r="K1701">
        <v>93</v>
      </c>
    </row>
    <row r="1702" spans="1:11" x14ac:dyDescent="0.3">
      <c r="A1702" t="s">
        <v>11</v>
      </c>
      <c r="B1702" t="s">
        <v>31</v>
      </c>
      <c r="C1702" t="s">
        <v>179</v>
      </c>
      <c r="D1702" t="s">
        <v>765</v>
      </c>
      <c r="E1702" s="5">
        <v>45812.958333333343</v>
      </c>
      <c r="F1702">
        <v>26.902909000000001</v>
      </c>
      <c r="G1702">
        <v>75.836858000000007</v>
      </c>
      <c r="H1702" t="s">
        <v>771</v>
      </c>
      <c r="I1702">
        <v>74</v>
      </c>
      <c r="J1702">
        <v>119</v>
      </c>
      <c r="K1702">
        <v>95</v>
      </c>
    </row>
    <row r="1703" spans="1:11" x14ac:dyDescent="0.3">
      <c r="A1703" t="s">
        <v>11</v>
      </c>
      <c r="B1703" t="s">
        <v>31</v>
      </c>
      <c r="C1703" t="s">
        <v>170</v>
      </c>
      <c r="D1703" t="s">
        <v>719</v>
      </c>
      <c r="E1703" s="5">
        <v>45812.958333333343</v>
      </c>
      <c r="F1703">
        <v>28.194908999999999</v>
      </c>
      <c r="G1703">
        <v>76.862296000000001</v>
      </c>
      <c r="H1703" t="s">
        <v>775</v>
      </c>
    </row>
    <row r="1704" spans="1:11" x14ac:dyDescent="0.3">
      <c r="A1704" t="s">
        <v>11</v>
      </c>
      <c r="B1704" t="s">
        <v>31</v>
      </c>
      <c r="C1704" t="s">
        <v>170</v>
      </c>
      <c r="D1704" t="s">
        <v>719</v>
      </c>
      <c r="E1704" s="5">
        <v>45812.958333333343</v>
      </c>
      <c r="F1704">
        <v>28.194908999999999</v>
      </c>
      <c r="G1704">
        <v>76.862296000000001</v>
      </c>
      <c r="H1704" t="s">
        <v>772</v>
      </c>
    </row>
    <row r="1705" spans="1:11" x14ac:dyDescent="0.3">
      <c r="A1705" t="s">
        <v>11</v>
      </c>
      <c r="B1705" t="s">
        <v>31</v>
      </c>
      <c r="C1705" t="s">
        <v>275</v>
      </c>
      <c r="D1705" t="s">
        <v>724</v>
      </c>
      <c r="E1705" s="5">
        <v>45812.958333333343</v>
      </c>
      <c r="F1705">
        <v>24.885261</v>
      </c>
      <c r="G1705">
        <v>72.857549000000006</v>
      </c>
      <c r="H1705" t="s">
        <v>775</v>
      </c>
      <c r="I1705">
        <v>25</v>
      </c>
      <c r="J1705">
        <v>126</v>
      </c>
      <c r="K1705">
        <v>42</v>
      </c>
    </row>
    <row r="1706" spans="1:11" x14ac:dyDescent="0.3">
      <c r="A1706" t="s">
        <v>11</v>
      </c>
      <c r="B1706" t="s">
        <v>31</v>
      </c>
      <c r="C1706" t="s">
        <v>275</v>
      </c>
      <c r="D1706" t="s">
        <v>724</v>
      </c>
      <c r="E1706" s="5">
        <v>45812.958333333343</v>
      </c>
      <c r="F1706">
        <v>24.885261</v>
      </c>
      <c r="G1706">
        <v>72.857549000000006</v>
      </c>
      <c r="H1706" t="s">
        <v>773</v>
      </c>
      <c r="I1706">
        <v>1</v>
      </c>
      <c r="J1706">
        <v>3</v>
      </c>
      <c r="K1706">
        <v>2</v>
      </c>
    </row>
    <row r="1707" spans="1:11" x14ac:dyDescent="0.3">
      <c r="A1707" t="s">
        <v>11</v>
      </c>
      <c r="B1707" t="s">
        <v>31</v>
      </c>
      <c r="C1707" t="s">
        <v>206</v>
      </c>
      <c r="D1707" t="s">
        <v>570</v>
      </c>
      <c r="E1707" s="5">
        <v>45812.958333333343</v>
      </c>
      <c r="F1707">
        <v>29.931623999999999</v>
      </c>
      <c r="G1707">
        <v>73.864510999999993</v>
      </c>
      <c r="H1707" t="s">
        <v>771</v>
      </c>
      <c r="I1707">
        <v>117</v>
      </c>
      <c r="J1707">
        <v>446</v>
      </c>
      <c r="K1707">
        <v>188</v>
      </c>
    </row>
    <row r="1708" spans="1:11" x14ac:dyDescent="0.3">
      <c r="A1708" t="s">
        <v>11</v>
      </c>
      <c r="B1708" t="s">
        <v>31</v>
      </c>
      <c r="C1708" t="s">
        <v>207</v>
      </c>
      <c r="D1708" t="s">
        <v>571</v>
      </c>
      <c r="E1708" s="5">
        <v>45812.958333333343</v>
      </c>
      <c r="F1708">
        <v>26.159932999999999</v>
      </c>
      <c r="G1708">
        <v>75.780517000000003</v>
      </c>
      <c r="H1708" t="s">
        <v>775</v>
      </c>
      <c r="I1708">
        <v>32</v>
      </c>
      <c r="J1708">
        <v>311</v>
      </c>
      <c r="K1708">
        <v>85</v>
      </c>
    </row>
    <row r="1709" spans="1:11" x14ac:dyDescent="0.3">
      <c r="A1709" t="s">
        <v>11</v>
      </c>
      <c r="B1709" t="s">
        <v>31</v>
      </c>
      <c r="C1709" t="s">
        <v>207</v>
      </c>
      <c r="D1709" t="s">
        <v>571</v>
      </c>
      <c r="E1709" s="5">
        <v>45812.958333333343</v>
      </c>
      <c r="F1709">
        <v>26.159932999999999</v>
      </c>
      <c r="G1709">
        <v>75.780517000000003</v>
      </c>
      <c r="H1709" t="s">
        <v>771</v>
      </c>
      <c r="I1709">
        <v>74</v>
      </c>
      <c r="J1709">
        <v>500</v>
      </c>
      <c r="K1709">
        <v>194</v>
      </c>
    </row>
    <row r="1710" spans="1:11" x14ac:dyDescent="0.3">
      <c r="A1710" t="s">
        <v>11</v>
      </c>
      <c r="B1710" t="s">
        <v>31</v>
      </c>
      <c r="C1710" t="s">
        <v>207</v>
      </c>
      <c r="D1710" t="s">
        <v>571</v>
      </c>
      <c r="E1710" s="5">
        <v>45812.958333333343</v>
      </c>
      <c r="F1710">
        <v>26.159932999999999</v>
      </c>
      <c r="G1710">
        <v>75.780517000000003</v>
      </c>
      <c r="H1710" t="s">
        <v>772</v>
      </c>
      <c r="I1710">
        <v>9</v>
      </c>
      <c r="J1710">
        <v>124</v>
      </c>
      <c r="K1710">
        <v>43</v>
      </c>
    </row>
    <row r="1711" spans="1:11" x14ac:dyDescent="0.3">
      <c r="A1711" t="s">
        <v>11</v>
      </c>
      <c r="B1711" t="s">
        <v>33</v>
      </c>
      <c r="C1711" t="s">
        <v>204</v>
      </c>
      <c r="D1711" t="s">
        <v>568</v>
      </c>
      <c r="E1711" s="5">
        <v>45812.958333333343</v>
      </c>
      <c r="F1711">
        <v>10.358535</v>
      </c>
      <c r="G1711">
        <v>77.984320999999994</v>
      </c>
      <c r="H1711" t="s">
        <v>774</v>
      </c>
      <c r="I1711">
        <v>19</v>
      </c>
      <c r="J1711">
        <v>23</v>
      </c>
      <c r="K1711">
        <v>21</v>
      </c>
    </row>
    <row r="1712" spans="1:11" x14ac:dyDescent="0.3">
      <c r="A1712" t="s">
        <v>11</v>
      </c>
      <c r="B1712" t="s">
        <v>33</v>
      </c>
      <c r="C1712" t="s">
        <v>278</v>
      </c>
      <c r="D1712" t="s">
        <v>728</v>
      </c>
      <c r="E1712" s="5">
        <v>45812.958333333343</v>
      </c>
      <c r="F1712">
        <v>13.412699999999999</v>
      </c>
      <c r="G1712">
        <v>80.108099999999993</v>
      </c>
      <c r="H1712" t="s">
        <v>773</v>
      </c>
      <c r="I1712">
        <v>3</v>
      </c>
      <c r="J1712">
        <v>7</v>
      </c>
      <c r="K1712">
        <v>5</v>
      </c>
    </row>
    <row r="1713" spans="1:11" x14ac:dyDescent="0.3">
      <c r="A1713" t="s">
        <v>11</v>
      </c>
      <c r="B1713" t="s">
        <v>33</v>
      </c>
      <c r="C1713" t="s">
        <v>205</v>
      </c>
      <c r="D1713" t="s">
        <v>569</v>
      </c>
      <c r="E1713" s="5">
        <v>45812.958333333343</v>
      </c>
      <c r="F1713">
        <v>12.746998</v>
      </c>
      <c r="G1713">
        <v>77.813811000000001</v>
      </c>
      <c r="H1713" t="s">
        <v>776</v>
      </c>
      <c r="I1713">
        <v>17</v>
      </c>
      <c r="J1713">
        <v>21</v>
      </c>
      <c r="K1713">
        <v>20</v>
      </c>
    </row>
    <row r="1714" spans="1:11" x14ac:dyDescent="0.3">
      <c r="A1714" t="s">
        <v>11</v>
      </c>
      <c r="B1714" t="s">
        <v>33</v>
      </c>
      <c r="C1714" t="s">
        <v>197</v>
      </c>
      <c r="D1714" t="s">
        <v>558</v>
      </c>
      <c r="E1714" s="5">
        <v>45812.958333333343</v>
      </c>
      <c r="F1714">
        <v>12.9533</v>
      </c>
      <c r="G1714">
        <v>80.235699999999994</v>
      </c>
      <c r="H1714" t="s">
        <v>774</v>
      </c>
      <c r="I1714">
        <v>4</v>
      </c>
      <c r="J1714">
        <v>8</v>
      </c>
      <c r="K1714">
        <v>5</v>
      </c>
    </row>
    <row r="1715" spans="1:11" x14ac:dyDescent="0.3">
      <c r="A1715" t="s">
        <v>11</v>
      </c>
      <c r="B1715" t="s">
        <v>33</v>
      </c>
      <c r="C1715" t="s">
        <v>197</v>
      </c>
      <c r="D1715" t="s">
        <v>558</v>
      </c>
      <c r="E1715" s="5">
        <v>45812.958333333343</v>
      </c>
      <c r="F1715">
        <v>12.9533</v>
      </c>
      <c r="G1715">
        <v>80.235699999999994</v>
      </c>
      <c r="H1715" t="s">
        <v>770</v>
      </c>
      <c r="I1715">
        <v>15</v>
      </c>
      <c r="J1715">
        <v>19</v>
      </c>
      <c r="K1715">
        <v>17</v>
      </c>
    </row>
    <row r="1716" spans="1:11" x14ac:dyDescent="0.3">
      <c r="A1716" t="s">
        <v>11</v>
      </c>
      <c r="B1716" t="s">
        <v>33</v>
      </c>
      <c r="C1716" t="s">
        <v>197</v>
      </c>
      <c r="D1716" t="s">
        <v>560</v>
      </c>
      <c r="E1716" s="5">
        <v>45812.958333333343</v>
      </c>
      <c r="F1716">
        <v>13.005218899999999</v>
      </c>
      <c r="G1716">
        <v>80.239812499999999</v>
      </c>
      <c r="H1716" t="s">
        <v>775</v>
      </c>
      <c r="I1716">
        <v>21</v>
      </c>
      <c r="J1716">
        <v>50</v>
      </c>
      <c r="K1716">
        <v>33</v>
      </c>
    </row>
    <row r="1717" spans="1:11" x14ac:dyDescent="0.3">
      <c r="A1717" t="s">
        <v>11</v>
      </c>
      <c r="B1717" t="s">
        <v>33</v>
      </c>
      <c r="C1717" t="s">
        <v>197</v>
      </c>
      <c r="D1717" t="s">
        <v>560</v>
      </c>
      <c r="E1717" s="5">
        <v>45812.958333333343</v>
      </c>
      <c r="F1717">
        <v>13.005218899999999</v>
      </c>
      <c r="G1717">
        <v>80.239812499999999</v>
      </c>
      <c r="H1717" t="s">
        <v>774</v>
      </c>
      <c r="I1717">
        <v>8</v>
      </c>
      <c r="J1717">
        <v>10</v>
      </c>
      <c r="K1717">
        <v>9</v>
      </c>
    </row>
    <row r="1718" spans="1:11" x14ac:dyDescent="0.3">
      <c r="A1718" t="s">
        <v>11</v>
      </c>
      <c r="B1718" t="s">
        <v>31</v>
      </c>
      <c r="C1718" t="s">
        <v>195</v>
      </c>
      <c r="D1718" t="s">
        <v>720</v>
      </c>
      <c r="E1718" s="5">
        <v>45812.958333333343</v>
      </c>
      <c r="F1718">
        <v>25.143889999999999</v>
      </c>
      <c r="G1718">
        <v>75.821256000000005</v>
      </c>
      <c r="H1718" t="s">
        <v>774</v>
      </c>
      <c r="I1718">
        <v>8</v>
      </c>
      <c r="J1718">
        <v>31</v>
      </c>
      <c r="K1718">
        <v>12</v>
      </c>
    </row>
    <row r="1719" spans="1:11" x14ac:dyDescent="0.3">
      <c r="A1719" t="s">
        <v>11</v>
      </c>
      <c r="B1719" t="s">
        <v>31</v>
      </c>
      <c r="C1719" t="s">
        <v>195</v>
      </c>
      <c r="D1719" t="s">
        <v>720</v>
      </c>
      <c r="E1719" s="5">
        <v>45812.958333333343</v>
      </c>
      <c r="F1719">
        <v>25.143889999999999</v>
      </c>
      <c r="G1719">
        <v>75.821256000000005</v>
      </c>
      <c r="H1719" t="s">
        <v>776</v>
      </c>
      <c r="I1719">
        <v>20</v>
      </c>
      <c r="J1719">
        <v>102</v>
      </c>
      <c r="K1719">
        <v>70</v>
      </c>
    </row>
    <row r="1720" spans="1:11" x14ac:dyDescent="0.3">
      <c r="A1720" t="s">
        <v>11</v>
      </c>
      <c r="B1720" t="s">
        <v>31</v>
      </c>
      <c r="C1720" t="s">
        <v>195</v>
      </c>
      <c r="D1720" t="s">
        <v>720</v>
      </c>
      <c r="E1720" s="5">
        <v>45812.958333333343</v>
      </c>
      <c r="F1720">
        <v>25.143889999999999</v>
      </c>
      <c r="G1720">
        <v>75.821256000000005</v>
      </c>
      <c r="H1720" t="s">
        <v>770</v>
      </c>
      <c r="I1720">
        <v>13</v>
      </c>
      <c r="J1720">
        <v>67</v>
      </c>
      <c r="K1720">
        <v>41</v>
      </c>
    </row>
    <row r="1721" spans="1:11" x14ac:dyDescent="0.3">
      <c r="A1721" t="s">
        <v>11</v>
      </c>
      <c r="B1721" t="s">
        <v>31</v>
      </c>
      <c r="C1721" t="s">
        <v>187</v>
      </c>
      <c r="D1721" t="s">
        <v>548</v>
      </c>
      <c r="E1721" s="5">
        <v>45812.958333333343</v>
      </c>
      <c r="F1721">
        <v>25.036359999999998</v>
      </c>
      <c r="G1721">
        <v>73.883501999999993</v>
      </c>
      <c r="H1721" t="s">
        <v>771</v>
      </c>
      <c r="I1721">
        <v>35</v>
      </c>
      <c r="J1721">
        <v>117</v>
      </c>
      <c r="K1721">
        <v>63</v>
      </c>
    </row>
    <row r="1722" spans="1:11" x14ac:dyDescent="0.3">
      <c r="A1722" t="s">
        <v>11</v>
      </c>
      <c r="B1722" t="s">
        <v>31</v>
      </c>
      <c r="C1722" t="s">
        <v>188</v>
      </c>
      <c r="D1722" t="s">
        <v>549</v>
      </c>
      <c r="E1722" s="5">
        <v>45812.958333333343</v>
      </c>
      <c r="F1722">
        <v>26.031442999999999</v>
      </c>
      <c r="G1722">
        <v>76.359326999999993</v>
      </c>
      <c r="H1722" t="s">
        <v>774</v>
      </c>
      <c r="I1722">
        <v>6</v>
      </c>
      <c r="J1722">
        <v>20</v>
      </c>
      <c r="K1722">
        <v>9</v>
      </c>
    </row>
    <row r="1723" spans="1:11" x14ac:dyDescent="0.3">
      <c r="A1723" t="s">
        <v>11</v>
      </c>
      <c r="B1723" t="s">
        <v>31</v>
      </c>
      <c r="C1723" t="s">
        <v>188</v>
      </c>
      <c r="D1723" t="s">
        <v>549</v>
      </c>
      <c r="E1723" s="5">
        <v>45812.958333333343</v>
      </c>
      <c r="F1723">
        <v>26.031442999999999</v>
      </c>
      <c r="G1723">
        <v>76.359326999999993</v>
      </c>
      <c r="H1723" t="s">
        <v>776</v>
      </c>
      <c r="I1723">
        <v>44</v>
      </c>
      <c r="J1723">
        <v>117</v>
      </c>
      <c r="K1723">
        <v>70</v>
      </c>
    </row>
    <row r="1724" spans="1:11" x14ac:dyDescent="0.3">
      <c r="A1724" t="s">
        <v>11</v>
      </c>
      <c r="B1724" t="s">
        <v>31</v>
      </c>
      <c r="C1724" t="s">
        <v>189</v>
      </c>
      <c r="D1724" t="s">
        <v>550</v>
      </c>
      <c r="E1724" s="5">
        <v>45812.958333333343</v>
      </c>
      <c r="F1724">
        <v>27.608912</v>
      </c>
      <c r="G1724">
        <v>75.153301999999996</v>
      </c>
      <c r="H1724" t="s">
        <v>771</v>
      </c>
      <c r="I1724">
        <v>94</v>
      </c>
      <c r="J1724">
        <v>429</v>
      </c>
      <c r="K1724">
        <v>199</v>
      </c>
    </row>
    <row r="1725" spans="1:11" x14ac:dyDescent="0.3">
      <c r="A1725" t="s">
        <v>11</v>
      </c>
      <c r="B1725" t="s">
        <v>33</v>
      </c>
      <c r="C1725" t="s">
        <v>197</v>
      </c>
      <c r="D1725" t="s">
        <v>575</v>
      </c>
      <c r="E1725" s="5">
        <v>45812.958333333343</v>
      </c>
      <c r="F1725">
        <v>13.164543999999999</v>
      </c>
      <c r="G1725">
        <v>80.26285</v>
      </c>
      <c r="H1725" t="s">
        <v>773</v>
      </c>
      <c r="I1725">
        <v>6</v>
      </c>
      <c r="J1725">
        <v>7</v>
      </c>
      <c r="K1725">
        <v>7</v>
      </c>
    </row>
    <row r="1726" spans="1:11" x14ac:dyDescent="0.3">
      <c r="A1726" t="s">
        <v>11</v>
      </c>
      <c r="B1726" t="s">
        <v>33</v>
      </c>
      <c r="C1726" t="s">
        <v>197</v>
      </c>
      <c r="D1726" t="s">
        <v>558</v>
      </c>
      <c r="E1726" s="5">
        <v>45812.958333333343</v>
      </c>
      <c r="F1726">
        <v>12.9533</v>
      </c>
      <c r="G1726">
        <v>80.235699999999994</v>
      </c>
      <c r="H1726" t="s">
        <v>771</v>
      </c>
      <c r="I1726">
        <v>30</v>
      </c>
      <c r="J1726">
        <v>146</v>
      </c>
      <c r="K1726">
        <v>58</v>
      </c>
    </row>
    <row r="1727" spans="1:11" x14ac:dyDescent="0.3">
      <c r="A1727" t="s">
        <v>11</v>
      </c>
      <c r="B1727" t="s">
        <v>33</v>
      </c>
      <c r="C1727" t="s">
        <v>197</v>
      </c>
      <c r="D1727" t="s">
        <v>573</v>
      </c>
      <c r="E1727" s="5">
        <v>45812.958333333343</v>
      </c>
      <c r="F1727">
        <v>13.127800000000001</v>
      </c>
      <c r="G1727">
        <v>80.264200000000002</v>
      </c>
      <c r="H1727" t="s">
        <v>770</v>
      </c>
      <c r="I1727">
        <v>6</v>
      </c>
      <c r="J1727">
        <v>29</v>
      </c>
      <c r="K1727">
        <v>13</v>
      </c>
    </row>
    <row r="1728" spans="1:11" x14ac:dyDescent="0.3">
      <c r="A1728" t="s">
        <v>11</v>
      </c>
      <c r="B1728" t="s">
        <v>33</v>
      </c>
      <c r="C1728" t="s">
        <v>197</v>
      </c>
      <c r="D1728" t="s">
        <v>574</v>
      </c>
      <c r="E1728" s="5">
        <v>45812.958333333343</v>
      </c>
      <c r="F1728">
        <v>13.1662</v>
      </c>
      <c r="G1728">
        <v>80.258399999999995</v>
      </c>
      <c r="H1728" t="s">
        <v>773</v>
      </c>
      <c r="I1728">
        <v>1</v>
      </c>
      <c r="J1728">
        <v>1</v>
      </c>
      <c r="K1728">
        <v>1</v>
      </c>
    </row>
    <row r="1729" spans="1:11" x14ac:dyDescent="0.3">
      <c r="A1729" t="s">
        <v>11</v>
      </c>
      <c r="B1729" t="s">
        <v>33</v>
      </c>
      <c r="C1729" t="s">
        <v>277</v>
      </c>
      <c r="D1729" t="s">
        <v>727</v>
      </c>
      <c r="E1729" s="5">
        <v>45812.958333333343</v>
      </c>
      <c r="F1729">
        <v>12.877731600000001</v>
      </c>
      <c r="G1729">
        <v>80.083480699999996</v>
      </c>
      <c r="H1729" t="s">
        <v>775</v>
      </c>
    </row>
    <row r="1730" spans="1:11" x14ac:dyDescent="0.3">
      <c r="A1730" t="s">
        <v>11</v>
      </c>
      <c r="B1730" t="s">
        <v>33</v>
      </c>
      <c r="C1730" t="s">
        <v>277</v>
      </c>
      <c r="D1730" t="s">
        <v>727</v>
      </c>
      <c r="E1730" s="5">
        <v>45812.958333333343</v>
      </c>
      <c r="F1730">
        <v>12.877731600000001</v>
      </c>
      <c r="G1730">
        <v>80.083480699999996</v>
      </c>
      <c r="H1730" t="s">
        <v>774</v>
      </c>
    </row>
    <row r="1731" spans="1:11" x14ac:dyDescent="0.3">
      <c r="A1731" t="s">
        <v>11</v>
      </c>
      <c r="B1731" t="s">
        <v>33</v>
      </c>
      <c r="C1731" t="s">
        <v>208</v>
      </c>
      <c r="D1731" t="s">
        <v>735</v>
      </c>
      <c r="E1731" s="5">
        <v>45812.958333333343</v>
      </c>
      <c r="F1731">
        <v>11.763768300000001</v>
      </c>
      <c r="G1731">
        <v>79.749983499999999</v>
      </c>
      <c r="H1731" t="s">
        <v>772</v>
      </c>
      <c r="I1731">
        <v>9</v>
      </c>
      <c r="J1731">
        <v>15</v>
      </c>
      <c r="K1731">
        <v>12</v>
      </c>
    </row>
    <row r="1732" spans="1:11" x14ac:dyDescent="0.3">
      <c r="A1732" t="s">
        <v>11</v>
      </c>
      <c r="B1732" t="s">
        <v>33</v>
      </c>
      <c r="C1732" t="s">
        <v>291</v>
      </c>
      <c r="D1732" t="s">
        <v>766</v>
      </c>
      <c r="E1732" s="5">
        <v>45812.958333333343</v>
      </c>
      <c r="F1732">
        <v>11.4068288</v>
      </c>
      <c r="G1732">
        <v>76.713897299999999</v>
      </c>
      <c r="H1732" t="s">
        <v>771</v>
      </c>
      <c r="I1732">
        <v>40</v>
      </c>
      <c r="J1732">
        <v>155</v>
      </c>
      <c r="K1732">
        <v>74</v>
      </c>
    </row>
    <row r="1733" spans="1:11" x14ac:dyDescent="0.3">
      <c r="A1733" t="s">
        <v>11</v>
      </c>
      <c r="B1733" t="s">
        <v>33</v>
      </c>
      <c r="C1733" t="s">
        <v>291</v>
      </c>
      <c r="D1733" t="s">
        <v>766</v>
      </c>
      <c r="E1733" s="5">
        <v>45812.958333333343</v>
      </c>
      <c r="F1733">
        <v>11.4068288</v>
      </c>
      <c r="G1733">
        <v>76.713897299999999</v>
      </c>
      <c r="H1733" t="s">
        <v>774</v>
      </c>
      <c r="I1733">
        <v>23</v>
      </c>
      <c r="J1733">
        <v>24</v>
      </c>
      <c r="K1733">
        <v>23</v>
      </c>
    </row>
    <row r="1734" spans="1:11" x14ac:dyDescent="0.3">
      <c r="A1734" t="s">
        <v>11</v>
      </c>
      <c r="B1734" t="s">
        <v>33</v>
      </c>
      <c r="C1734" t="s">
        <v>291</v>
      </c>
      <c r="D1734" t="s">
        <v>766</v>
      </c>
      <c r="E1734" s="5">
        <v>45812.958333333343</v>
      </c>
      <c r="F1734">
        <v>11.4068288</v>
      </c>
      <c r="G1734">
        <v>76.713897299999999</v>
      </c>
      <c r="H1734" t="s">
        <v>770</v>
      </c>
      <c r="I1734">
        <v>5</v>
      </c>
      <c r="J1734">
        <v>6</v>
      </c>
      <c r="K1734">
        <v>5</v>
      </c>
    </row>
    <row r="1735" spans="1:11" x14ac:dyDescent="0.3">
      <c r="A1735" t="s">
        <v>11</v>
      </c>
      <c r="B1735" t="s">
        <v>33</v>
      </c>
      <c r="C1735" t="s">
        <v>283</v>
      </c>
      <c r="D1735" t="s">
        <v>733</v>
      </c>
      <c r="E1735" s="5">
        <v>45812.958333333343</v>
      </c>
      <c r="F1735">
        <v>10.681158</v>
      </c>
      <c r="G1735">
        <v>78.741746000000006</v>
      </c>
      <c r="H1735" t="s">
        <v>771</v>
      </c>
      <c r="I1735">
        <v>12</v>
      </c>
      <c r="J1735">
        <v>37</v>
      </c>
      <c r="K1735">
        <v>24</v>
      </c>
    </row>
    <row r="1736" spans="1:11" x14ac:dyDescent="0.3">
      <c r="A1736" t="s">
        <v>11</v>
      </c>
      <c r="B1736" t="s">
        <v>33</v>
      </c>
      <c r="C1736" t="s">
        <v>283</v>
      </c>
      <c r="D1736" t="s">
        <v>733</v>
      </c>
      <c r="E1736" s="5">
        <v>45812.958333333343</v>
      </c>
      <c r="F1736">
        <v>10.681158</v>
      </c>
      <c r="G1736">
        <v>78.741746000000006</v>
      </c>
      <c r="H1736" t="s">
        <v>772</v>
      </c>
      <c r="I1736">
        <v>10</v>
      </c>
      <c r="J1736">
        <v>10</v>
      </c>
      <c r="K1736">
        <v>10</v>
      </c>
    </row>
    <row r="1737" spans="1:11" x14ac:dyDescent="0.3">
      <c r="A1737" t="s">
        <v>11</v>
      </c>
      <c r="B1737" t="s">
        <v>33</v>
      </c>
      <c r="C1737" t="s">
        <v>283</v>
      </c>
      <c r="D1737" t="s">
        <v>733</v>
      </c>
      <c r="E1737" s="5">
        <v>45812.958333333343</v>
      </c>
      <c r="F1737">
        <v>10.681158</v>
      </c>
      <c r="G1737">
        <v>78.741746000000006</v>
      </c>
      <c r="H1737" t="s">
        <v>774</v>
      </c>
      <c r="I1737">
        <v>9</v>
      </c>
      <c r="J1737">
        <v>9</v>
      </c>
      <c r="K1737">
        <v>9</v>
      </c>
    </row>
    <row r="1738" spans="1:11" x14ac:dyDescent="0.3">
      <c r="A1738" t="s">
        <v>11</v>
      </c>
      <c r="B1738" t="s">
        <v>33</v>
      </c>
      <c r="C1738" t="s">
        <v>284</v>
      </c>
      <c r="D1738" t="s">
        <v>734</v>
      </c>
      <c r="E1738" s="5">
        <v>45812.958333333343</v>
      </c>
      <c r="F1738">
        <v>10.423417000000001</v>
      </c>
      <c r="G1738">
        <v>78.784889000000007</v>
      </c>
      <c r="H1738" t="s">
        <v>775</v>
      </c>
      <c r="I1738">
        <v>8</v>
      </c>
      <c r="J1738">
        <v>35</v>
      </c>
      <c r="K1738">
        <v>19</v>
      </c>
    </row>
    <row r="1739" spans="1:11" x14ac:dyDescent="0.3">
      <c r="A1739" t="s">
        <v>11</v>
      </c>
      <c r="B1739" t="s">
        <v>33</v>
      </c>
      <c r="C1739" t="s">
        <v>284</v>
      </c>
      <c r="D1739" t="s">
        <v>734</v>
      </c>
      <c r="E1739" s="5">
        <v>45812.958333333343</v>
      </c>
      <c r="F1739">
        <v>10.423417000000001</v>
      </c>
      <c r="G1739">
        <v>78.784889000000007</v>
      </c>
      <c r="H1739" t="s">
        <v>771</v>
      </c>
      <c r="I1739">
        <v>13</v>
      </c>
      <c r="J1739">
        <v>45</v>
      </c>
      <c r="K1739">
        <v>26</v>
      </c>
    </row>
    <row r="1740" spans="1:11" x14ac:dyDescent="0.3">
      <c r="A1740" t="s">
        <v>11</v>
      </c>
      <c r="B1740" t="s">
        <v>33</v>
      </c>
      <c r="C1740" t="s">
        <v>217</v>
      </c>
      <c r="D1740" t="s">
        <v>592</v>
      </c>
      <c r="E1740" s="5">
        <v>45812.958333333343</v>
      </c>
      <c r="F1740">
        <v>9.3639899999999994</v>
      </c>
      <c r="G1740">
        <v>78.831976999999995</v>
      </c>
      <c r="H1740" t="s">
        <v>770</v>
      </c>
      <c r="I1740">
        <v>10</v>
      </c>
      <c r="J1740">
        <v>16</v>
      </c>
      <c r="K1740">
        <v>13</v>
      </c>
    </row>
    <row r="1741" spans="1:11" x14ac:dyDescent="0.3">
      <c r="A1741" t="s">
        <v>11</v>
      </c>
      <c r="B1741" t="s">
        <v>33</v>
      </c>
      <c r="C1741" t="s">
        <v>209</v>
      </c>
      <c r="D1741" t="s">
        <v>577</v>
      </c>
      <c r="E1741" s="5">
        <v>45812.958333333343</v>
      </c>
      <c r="F1741">
        <v>10.830158000000001</v>
      </c>
      <c r="G1741">
        <v>78.691849000000005</v>
      </c>
      <c r="H1741" t="s">
        <v>772</v>
      </c>
      <c r="I1741">
        <v>10</v>
      </c>
      <c r="J1741">
        <v>10</v>
      </c>
      <c r="K1741">
        <v>10</v>
      </c>
    </row>
    <row r="1742" spans="1:11" x14ac:dyDescent="0.3">
      <c r="A1742" t="s">
        <v>11</v>
      </c>
      <c r="B1742" t="s">
        <v>33</v>
      </c>
      <c r="C1742" t="s">
        <v>210</v>
      </c>
      <c r="D1742" t="s">
        <v>578</v>
      </c>
      <c r="E1742" s="5">
        <v>45812.958333333343</v>
      </c>
      <c r="F1742">
        <v>8.7284419999999994</v>
      </c>
      <c r="G1742">
        <v>77.696200000000005</v>
      </c>
      <c r="H1742" t="s">
        <v>775</v>
      </c>
      <c r="I1742">
        <v>18</v>
      </c>
      <c r="J1742">
        <v>33</v>
      </c>
      <c r="K1742">
        <v>26</v>
      </c>
    </row>
    <row r="1743" spans="1:11" x14ac:dyDescent="0.3">
      <c r="A1743" t="s">
        <v>11</v>
      </c>
      <c r="B1743" t="s">
        <v>33</v>
      </c>
      <c r="C1743" t="s">
        <v>210</v>
      </c>
      <c r="D1743" t="s">
        <v>578</v>
      </c>
      <c r="E1743" s="5">
        <v>45812.958333333343</v>
      </c>
      <c r="F1743">
        <v>8.7284419999999994</v>
      </c>
      <c r="G1743">
        <v>77.696200000000005</v>
      </c>
      <c r="H1743" t="s">
        <v>776</v>
      </c>
      <c r="I1743">
        <v>29</v>
      </c>
      <c r="J1743">
        <v>42</v>
      </c>
      <c r="K1743">
        <v>34</v>
      </c>
    </row>
    <row r="1744" spans="1:11" x14ac:dyDescent="0.3">
      <c r="A1744" t="s">
        <v>11</v>
      </c>
      <c r="B1744" t="s">
        <v>33</v>
      </c>
      <c r="C1744" t="s">
        <v>285</v>
      </c>
      <c r="D1744" t="s">
        <v>736</v>
      </c>
      <c r="E1744" s="5">
        <v>45812.958333333343</v>
      </c>
      <c r="F1744">
        <v>12.909494</v>
      </c>
      <c r="G1744">
        <v>79.131861000000001</v>
      </c>
      <c r="H1744" t="s">
        <v>775</v>
      </c>
      <c r="I1744">
        <v>17</v>
      </c>
      <c r="J1744">
        <v>64</v>
      </c>
      <c r="K1744">
        <v>43</v>
      </c>
    </row>
    <row r="1745" spans="1:11" x14ac:dyDescent="0.3">
      <c r="A1745" t="s">
        <v>11</v>
      </c>
      <c r="B1745" t="s">
        <v>33</v>
      </c>
      <c r="C1745" t="s">
        <v>285</v>
      </c>
      <c r="D1745" t="s">
        <v>736</v>
      </c>
      <c r="E1745" s="5">
        <v>45812.958333333343</v>
      </c>
      <c r="F1745">
        <v>12.909494</v>
      </c>
      <c r="G1745">
        <v>79.131861000000001</v>
      </c>
      <c r="H1745" t="s">
        <v>772</v>
      </c>
      <c r="I1745">
        <v>1</v>
      </c>
      <c r="J1745">
        <v>15</v>
      </c>
      <c r="K1745">
        <v>7</v>
      </c>
    </row>
    <row r="1746" spans="1:11" x14ac:dyDescent="0.3">
      <c r="A1746" t="s">
        <v>11</v>
      </c>
      <c r="B1746" t="s">
        <v>33</v>
      </c>
      <c r="C1746" t="s">
        <v>285</v>
      </c>
      <c r="D1746" t="s">
        <v>736</v>
      </c>
      <c r="E1746" s="5">
        <v>45812.958333333343</v>
      </c>
      <c r="F1746">
        <v>12.909494</v>
      </c>
      <c r="G1746">
        <v>79.131861000000001</v>
      </c>
      <c r="H1746" t="s">
        <v>774</v>
      </c>
      <c r="I1746">
        <v>16</v>
      </c>
      <c r="J1746">
        <v>16</v>
      </c>
      <c r="K1746">
        <v>16</v>
      </c>
    </row>
    <row r="1747" spans="1:11" x14ac:dyDescent="0.3">
      <c r="A1747" t="s">
        <v>11</v>
      </c>
      <c r="B1747" t="s">
        <v>33</v>
      </c>
      <c r="C1747" t="s">
        <v>285</v>
      </c>
      <c r="D1747" t="s">
        <v>736</v>
      </c>
      <c r="E1747" s="5">
        <v>45812.958333333343</v>
      </c>
      <c r="F1747">
        <v>12.909494</v>
      </c>
      <c r="G1747">
        <v>79.131861000000001</v>
      </c>
      <c r="H1747" t="s">
        <v>770</v>
      </c>
      <c r="I1747">
        <v>4</v>
      </c>
      <c r="J1747">
        <v>58</v>
      </c>
      <c r="K1747">
        <v>17</v>
      </c>
    </row>
    <row r="1748" spans="1:11" x14ac:dyDescent="0.3">
      <c r="A1748" t="s">
        <v>11</v>
      </c>
      <c r="B1748" t="s">
        <v>33</v>
      </c>
      <c r="C1748" t="s">
        <v>212</v>
      </c>
      <c r="D1748" t="s">
        <v>580</v>
      </c>
      <c r="E1748" s="5">
        <v>45812.958333333343</v>
      </c>
      <c r="F1748">
        <v>9.5593819999999994</v>
      </c>
      <c r="G1748">
        <v>77.948828000000006</v>
      </c>
      <c r="H1748" t="s">
        <v>774</v>
      </c>
      <c r="I1748">
        <v>18</v>
      </c>
      <c r="J1748">
        <v>20</v>
      </c>
      <c r="K1748">
        <v>18</v>
      </c>
    </row>
    <row r="1749" spans="1:11" x14ac:dyDescent="0.3">
      <c r="A1749" t="s">
        <v>11</v>
      </c>
      <c r="B1749" t="s">
        <v>33</v>
      </c>
      <c r="C1749" t="s">
        <v>212</v>
      </c>
      <c r="D1749" t="s">
        <v>580</v>
      </c>
      <c r="E1749" s="5">
        <v>45812.958333333343</v>
      </c>
      <c r="F1749">
        <v>9.5593819999999994</v>
      </c>
      <c r="G1749">
        <v>77.948828000000006</v>
      </c>
      <c r="H1749" t="s">
        <v>770</v>
      </c>
      <c r="I1749">
        <v>2</v>
      </c>
      <c r="J1749">
        <v>3</v>
      </c>
      <c r="K1749">
        <v>3</v>
      </c>
    </row>
    <row r="1750" spans="1:11" x14ac:dyDescent="0.3">
      <c r="A1750" t="s">
        <v>11</v>
      </c>
      <c r="B1750" t="s">
        <v>35</v>
      </c>
      <c r="C1750" t="s">
        <v>213</v>
      </c>
      <c r="D1750" t="s">
        <v>737</v>
      </c>
      <c r="E1750" s="5">
        <v>45812.958333333343</v>
      </c>
      <c r="F1750">
        <v>17.460103</v>
      </c>
      <c r="G1750">
        <v>78.334361000000001</v>
      </c>
      <c r="H1750" t="s">
        <v>772</v>
      </c>
    </row>
    <row r="1751" spans="1:11" x14ac:dyDescent="0.3">
      <c r="A1751" t="s">
        <v>11</v>
      </c>
      <c r="B1751" t="s">
        <v>35</v>
      </c>
      <c r="C1751" t="s">
        <v>213</v>
      </c>
      <c r="D1751" t="s">
        <v>737</v>
      </c>
      <c r="E1751" s="5">
        <v>45812.958333333343</v>
      </c>
      <c r="F1751">
        <v>17.460103</v>
      </c>
      <c r="G1751">
        <v>78.334361000000001</v>
      </c>
      <c r="H1751" t="s">
        <v>773</v>
      </c>
    </row>
    <row r="1752" spans="1:11" x14ac:dyDescent="0.3">
      <c r="A1752" t="s">
        <v>11</v>
      </c>
      <c r="B1752" t="s">
        <v>35</v>
      </c>
      <c r="C1752" t="s">
        <v>213</v>
      </c>
      <c r="D1752" t="s">
        <v>585</v>
      </c>
      <c r="E1752" s="5">
        <v>45812.958333333343</v>
      </c>
      <c r="F1752">
        <v>17.470431000000001</v>
      </c>
      <c r="G1752">
        <v>78.566958999999997</v>
      </c>
      <c r="H1752" t="s">
        <v>776</v>
      </c>
      <c r="I1752">
        <v>29</v>
      </c>
      <c r="J1752">
        <v>52</v>
      </c>
      <c r="K1752">
        <v>37</v>
      </c>
    </row>
    <row r="1753" spans="1:11" x14ac:dyDescent="0.3">
      <c r="A1753" t="s">
        <v>11</v>
      </c>
      <c r="B1753" t="s">
        <v>35</v>
      </c>
      <c r="C1753" t="s">
        <v>213</v>
      </c>
      <c r="D1753" t="s">
        <v>738</v>
      </c>
      <c r="E1753" s="5">
        <v>45812.958333333343</v>
      </c>
      <c r="F1753">
        <v>17.5184</v>
      </c>
      <c r="G1753">
        <v>78.278777000000005</v>
      </c>
      <c r="H1753" t="s">
        <v>776</v>
      </c>
      <c r="I1753">
        <v>10</v>
      </c>
      <c r="J1753">
        <v>50</v>
      </c>
      <c r="K1753">
        <v>19</v>
      </c>
    </row>
    <row r="1754" spans="1:11" x14ac:dyDescent="0.3">
      <c r="A1754" t="s">
        <v>11</v>
      </c>
      <c r="B1754" t="s">
        <v>35</v>
      </c>
      <c r="C1754" t="s">
        <v>213</v>
      </c>
      <c r="D1754" t="s">
        <v>586</v>
      </c>
      <c r="E1754" s="5">
        <v>45812.958333333343</v>
      </c>
      <c r="F1754">
        <v>17.531689499999999</v>
      </c>
      <c r="G1754">
        <v>78.218939000000006</v>
      </c>
      <c r="H1754" t="s">
        <v>775</v>
      </c>
      <c r="I1754">
        <v>51</v>
      </c>
      <c r="J1754">
        <v>130</v>
      </c>
      <c r="K1754">
        <v>82</v>
      </c>
    </row>
    <row r="1755" spans="1:11" x14ac:dyDescent="0.3">
      <c r="A1755" t="s">
        <v>11</v>
      </c>
      <c r="B1755" t="s">
        <v>35</v>
      </c>
      <c r="C1755" t="s">
        <v>213</v>
      </c>
      <c r="D1755" t="s">
        <v>586</v>
      </c>
      <c r="E1755" s="5">
        <v>45812.958333333343</v>
      </c>
      <c r="F1755">
        <v>17.531689499999999</v>
      </c>
      <c r="G1755">
        <v>78.218939000000006</v>
      </c>
      <c r="H1755" t="s">
        <v>770</v>
      </c>
      <c r="I1755">
        <v>9</v>
      </c>
      <c r="J1755">
        <v>28</v>
      </c>
      <c r="K1755">
        <v>20</v>
      </c>
    </row>
    <row r="1756" spans="1:11" x14ac:dyDescent="0.3">
      <c r="A1756" t="s">
        <v>11</v>
      </c>
      <c r="B1756" t="s">
        <v>35</v>
      </c>
      <c r="C1756" t="s">
        <v>213</v>
      </c>
      <c r="D1756" t="s">
        <v>740</v>
      </c>
      <c r="E1756" s="5">
        <v>45812.958333333343</v>
      </c>
      <c r="F1756">
        <v>17.585705000000001</v>
      </c>
      <c r="G1756">
        <v>78.126199</v>
      </c>
      <c r="H1756" t="s">
        <v>774</v>
      </c>
      <c r="I1756">
        <v>11</v>
      </c>
      <c r="J1756">
        <v>11</v>
      </c>
      <c r="K1756">
        <v>11</v>
      </c>
    </row>
    <row r="1757" spans="1:11" x14ac:dyDescent="0.3">
      <c r="A1757" t="s">
        <v>11</v>
      </c>
      <c r="B1757" t="s">
        <v>35</v>
      </c>
      <c r="C1757" t="s">
        <v>213</v>
      </c>
      <c r="D1757" t="s">
        <v>740</v>
      </c>
      <c r="E1757" s="5">
        <v>45812.958333333343</v>
      </c>
      <c r="F1757">
        <v>17.585705000000001</v>
      </c>
      <c r="G1757">
        <v>78.126199</v>
      </c>
      <c r="H1757" t="s">
        <v>770</v>
      </c>
      <c r="I1757">
        <v>24</v>
      </c>
      <c r="J1757">
        <v>26</v>
      </c>
      <c r="K1757">
        <v>25</v>
      </c>
    </row>
    <row r="1758" spans="1:11" x14ac:dyDescent="0.3">
      <c r="A1758" t="s">
        <v>11</v>
      </c>
      <c r="B1758" t="s">
        <v>35</v>
      </c>
      <c r="C1758" t="s">
        <v>213</v>
      </c>
      <c r="D1758" t="s">
        <v>581</v>
      </c>
      <c r="E1758" s="5">
        <v>45812.958333333343</v>
      </c>
      <c r="F1758">
        <v>17.544899000000001</v>
      </c>
      <c r="G1758">
        <v>78.486948999999996</v>
      </c>
      <c r="H1758" t="s">
        <v>771</v>
      </c>
      <c r="I1758">
        <v>76</v>
      </c>
      <c r="J1758">
        <v>90</v>
      </c>
      <c r="K1758">
        <v>82</v>
      </c>
    </row>
    <row r="1759" spans="1:11" x14ac:dyDescent="0.3">
      <c r="A1759" t="s">
        <v>11</v>
      </c>
      <c r="B1759" t="s">
        <v>35</v>
      </c>
      <c r="C1759" t="s">
        <v>213</v>
      </c>
      <c r="D1759" t="s">
        <v>582</v>
      </c>
      <c r="E1759" s="5">
        <v>45812.958333333343</v>
      </c>
      <c r="F1759">
        <v>17.372060000000001</v>
      </c>
      <c r="G1759">
        <v>78.50864</v>
      </c>
      <c r="H1759" t="s">
        <v>773</v>
      </c>
      <c r="I1759">
        <v>2</v>
      </c>
      <c r="J1759">
        <v>3</v>
      </c>
      <c r="K1759">
        <v>2</v>
      </c>
    </row>
    <row r="1760" spans="1:11" x14ac:dyDescent="0.3">
      <c r="A1760" t="s">
        <v>11</v>
      </c>
      <c r="B1760" t="s">
        <v>33</v>
      </c>
      <c r="C1760" t="s">
        <v>199</v>
      </c>
      <c r="D1760" t="s">
        <v>563</v>
      </c>
      <c r="E1760" s="5">
        <v>45812.958333333343</v>
      </c>
      <c r="F1760">
        <v>10.96782</v>
      </c>
      <c r="G1760">
        <v>78.080882000000003</v>
      </c>
      <c r="H1760" t="s">
        <v>773</v>
      </c>
      <c r="I1760">
        <v>1</v>
      </c>
      <c r="J1760">
        <v>4</v>
      </c>
      <c r="K1760">
        <v>3</v>
      </c>
    </row>
    <row r="1761" spans="1:11" x14ac:dyDescent="0.3">
      <c r="A1761" t="s">
        <v>11</v>
      </c>
      <c r="B1761" t="s">
        <v>33</v>
      </c>
      <c r="C1761" t="s">
        <v>199</v>
      </c>
      <c r="D1761" t="s">
        <v>563</v>
      </c>
      <c r="E1761" s="5">
        <v>45812.958333333343</v>
      </c>
      <c r="F1761">
        <v>10.96782</v>
      </c>
      <c r="G1761">
        <v>78.080882000000003</v>
      </c>
      <c r="H1761" t="s">
        <v>776</v>
      </c>
      <c r="I1761">
        <v>12</v>
      </c>
      <c r="J1761">
        <v>26</v>
      </c>
      <c r="K1761">
        <v>19</v>
      </c>
    </row>
    <row r="1762" spans="1:11" x14ac:dyDescent="0.3">
      <c r="A1762" t="s">
        <v>11</v>
      </c>
      <c r="B1762" t="s">
        <v>33</v>
      </c>
      <c r="C1762" t="s">
        <v>282</v>
      </c>
      <c r="D1762" t="s">
        <v>732</v>
      </c>
      <c r="E1762" s="5">
        <v>45812.958333333343</v>
      </c>
      <c r="F1762">
        <v>9.8659350000000003</v>
      </c>
      <c r="G1762">
        <v>78.022668999999993</v>
      </c>
      <c r="H1762" t="s">
        <v>771</v>
      </c>
      <c r="I1762">
        <v>11</v>
      </c>
      <c r="J1762">
        <v>33</v>
      </c>
      <c r="K1762">
        <v>23</v>
      </c>
    </row>
    <row r="1763" spans="1:11" x14ac:dyDescent="0.3">
      <c r="A1763" t="s">
        <v>11</v>
      </c>
      <c r="B1763" t="s">
        <v>33</v>
      </c>
      <c r="C1763" t="s">
        <v>200</v>
      </c>
      <c r="D1763" t="s">
        <v>564</v>
      </c>
      <c r="E1763" s="5">
        <v>45812.958333333343</v>
      </c>
      <c r="F1763">
        <v>10.798548</v>
      </c>
      <c r="G1763">
        <v>79.838211999999999</v>
      </c>
      <c r="H1763" t="s">
        <v>773</v>
      </c>
      <c r="I1763">
        <v>2</v>
      </c>
      <c r="J1763">
        <v>2</v>
      </c>
      <c r="K1763">
        <v>2</v>
      </c>
    </row>
    <row r="1764" spans="1:11" x14ac:dyDescent="0.3">
      <c r="A1764" t="s">
        <v>11</v>
      </c>
      <c r="B1764" t="s">
        <v>33</v>
      </c>
      <c r="C1764" t="s">
        <v>200</v>
      </c>
      <c r="D1764" t="s">
        <v>564</v>
      </c>
      <c r="E1764" s="5">
        <v>45812.958333333343</v>
      </c>
      <c r="F1764">
        <v>10.798548</v>
      </c>
      <c r="G1764">
        <v>79.838211999999999</v>
      </c>
      <c r="H1764" t="s">
        <v>776</v>
      </c>
      <c r="I1764">
        <v>12</v>
      </c>
      <c r="J1764">
        <v>24</v>
      </c>
      <c r="K1764">
        <v>16</v>
      </c>
    </row>
    <row r="1765" spans="1:11" x14ac:dyDescent="0.3">
      <c r="A1765" t="s">
        <v>11</v>
      </c>
      <c r="B1765" t="s">
        <v>35</v>
      </c>
      <c r="C1765" t="s">
        <v>213</v>
      </c>
      <c r="D1765" t="s">
        <v>594</v>
      </c>
      <c r="E1765" s="5">
        <v>45812.958333333343</v>
      </c>
      <c r="F1765">
        <v>17.417093999999999</v>
      </c>
      <c r="G1765">
        <v>78.457436999999999</v>
      </c>
      <c r="H1765" t="s">
        <v>771</v>
      </c>
      <c r="I1765">
        <v>72</v>
      </c>
      <c r="J1765">
        <v>88</v>
      </c>
      <c r="K1765">
        <v>76</v>
      </c>
    </row>
    <row r="1766" spans="1:11" x14ac:dyDescent="0.3">
      <c r="A1766" t="s">
        <v>11</v>
      </c>
      <c r="B1766" t="s">
        <v>35</v>
      </c>
      <c r="C1766" t="s">
        <v>213</v>
      </c>
      <c r="D1766" t="s">
        <v>594</v>
      </c>
      <c r="E1766" s="5">
        <v>45812.958333333343</v>
      </c>
      <c r="F1766">
        <v>17.417093999999999</v>
      </c>
      <c r="G1766">
        <v>78.457436999999999</v>
      </c>
      <c r="H1766" t="s">
        <v>773</v>
      </c>
      <c r="I1766">
        <v>5</v>
      </c>
      <c r="J1766">
        <v>5</v>
      </c>
      <c r="K1766">
        <v>5</v>
      </c>
    </row>
    <row r="1767" spans="1:11" x14ac:dyDescent="0.3">
      <c r="A1767" t="s">
        <v>11</v>
      </c>
      <c r="B1767" t="s">
        <v>35</v>
      </c>
      <c r="C1767" t="s">
        <v>213</v>
      </c>
      <c r="D1767" t="s">
        <v>594</v>
      </c>
      <c r="E1767" s="5">
        <v>45812.958333333343</v>
      </c>
      <c r="F1767">
        <v>17.417093999999999</v>
      </c>
      <c r="G1767">
        <v>78.457436999999999</v>
      </c>
      <c r="H1767" t="s">
        <v>774</v>
      </c>
      <c r="I1767">
        <v>17</v>
      </c>
      <c r="J1767">
        <v>23</v>
      </c>
      <c r="K1767">
        <v>20</v>
      </c>
    </row>
    <row r="1768" spans="1:11" x14ac:dyDescent="0.3">
      <c r="A1768" t="s">
        <v>11</v>
      </c>
      <c r="B1768" t="s">
        <v>35</v>
      </c>
      <c r="C1768" t="s">
        <v>213</v>
      </c>
      <c r="D1768" t="s">
        <v>741</v>
      </c>
      <c r="E1768" s="5">
        <v>45812.958333333343</v>
      </c>
      <c r="F1768">
        <v>17.349694</v>
      </c>
      <c r="G1768">
        <v>78.451436999999999</v>
      </c>
      <c r="H1768" t="s">
        <v>775</v>
      </c>
      <c r="I1768">
        <v>59</v>
      </c>
      <c r="J1768">
        <v>161</v>
      </c>
      <c r="K1768">
        <v>89</v>
      </c>
    </row>
    <row r="1769" spans="1:11" x14ac:dyDescent="0.3">
      <c r="A1769" t="s">
        <v>11</v>
      </c>
      <c r="B1769" t="s">
        <v>35</v>
      </c>
      <c r="C1769" t="s">
        <v>213</v>
      </c>
      <c r="D1769" t="s">
        <v>741</v>
      </c>
      <c r="E1769" s="5">
        <v>45812.958333333343</v>
      </c>
      <c r="F1769">
        <v>17.349694</v>
      </c>
      <c r="G1769">
        <v>78.451436999999999</v>
      </c>
      <c r="H1769" t="s">
        <v>774</v>
      </c>
      <c r="I1769">
        <v>3</v>
      </c>
      <c r="J1769">
        <v>7</v>
      </c>
      <c r="K1769">
        <v>5</v>
      </c>
    </row>
    <row r="1770" spans="1:11" x14ac:dyDescent="0.3">
      <c r="A1770" t="s">
        <v>11</v>
      </c>
      <c r="B1770" t="s">
        <v>35</v>
      </c>
      <c r="C1770" t="s">
        <v>213</v>
      </c>
      <c r="D1770" t="s">
        <v>741</v>
      </c>
      <c r="E1770" s="5">
        <v>45812.958333333343</v>
      </c>
      <c r="F1770">
        <v>17.349694</v>
      </c>
      <c r="G1770">
        <v>78.451436999999999</v>
      </c>
      <c r="H1770" t="s">
        <v>776</v>
      </c>
      <c r="I1770">
        <v>5</v>
      </c>
      <c r="J1770">
        <v>14</v>
      </c>
      <c r="K1770">
        <v>8</v>
      </c>
    </row>
    <row r="1771" spans="1:11" x14ac:dyDescent="0.3">
      <c r="A1771" t="s">
        <v>11</v>
      </c>
      <c r="B1771" t="s">
        <v>33</v>
      </c>
      <c r="C1771" t="s">
        <v>214</v>
      </c>
      <c r="D1771" t="s">
        <v>587</v>
      </c>
      <c r="E1771" s="5">
        <v>45812.958333333343</v>
      </c>
      <c r="F1771">
        <v>12.952707</v>
      </c>
      <c r="G1771">
        <v>79.303939999999997</v>
      </c>
      <c r="H1771" t="s">
        <v>771</v>
      </c>
      <c r="I1771">
        <v>19</v>
      </c>
      <c r="J1771">
        <v>64</v>
      </c>
      <c r="K1771">
        <v>39</v>
      </c>
    </row>
    <row r="1772" spans="1:11" x14ac:dyDescent="0.3">
      <c r="A1772" t="s">
        <v>11</v>
      </c>
      <c r="B1772" t="s">
        <v>33</v>
      </c>
      <c r="C1772" t="s">
        <v>214</v>
      </c>
      <c r="D1772" t="s">
        <v>587</v>
      </c>
      <c r="E1772" s="5">
        <v>45812.958333333343</v>
      </c>
      <c r="F1772">
        <v>12.952707</v>
      </c>
      <c r="G1772">
        <v>79.303939999999997</v>
      </c>
      <c r="H1772" t="s">
        <v>773</v>
      </c>
      <c r="I1772">
        <v>8</v>
      </c>
      <c r="J1772">
        <v>9</v>
      </c>
      <c r="K1772">
        <v>8</v>
      </c>
    </row>
    <row r="1773" spans="1:11" x14ac:dyDescent="0.3">
      <c r="A1773" t="s">
        <v>11</v>
      </c>
      <c r="B1773" t="s">
        <v>33</v>
      </c>
      <c r="C1773" t="s">
        <v>280</v>
      </c>
      <c r="D1773" t="s">
        <v>730</v>
      </c>
      <c r="E1773" s="5">
        <v>45812.958333333343</v>
      </c>
      <c r="F1773">
        <v>11.679111000000001</v>
      </c>
      <c r="G1773">
        <v>78.125051999999997</v>
      </c>
      <c r="H1773" t="s">
        <v>775</v>
      </c>
      <c r="I1773">
        <v>17</v>
      </c>
      <c r="J1773">
        <v>47</v>
      </c>
      <c r="K1773">
        <v>33</v>
      </c>
    </row>
    <row r="1774" spans="1:11" x14ac:dyDescent="0.3">
      <c r="A1774" t="s">
        <v>11</v>
      </c>
      <c r="B1774" t="s">
        <v>33</v>
      </c>
      <c r="C1774" t="s">
        <v>280</v>
      </c>
      <c r="D1774" t="s">
        <v>730</v>
      </c>
      <c r="E1774" s="5">
        <v>45812.958333333343</v>
      </c>
      <c r="F1774">
        <v>11.679111000000001</v>
      </c>
      <c r="G1774">
        <v>78.125051999999997</v>
      </c>
      <c r="H1774" t="s">
        <v>772</v>
      </c>
      <c r="I1774">
        <v>12</v>
      </c>
      <c r="J1774">
        <v>12</v>
      </c>
      <c r="K1774">
        <v>12</v>
      </c>
    </row>
    <row r="1775" spans="1:11" x14ac:dyDescent="0.3">
      <c r="A1775" t="s">
        <v>11</v>
      </c>
      <c r="B1775" t="s">
        <v>36</v>
      </c>
      <c r="C1775" t="s">
        <v>216</v>
      </c>
      <c r="D1775" t="s">
        <v>590</v>
      </c>
      <c r="E1775" s="5">
        <v>45812.958333333343</v>
      </c>
      <c r="F1775">
        <v>27.106971999999999</v>
      </c>
      <c r="G1775">
        <v>78.000111000000004</v>
      </c>
      <c r="H1775" t="s">
        <v>772</v>
      </c>
      <c r="I1775">
        <v>12</v>
      </c>
      <c r="J1775">
        <v>12</v>
      </c>
      <c r="K1775">
        <v>12</v>
      </c>
    </row>
    <row r="1776" spans="1:11" x14ac:dyDescent="0.3">
      <c r="A1776" t="s">
        <v>11</v>
      </c>
      <c r="B1776" t="s">
        <v>36</v>
      </c>
      <c r="C1776" t="s">
        <v>216</v>
      </c>
      <c r="D1776" t="s">
        <v>590</v>
      </c>
      <c r="E1776" s="5">
        <v>45812.958333333343</v>
      </c>
      <c r="F1776">
        <v>27.106971999999999</v>
      </c>
      <c r="G1776">
        <v>78.000111000000004</v>
      </c>
      <c r="H1776" t="s">
        <v>773</v>
      </c>
      <c r="I1776">
        <v>4</v>
      </c>
      <c r="J1776">
        <v>5</v>
      </c>
      <c r="K1776">
        <v>4</v>
      </c>
    </row>
    <row r="1777" spans="1:11" x14ac:dyDescent="0.3">
      <c r="A1777" t="s">
        <v>11</v>
      </c>
      <c r="B1777" t="s">
        <v>36</v>
      </c>
      <c r="C1777" t="s">
        <v>216</v>
      </c>
      <c r="D1777" t="s">
        <v>590</v>
      </c>
      <c r="E1777" s="5">
        <v>45812.958333333343</v>
      </c>
      <c r="F1777">
        <v>27.106971999999999</v>
      </c>
      <c r="G1777">
        <v>78.000111000000004</v>
      </c>
      <c r="H1777" t="s">
        <v>770</v>
      </c>
      <c r="I1777">
        <v>12</v>
      </c>
      <c r="J1777">
        <v>15</v>
      </c>
      <c r="K1777">
        <v>14</v>
      </c>
    </row>
    <row r="1778" spans="1:11" x14ac:dyDescent="0.3">
      <c r="A1778" t="s">
        <v>11</v>
      </c>
      <c r="B1778" t="s">
        <v>35</v>
      </c>
      <c r="C1778" t="s">
        <v>213</v>
      </c>
      <c r="D1778" t="s">
        <v>583</v>
      </c>
      <c r="E1778" s="5">
        <v>45812.958333333343</v>
      </c>
      <c r="F1778">
        <v>17.528544</v>
      </c>
      <c r="G1778">
        <v>78.286195000000006</v>
      </c>
      <c r="H1778" t="s">
        <v>774</v>
      </c>
      <c r="I1778">
        <v>22</v>
      </c>
      <c r="J1778">
        <v>43</v>
      </c>
      <c r="K1778">
        <v>30</v>
      </c>
    </row>
    <row r="1779" spans="1:11" x14ac:dyDescent="0.3">
      <c r="A1779" t="s">
        <v>11</v>
      </c>
      <c r="B1779" t="s">
        <v>35</v>
      </c>
      <c r="C1779" t="s">
        <v>213</v>
      </c>
      <c r="D1779" t="s">
        <v>594</v>
      </c>
      <c r="E1779" s="5">
        <v>45812.958333333343</v>
      </c>
      <c r="F1779">
        <v>17.417093999999999</v>
      </c>
      <c r="G1779">
        <v>78.457436999999999</v>
      </c>
      <c r="H1779" t="s">
        <v>775</v>
      </c>
      <c r="I1779">
        <v>52</v>
      </c>
      <c r="J1779">
        <v>98</v>
      </c>
      <c r="K1779">
        <v>72</v>
      </c>
    </row>
    <row r="1780" spans="1:11" x14ac:dyDescent="0.3">
      <c r="A1780" t="s">
        <v>11</v>
      </c>
      <c r="B1780" t="s">
        <v>36</v>
      </c>
      <c r="C1780" t="s">
        <v>218</v>
      </c>
      <c r="D1780" t="s">
        <v>595</v>
      </c>
      <c r="E1780" s="5">
        <v>45812.958333333343</v>
      </c>
      <c r="F1780">
        <v>28.359580999999999</v>
      </c>
      <c r="G1780">
        <v>79.414455000000004</v>
      </c>
      <c r="H1780" t="s">
        <v>776</v>
      </c>
      <c r="I1780">
        <v>5</v>
      </c>
      <c r="J1780">
        <v>92</v>
      </c>
      <c r="K1780">
        <v>40</v>
      </c>
    </row>
    <row r="1781" spans="1:11" x14ac:dyDescent="0.3">
      <c r="A1781" t="s">
        <v>11</v>
      </c>
      <c r="B1781" t="s">
        <v>36</v>
      </c>
      <c r="C1781" t="s">
        <v>218</v>
      </c>
      <c r="D1781" t="s">
        <v>596</v>
      </c>
      <c r="E1781" s="5">
        <v>45812.958333333343</v>
      </c>
      <c r="F1781">
        <v>28.389109359999999</v>
      </c>
      <c r="G1781">
        <v>79.429637080000006</v>
      </c>
      <c r="H1781" t="s">
        <v>771</v>
      </c>
      <c r="I1781">
        <v>45</v>
      </c>
      <c r="J1781">
        <v>146</v>
      </c>
      <c r="K1781">
        <v>99</v>
      </c>
    </row>
    <row r="1782" spans="1:11" x14ac:dyDescent="0.3">
      <c r="A1782" t="s">
        <v>11</v>
      </c>
      <c r="B1782" t="s">
        <v>36</v>
      </c>
      <c r="C1782" t="s">
        <v>218</v>
      </c>
      <c r="D1782" t="s">
        <v>596</v>
      </c>
      <c r="E1782" s="5">
        <v>45812.958333333343</v>
      </c>
      <c r="F1782">
        <v>28.389109359999999</v>
      </c>
      <c r="G1782">
        <v>79.429637080000006</v>
      </c>
      <c r="H1782" t="s">
        <v>772</v>
      </c>
      <c r="I1782">
        <v>2</v>
      </c>
      <c r="J1782">
        <v>5</v>
      </c>
      <c r="K1782">
        <v>2</v>
      </c>
    </row>
    <row r="1783" spans="1:11" x14ac:dyDescent="0.3">
      <c r="A1783" t="s">
        <v>11</v>
      </c>
      <c r="B1783" t="s">
        <v>36</v>
      </c>
      <c r="C1783" t="s">
        <v>218</v>
      </c>
      <c r="D1783" t="s">
        <v>596</v>
      </c>
      <c r="E1783" s="5">
        <v>45812.958333333343</v>
      </c>
      <c r="F1783">
        <v>28.389109359999999</v>
      </c>
      <c r="G1783">
        <v>79.429637080000006</v>
      </c>
      <c r="H1783" t="s">
        <v>770</v>
      </c>
      <c r="I1783">
        <v>1</v>
      </c>
      <c r="J1783">
        <v>69</v>
      </c>
      <c r="K1783">
        <v>29</v>
      </c>
    </row>
    <row r="1784" spans="1:11" x14ac:dyDescent="0.3">
      <c r="A1784" t="s">
        <v>11</v>
      </c>
      <c r="B1784" t="s">
        <v>36</v>
      </c>
      <c r="C1784" t="s">
        <v>219</v>
      </c>
      <c r="D1784" t="s">
        <v>597</v>
      </c>
      <c r="E1784" s="5">
        <v>45812.958333333343</v>
      </c>
      <c r="F1784">
        <v>28.406963000000001</v>
      </c>
      <c r="G1784">
        <v>77.849830999999995</v>
      </c>
      <c r="H1784" t="s">
        <v>772</v>
      </c>
      <c r="I1784">
        <v>12</v>
      </c>
      <c r="J1784">
        <v>165</v>
      </c>
      <c r="K1784">
        <v>73</v>
      </c>
    </row>
    <row r="1785" spans="1:11" x14ac:dyDescent="0.3">
      <c r="A1785" t="s">
        <v>11</v>
      </c>
      <c r="B1785" t="s">
        <v>36</v>
      </c>
      <c r="C1785" t="s">
        <v>220</v>
      </c>
      <c r="D1785" t="s">
        <v>598</v>
      </c>
      <c r="E1785" s="5">
        <v>45812.958333333343</v>
      </c>
      <c r="F1785">
        <v>27.168897000000001</v>
      </c>
      <c r="G1785">
        <v>78.376959999999997</v>
      </c>
      <c r="H1785" t="s">
        <v>773</v>
      </c>
      <c r="I1785">
        <v>2</v>
      </c>
      <c r="J1785">
        <v>2</v>
      </c>
      <c r="K1785">
        <v>2</v>
      </c>
    </row>
    <row r="1786" spans="1:11" x14ac:dyDescent="0.3">
      <c r="A1786" t="s">
        <v>11</v>
      </c>
      <c r="B1786" t="s">
        <v>36</v>
      </c>
      <c r="C1786" t="s">
        <v>220</v>
      </c>
      <c r="D1786" t="s">
        <v>599</v>
      </c>
      <c r="E1786" s="5">
        <v>45812.958333333343</v>
      </c>
      <c r="F1786">
        <v>27.159400000000002</v>
      </c>
      <c r="G1786">
        <v>78.395300000000006</v>
      </c>
      <c r="H1786" t="s">
        <v>771</v>
      </c>
      <c r="I1786">
        <v>49</v>
      </c>
      <c r="J1786">
        <v>145</v>
      </c>
      <c r="K1786">
        <v>87</v>
      </c>
    </row>
    <row r="1787" spans="1:11" x14ac:dyDescent="0.3">
      <c r="A1787" t="s">
        <v>11</v>
      </c>
      <c r="B1787" t="s">
        <v>36</v>
      </c>
      <c r="C1787" t="s">
        <v>221</v>
      </c>
      <c r="D1787" t="s">
        <v>600</v>
      </c>
      <c r="E1787" s="5">
        <v>45812.958333333343</v>
      </c>
      <c r="F1787">
        <v>28.646232999999999</v>
      </c>
      <c r="G1787">
        <v>77.358074999999999</v>
      </c>
      <c r="H1787" t="s">
        <v>775</v>
      </c>
      <c r="I1787">
        <v>54</v>
      </c>
      <c r="J1787">
        <v>350</v>
      </c>
      <c r="K1787">
        <v>154</v>
      </c>
    </row>
    <row r="1788" spans="1:11" x14ac:dyDescent="0.3">
      <c r="A1788" t="s">
        <v>11</v>
      </c>
      <c r="B1788" t="s">
        <v>36</v>
      </c>
      <c r="C1788" t="s">
        <v>224</v>
      </c>
      <c r="D1788" t="s">
        <v>608</v>
      </c>
      <c r="E1788" s="5">
        <v>45812.958333333343</v>
      </c>
      <c r="F1788">
        <v>28.725645</v>
      </c>
      <c r="G1788">
        <v>77.749674999999996</v>
      </c>
      <c r="H1788" t="s">
        <v>772</v>
      </c>
      <c r="I1788">
        <v>27</v>
      </c>
      <c r="J1788">
        <v>202</v>
      </c>
      <c r="K1788">
        <v>79</v>
      </c>
    </row>
    <row r="1789" spans="1:11" x14ac:dyDescent="0.3">
      <c r="A1789" t="s">
        <v>11</v>
      </c>
      <c r="B1789" t="s">
        <v>36</v>
      </c>
      <c r="C1789" t="s">
        <v>225</v>
      </c>
      <c r="D1789" t="s">
        <v>609</v>
      </c>
      <c r="E1789" s="5">
        <v>45812.958333333343</v>
      </c>
      <c r="F1789">
        <v>25.454699999999999</v>
      </c>
      <c r="G1789">
        <v>78.603899999999996</v>
      </c>
      <c r="H1789" t="s">
        <v>775</v>
      </c>
      <c r="I1789">
        <v>38</v>
      </c>
      <c r="J1789">
        <v>500</v>
      </c>
      <c r="K1789">
        <v>143</v>
      </c>
    </row>
    <row r="1790" spans="1:11" x14ac:dyDescent="0.3">
      <c r="A1790" t="s">
        <v>11</v>
      </c>
      <c r="B1790" t="s">
        <v>36</v>
      </c>
      <c r="C1790" t="s">
        <v>226</v>
      </c>
      <c r="D1790" t="s">
        <v>744</v>
      </c>
      <c r="E1790" s="5">
        <v>45812.958333333343</v>
      </c>
      <c r="F1790">
        <v>26.428281999999999</v>
      </c>
      <c r="G1790">
        <v>80.327067</v>
      </c>
      <c r="H1790" t="s">
        <v>772</v>
      </c>
    </row>
    <row r="1791" spans="1:11" x14ac:dyDescent="0.3">
      <c r="A1791" t="s">
        <v>11</v>
      </c>
      <c r="B1791" t="s">
        <v>36</v>
      </c>
      <c r="C1791" t="s">
        <v>226</v>
      </c>
      <c r="D1791" t="s">
        <v>744</v>
      </c>
      <c r="E1791" s="5">
        <v>45812.958333333343</v>
      </c>
      <c r="F1791">
        <v>26.428281999999999</v>
      </c>
      <c r="G1791">
        <v>80.327067</v>
      </c>
      <c r="H1791" t="s">
        <v>773</v>
      </c>
    </row>
    <row r="1792" spans="1:11" x14ac:dyDescent="0.3">
      <c r="A1792" t="s">
        <v>11</v>
      </c>
      <c r="B1792" t="s">
        <v>36</v>
      </c>
      <c r="C1792" t="s">
        <v>226</v>
      </c>
      <c r="D1792" t="s">
        <v>744</v>
      </c>
      <c r="E1792" s="5">
        <v>45812.958333333343</v>
      </c>
      <c r="F1792">
        <v>26.428281999999999</v>
      </c>
      <c r="G1792">
        <v>80.327067</v>
      </c>
      <c r="H1792" t="s">
        <v>774</v>
      </c>
    </row>
    <row r="1793" spans="1:11" x14ac:dyDescent="0.3">
      <c r="A1793" t="s">
        <v>11</v>
      </c>
      <c r="B1793" t="s">
        <v>36</v>
      </c>
      <c r="C1793" t="s">
        <v>216</v>
      </c>
      <c r="D1793" t="s">
        <v>605</v>
      </c>
      <c r="E1793" s="5">
        <v>45812.958333333343</v>
      </c>
      <c r="F1793">
        <v>27.194120000000002</v>
      </c>
      <c r="G1793">
        <v>77.962370000000007</v>
      </c>
      <c r="H1793" t="s">
        <v>772</v>
      </c>
      <c r="I1793">
        <v>35</v>
      </c>
      <c r="J1793">
        <v>36</v>
      </c>
      <c r="K1793">
        <v>36</v>
      </c>
    </row>
    <row r="1794" spans="1:11" x14ac:dyDescent="0.3">
      <c r="A1794" t="s">
        <v>11</v>
      </c>
      <c r="B1794" t="s">
        <v>36</v>
      </c>
      <c r="C1794" t="s">
        <v>216</v>
      </c>
      <c r="D1794" t="s">
        <v>606</v>
      </c>
      <c r="E1794" s="5">
        <v>45812.958333333343</v>
      </c>
      <c r="F1794">
        <v>27.169338</v>
      </c>
      <c r="G1794">
        <v>78.035820000000001</v>
      </c>
      <c r="H1794" t="s">
        <v>775</v>
      </c>
    </row>
    <row r="1795" spans="1:11" x14ac:dyDescent="0.3">
      <c r="A1795" t="s">
        <v>11</v>
      </c>
      <c r="B1795" t="s">
        <v>36</v>
      </c>
      <c r="C1795" t="s">
        <v>227</v>
      </c>
      <c r="D1795" t="s">
        <v>612</v>
      </c>
      <c r="E1795" s="5">
        <v>45812.958333333343</v>
      </c>
      <c r="F1795">
        <v>28.964949000000001</v>
      </c>
      <c r="G1795">
        <v>77.278761000000003</v>
      </c>
      <c r="H1795" t="s">
        <v>775</v>
      </c>
      <c r="I1795">
        <v>42</v>
      </c>
      <c r="J1795">
        <v>351</v>
      </c>
      <c r="K1795">
        <v>148</v>
      </c>
    </row>
    <row r="1796" spans="1:11" x14ac:dyDescent="0.3">
      <c r="A1796" t="s">
        <v>11</v>
      </c>
      <c r="B1796" t="s">
        <v>36</v>
      </c>
      <c r="C1796" t="s">
        <v>221</v>
      </c>
      <c r="D1796" t="s">
        <v>600</v>
      </c>
      <c r="E1796" s="5">
        <v>45812.958333333343</v>
      </c>
      <c r="F1796">
        <v>28.646232999999999</v>
      </c>
      <c r="G1796">
        <v>77.358074999999999</v>
      </c>
      <c r="H1796" t="s">
        <v>774</v>
      </c>
      <c r="I1796">
        <v>1</v>
      </c>
      <c r="J1796">
        <v>37</v>
      </c>
      <c r="K1796">
        <v>13</v>
      </c>
    </row>
    <row r="1797" spans="1:11" x14ac:dyDescent="0.3">
      <c r="A1797" t="s">
        <v>11</v>
      </c>
      <c r="B1797" t="s">
        <v>36</v>
      </c>
      <c r="C1797" t="s">
        <v>221</v>
      </c>
      <c r="D1797" t="s">
        <v>601</v>
      </c>
      <c r="E1797" s="5">
        <v>45812.958333333343</v>
      </c>
      <c r="F1797">
        <v>28.757294000000002</v>
      </c>
      <c r="G1797">
        <v>77.278791999999996</v>
      </c>
      <c r="H1797" t="s">
        <v>775</v>
      </c>
      <c r="I1797">
        <v>74</v>
      </c>
      <c r="J1797">
        <v>500</v>
      </c>
      <c r="K1797">
        <v>337</v>
      </c>
    </row>
    <row r="1798" spans="1:11" x14ac:dyDescent="0.3">
      <c r="A1798" t="s">
        <v>11</v>
      </c>
      <c r="B1798" t="s">
        <v>36</v>
      </c>
      <c r="C1798" t="s">
        <v>221</v>
      </c>
      <c r="D1798" t="s">
        <v>601</v>
      </c>
      <c r="E1798" s="5">
        <v>45812.958333333343</v>
      </c>
      <c r="F1798">
        <v>28.757294000000002</v>
      </c>
      <c r="G1798">
        <v>77.278791999999996</v>
      </c>
      <c r="H1798" t="s">
        <v>772</v>
      </c>
      <c r="I1798">
        <v>106</v>
      </c>
      <c r="J1798">
        <v>149</v>
      </c>
      <c r="K1798">
        <v>126</v>
      </c>
    </row>
    <row r="1799" spans="1:11" x14ac:dyDescent="0.3">
      <c r="A1799" t="s">
        <v>11</v>
      </c>
      <c r="B1799" t="s">
        <v>36</v>
      </c>
      <c r="C1799" t="s">
        <v>228</v>
      </c>
      <c r="D1799" t="s">
        <v>613</v>
      </c>
      <c r="E1799" s="5">
        <v>45812.958333333343</v>
      </c>
      <c r="F1799">
        <v>28.2348927</v>
      </c>
      <c r="G1799">
        <v>77.868300199999993</v>
      </c>
      <c r="H1799" t="s">
        <v>776</v>
      </c>
      <c r="I1799">
        <v>37</v>
      </c>
      <c r="J1799">
        <v>65</v>
      </c>
      <c r="K1799">
        <v>41</v>
      </c>
    </row>
    <row r="1800" spans="1:11" x14ac:dyDescent="0.3">
      <c r="A1800" t="s">
        <v>11</v>
      </c>
      <c r="B1800" t="s">
        <v>36</v>
      </c>
      <c r="C1800" t="s">
        <v>229</v>
      </c>
      <c r="D1800" t="s">
        <v>614</v>
      </c>
      <c r="E1800" s="5">
        <v>45812.958333333343</v>
      </c>
      <c r="F1800">
        <v>26.766432999999999</v>
      </c>
      <c r="G1800">
        <v>80.927299000000005</v>
      </c>
      <c r="H1800" t="s">
        <v>771</v>
      </c>
      <c r="I1800">
        <v>53</v>
      </c>
      <c r="J1800">
        <v>231</v>
      </c>
      <c r="K1800">
        <v>113</v>
      </c>
    </row>
    <row r="1801" spans="1:11" x14ac:dyDescent="0.3">
      <c r="A1801" t="s">
        <v>11</v>
      </c>
      <c r="B1801" t="s">
        <v>36</v>
      </c>
      <c r="C1801" t="s">
        <v>223</v>
      </c>
      <c r="D1801" t="s">
        <v>607</v>
      </c>
      <c r="E1801" s="5">
        <v>45812.958333333343</v>
      </c>
      <c r="F1801">
        <v>28.557054000000001</v>
      </c>
      <c r="G1801">
        <v>77.453663000000006</v>
      </c>
      <c r="H1801" t="s">
        <v>771</v>
      </c>
    </row>
    <row r="1802" spans="1:11" x14ac:dyDescent="0.3">
      <c r="A1802" t="s">
        <v>11</v>
      </c>
      <c r="B1802" t="s">
        <v>36</v>
      </c>
      <c r="C1802" t="s">
        <v>223</v>
      </c>
      <c r="D1802" t="s">
        <v>607</v>
      </c>
      <c r="E1802" s="5">
        <v>45812.958333333343</v>
      </c>
      <c r="F1802">
        <v>28.557054000000001</v>
      </c>
      <c r="G1802">
        <v>77.453663000000006</v>
      </c>
      <c r="H1802" t="s">
        <v>773</v>
      </c>
      <c r="I1802">
        <v>7</v>
      </c>
      <c r="J1802">
        <v>13</v>
      </c>
      <c r="K1802">
        <v>10</v>
      </c>
    </row>
    <row r="1803" spans="1:11" x14ac:dyDescent="0.3">
      <c r="A1803" t="s">
        <v>11</v>
      </c>
      <c r="B1803" t="s">
        <v>36</v>
      </c>
      <c r="C1803" t="s">
        <v>223</v>
      </c>
      <c r="D1803" t="s">
        <v>607</v>
      </c>
      <c r="E1803" s="5">
        <v>45812.958333333343</v>
      </c>
      <c r="F1803">
        <v>28.557054000000001</v>
      </c>
      <c r="G1803">
        <v>77.453663000000006</v>
      </c>
      <c r="H1803" t="s">
        <v>774</v>
      </c>
      <c r="I1803">
        <v>12</v>
      </c>
      <c r="J1803">
        <v>41</v>
      </c>
      <c r="K1803">
        <v>27</v>
      </c>
    </row>
    <row r="1804" spans="1:11" x14ac:dyDescent="0.3">
      <c r="A1804" t="s">
        <v>11</v>
      </c>
      <c r="B1804" t="s">
        <v>36</v>
      </c>
      <c r="C1804" t="s">
        <v>229</v>
      </c>
      <c r="D1804" t="s">
        <v>614</v>
      </c>
      <c r="E1804" s="5">
        <v>45812.958333333343</v>
      </c>
      <c r="F1804">
        <v>26.766432999999999</v>
      </c>
      <c r="G1804">
        <v>80.927299000000005</v>
      </c>
      <c r="H1804" t="s">
        <v>774</v>
      </c>
      <c r="I1804">
        <v>24</v>
      </c>
      <c r="J1804">
        <v>35</v>
      </c>
      <c r="K1804">
        <v>29</v>
      </c>
    </row>
    <row r="1805" spans="1:11" x14ac:dyDescent="0.3">
      <c r="A1805" t="s">
        <v>11</v>
      </c>
      <c r="B1805" t="s">
        <v>36</v>
      </c>
      <c r="C1805" t="s">
        <v>229</v>
      </c>
      <c r="D1805" t="s">
        <v>614</v>
      </c>
      <c r="E1805" s="5">
        <v>45812.958333333343</v>
      </c>
      <c r="F1805">
        <v>26.766432999999999</v>
      </c>
      <c r="G1805">
        <v>80.927299000000005</v>
      </c>
      <c r="H1805" t="s">
        <v>772</v>
      </c>
      <c r="I1805">
        <v>12</v>
      </c>
      <c r="J1805">
        <v>13</v>
      </c>
      <c r="K1805">
        <v>12</v>
      </c>
    </row>
    <row r="1806" spans="1:11" x14ac:dyDescent="0.3">
      <c r="A1806" t="s">
        <v>11</v>
      </c>
      <c r="B1806" t="s">
        <v>36</v>
      </c>
      <c r="C1806" t="s">
        <v>218</v>
      </c>
      <c r="D1806" t="s">
        <v>595</v>
      </c>
      <c r="E1806" s="5">
        <v>45812.958333333343</v>
      </c>
      <c r="F1806">
        <v>28.359580999999999</v>
      </c>
      <c r="G1806">
        <v>79.414455000000004</v>
      </c>
      <c r="H1806" t="s">
        <v>773</v>
      </c>
      <c r="I1806">
        <v>1</v>
      </c>
      <c r="J1806">
        <v>2</v>
      </c>
      <c r="K1806">
        <v>1</v>
      </c>
    </row>
    <row r="1807" spans="1:11" x14ac:dyDescent="0.3">
      <c r="A1807" t="s">
        <v>11</v>
      </c>
      <c r="B1807" t="s">
        <v>36</v>
      </c>
      <c r="C1807" t="s">
        <v>231</v>
      </c>
      <c r="D1807" t="s">
        <v>618</v>
      </c>
      <c r="E1807" s="5">
        <v>45812.958333333343</v>
      </c>
      <c r="F1807">
        <v>28.835260000000002</v>
      </c>
      <c r="G1807">
        <v>78.744600000000005</v>
      </c>
      <c r="H1807" t="s">
        <v>776</v>
      </c>
      <c r="I1807">
        <v>42</v>
      </c>
      <c r="J1807">
        <v>79</v>
      </c>
      <c r="K1807">
        <v>76</v>
      </c>
    </row>
    <row r="1808" spans="1:11" x14ac:dyDescent="0.3">
      <c r="A1808" t="s">
        <v>11</v>
      </c>
      <c r="B1808" t="s">
        <v>36</v>
      </c>
      <c r="C1808" t="s">
        <v>231</v>
      </c>
      <c r="D1808" t="s">
        <v>619</v>
      </c>
      <c r="E1808" s="5">
        <v>45812.958333333343</v>
      </c>
      <c r="F1808">
        <v>28.840738999999999</v>
      </c>
      <c r="G1808">
        <v>78.697530999999998</v>
      </c>
      <c r="H1808" t="s">
        <v>771</v>
      </c>
      <c r="I1808">
        <v>40</v>
      </c>
      <c r="J1808">
        <v>208</v>
      </c>
      <c r="K1808">
        <v>93</v>
      </c>
    </row>
    <row r="1809" spans="1:11" x14ac:dyDescent="0.3">
      <c r="A1809" t="s">
        <v>11</v>
      </c>
      <c r="B1809" t="s">
        <v>36</v>
      </c>
      <c r="C1809" t="s">
        <v>231</v>
      </c>
      <c r="D1809" t="s">
        <v>748</v>
      </c>
      <c r="E1809" s="5">
        <v>45812.958333333343</v>
      </c>
      <c r="F1809">
        <v>28.885280000000002</v>
      </c>
      <c r="G1809">
        <v>78.738799999999998</v>
      </c>
      <c r="H1809" t="s">
        <v>775</v>
      </c>
      <c r="I1809">
        <v>27</v>
      </c>
      <c r="J1809">
        <v>343</v>
      </c>
      <c r="K1809">
        <v>80</v>
      </c>
    </row>
    <row r="1810" spans="1:11" x14ac:dyDescent="0.3">
      <c r="A1810" t="s">
        <v>11</v>
      </c>
      <c r="B1810" t="s">
        <v>36</v>
      </c>
      <c r="C1810" t="s">
        <v>231</v>
      </c>
      <c r="D1810" t="s">
        <v>748</v>
      </c>
      <c r="E1810" s="5">
        <v>45812.958333333343</v>
      </c>
      <c r="F1810">
        <v>28.885280000000002</v>
      </c>
      <c r="G1810">
        <v>78.738799999999998</v>
      </c>
      <c r="H1810" t="s">
        <v>773</v>
      </c>
      <c r="I1810">
        <v>3</v>
      </c>
      <c r="J1810">
        <v>4</v>
      </c>
      <c r="K1810">
        <v>4</v>
      </c>
    </row>
    <row r="1811" spans="1:11" x14ac:dyDescent="0.3">
      <c r="A1811" t="s">
        <v>11</v>
      </c>
      <c r="B1811" t="s">
        <v>36</v>
      </c>
      <c r="C1811" t="s">
        <v>231</v>
      </c>
      <c r="D1811" t="s">
        <v>620</v>
      </c>
      <c r="E1811" s="5">
        <v>45812.958333333343</v>
      </c>
      <c r="F1811">
        <v>28.856663999999999</v>
      </c>
      <c r="G1811">
        <v>78.772638000000001</v>
      </c>
      <c r="H1811" t="s">
        <v>776</v>
      </c>
      <c r="I1811">
        <v>25</v>
      </c>
      <c r="J1811">
        <v>46</v>
      </c>
      <c r="K1811">
        <v>38</v>
      </c>
    </row>
    <row r="1812" spans="1:11" x14ac:dyDescent="0.3">
      <c r="A1812" t="s">
        <v>11</v>
      </c>
      <c r="B1812" t="s">
        <v>36</v>
      </c>
      <c r="C1812" t="s">
        <v>231</v>
      </c>
      <c r="D1812" t="s">
        <v>749</v>
      </c>
      <c r="E1812" s="5">
        <v>45812.958333333343</v>
      </c>
      <c r="F1812">
        <v>28.849398999999998</v>
      </c>
      <c r="G1812">
        <v>78.742362</v>
      </c>
      <c r="H1812" t="s">
        <v>770</v>
      </c>
      <c r="I1812">
        <v>19</v>
      </c>
      <c r="J1812">
        <v>122</v>
      </c>
      <c r="K1812">
        <v>55</v>
      </c>
    </row>
    <row r="1813" spans="1:11" x14ac:dyDescent="0.3">
      <c r="A1813" t="s">
        <v>11</v>
      </c>
      <c r="B1813" t="s">
        <v>36</v>
      </c>
      <c r="C1813" t="s">
        <v>229</v>
      </c>
      <c r="D1813" t="s">
        <v>615</v>
      </c>
      <c r="E1813" s="5">
        <v>45812.958333333343</v>
      </c>
      <c r="F1813">
        <v>26.907229999999998</v>
      </c>
      <c r="G1813">
        <v>80.985789999999994</v>
      </c>
      <c r="H1813" t="s">
        <v>771</v>
      </c>
      <c r="I1813">
        <v>41</v>
      </c>
      <c r="J1813">
        <v>220</v>
      </c>
      <c r="K1813">
        <v>70</v>
      </c>
    </row>
    <row r="1814" spans="1:11" x14ac:dyDescent="0.3">
      <c r="A1814" t="s">
        <v>11</v>
      </c>
      <c r="B1814" t="s">
        <v>36</v>
      </c>
      <c r="C1814" t="s">
        <v>229</v>
      </c>
      <c r="D1814" t="s">
        <v>615</v>
      </c>
      <c r="E1814" s="5">
        <v>45812.958333333343</v>
      </c>
      <c r="F1814">
        <v>26.907229999999998</v>
      </c>
      <c r="G1814">
        <v>80.985789999999994</v>
      </c>
      <c r="H1814" t="s">
        <v>776</v>
      </c>
      <c r="I1814">
        <v>8</v>
      </c>
      <c r="J1814">
        <v>26</v>
      </c>
      <c r="K1814">
        <v>16</v>
      </c>
    </row>
    <row r="1815" spans="1:11" x14ac:dyDescent="0.3">
      <c r="A1815" t="s">
        <v>11</v>
      </c>
      <c r="B1815" t="s">
        <v>36</v>
      </c>
      <c r="C1815" t="s">
        <v>229</v>
      </c>
      <c r="D1815" t="s">
        <v>616</v>
      </c>
      <c r="E1815" s="5">
        <v>45812.958333333343</v>
      </c>
      <c r="F1815">
        <v>26.833997220000001</v>
      </c>
      <c r="G1815">
        <v>80.891736100000003</v>
      </c>
      <c r="H1815" t="s">
        <v>775</v>
      </c>
      <c r="I1815">
        <v>72</v>
      </c>
      <c r="J1815">
        <v>238</v>
      </c>
      <c r="K1815">
        <v>136</v>
      </c>
    </row>
    <row r="1816" spans="1:11" x14ac:dyDescent="0.3">
      <c r="A1816" t="s">
        <v>11</v>
      </c>
      <c r="B1816" t="s">
        <v>36</v>
      </c>
      <c r="C1816" t="s">
        <v>230</v>
      </c>
      <c r="D1816" t="s">
        <v>617</v>
      </c>
      <c r="E1816" s="5">
        <v>45812.958333333343</v>
      </c>
      <c r="F1816">
        <v>28.999264</v>
      </c>
      <c r="G1816">
        <v>77.759035400000002</v>
      </c>
      <c r="H1816" t="s">
        <v>773</v>
      </c>
      <c r="I1816">
        <v>9</v>
      </c>
      <c r="J1816">
        <v>13</v>
      </c>
      <c r="K1816">
        <v>10</v>
      </c>
    </row>
    <row r="1817" spans="1:11" x14ac:dyDescent="0.3">
      <c r="A1817" t="s">
        <v>11</v>
      </c>
      <c r="B1817" t="s">
        <v>36</v>
      </c>
      <c r="C1817" t="s">
        <v>230</v>
      </c>
      <c r="D1817" t="s">
        <v>617</v>
      </c>
      <c r="E1817" s="5">
        <v>45812.958333333343</v>
      </c>
      <c r="F1817">
        <v>28.999264</v>
      </c>
      <c r="G1817">
        <v>77.759035400000002</v>
      </c>
      <c r="H1817" t="s">
        <v>774</v>
      </c>
      <c r="I1817">
        <v>8</v>
      </c>
      <c r="J1817">
        <v>50</v>
      </c>
      <c r="K1817">
        <v>27</v>
      </c>
    </row>
    <row r="1818" spans="1:11" x14ac:dyDescent="0.3">
      <c r="A1818" t="s">
        <v>11</v>
      </c>
      <c r="B1818" t="s">
        <v>36</v>
      </c>
      <c r="C1818" t="s">
        <v>229</v>
      </c>
      <c r="D1818" t="s">
        <v>621</v>
      </c>
      <c r="E1818" s="5">
        <v>45812.958333333343</v>
      </c>
      <c r="F1818">
        <v>26.868120000000001</v>
      </c>
      <c r="G1818">
        <v>81.005118999999993</v>
      </c>
      <c r="H1818" t="s">
        <v>772</v>
      </c>
      <c r="I1818">
        <v>9</v>
      </c>
      <c r="J1818">
        <v>12</v>
      </c>
      <c r="K1818">
        <v>10</v>
      </c>
    </row>
    <row r="1819" spans="1:11" x14ac:dyDescent="0.3">
      <c r="A1819" t="s">
        <v>11</v>
      </c>
      <c r="B1819" t="s">
        <v>36</v>
      </c>
      <c r="C1819" t="s">
        <v>229</v>
      </c>
      <c r="D1819" t="s">
        <v>622</v>
      </c>
      <c r="E1819" s="5">
        <v>45812.958333333343</v>
      </c>
      <c r="F1819">
        <v>26.906110999999999</v>
      </c>
      <c r="G1819">
        <v>80.948222000000001</v>
      </c>
      <c r="H1819" t="s">
        <v>775</v>
      </c>
      <c r="I1819">
        <v>51</v>
      </c>
      <c r="J1819">
        <v>335</v>
      </c>
      <c r="K1819">
        <v>165</v>
      </c>
    </row>
    <row r="1820" spans="1:11" x14ac:dyDescent="0.3">
      <c r="A1820" t="s">
        <v>11</v>
      </c>
      <c r="B1820" t="s">
        <v>36</v>
      </c>
      <c r="C1820" t="s">
        <v>229</v>
      </c>
      <c r="D1820" t="s">
        <v>622</v>
      </c>
      <c r="E1820" s="5">
        <v>45812.958333333343</v>
      </c>
      <c r="F1820">
        <v>26.906110999999999</v>
      </c>
      <c r="G1820">
        <v>80.948222000000001</v>
      </c>
      <c r="H1820" t="s">
        <v>773</v>
      </c>
      <c r="I1820">
        <v>3</v>
      </c>
      <c r="J1820">
        <v>20</v>
      </c>
      <c r="K1820">
        <v>14</v>
      </c>
    </row>
    <row r="1821" spans="1:11" x14ac:dyDescent="0.3">
      <c r="A1821" t="s">
        <v>11</v>
      </c>
      <c r="B1821" t="s">
        <v>36</v>
      </c>
      <c r="C1821" t="s">
        <v>233</v>
      </c>
      <c r="D1821" t="s">
        <v>746</v>
      </c>
      <c r="E1821" s="5">
        <v>45812.958333333343</v>
      </c>
      <c r="F1821">
        <v>25.494</v>
      </c>
      <c r="G1821">
        <v>81.863</v>
      </c>
      <c r="H1821" t="s">
        <v>774</v>
      </c>
      <c r="I1821">
        <v>17</v>
      </c>
      <c r="J1821">
        <v>105</v>
      </c>
      <c r="K1821">
        <v>36</v>
      </c>
    </row>
    <row r="1822" spans="1:11" x14ac:dyDescent="0.3">
      <c r="A1822" t="s">
        <v>11</v>
      </c>
      <c r="B1822" t="s">
        <v>36</v>
      </c>
      <c r="C1822" t="s">
        <v>233</v>
      </c>
      <c r="D1822" t="s">
        <v>746</v>
      </c>
      <c r="E1822" s="5">
        <v>45812.958333333343</v>
      </c>
      <c r="F1822">
        <v>25.494</v>
      </c>
      <c r="G1822">
        <v>81.863</v>
      </c>
      <c r="H1822" t="s">
        <v>776</v>
      </c>
      <c r="I1822">
        <v>12</v>
      </c>
      <c r="J1822">
        <v>42</v>
      </c>
      <c r="K1822">
        <v>19</v>
      </c>
    </row>
    <row r="1823" spans="1:11" x14ac:dyDescent="0.3">
      <c r="A1823" t="s">
        <v>11</v>
      </c>
      <c r="B1823" t="s">
        <v>36</v>
      </c>
      <c r="C1823" t="s">
        <v>233</v>
      </c>
      <c r="D1823" t="s">
        <v>747</v>
      </c>
      <c r="E1823" s="5">
        <v>45812.958333333343</v>
      </c>
      <c r="F1823">
        <v>25.449199159999999</v>
      </c>
      <c r="G1823">
        <v>81.827359860000001</v>
      </c>
      <c r="H1823" t="s">
        <v>774</v>
      </c>
      <c r="I1823">
        <v>45</v>
      </c>
      <c r="J1823">
        <v>78</v>
      </c>
      <c r="K1823">
        <v>54</v>
      </c>
    </row>
    <row r="1824" spans="1:11" x14ac:dyDescent="0.3">
      <c r="A1824" t="s">
        <v>11</v>
      </c>
      <c r="B1824" t="s">
        <v>36</v>
      </c>
      <c r="C1824" t="s">
        <v>233</v>
      </c>
      <c r="D1824" t="s">
        <v>747</v>
      </c>
      <c r="E1824" s="5">
        <v>45812.958333333343</v>
      </c>
      <c r="F1824">
        <v>25.449199159999999</v>
      </c>
      <c r="G1824">
        <v>81.827359860000001</v>
      </c>
      <c r="H1824" t="s">
        <v>770</v>
      </c>
      <c r="I1824">
        <v>11</v>
      </c>
      <c r="J1824">
        <v>27</v>
      </c>
      <c r="K1824">
        <v>12</v>
      </c>
    </row>
    <row r="1825" spans="1:11" x14ac:dyDescent="0.3">
      <c r="A1825" t="s">
        <v>11</v>
      </c>
      <c r="B1825" t="s">
        <v>36</v>
      </c>
      <c r="C1825" t="s">
        <v>234</v>
      </c>
      <c r="D1825" t="s">
        <v>644</v>
      </c>
      <c r="E1825" s="5">
        <v>45812.958333333343</v>
      </c>
      <c r="F1825">
        <v>25.350598600000001</v>
      </c>
      <c r="G1825">
        <v>82.908307399999998</v>
      </c>
      <c r="H1825" t="s">
        <v>772</v>
      </c>
      <c r="I1825">
        <v>14</v>
      </c>
      <c r="J1825">
        <v>46</v>
      </c>
      <c r="K1825">
        <v>27</v>
      </c>
    </row>
    <row r="1826" spans="1:11" x14ac:dyDescent="0.3">
      <c r="A1826" t="s">
        <v>11</v>
      </c>
      <c r="B1826" t="s">
        <v>36</v>
      </c>
      <c r="C1826" t="s">
        <v>229</v>
      </c>
      <c r="D1826" t="s">
        <v>614</v>
      </c>
      <c r="E1826" s="5">
        <v>45812.958333333343</v>
      </c>
      <c r="F1826">
        <v>26.766432999999999</v>
      </c>
      <c r="G1826">
        <v>80.927299000000005</v>
      </c>
      <c r="H1826" t="s">
        <v>776</v>
      </c>
      <c r="I1826">
        <v>9</v>
      </c>
      <c r="J1826">
        <v>44</v>
      </c>
      <c r="K1826">
        <v>16</v>
      </c>
    </row>
    <row r="1827" spans="1:11" x14ac:dyDescent="0.3">
      <c r="A1827" t="s">
        <v>11</v>
      </c>
      <c r="B1827" t="s">
        <v>36</v>
      </c>
      <c r="C1827" t="s">
        <v>229</v>
      </c>
      <c r="D1827" t="s">
        <v>621</v>
      </c>
      <c r="E1827" s="5">
        <v>45812.958333333343</v>
      </c>
      <c r="F1827">
        <v>26.868120000000001</v>
      </c>
      <c r="G1827">
        <v>81.005118999999993</v>
      </c>
      <c r="H1827" t="s">
        <v>771</v>
      </c>
      <c r="I1827">
        <v>34</v>
      </c>
      <c r="J1827">
        <v>111</v>
      </c>
      <c r="K1827">
        <v>64</v>
      </c>
    </row>
    <row r="1828" spans="1:11" x14ac:dyDescent="0.3">
      <c r="A1828" t="s">
        <v>11</v>
      </c>
      <c r="B1828" t="s">
        <v>36</v>
      </c>
      <c r="C1828" t="s">
        <v>230</v>
      </c>
      <c r="D1828" t="s">
        <v>623</v>
      </c>
      <c r="E1828" s="5">
        <v>45812.958333333343</v>
      </c>
      <c r="F1828">
        <v>29.063510000000001</v>
      </c>
      <c r="G1828">
        <v>77.709722999999997</v>
      </c>
      <c r="H1828" t="s">
        <v>771</v>
      </c>
      <c r="I1828">
        <v>74</v>
      </c>
      <c r="J1828">
        <v>275</v>
      </c>
      <c r="K1828">
        <v>144</v>
      </c>
    </row>
    <row r="1829" spans="1:11" x14ac:dyDescent="0.3">
      <c r="A1829" t="s">
        <v>11</v>
      </c>
      <c r="B1829" t="s">
        <v>36</v>
      </c>
      <c r="C1829" t="s">
        <v>230</v>
      </c>
      <c r="D1829" t="s">
        <v>623</v>
      </c>
      <c r="E1829" s="5">
        <v>45812.958333333343</v>
      </c>
      <c r="F1829">
        <v>29.063510000000001</v>
      </c>
      <c r="G1829">
        <v>77.709722999999997</v>
      </c>
      <c r="H1829" t="s">
        <v>772</v>
      </c>
      <c r="I1829">
        <v>14</v>
      </c>
      <c r="J1829">
        <v>78</v>
      </c>
      <c r="K1829">
        <v>31</v>
      </c>
    </row>
    <row r="1830" spans="1:11" x14ac:dyDescent="0.3">
      <c r="A1830" t="s">
        <v>11</v>
      </c>
      <c r="B1830" t="s">
        <v>36</v>
      </c>
      <c r="C1830" t="s">
        <v>231</v>
      </c>
      <c r="D1830" t="s">
        <v>626</v>
      </c>
      <c r="E1830" s="5">
        <v>45812.958333333343</v>
      </c>
      <c r="F1830">
        <v>28.802624999999999</v>
      </c>
      <c r="G1830">
        <v>78.753727999999995</v>
      </c>
      <c r="H1830" t="s">
        <v>776</v>
      </c>
      <c r="I1830">
        <v>2</v>
      </c>
      <c r="J1830">
        <v>100</v>
      </c>
      <c r="K1830">
        <v>65</v>
      </c>
    </row>
    <row r="1831" spans="1:11" x14ac:dyDescent="0.3">
      <c r="A1831" t="s">
        <v>11</v>
      </c>
      <c r="B1831" t="s">
        <v>36</v>
      </c>
      <c r="C1831" t="s">
        <v>232</v>
      </c>
      <c r="D1831" t="s">
        <v>627</v>
      </c>
      <c r="E1831" s="5">
        <v>45812.958333333343</v>
      </c>
      <c r="F1831">
        <v>28.569230000000001</v>
      </c>
      <c r="G1831">
        <v>77.393848000000006</v>
      </c>
      <c r="H1831" t="s">
        <v>772</v>
      </c>
      <c r="I1831">
        <v>28</v>
      </c>
      <c r="J1831">
        <v>196</v>
      </c>
      <c r="K1831">
        <v>109</v>
      </c>
    </row>
    <row r="1832" spans="1:11" x14ac:dyDescent="0.3">
      <c r="A1832" t="s">
        <v>11</v>
      </c>
      <c r="B1832" t="s">
        <v>38</v>
      </c>
      <c r="C1832" t="s">
        <v>241</v>
      </c>
      <c r="D1832" t="s">
        <v>636</v>
      </c>
      <c r="E1832" s="5">
        <v>45812.958333333343</v>
      </c>
      <c r="F1832">
        <v>23.697935999999999</v>
      </c>
      <c r="G1832">
        <v>86.944395</v>
      </c>
      <c r="H1832" t="s">
        <v>771</v>
      </c>
      <c r="I1832">
        <v>92</v>
      </c>
      <c r="J1832">
        <v>254</v>
      </c>
      <c r="K1832">
        <v>152</v>
      </c>
    </row>
    <row r="1833" spans="1:11" x14ac:dyDescent="0.3">
      <c r="A1833" t="s">
        <v>11</v>
      </c>
      <c r="B1833" t="s">
        <v>38</v>
      </c>
      <c r="C1833" t="s">
        <v>241</v>
      </c>
      <c r="D1833" t="s">
        <v>752</v>
      </c>
      <c r="E1833" s="5">
        <v>45812.958333333343</v>
      </c>
      <c r="F1833">
        <v>23.618182999999998</v>
      </c>
      <c r="G1833">
        <v>87.105717999999996</v>
      </c>
      <c r="H1833" t="s">
        <v>771</v>
      </c>
      <c r="I1833">
        <v>39</v>
      </c>
      <c r="J1833">
        <v>117</v>
      </c>
      <c r="K1833">
        <v>93</v>
      </c>
    </row>
    <row r="1834" spans="1:11" x14ac:dyDescent="0.3">
      <c r="A1834" t="s">
        <v>11</v>
      </c>
      <c r="B1834" t="s">
        <v>38</v>
      </c>
      <c r="C1834" t="s">
        <v>241</v>
      </c>
      <c r="D1834" t="s">
        <v>753</v>
      </c>
      <c r="E1834" s="5">
        <v>45812.958333333343</v>
      </c>
      <c r="F1834">
        <v>23.616515</v>
      </c>
      <c r="G1834">
        <v>87.119133000000005</v>
      </c>
      <c r="H1834" t="s">
        <v>774</v>
      </c>
      <c r="I1834">
        <v>10</v>
      </c>
      <c r="J1834">
        <v>73</v>
      </c>
      <c r="K1834">
        <v>32</v>
      </c>
    </row>
    <row r="1835" spans="1:11" x14ac:dyDescent="0.3">
      <c r="A1835" t="s">
        <v>11</v>
      </c>
      <c r="B1835" t="s">
        <v>38</v>
      </c>
      <c r="C1835" t="s">
        <v>241</v>
      </c>
      <c r="D1835" t="s">
        <v>753</v>
      </c>
      <c r="E1835" s="5">
        <v>45812.958333333343</v>
      </c>
      <c r="F1835">
        <v>23.616515</v>
      </c>
      <c r="G1835">
        <v>87.119133000000005</v>
      </c>
      <c r="H1835" t="s">
        <v>770</v>
      </c>
      <c r="I1835">
        <v>20</v>
      </c>
      <c r="J1835">
        <v>125</v>
      </c>
      <c r="K1835">
        <v>85</v>
      </c>
    </row>
    <row r="1836" spans="1:11" x14ac:dyDescent="0.3">
      <c r="A1836" t="s">
        <v>11</v>
      </c>
      <c r="B1836" t="s">
        <v>38</v>
      </c>
      <c r="C1836" t="s">
        <v>242</v>
      </c>
      <c r="D1836" t="s">
        <v>637</v>
      </c>
      <c r="E1836" s="5">
        <v>45812.958333333343</v>
      </c>
      <c r="F1836">
        <v>22.760558100000001</v>
      </c>
      <c r="G1836">
        <v>88.361758899999998</v>
      </c>
      <c r="H1836" t="s">
        <v>772</v>
      </c>
      <c r="I1836">
        <v>8</v>
      </c>
      <c r="J1836">
        <v>23</v>
      </c>
      <c r="K1836">
        <v>16</v>
      </c>
    </row>
    <row r="1837" spans="1:11" x14ac:dyDescent="0.3">
      <c r="A1837" t="s">
        <v>11</v>
      </c>
      <c r="B1837" t="s">
        <v>38</v>
      </c>
      <c r="C1837" t="s">
        <v>238</v>
      </c>
      <c r="D1837" t="s">
        <v>638</v>
      </c>
      <c r="E1837" s="5">
        <v>45812.958333333343</v>
      </c>
      <c r="F1837">
        <v>23.567923</v>
      </c>
      <c r="G1837">
        <v>87.306843000000001</v>
      </c>
      <c r="H1837" t="s">
        <v>773</v>
      </c>
      <c r="I1837">
        <v>3</v>
      </c>
      <c r="J1837">
        <v>4</v>
      </c>
      <c r="K1837">
        <v>3</v>
      </c>
    </row>
    <row r="1838" spans="1:11" x14ac:dyDescent="0.3">
      <c r="A1838" t="s">
        <v>11</v>
      </c>
      <c r="B1838" t="s">
        <v>38</v>
      </c>
      <c r="C1838" t="s">
        <v>238</v>
      </c>
      <c r="D1838" t="s">
        <v>638</v>
      </c>
      <c r="E1838" s="5">
        <v>45812.958333333343</v>
      </c>
      <c r="F1838">
        <v>23.567923</v>
      </c>
      <c r="G1838">
        <v>87.306843000000001</v>
      </c>
      <c r="H1838" t="s">
        <v>774</v>
      </c>
      <c r="I1838">
        <v>7</v>
      </c>
      <c r="J1838">
        <v>51</v>
      </c>
      <c r="K1838">
        <v>21</v>
      </c>
    </row>
    <row r="1839" spans="1:11" x14ac:dyDescent="0.3">
      <c r="A1839" t="s">
        <v>11</v>
      </c>
      <c r="B1839" t="s">
        <v>38</v>
      </c>
      <c r="C1839" t="s">
        <v>240</v>
      </c>
      <c r="D1839" t="s">
        <v>635</v>
      </c>
      <c r="E1839" s="5">
        <v>45812.958333333343</v>
      </c>
      <c r="F1839">
        <v>22.629801</v>
      </c>
      <c r="G1839">
        <v>88.352017000000004</v>
      </c>
      <c r="H1839" t="s">
        <v>776</v>
      </c>
      <c r="I1839">
        <v>2</v>
      </c>
      <c r="J1839">
        <v>8</v>
      </c>
      <c r="K1839">
        <v>2</v>
      </c>
    </row>
    <row r="1840" spans="1:11" x14ac:dyDescent="0.3">
      <c r="A1840" t="s">
        <v>11</v>
      </c>
      <c r="B1840" t="s">
        <v>38</v>
      </c>
      <c r="C1840" t="s">
        <v>240</v>
      </c>
      <c r="D1840" t="s">
        <v>639</v>
      </c>
      <c r="E1840" s="5">
        <v>45812.958333333343</v>
      </c>
      <c r="F1840">
        <v>22.554953999999999</v>
      </c>
      <c r="G1840">
        <v>88.292568000000003</v>
      </c>
      <c r="H1840" t="s">
        <v>775</v>
      </c>
      <c r="I1840">
        <v>24</v>
      </c>
      <c r="J1840">
        <v>67</v>
      </c>
      <c r="K1840">
        <v>52</v>
      </c>
    </row>
    <row r="1841" spans="1:11" x14ac:dyDescent="0.3">
      <c r="A1841" t="s">
        <v>11</v>
      </c>
      <c r="B1841" t="s">
        <v>38</v>
      </c>
      <c r="C1841" t="s">
        <v>240</v>
      </c>
      <c r="D1841" t="s">
        <v>640</v>
      </c>
      <c r="E1841" s="5">
        <v>45812.958333333343</v>
      </c>
      <c r="F1841">
        <v>22.602557099999999</v>
      </c>
      <c r="G1841">
        <v>88.310566399999999</v>
      </c>
      <c r="H1841" t="s">
        <v>772</v>
      </c>
      <c r="I1841">
        <v>6</v>
      </c>
      <c r="J1841">
        <v>39</v>
      </c>
      <c r="K1841">
        <v>18</v>
      </c>
    </row>
    <row r="1842" spans="1:11" x14ac:dyDescent="0.3">
      <c r="A1842" t="s">
        <v>11</v>
      </c>
      <c r="B1842" t="s">
        <v>38</v>
      </c>
      <c r="C1842" t="s">
        <v>240</v>
      </c>
      <c r="D1842" t="s">
        <v>754</v>
      </c>
      <c r="E1842" s="5">
        <v>45812.958333333343</v>
      </c>
      <c r="F1842">
        <v>22.611968000000001</v>
      </c>
      <c r="G1842">
        <v>88.347421999999995</v>
      </c>
      <c r="H1842" t="s">
        <v>775</v>
      </c>
      <c r="I1842">
        <v>29</v>
      </c>
      <c r="J1842">
        <v>122</v>
      </c>
      <c r="K1842">
        <v>69</v>
      </c>
    </row>
    <row r="1843" spans="1:11" x14ac:dyDescent="0.3">
      <c r="A1843" t="s">
        <v>11</v>
      </c>
      <c r="B1843" t="s">
        <v>38</v>
      </c>
      <c r="C1843" t="s">
        <v>240</v>
      </c>
      <c r="D1843" t="s">
        <v>754</v>
      </c>
      <c r="E1843" s="5">
        <v>45812.958333333343</v>
      </c>
      <c r="F1843">
        <v>22.611968000000001</v>
      </c>
      <c r="G1843">
        <v>88.347421999999995</v>
      </c>
      <c r="H1843" t="s">
        <v>774</v>
      </c>
      <c r="I1843">
        <v>10</v>
      </c>
      <c r="J1843">
        <v>12</v>
      </c>
      <c r="K1843">
        <v>10</v>
      </c>
    </row>
    <row r="1844" spans="1:11" x14ac:dyDescent="0.3">
      <c r="A1844" t="s">
        <v>11</v>
      </c>
      <c r="B1844" t="s">
        <v>36</v>
      </c>
      <c r="C1844" t="s">
        <v>235</v>
      </c>
      <c r="D1844" t="s">
        <v>630</v>
      </c>
      <c r="E1844" s="5">
        <v>45812.958333333343</v>
      </c>
      <c r="F1844">
        <v>27.571408999999999</v>
      </c>
      <c r="G1844">
        <v>77.655756999999994</v>
      </c>
      <c r="H1844" t="s">
        <v>771</v>
      </c>
      <c r="I1844">
        <v>28</v>
      </c>
      <c r="J1844">
        <v>128</v>
      </c>
      <c r="K1844">
        <v>72</v>
      </c>
    </row>
    <row r="1845" spans="1:11" x14ac:dyDescent="0.3">
      <c r="A1845" t="s">
        <v>11</v>
      </c>
      <c r="B1845" t="s">
        <v>37</v>
      </c>
      <c r="C1845" t="s">
        <v>236</v>
      </c>
      <c r="D1845" t="s">
        <v>631</v>
      </c>
      <c r="E1845" s="5">
        <v>45812.958333333343</v>
      </c>
      <c r="F1845">
        <v>30.269444</v>
      </c>
      <c r="G1845">
        <v>78.044167000000002</v>
      </c>
      <c r="H1845" t="s">
        <v>775</v>
      </c>
      <c r="I1845">
        <v>48</v>
      </c>
      <c r="J1845">
        <v>127</v>
      </c>
      <c r="K1845">
        <v>79</v>
      </c>
    </row>
    <row r="1846" spans="1:11" x14ac:dyDescent="0.3">
      <c r="A1846" t="s">
        <v>11</v>
      </c>
      <c r="B1846" t="s">
        <v>37</v>
      </c>
      <c r="C1846" t="s">
        <v>236</v>
      </c>
      <c r="D1846" t="s">
        <v>631</v>
      </c>
      <c r="E1846" s="5">
        <v>45812.958333333343</v>
      </c>
      <c r="F1846">
        <v>30.269444</v>
      </c>
      <c r="G1846">
        <v>78.044167000000002</v>
      </c>
      <c r="H1846" t="s">
        <v>774</v>
      </c>
      <c r="I1846">
        <v>1</v>
      </c>
      <c r="J1846">
        <v>7</v>
      </c>
      <c r="K1846">
        <v>2</v>
      </c>
    </row>
    <row r="1847" spans="1:11" x14ac:dyDescent="0.3">
      <c r="A1847" t="s">
        <v>11</v>
      </c>
      <c r="B1847" t="s">
        <v>37</v>
      </c>
      <c r="C1847" t="s">
        <v>237</v>
      </c>
      <c r="D1847" t="s">
        <v>632</v>
      </c>
      <c r="E1847" s="5">
        <v>45812.958333333343</v>
      </c>
      <c r="F1847">
        <v>29.212411400000001</v>
      </c>
      <c r="G1847">
        <v>78.961175299999994</v>
      </c>
      <c r="H1847" t="s">
        <v>772</v>
      </c>
      <c r="I1847">
        <v>6</v>
      </c>
      <c r="J1847">
        <v>35</v>
      </c>
      <c r="K1847">
        <v>14</v>
      </c>
    </row>
    <row r="1848" spans="1:11" x14ac:dyDescent="0.3">
      <c r="A1848" t="s">
        <v>11</v>
      </c>
      <c r="B1848" t="s">
        <v>37</v>
      </c>
      <c r="C1848" t="s">
        <v>288</v>
      </c>
      <c r="D1848" t="s">
        <v>756</v>
      </c>
      <c r="E1848" s="5">
        <v>45812.958333333343</v>
      </c>
      <c r="F1848">
        <v>30.075911000000001</v>
      </c>
      <c r="G1848">
        <v>78.285954700000005</v>
      </c>
      <c r="H1848" t="s">
        <v>773</v>
      </c>
      <c r="I1848">
        <v>9</v>
      </c>
      <c r="J1848">
        <v>12</v>
      </c>
      <c r="K1848">
        <v>10</v>
      </c>
    </row>
    <row r="1849" spans="1:11" x14ac:dyDescent="0.3">
      <c r="A1849" t="s">
        <v>11</v>
      </c>
      <c r="B1849" t="s">
        <v>38</v>
      </c>
      <c r="C1849" t="s">
        <v>239</v>
      </c>
      <c r="D1849" t="s">
        <v>634</v>
      </c>
      <c r="E1849" s="5">
        <v>45812.958333333343</v>
      </c>
      <c r="F1849">
        <v>22.060469999999999</v>
      </c>
      <c r="G1849">
        <v>88.109736999999996</v>
      </c>
      <c r="H1849" t="s">
        <v>770</v>
      </c>
      <c r="I1849">
        <v>23</v>
      </c>
      <c r="J1849">
        <v>25</v>
      </c>
      <c r="K1849">
        <v>24</v>
      </c>
    </row>
    <row r="1850" spans="1:11" x14ac:dyDescent="0.3">
      <c r="A1850" t="s">
        <v>11</v>
      </c>
      <c r="B1850" t="s">
        <v>38</v>
      </c>
      <c r="C1850" t="s">
        <v>240</v>
      </c>
      <c r="D1850" t="s">
        <v>635</v>
      </c>
      <c r="E1850" s="5">
        <v>45812.958333333343</v>
      </c>
      <c r="F1850">
        <v>22.629801</v>
      </c>
      <c r="G1850">
        <v>88.352017000000004</v>
      </c>
      <c r="H1850" t="s">
        <v>772</v>
      </c>
      <c r="I1850">
        <v>34</v>
      </c>
      <c r="J1850">
        <v>36</v>
      </c>
      <c r="K1850">
        <v>35</v>
      </c>
    </row>
    <row r="1851" spans="1:11" x14ac:dyDescent="0.3">
      <c r="A1851" t="s">
        <v>11</v>
      </c>
      <c r="B1851" t="s">
        <v>38</v>
      </c>
      <c r="C1851" t="s">
        <v>241</v>
      </c>
      <c r="D1851" t="s">
        <v>643</v>
      </c>
      <c r="E1851" s="5">
        <v>45812.958333333343</v>
      </c>
      <c r="F1851">
        <v>23.685296999999998</v>
      </c>
      <c r="G1851">
        <v>86.945967999999993</v>
      </c>
      <c r="H1851" t="s">
        <v>772</v>
      </c>
      <c r="I1851">
        <v>27</v>
      </c>
      <c r="J1851">
        <v>85</v>
      </c>
      <c r="K1851">
        <v>43</v>
      </c>
    </row>
    <row r="1852" spans="1:11" x14ac:dyDescent="0.3">
      <c r="A1852" t="s">
        <v>11</v>
      </c>
      <c r="B1852" t="s">
        <v>38</v>
      </c>
      <c r="C1852" t="s">
        <v>241</v>
      </c>
      <c r="D1852" t="s">
        <v>643</v>
      </c>
      <c r="E1852" s="5">
        <v>45812.958333333343</v>
      </c>
      <c r="F1852">
        <v>23.685296999999998</v>
      </c>
      <c r="G1852">
        <v>86.945967999999993</v>
      </c>
      <c r="H1852" t="s">
        <v>773</v>
      </c>
      <c r="I1852">
        <v>7</v>
      </c>
      <c r="J1852">
        <v>16</v>
      </c>
      <c r="K1852">
        <v>10</v>
      </c>
    </row>
    <row r="1853" spans="1:11" x14ac:dyDescent="0.3">
      <c r="A1853" t="s">
        <v>11</v>
      </c>
      <c r="B1853" t="s">
        <v>37</v>
      </c>
      <c r="C1853" t="s">
        <v>288</v>
      </c>
      <c r="D1853" t="s">
        <v>756</v>
      </c>
      <c r="E1853" s="5">
        <v>45812.958333333343</v>
      </c>
      <c r="F1853">
        <v>30.075911000000001</v>
      </c>
      <c r="G1853">
        <v>78.285954700000005</v>
      </c>
      <c r="H1853" t="s">
        <v>770</v>
      </c>
      <c r="I1853">
        <v>18</v>
      </c>
      <c r="J1853">
        <v>161</v>
      </c>
      <c r="K1853">
        <v>103</v>
      </c>
    </row>
    <row r="1854" spans="1:11" x14ac:dyDescent="0.3">
      <c r="A1854" t="s">
        <v>11</v>
      </c>
      <c r="B1854" t="s">
        <v>38</v>
      </c>
      <c r="C1854" t="s">
        <v>241</v>
      </c>
      <c r="D1854" t="s">
        <v>643</v>
      </c>
      <c r="E1854" s="5">
        <v>45812.958333333343</v>
      </c>
      <c r="F1854">
        <v>23.685296999999998</v>
      </c>
      <c r="G1854">
        <v>86.945967999999993</v>
      </c>
      <c r="H1854" t="s">
        <v>771</v>
      </c>
      <c r="I1854">
        <v>92</v>
      </c>
      <c r="J1854">
        <v>312</v>
      </c>
      <c r="K1854">
        <v>134</v>
      </c>
    </row>
    <row r="1855" spans="1:11" x14ac:dyDescent="0.3">
      <c r="A1855" t="s">
        <v>11</v>
      </c>
      <c r="B1855" t="s">
        <v>36</v>
      </c>
      <c r="C1855" t="s">
        <v>234</v>
      </c>
      <c r="D1855" t="s">
        <v>641</v>
      </c>
      <c r="E1855" s="5">
        <v>45812.958333333343</v>
      </c>
      <c r="F1855">
        <v>25.301777999999999</v>
      </c>
      <c r="G1855">
        <v>82.996789000000007</v>
      </c>
      <c r="H1855" t="s">
        <v>772</v>
      </c>
      <c r="I1855">
        <v>7</v>
      </c>
      <c r="J1855">
        <v>8</v>
      </c>
      <c r="K1855">
        <v>8</v>
      </c>
    </row>
    <row r="1856" spans="1:11" x14ac:dyDescent="0.3">
      <c r="A1856" t="s">
        <v>11</v>
      </c>
      <c r="B1856" t="s">
        <v>38</v>
      </c>
      <c r="C1856" t="s">
        <v>240</v>
      </c>
      <c r="D1856" t="s">
        <v>755</v>
      </c>
      <c r="E1856" s="5">
        <v>45812.958333333343</v>
      </c>
      <c r="F1856">
        <v>22.5687319</v>
      </c>
      <c r="G1856">
        <v>88.279727600000001</v>
      </c>
      <c r="H1856" t="s">
        <v>770</v>
      </c>
      <c r="I1856">
        <v>15</v>
      </c>
      <c r="J1856">
        <v>66</v>
      </c>
      <c r="K1856">
        <v>39</v>
      </c>
    </row>
    <row r="1857" spans="1:11" x14ac:dyDescent="0.3">
      <c r="A1857" t="s">
        <v>11</v>
      </c>
      <c r="B1857" t="s">
        <v>38</v>
      </c>
      <c r="C1857" t="s">
        <v>243</v>
      </c>
      <c r="D1857" t="s">
        <v>645</v>
      </c>
      <c r="E1857" s="5">
        <v>45812.958333333343</v>
      </c>
      <c r="F1857">
        <v>22.536750699999999</v>
      </c>
      <c r="G1857">
        <v>88.363802199999995</v>
      </c>
      <c r="H1857" t="s">
        <v>775</v>
      </c>
      <c r="I1857">
        <v>36</v>
      </c>
      <c r="J1857">
        <v>81</v>
      </c>
      <c r="K1857">
        <v>58</v>
      </c>
    </row>
    <row r="1858" spans="1:11" x14ac:dyDescent="0.3">
      <c r="A1858" t="s">
        <v>11</v>
      </c>
      <c r="B1858" t="s">
        <v>38</v>
      </c>
      <c r="C1858" t="s">
        <v>243</v>
      </c>
      <c r="D1858" t="s">
        <v>645</v>
      </c>
      <c r="E1858" s="5">
        <v>45812.958333333343</v>
      </c>
      <c r="F1858">
        <v>22.536750699999999</v>
      </c>
      <c r="G1858">
        <v>88.363802199999995</v>
      </c>
      <c r="H1858" t="s">
        <v>774</v>
      </c>
      <c r="I1858">
        <v>3</v>
      </c>
      <c r="J1858">
        <v>34</v>
      </c>
      <c r="K1858">
        <v>14</v>
      </c>
    </row>
    <row r="1859" spans="1:11" x14ac:dyDescent="0.3">
      <c r="A1859" t="s">
        <v>11</v>
      </c>
      <c r="B1859" t="s">
        <v>38</v>
      </c>
      <c r="C1859" t="s">
        <v>243</v>
      </c>
      <c r="D1859" t="s">
        <v>648</v>
      </c>
      <c r="E1859" s="5">
        <v>45812.958333333343</v>
      </c>
      <c r="F1859">
        <v>22.627846999999999</v>
      </c>
      <c r="G1859">
        <v>88.380668999999997</v>
      </c>
      <c r="H1859" t="s">
        <v>775</v>
      </c>
      <c r="I1859">
        <v>34</v>
      </c>
      <c r="J1859">
        <v>68</v>
      </c>
      <c r="K1859">
        <v>53</v>
      </c>
    </row>
    <row r="1860" spans="1:11" x14ac:dyDescent="0.3">
      <c r="A1860" t="s">
        <v>11</v>
      </c>
      <c r="B1860" t="s">
        <v>38</v>
      </c>
      <c r="C1860" t="s">
        <v>243</v>
      </c>
      <c r="D1860" t="s">
        <v>649</v>
      </c>
      <c r="E1860" s="5">
        <v>45812.958333333343</v>
      </c>
      <c r="F1860">
        <v>22.511060000000001</v>
      </c>
      <c r="G1860">
        <v>88.351420000000005</v>
      </c>
      <c r="H1860" t="s">
        <v>775</v>
      </c>
      <c r="I1860">
        <v>27</v>
      </c>
      <c r="J1860">
        <v>63</v>
      </c>
      <c r="K1860">
        <v>47</v>
      </c>
    </row>
    <row r="1861" spans="1:11" x14ac:dyDescent="0.3">
      <c r="A1861" t="s">
        <v>11</v>
      </c>
      <c r="B1861" t="s">
        <v>38</v>
      </c>
      <c r="C1861" t="s">
        <v>243</v>
      </c>
      <c r="D1861" t="s">
        <v>649</v>
      </c>
      <c r="E1861" s="5">
        <v>45812.958333333343</v>
      </c>
      <c r="F1861">
        <v>22.511060000000001</v>
      </c>
      <c r="G1861">
        <v>88.351420000000005</v>
      </c>
      <c r="H1861" t="s">
        <v>772</v>
      </c>
      <c r="I1861">
        <v>31</v>
      </c>
      <c r="J1861">
        <v>56</v>
      </c>
      <c r="K1861">
        <v>41</v>
      </c>
    </row>
    <row r="1862" spans="1:11" x14ac:dyDescent="0.3">
      <c r="A1862" t="s">
        <v>11</v>
      </c>
      <c r="B1862" t="s">
        <v>38</v>
      </c>
      <c r="C1862" t="s">
        <v>243</v>
      </c>
      <c r="D1862" t="s">
        <v>649</v>
      </c>
      <c r="E1862" s="5">
        <v>45812.958333333343</v>
      </c>
      <c r="F1862">
        <v>22.511060000000001</v>
      </c>
      <c r="G1862">
        <v>88.351420000000005</v>
      </c>
      <c r="H1862" t="s">
        <v>776</v>
      </c>
      <c r="I1862">
        <v>14</v>
      </c>
      <c r="J1862">
        <v>21</v>
      </c>
      <c r="K1862">
        <v>15</v>
      </c>
    </row>
    <row r="1863" spans="1:11" x14ac:dyDescent="0.3">
      <c r="A1863" t="s">
        <v>11</v>
      </c>
      <c r="B1863" t="s">
        <v>38</v>
      </c>
      <c r="C1863" t="s">
        <v>243</v>
      </c>
      <c r="D1863" t="s">
        <v>650</v>
      </c>
      <c r="E1863" s="5">
        <v>45812.958333333343</v>
      </c>
      <c r="F1863">
        <v>22.544808199999999</v>
      </c>
      <c r="G1863">
        <v>88.340369100000004</v>
      </c>
      <c r="H1863" t="s">
        <v>775</v>
      </c>
      <c r="I1863">
        <v>46</v>
      </c>
      <c r="J1863">
        <v>104</v>
      </c>
      <c r="K1863">
        <v>72</v>
      </c>
    </row>
    <row r="1864" spans="1:11" x14ac:dyDescent="0.3">
      <c r="A1864" t="s">
        <v>11</v>
      </c>
      <c r="B1864" t="s">
        <v>38</v>
      </c>
      <c r="C1864" t="s">
        <v>243</v>
      </c>
      <c r="D1864" t="s">
        <v>650</v>
      </c>
      <c r="E1864" s="5">
        <v>45812.958333333343</v>
      </c>
      <c r="F1864">
        <v>22.544808199999999</v>
      </c>
      <c r="G1864">
        <v>88.340369100000004</v>
      </c>
      <c r="H1864" t="s">
        <v>771</v>
      </c>
      <c r="I1864">
        <v>54</v>
      </c>
      <c r="J1864">
        <v>100</v>
      </c>
      <c r="K1864">
        <v>77</v>
      </c>
    </row>
    <row r="1865" spans="1:11" x14ac:dyDescent="0.3">
      <c r="A1865" t="s">
        <v>11</v>
      </c>
      <c r="B1865" t="s">
        <v>38</v>
      </c>
      <c r="C1865" t="s">
        <v>243</v>
      </c>
      <c r="D1865" t="s">
        <v>650</v>
      </c>
      <c r="E1865" s="5">
        <v>45812.958333333343</v>
      </c>
      <c r="F1865">
        <v>22.544808199999999</v>
      </c>
      <c r="G1865">
        <v>88.340369100000004</v>
      </c>
      <c r="H1865" t="s">
        <v>773</v>
      </c>
      <c r="I1865">
        <v>4</v>
      </c>
      <c r="J1865">
        <v>5</v>
      </c>
      <c r="K1865">
        <v>5</v>
      </c>
    </row>
    <row r="1866" spans="1:11" x14ac:dyDescent="0.3">
      <c r="A1866" t="s">
        <v>11</v>
      </c>
      <c r="B1866" t="s">
        <v>38</v>
      </c>
      <c r="C1866" t="s">
        <v>243</v>
      </c>
      <c r="D1866" t="s">
        <v>650</v>
      </c>
      <c r="E1866" s="5">
        <v>45812.958333333343</v>
      </c>
      <c r="F1866">
        <v>22.544808199999999</v>
      </c>
      <c r="G1866">
        <v>88.340369100000004</v>
      </c>
      <c r="H1866" t="s">
        <v>774</v>
      </c>
      <c r="I1866">
        <v>6</v>
      </c>
      <c r="J1866">
        <v>10</v>
      </c>
      <c r="K1866">
        <v>8</v>
      </c>
    </row>
    <row r="1867" spans="1:11" x14ac:dyDescent="0.3">
      <c r="A1867" t="s">
        <v>11</v>
      </c>
      <c r="B1867" t="s">
        <v>38</v>
      </c>
      <c r="C1867" t="s">
        <v>244</v>
      </c>
      <c r="D1867" t="s">
        <v>651</v>
      </c>
      <c r="E1867" s="5">
        <v>45812.958333333343</v>
      </c>
      <c r="F1867">
        <v>26.6879226</v>
      </c>
      <c r="G1867">
        <v>88.415249500000002</v>
      </c>
      <c r="H1867" t="s">
        <v>775</v>
      </c>
      <c r="I1867">
        <v>90</v>
      </c>
      <c r="J1867">
        <v>315</v>
      </c>
      <c r="K1867">
        <v>186</v>
      </c>
    </row>
    <row r="1868" spans="1:11" x14ac:dyDescent="0.3">
      <c r="A1868" t="s">
        <v>11</v>
      </c>
      <c r="B1868" t="s">
        <v>38</v>
      </c>
      <c r="C1868" t="s">
        <v>244</v>
      </c>
      <c r="D1868" t="s">
        <v>651</v>
      </c>
      <c r="E1868" s="5">
        <v>45812.958333333343</v>
      </c>
      <c r="F1868">
        <v>26.6879226</v>
      </c>
      <c r="G1868">
        <v>88.415249500000002</v>
      </c>
      <c r="H1868" t="s">
        <v>773</v>
      </c>
      <c r="I1868">
        <v>12</v>
      </c>
      <c r="J1868">
        <v>21</v>
      </c>
      <c r="K1868">
        <v>15</v>
      </c>
    </row>
    <row r="1869" spans="1:11" x14ac:dyDescent="0.3">
      <c r="A1869" t="s">
        <v>11</v>
      </c>
      <c r="B1869" t="s">
        <v>14</v>
      </c>
      <c r="C1869" t="s">
        <v>245</v>
      </c>
      <c r="D1869" t="s">
        <v>652</v>
      </c>
      <c r="E1869" s="5">
        <v>45812.958333333343</v>
      </c>
      <c r="F1869">
        <v>16.987286699999999</v>
      </c>
      <c r="G1869">
        <v>81.736317600000007</v>
      </c>
      <c r="H1869" t="s">
        <v>772</v>
      </c>
      <c r="I1869">
        <v>14</v>
      </c>
      <c r="J1869">
        <v>82</v>
      </c>
      <c r="K1869">
        <v>35</v>
      </c>
    </row>
    <row r="1870" spans="1:11" x14ac:dyDescent="0.3">
      <c r="A1870" t="s">
        <v>11</v>
      </c>
      <c r="B1870" t="s">
        <v>14</v>
      </c>
      <c r="C1870" t="s">
        <v>245</v>
      </c>
      <c r="D1870" t="s">
        <v>652</v>
      </c>
      <c r="E1870" s="5">
        <v>45812.958333333343</v>
      </c>
      <c r="F1870">
        <v>16.987286699999999</v>
      </c>
      <c r="G1870">
        <v>81.736317600000007</v>
      </c>
      <c r="H1870" t="s">
        <v>773</v>
      </c>
      <c r="I1870">
        <v>2</v>
      </c>
      <c r="J1870">
        <v>13</v>
      </c>
      <c r="K1870">
        <v>6</v>
      </c>
    </row>
    <row r="1871" spans="1:11" x14ac:dyDescent="0.3">
      <c r="A1871" t="s">
        <v>11</v>
      </c>
      <c r="B1871" t="s">
        <v>14</v>
      </c>
      <c r="C1871" t="s">
        <v>53</v>
      </c>
      <c r="D1871" t="s">
        <v>302</v>
      </c>
      <c r="E1871" s="5">
        <v>45812.958333333343</v>
      </c>
      <c r="F1871">
        <v>13.67</v>
      </c>
      <c r="G1871">
        <v>79.349999999999994</v>
      </c>
      <c r="H1871" t="s">
        <v>776</v>
      </c>
      <c r="I1871">
        <v>4</v>
      </c>
      <c r="J1871">
        <v>147</v>
      </c>
      <c r="K1871">
        <v>98</v>
      </c>
    </row>
    <row r="1872" spans="1:11" x14ac:dyDescent="0.3">
      <c r="A1872" t="s">
        <v>11</v>
      </c>
      <c r="B1872" t="s">
        <v>14</v>
      </c>
      <c r="C1872" t="s">
        <v>54</v>
      </c>
      <c r="D1872" t="s">
        <v>303</v>
      </c>
      <c r="E1872" s="5">
        <v>45812.958333333343</v>
      </c>
      <c r="F1872">
        <v>13.615387</v>
      </c>
      <c r="G1872">
        <v>79.409229999999994</v>
      </c>
      <c r="H1872" t="s">
        <v>771</v>
      </c>
      <c r="I1872">
        <v>35</v>
      </c>
      <c r="J1872">
        <v>140</v>
      </c>
      <c r="K1872">
        <v>72</v>
      </c>
    </row>
    <row r="1873" spans="1:11" x14ac:dyDescent="0.3">
      <c r="A1873" t="s">
        <v>11</v>
      </c>
      <c r="B1873" t="s">
        <v>14</v>
      </c>
      <c r="C1873" t="s">
        <v>50</v>
      </c>
      <c r="D1873" t="s">
        <v>653</v>
      </c>
      <c r="E1873" s="5">
        <v>45812.958333333343</v>
      </c>
      <c r="F1873">
        <v>16.536107000000001</v>
      </c>
      <c r="G1873">
        <v>80.594233000000003</v>
      </c>
      <c r="H1873" t="s">
        <v>771</v>
      </c>
      <c r="I1873">
        <v>41</v>
      </c>
      <c r="J1873">
        <v>60</v>
      </c>
      <c r="K1873">
        <v>49</v>
      </c>
    </row>
    <row r="1874" spans="1:11" x14ac:dyDescent="0.3">
      <c r="A1874" t="s">
        <v>11</v>
      </c>
      <c r="B1874" t="s">
        <v>14</v>
      </c>
      <c r="C1874" t="s">
        <v>50</v>
      </c>
      <c r="D1874" t="s">
        <v>653</v>
      </c>
      <c r="E1874" s="5">
        <v>45812.958333333343</v>
      </c>
      <c r="F1874">
        <v>16.536107000000001</v>
      </c>
      <c r="G1874">
        <v>80.594233000000003</v>
      </c>
      <c r="H1874" t="s">
        <v>770</v>
      </c>
      <c r="I1874">
        <v>1</v>
      </c>
      <c r="J1874">
        <v>44</v>
      </c>
      <c r="K1874">
        <v>22</v>
      </c>
    </row>
    <row r="1875" spans="1:11" x14ac:dyDescent="0.3">
      <c r="A1875" t="s">
        <v>11</v>
      </c>
      <c r="B1875" t="s">
        <v>14</v>
      </c>
      <c r="C1875" t="s">
        <v>50</v>
      </c>
      <c r="D1875" t="s">
        <v>304</v>
      </c>
      <c r="E1875" s="5">
        <v>45812.958333333343</v>
      </c>
      <c r="F1875">
        <v>16.486692000000001</v>
      </c>
      <c r="G1875">
        <v>80.699436000000006</v>
      </c>
      <c r="H1875" t="s">
        <v>773</v>
      </c>
      <c r="I1875">
        <v>4</v>
      </c>
      <c r="J1875">
        <v>7</v>
      </c>
      <c r="K1875">
        <v>6</v>
      </c>
    </row>
    <row r="1876" spans="1:11" x14ac:dyDescent="0.3">
      <c r="A1876" t="s">
        <v>11</v>
      </c>
      <c r="B1876" t="s">
        <v>12</v>
      </c>
      <c r="C1876" t="s">
        <v>59</v>
      </c>
      <c r="D1876" t="s">
        <v>309</v>
      </c>
      <c r="E1876" s="5">
        <v>45812.958333333343</v>
      </c>
      <c r="F1876">
        <v>26.202863600000001</v>
      </c>
      <c r="G1876">
        <v>91.700464359999998</v>
      </c>
      <c r="H1876" t="s">
        <v>772</v>
      </c>
      <c r="I1876">
        <v>1</v>
      </c>
      <c r="J1876">
        <v>6</v>
      </c>
      <c r="K1876">
        <v>1</v>
      </c>
    </row>
    <row r="1877" spans="1:11" x14ac:dyDescent="0.3">
      <c r="A1877" t="s">
        <v>11</v>
      </c>
      <c r="B1877" t="s">
        <v>12</v>
      </c>
      <c r="C1877" t="s">
        <v>59</v>
      </c>
      <c r="D1877" t="s">
        <v>309</v>
      </c>
      <c r="E1877" s="5">
        <v>45812.958333333343</v>
      </c>
      <c r="F1877">
        <v>26.202863600000001</v>
      </c>
      <c r="G1877">
        <v>91.700464359999998</v>
      </c>
      <c r="H1877" t="s">
        <v>776</v>
      </c>
      <c r="I1877">
        <v>10</v>
      </c>
      <c r="J1877">
        <v>19</v>
      </c>
      <c r="K1877">
        <v>13</v>
      </c>
    </row>
    <row r="1878" spans="1:11" x14ac:dyDescent="0.3">
      <c r="A1878" t="s">
        <v>11</v>
      </c>
      <c r="B1878" t="s">
        <v>12</v>
      </c>
      <c r="C1878" t="s">
        <v>59</v>
      </c>
      <c r="D1878" t="s">
        <v>310</v>
      </c>
      <c r="E1878" s="5">
        <v>45812.958333333343</v>
      </c>
      <c r="F1878">
        <v>26.10887</v>
      </c>
      <c r="G1878">
        <v>91.589544000000004</v>
      </c>
      <c r="H1878" t="s">
        <v>775</v>
      </c>
      <c r="I1878">
        <v>38</v>
      </c>
      <c r="J1878">
        <v>133</v>
      </c>
      <c r="K1878">
        <v>91</v>
      </c>
    </row>
    <row r="1879" spans="1:11" x14ac:dyDescent="0.3">
      <c r="A1879" t="s">
        <v>11</v>
      </c>
      <c r="B1879" t="s">
        <v>12</v>
      </c>
      <c r="C1879" t="s">
        <v>59</v>
      </c>
      <c r="D1879" t="s">
        <v>310</v>
      </c>
      <c r="E1879" s="5">
        <v>45812.958333333343</v>
      </c>
      <c r="F1879">
        <v>26.10887</v>
      </c>
      <c r="G1879">
        <v>91.589544000000004</v>
      </c>
      <c r="H1879" t="s">
        <v>770</v>
      </c>
      <c r="I1879">
        <v>15</v>
      </c>
      <c r="J1879">
        <v>22</v>
      </c>
      <c r="K1879">
        <v>18</v>
      </c>
    </row>
    <row r="1880" spans="1:11" x14ac:dyDescent="0.3">
      <c r="A1880" t="s">
        <v>11</v>
      </c>
      <c r="B1880" t="s">
        <v>12</v>
      </c>
      <c r="C1880" t="s">
        <v>59</v>
      </c>
      <c r="D1880" t="s">
        <v>311</v>
      </c>
      <c r="E1880" s="5">
        <v>45812.958333333343</v>
      </c>
      <c r="F1880">
        <v>26.1875</v>
      </c>
      <c r="G1880">
        <v>91.744193999999993</v>
      </c>
      <c r="H1880" t="s">
        <v>776</v>
      </c>
      <c r="I1880">
        <v>25</v>
      </c>
      <c r="J1880">
        <v>51</v>
      </c>
      <c r="K1880">
        <v>30</v>
      </c>
    </row>
    <row r="1881" spans="1:11" x14ac:dyDescent="0.3">
      <c r="A1881" t="s">
        <v>11</v>
      </c>
      <c r="B1881" t="s">
        <v>12</v>
      </c>
      <c r="C1881" t="s">
        <v>59</v>
      </c>
      <c r="D1881" t="s">
        <v>311</v>
      </c>
      <c r="E1881" s="5">
        <v>45812.958333333343</v>
      </c>
      <c r="F1881">
        <v>26.1875</v>
      </c>
      <c r="G1881">
        <v>91.744193999999993</v>
      </c>
      <c r="H1881" t="s">
        <v>770</v>
      </c>
      <c r="I1881">
        <v>17</v>
      </c>
      <c r="J1881">
        <v>17</v>
      </c>
      <c r="K1881">
        <v>17</v>
      </c>
    </row>
    <row r="1882" spans="1:11" x14ac:dyDescent="0.3">
      <c r="A1882" t="s">
        <v>11</v>
      </c>
      <c r="B1882" t="s">
        <v>12</v>
      </c>
      <c r="C1882" t="s">
        <v>59</v>
      </c>
      <c r="D1882" t="s">
        <v>757</v>
      </c>
      <c r="E1882" s="5">
        <v>45812.958333333343</v>
      </c>
      <c r="F1882">
        <v>26.181742</v>
      </c>
      <c r="G1882">
        <v>91.780630000000002</v>
      </c>
      <c r="H1882" t="s">
        <v>771</v>
      </c>
      <c r="I1882">
        <v>96</v>
      </c>
      <c r="J1882">
        <v>207</v>
      </c>
      <c r="K1882">
        <v>130</v>
      </c>
    </row>
    <row r="1883" spans="1:11" x14ac:dyDescent="0.3">
      <c r="A1883" t="s">
        <v>11</v>
      </c>
      <c r="B1883" t="s">
        <v>12</v>
      </c>
      <c r="C1883" t="s">
        <v>59</v>
      </c>
      <c r="D1883" t="s">
        <v>757</v>
      </c>
      <c r="E1883" s="5">
        <v>45812.958333333343</v>
      </c>
      <c r="F1883">
        <v>26.181742</v>
      </c>
      <c r="G1883">
        <v>91.780630000000002</v>
      </c>
      <c r="H1883" t="s">
        <v>776</v>
      </c>
      <c r="I1883">
        <v>30</v>
      </c>
      <c r="J1883">
        <v>76</v>
      </c>
      <c r="K1883">
        <v>42</v>
      </c>
    </row>
    <row r="1884" spans="1:11" x14ac:dyDescent="0.3">
      <c r="A1884" t="s">
        <v>11</v>
      </c>
      <c r="B1884" t="s">
        <v>14</v>
      </c>
      <c r="C1884" t="s">
        <v>248</v>
      </c>
      <c r="D1884" t="s">
        <v>658</v>
      </c>
      <c r="E1884" s="5">
        <v>45812.958333333343</v>
      </c>
      <c r="F1884">
        <v>16.515083300000001</v>
      </c>
      <c r="G1884">
        <v>80.518166699999995</v>
      </c>
      <c r="H1884" t="s">
        <v>774</v>
      </c>
      <c r="I1884">
        <v>8</v>
      </c>
      <c r="J1884">
        <v>17</v>
      </c>
      <c r="K1884">
        <v>11</v>
      </c>
    </row>
    <row r="1885" spans="1:11" x14ac:dyDescent="0.3">
      <c r="A1885" t="s">
        <v>11</v>
      </c>
      <c r="B1885" t="s">
        <v>14</v>
      </c>
      <c r="C1885" t="s">
        <v>55</v>
      </c>
      <c r="D1885" t="s">
        <v>305</v>
      </c>
      <c r="E1885" s="5">
        <v>45812.958333333343</v>
      </c>
      <c r="F1885">
        <v>14.675886</v>
      </c>
      <c r="G1885">
        <v>77.593027000000006</v>
      </c>
      <c r="H1885" t="s">
        <v>774</v>
      </c>
      <c r="I1885">
        <v>8</v>
      </c>
      <c r="J1885">
        <v>11</v>
      </c>
      <c r="K1885">
        <v>10</v>
      </c>
    </row>
    <row r="1886" spans="1:11" x14ac:dyDescent="0.3">
      <c r="A1886" t="s">
        <v>11</v>
      </c>
      <c r="B1886" t="s">
        <v>14</v>
      </c>
      <c r="C1886" t="s">
        <v>247</v>
      </c>
      <c r="D1886" t="s">
        <v>655</v>
      </c>
      <c r="E1886" s="5">
        <v>45812.958333333343</v>
      </c>
      <c r="F1886">
        <v>14.465052</v>
      </c>
      <c r="G1886">
        <v>78.824186999999995</v>
      </c>
      <c r="H1886" t="s">
        <v>771</v>
      </c>
      <c r="I1886">
        <v>43</v>
      </c>
      <c r="J1886">
        <v>59</v>
      </c>
      <c r="K1886">
        <v>49</v>
      </c>
    </row>
    <row r="1887" spans="1:11" x14ac:dyDescent="0.3">
      <c r="A1887" t="s">
        <v>11</v>
      </c>
      <c r="B1887" t="s">
        <v>14</v>
      </c>
      <c r="C1887" t="s">
        <v>247</v>
      </c>
      <c r="D1887" t="s">
        <v>655</v>
      </c>
      <c r="E1887" s="5">
        <v>45812.958333333343</v>
      </c>
      <c r="F1887">
        <v>14.465052</v>
      </c>
      <c r="G1887">
        <v>78.824186999999995</v>
      </c>
      <c r="H1887" t="s">
        <v>772</v>
      </c>
      <c r="I1887">
        <v>10</v>
      </c>
      <c r="J1887">
        <v>23</v>
      </c>
      <c r="K1887">
        <v>15</v>
      </c>
    </row>
    <row r="1888" spans="1:11" x14ac:dyDescent="0.3">
      <c r="A1888" t="s">
        <v>11</v>
      </c>
      <c r="B1888" t="s">
        <v>14</v>
      </c>
      <c r="C1888" t="s">
        <v>247</v>
      </c>
      <c r="D1888" t="s">
        <v>655</v>
      </c>
      <c r="E1888" s="5">
        <v>45812.958333333343</v>
      </c>
      <c r="F1888">
        <v>14.465052</v>
      </c>
      <c r="G1888">
        <v>78.824186999999995</v>
      </c>
      <c r="H1888" t="s">
        <v>776</v>
      </c>
      <c r="I1888">
        <v>34</v>
      </c>
      <c r="J1888">
        <v>36</v>
      </c>
      <c r="K1888">
        <v>35</v>
      </c>
    </row>
    <row r="1889" spans="1:11" x14ac:dyDescent="0.3">
      <c r="A1889" t="s">
        <v>11</v>
      </c>
      <c r="B1889" t="s">
        <v>14</v>
      </c>
      <c r="C1889" t="s">
        <v>245</v>
      </c>
      <c r="D1889" t="s">
        <v>652</v>
      </c>
      <c r="E1889" s="5">
        <v>45812.958333333343</v>
      </c>
      <c r="F1889">
        <v>16.987286699999999</v>
      </c>
      <c r="G1889">
        <v>81.736317600000007</v>
      </c>
      <c r="H1889" t="s">
        <v>771</v>
      </c>
      <c r="I1889">
        <v>28</v>
      </c>
      <c r="J1889">
        <v>305</v>
      </c>
      <c r="K1889">
        <v>73</v>
      </c>
    </row>
    <row r="1890" spans="1:11" x14ac:dyDescent="0.3">
      <c r="A1890" t="s">
        <v>11</v>
      </c>
      <c r="B1890" t="s">
        <v>14</v>
      </c>
      <c r="C1890" t="s">
        <v>50</v>
      </c>
      <c r="D1890" t="s">
        <v>299</v>
      </c>
      <c r="E1890" s="5">
        <v>45812.958333333343</v>
      </c>
      <c r="F1890">
        <v>16.554731</v>
      </c>
      <c r="G1890">
        <v>80.649109999999993</v>
      </c>
      <c r="H1890" t="s">
        <v>773</v>
      </c>
      <c r="I1890">
        <v>2</v>
      </c>
      <c r="J1890">
        <v>3</v>
      </c>
      <c r="K1890">
        <v>3</v>
      </c>
    </row>
    <row r="1891" spans="1:11" x14ac:dyDescent="0.3">
      <c r="A1891" t="s">
        <v>11</v>
      </c>
      <c r="B1891" t="s">
        <v>14</v>
      </c>
      <c r="C1891" t="s">
        <v>50</v>
      </c>
      <c r="D1891" t="s">
        <v>299</v>
      </c>
      <c r="E1891" s="5">
        <v>45812.958333333343</v>
      </c>
      <c r="F1891">
        <v>16.554731</v>
      </c>
      <c r="G1891">
        <v>80.649109999999993</v>
      </c>
      <c r="H1891" t="s">
        <v>776</v>
      </c>
      <c r="I1891">
        <v>39</v>
      </c>
      <c r="J1891">
        <v>62</v>
      </c>
      <c r="K1891">
        <v>40</v>
      </c>
    </row>
    <row r="1892" spans="1:11" x14ac:dyDescent="0.3">
      <c r="A1892" t="s">
        <v>11</v>
      </c>
      <c r="B1892" t="s">
        <v>14</v>
      </c>
      <c r="C1892" t="s">
        <v>51</v>
      </c>
      <c r="D1892" t="s">
        <v>300</v>
      </c>
      <c r="E1892" s="5">
        <v>45812.958333333343</v>
      </c>
      <c r="F1892">
        <v>17.72</v>
      </c>
      <c r="G1892">
        <v>83.3</v>
      </c>
      <c r="H1892" t="s">
        <v>775</v>
      </c>
      <c r="I1892">
        <v>10</v>
      </c>
      <c r="J1892">
        <v>55</v>
      </c>
      <c r="K1892">
        <v>32</v>
      </c>
    </row>
    <row r="1893" spans="1:11" x14ac:dyDescent="0.3">
      <c r="A1893" t="s">
        <v>11</v>
      </c>
      <c r="B1893" t="s">
        <v>12</v>
      </c>
      <c r="C1893" t="s">
        <v>52</v>
      </c>
      <c r="D1893" t="s">
        <v>301</v>
      </c>
      <c r="E1893" s="5">
        <v>45812.958333333343</v>
      </c>
      <c r="F1893">
        <v>26.071318000000002</v>
      </c>
      <c r="G1893">
        <v>91.874880000000005</v>
      </c>
      <c r="H1893" t="s">
        <v>775</v>
      </c>
    </row>
    <row r="1894" spans="1:11" x14ac:dyDescent="0.3">
      <c r="A1894" t="s">
        <v>11</v>
      </c>
      <c r="B1894" t="s">
        <v>12</v>
      </c>
      <c r="C1894" t="s">
        <v>59</v>
      </c>
      <c r="D1894" t="s">
        <v>309</v>
      </c>
      <c r="E1894" s="5">
        <v>45812.958333333343</v>
      </c>
      <c r="F1894">
        <v>26.202863600000001</v>
      </c>
      <c r="G1894">
        <v>91.700464359999998</v>
      </c>
      <c r="H1894" t="s">
        <v>771</v>
      </c>
      <c r="I1894">
        <v>108</v>
      </c>
      <c r="J1894">
        <v>442</v>
      </c>
      <c r="K1894">
        <v>164</v>
      </c>
    </row>
    <row r="1895" spans="1:11" x14ac:dyDescent="0.3">
      <c r="A1895" t="s">
        <v>11</v>
      </c>
      <c r="B1895" t="s">
        <v>12</v>
      </c>
      <c r="C1895" t="s">
        <v>46</v>
      </c>
      <c r="D1895" t="s">
        <v>295</v>
      </c>
      <c r="E1895" s="5">
        <v>45812.958333333343</v>
      </c>
      <c r="F1895">
        <v>26.987634</v>
      </c>
      <c r="G1895">
        <v>94.636573999999996</v>
      </c>
      <c r="H1895" t="s">
        <v>772</v>
      </c>
      <c r="I1895">
        <v>28</v>
      </c>
      <c r="J1895">
        <v>53</v>
      </c>
      <c r="K1895">
        <v>39</v>
      </c>
    </row>
    <row r="1896" spans="1:11" x14ac:dyDescent="0.3">
      <c r="A1896" t="s">
        <v>11</v>
      </c>
      <c r="B1896" t="s">
        <v>12</v>
      </c>
      <c r="C1896" t="s">
        <v>46</v>
      </c>
      <c r="D1896" t="s">
        <v>295</v>
      </c>
      <c r="E1896" s="5">
        <v>45812.958333333343</v>
      </c>
      <c r="F1896">
        <v>26.987634</v>
      </c>
      <c r="G1896">
        <v>94.636573999999996</v>
      </c>
      <c r="H1896" t="s">
        <v>773</v>
      </c>
      <c r="I1896">
        <v>3</v>
      </c>
      <c r="J1896">
        <v>6</v>
      </c>
      <c r="K1896">
        <v>4</v>
      </c>
    </row>
    <row r="1897" spans="1:11" x14ac:dyDescent="0.3">
      <c r="A1897" t="s">
        <v>11</v>
      </c>
      <c r="B1897" t="s">
        <v>13</v>
      </c>
      <c r="C1897" t="s">
        <v>47</v>
      </c>
      <c r="D1897" t="s">
        <v>296</v>
      </c>
      <c r="E1897" s="5">
        <v>45812.958333333343</v>
      </c>
      <c r="F1897">
        <v>26.146529000000001</v>
      </c>
      <c r="G1897">
        <v>87.454183999999998</v>
      </c>
      <c r="H1897" t="s">
        <v>772</v>
      </c>
      <c r="I1897">
        <v>5</v>
      </c>
      <c r="J1897">
        <v>7</v>
      </c>
      <c r="K1897">
        <v>7</v>
      </c>
    </row>
    <row r="1898" spans="1:11" x14ac:dyDescent="0.3">
      <c r="A1898" t="s">
        <v>11</v>
      </c>
      <c r="B1898" t="s">
        <v>13</v>
      </c>
      <c r="C1898" t="s">
        <v>47</v>
      </c>
      <c r="D1898" t="s">
        <v>296</v>
      </c>
      <c r="E1898" s="5">
        <v>45812.958333333343</v>
      </c>
      <c r="F1898">
        <v>26.146529000000001</v>
      </c>
      <c r="G1898">
        <v>87.454183999999998</v>
      </c>
      <c r="H1898" t="s">
        <v>776</v>
      </c>
      <c r="I1898">
        <v>22</v>
      </c>
      <c r="J1898">
        <v>66</v>
      </c>
      <c r="K1898">
        <v>53</v>
      </c>
    </row>
    <row r="1899" spans="1:11" x14ac:dyDescent="0.3">
      <c r="A1899" t="s">
        <v>11</v>
      </c>
      <c r="B1899" t="s">
        <v>13</v>
      </c>
      <c r="C1899" t="s">
        <v>47</v>
      </c>
      <c r="D1899" t="s">
        <v>296</v>
      </c>
      <c r="E1899" s="5">
        <v>45812.958333333343</v>
      </c>
      <c r="F1899">
        <v>26.146529000000001</v>
      </c>
      <c r="G1899">
        <v>87.454183999999998</v>
      </c>
      <c r="H1899" t="s">
        <v>770</v>
      </c>
      <c r="I1899">
        <v>10</v>
      </c>
      <c r="J1899">
        <v>11</v>
      </c>
      <c r="K1899">
        <v>10</v>
      </c>
    </row>
    <row r="1900" spans="1:11" x14ac:dyDescent="0.3">
      <c r="A1900" t="s">
        <v>11</v>
      </c>
      <c r="B1900" t="s">
        <v>13</v>
      </c>
      <c r="C1900" t="s">
        <v>48</v>
      </c>
      <c r="D1900" t="s">
        <v>297</v>
      </c>
      <c r="E1900" s="5">
        <v>45812.958333333343</v>
      </c>
      <c r="F1900">
        <v>25.562609500000001</v>
      </c>
      <c r="G1900">
        <v>84.663263999999998</v>
      </c>
      <c r="H1900" t="s">
        <v>775</v>
      </c>
    </row>
    <row r="1901" spans="1:11" x14ac:dyDescent="0.3">
      <c r="A1901" t="s">
        <v>11</v>
      </c>
      <c r="B1901" t="s">
        <v>15</v>
      </c>
      <c r="C1901" t="s">
        <v>60</v>
      </c>
      <c r="D1901" t="s">
        <v>312</v>
      </c>
      <c r="E1901" s="5">
        <v>45812.958333333343</v>
      </c>
      <c r="F1901">
        <v>11.654054</v>
      </c>
      <c r="G1901">
        <v>92.734054999999998</v>
      </c>
      <c r="H1901" t="s">
        <v>775</v>
      </c>
      <c r="I1901">
        <v>4</v>
      </c>
      <c r="J1901">
        <v>5</v>
      </c>
      <c r="K1901">
        <v>4</v>
      </c>
    </row>
    <row r="1902" spans="1:11" x14ac:dyDescent="0.3">
      <c r="A1902" t="s">
        <v>11</v>
      </c>
      <c r="B1902" t="s">
        <v>15</v>
      </c>
      <c r="C1902" t="s">
        <v>60</v>
      </c>
      <c r="D1902" t="s">
        <v>312</v>
      </c>
      <c r="E1902" s="5">
        <v>45812.958333333343</v>
      </c>
      <c r="F1902">
        <v>11.654054</v>
      </c>
      <c r="G1902">
        <v>92.734054999999998</v>
      </c>
      <c r="H1902" t="s">
        <v>772</v>
      </c>
      <c r="I1902">
        <v>14</v>
      </c>
      <c r="J1902">
        <v>39</v>
      </c>
      <c r="K1902">
        <v>28</v>
      </c>
    </row>
    <row r="1903" spans="1:11" x14ac:dyDescent="0.3">
      <c r="A1903" t="s">
        <v>11</v>
      </c>
      <c r="B1903" t="s">
        <v>15</v>
      </c>
      <c r="C1903" t="s">
        <v>60</v>
      </c>
      <c r="D1903" t="s">
        <v>312</v>
      </c>
      <c r="E1903" s="5">
        <v>45812.958333333343</v>
      </c>
      <c r="F1903">
        <v>11.654054</v>
      </c>
      <c r="G1903">
        <v>92.734054999999998</v>
      </c>
      <c r="H1903" t="s">
        <v>770</v>
      </c>
      <c r="I1903">
        <v>3</v>
      </c>
      <c r="J1903">
        <v>9</v>
      </c>
      <c r="K1903">
        <v>6</v>
      </c>
    </row>
    <row r="1904" spans="1:11" x14ac:dyDescent="0.3">
      <c r="A1904" t="s">
        <v>11</v>
      </c>
      <c r="B1904" t="s">
        <v>14</v>
      </c>
      <c r="C1904" t="s">
        <v>248</v>
      </c>
      <c r="D1904" t="s">
        <v>658</v>
      </c>
      <c r="E1904" s="5">
        <v>45812.958333333343</v>
      </c>
      <c r="F1904">
        <v>16.515083300000001</v>
      </c>
      <c r="G1904">
        <v>80.518166699999995</v>
      </c>
      <c r="H1904" t="s">
        <v>772</v>
      </c>
      <c r="I1904">
        <v>23</v>
      </c>
      <c r="J1904">
        <v>38</v>
      </c>
      <c r="K1904">
        <v>30</v>
      </c>
    </row>
    <row r="1905" spans="1:11" x14ac:dyDescent="0.3">
      <c r="A1905" t="s">
        <v>11</v>
      </c>
      <c r="B1905" t="s">
        <v>12</v>
      </c>
      <c r="C1905" t="s">
        <v>44</v>
      </c>
      <c r="D1905" t="s">
        <v>293</v>
      </c>
      <c r="E1905" s="5">
        <v>45812.958333333343</v>
      </c>
      <c r="F1905">
        <v>26.446912000000001</v>
      </c>
      <c r="G1905">
        <v>91.439057000000005</v>
      </c>
      <c r="H1905" t="s">
        <v>776</v>
      </c>
      <c r="I1905">
        <v>12</v>
      </c>
      <c r="J1905">
        <v>51</v>
      </c>
      <c r="K1905">
        <v>23</v>
      </c>
    </row>
    <row r="1906" spans="1:11" x14ac:dyDescent="0.3">
      <c r="A1906" t="s">
        <v>11</v>
      </c>
      <c r="B1906" t="s">
        <v>12</v>
      </c>
      <c r="C1906" t="s">
        <v>45</v>
      </c>
      <c r="D1906" t="s">
        <v>294</v>
      </c>
      <c r="E1906" s="5">
        <v>45812.958333333343</v>
      </c>
      <c r="F1906">
        <v>24.82827</v>
      </c>
      <c r="G1906">
        <v>92.795249999999996</v>
      </c>
      <c r="H1906" t="s">
        <v>772</v>
      </c>
      <c r="I1906">
        <v>2</v>
      </c>
      <c r="J1906">
        <v>16</v>
      </c>
      <c r="K1906">
        <v>11</v>
      </c>
    </row>
    <row r="1907" spans="1:11" x14ac:dyDescent="0.3">
      <c r="A1907" t="s">
        <v>11</v>
      </c>
      <c r="B1907" t="s">
        <v>12</v>
      </c>
      <c r="C1907" t="s">
        <v>45</v>
      </c>
      <c r="D1907" t="s">
        <v>294</v>
      </c>
      <c r="E1907" s="5">
        <v>45812.958333333343</v>
      </c>
      <c r="F1907">
        <v>24.82827</v>
      </c>
      <c r="G1907">
        <v>92.795249999999996</v>
      </c>
      <c r="H1907" t="s">
        <v>773</v>
      </c>
      <c r="I1907">
        <v>1</v>
      </c>
      <c r="J1907">
        <v>2</v>
      </c>
      <c r="K1907">
        <v>1</v>
      </c>
    </row>
    <row r="1908" spans="1:11" x14ac:dyDescent="0.3">
      <c r="A1908" t="s">
        <v>11</v>
      </c>
      <c r="B1908" t="s">
        <v>12</v>
      </c>
      <c r="C1908" t="s">
        <v>45</v>
      </c>
      <c r="D1908" t="s">
        <v>294</v>
      </c>
      <c r="E1908" s="5">
        <v>45812.958333333343</v>
      </c>
      <c r="F1908">
        <v>24.82827</v>
      </c>
      <c r="G1908">
        <v>92.795249999999996</v>
      </c>
      <c r="H1908" t="s">
        <v>770</v>
      </c>
      <c r="I1908">
        <v>1</v>
      </c>
      <c r="J1908">
        <v>15</v>
      </c>
      <c r="K1908">
        <v>5</v>
      </c>
    </row>
    <row r="1909" spans="1:11" x14ac:dyDescent="0.3">
      <c r="A1909" t="s">
        <v>11</v>
      </c>
      <c r="B1909" t="s">
        <v>13</v>
      </c>
      <c r="C1909" t="s">
        <v>246</v>
      </c>
      <c r="D1909" t="s">
        <v>654</v>
      </c>
      <c r="E1909" s="5">
        <v>45812.958333333343</v>
      </c>
      <c r="F1909">
        <v>25.427420229999999</v>
      </c>
      <c r="G1909">
        <v>86.138860789999995</v>
      </c>
      <c r="H1909" t="s">
        <v>775</v>
      </c>
      <c r="I1909">
        <v>77</v>
      </c>
      <c r="J1909">
        <v>315</v>
      </c>
      <c r="K1909">
        <v>187</v>
      </c>
    </row>
    <row r="1910" spans="1:11" x14ac:dyDescent="0.3">
      <c r="A1910" t="s">
        <v>11</v>
      </c>
      <c r="B1910" t="s">
        <v>13</v>
      </c>
      <c r="C1910" t="s">
        <v>57</v>
      </c>
      <c r="D1910" t="s">
        <v>307</v>
      </c>
      <c r="E1910" s="5">
        <v>45812.958333333343</v>
      </c>
      <c r="F1910">
        <v>26.803650000000001</v>
      </c>
      <c r="G1910">
        <v>84.519540000000006</v>
      </c>
      <c r="H1910" t="s">
        <v>773</v>
      </c>
      <c r="I1910">
        <v>2</v>
      </c>
      <c r="J1910">
        <v>5</v>
      </c>
      <c r="K1910">
        <v>4</v>
      </c>
    </row>
    <row r="1911" spans="1:11" x14ac:dyDescent="0.3">
      <c r="A1911" t="s">
        <v>11</v>
      </c>
      <c r="B1911" t="s">
        <v>14</v>
      </c>
      <c r="C1911" t="s">
        <v>50</v>
      </c>
      <c r="D1911" t="s">
        <v>304</v>
      </c>
      <c r="E1911" s="5">
        <v>45812.958333333343</v>
      </c>
      <c r="F1911">
        <v>16.486692000000001</v>
      </c>
      <c r="G1911">
        <v>80.699436000000006</v>
      </c>
      <c r="H1911" t="s">
        <v>776</v>
      </c>
      <c r="I1911">
        <v>14</v>
      </c>
      <c r="J1911">
        <v>30</v>
      </c>
      <c r="K1911">
        <v>16</v>
      </c>
    </row>
    <row r="1912" spans="1:11" x14ac:dyDescent="0.3">
      <c r="A1912" t="s">
        <v>11</v>
      </c>
      <c r="B1912" t="s">
        <v>12</v>
      </c>
      <c r="C1912" t="s">
        <v>43</v>
      </c>
      <c r="D1912" t="s">
        <v>292</v>
      </c>
      <c r="E1912" s="5">
        <v>45812.958333333343</v>
      </c>
      <c r="F1912">
        <v>26.349081999999999</v>
      </c>
      <c r="G1912">
        <v>92.684489999999997</v>
      </c>
      <c r="H1912" t="s">
        <v>776</v>
      </c>
      <c r="I1912">
        <v>22</v>
      </c>
      <c r="J1912">
        <v>52</v>
      </c>
      <c r="K1912">
        <v>50</v>
      </c>
    </row>
    <row r="1913" spans="1:11" x14ac:dyDescent="0.3">
      <c r="A1913" t="s">
        <v>11</v>
      </c>
      <c r="B1913" t="s">
        <v>13</v>
      </c>
      <c r="C1913" t="s">
        <v>62</v>
      </c>
      <c r="D1913" t="s">
        <v>314</v>
      </c>
      <c r="E1913" s="5">
        <v>45812.958333333343</v>
      </c>
      <c r="F1913">
        <v>25.366336</v>
      </c>
      <c r="G1913">
        <v>87.117468000000002</v>
      </c>
      <c r="H1913" t="s">
        <v>773</v>
      </c>
      <c r="I1913">
        <v>3</v>
      </c>
      <c r="J1913">
        <v>3</v>
      </c>
      <c r="K1913">
        <v>3</v>
      </c>
    </row>
    <row r="1914" spans="1:11" x14ac:dyDescent="0.3">
      <c r="A1914" t="s">
        <v>11</v>
      </c>
      <c r="B1914" t="s">
        <v>13</v>
      </c>
      <c r="C1914" t="s">
        <v>62</v>
      </c>
      <c r="D1914" t="s">
        <v>314</v>
      </c>
      <c r="E1914" s="5">
        <v>45812.958333333343</v>
      </c>
      <c r="F1914">
        <v>25.366336</v>
      </c>
      <c r="G1914">
        <v>87.117468000000002</v>
      </c>
      <c r="H1914" t="s">
        <v>774</v>
      </c>
      <c r="I1914">
        <v>16</v>
      </c>
      <c r="J1914">
        <v>17</v>
      </c>
      <c r="K1914">
        <v>16</v>
      </c>
    </row>
    <row r="1915" spans="1:11" x14ac:dyDescent="0.3">
      <c r="A1915" t="s">
        <v>11</v>
      </c>
      <c r="B1915" t="s">
        <v>13</v>
      </c>
      <c r="C1915" t="s">
        <v>63</v>
      </c>
      <c r="D1915" t="s">
        <v>315</v>
      </c>
      <c r="E1915" s="5">
        <v>45812.958333333343</v>
      </c>
      <c r="F1915">
        <v>25.032800000000002</v>
      </c>
      <c r="G1915">
        <v>85.419479999999993</v>
      </c>
      <c r="H1915" t="s">
        <v>775</v>
      </c>
    </row>
    <row r="1916" spans="1:11" x14ac:dyDescent="0.3">
      <c r="A1916" t="s">
        <v>11</v>
      </c>
      <c r="B1916" t="s">
        <v>13</v>
      </c>
      <c r="C1916" t="s">
        <v>64</v>
      </c>
      <c r="D1916" t="s">
        <v>316</v>
      </c>
      <c r="E1916" s="5">
        <v>45812.958333333343</v>
      </c>
      <c r="F1916">
        <v>25.892357000000001</v>
      </c>
      <c r="G1916">
        <v>86.590325000000007</v>
      </c>
      <c r="H1916" t="s">
        <v>774</v>
      </c>
      <c r="I1916">
        <v>5</v>
      </c>
      <c r="J1916">
        <v>17</v>
      </c>
      <c r="K1916">
        <v>15</v>
      </c>
    </row>
    <row r="1917" spans="1:11" x14ac:dyDescent="0.3">
      <c r="A1917" t="s">
        <v>11</v>
      </c>
      <c r="B1917" t="s">
        <v>13</v>
      </c>
      <c r="C1917" t="s">
        <v>74</v>
      </c>
      <c r="D1917" t="s">
        <v>330</v>
      </c>
      <c r="E1917" s="5">
        <v>45812.958333333343</v>
      </c>
      <c r="F1917">
        <v>25.859655</v>
      </c>
      <c r="G1917">
        <v>85.779439999999994</v>
      </c>
      <c r="H1917" t="s">
        <v>774</v>
      </c>
      <c r="I1917">
        <v>8</v>
      </c>
      <c r="J1917">
        <v>32</v>
      </c>
      <c r="K1917">
        <v>29</v>
      </c>
    </row>
    <row r="1918" spans="1:11" x14ac:dyDescent="0.3">
      <c r="A1918" t="s">
        <v>11</v>
      </c>
      <c r="B1918" t="s">
        <v>13</v>
      </c>
      <c r="C1918" t="s">
        <v>69</v>
      </c>
      <c r="D1918" t="s">
        <v>321</v>
      </c>
      <c r="E1918" s="5">
        <v>45812.958333333343</v>
      </c>
      <c r="F1918">
        <v>24.792403</v>
      </c>
      <c r="G1918">
        <v>84.992416000000006</v>
      </c>
      <c r="H1918" t="s">
        <v>776</v>
      </c>
      <c r="I1918">
        <v>10</v>
      </c>
      <c r="J1918">
        <v>70</v>
      </c>
      <c r="K1918">
        <v>37</v>
      </c>
    </row>
    <row r="1919" spans="1:11" x14ac:dyDescent="0.3">
      <c r="A1919" t="s">
        <v>11</v>
      </c>
      <c r="B1919" t="s">
        <v>13</v>
      </c>
      <c r="C1919" t="s">
        <v>69</v>
      </c>
      <c r="D1919" t="s">
        <v>662</v>
      </c>
      <c r="E1919" s="5">
        <v>45812.958333333343</v>
      </c>
      <c r="F1919">
        <v>24.762518</v>
      </c>
      <c r="G1919">
        <v>84.982348000000002</v>
      </c>
      <c r="H1919" t="s">
        <v>775</v>
      </c>
      <c r="I1919">
        <v>19</v>
      </c>
      <c r="J1919">
        <v>78</v>
      </c>
      <c r="K1919">
        <v>48</v>
      </c>
    </row>
    <row r="1920" spans="1:11" x14ac:dyDescent="0.3">
      <c r="A1920" t="s">
        <v>11</v>
      </c>
      <c r="B1920" t="s">
        <v>13</v>
      </c>
      <c r="C1920" t="s">
        <v>69</v>
      </c>
      <c r="D1920" t="s">
        <v>662</v>
      </c>
      <c r="E1920" s="5">
        <v>45812.958333333343</v>
      </c>
      <c r="F1920">
        <v>24.762518</v>
      </c>
      <c r="G1920">
        <v>84.982348000000002</v>
      </c>
      <c r="H1920" t="s">
        <v>772</v>
      </c>
      <c r="I1920">
        <v>17</v>
      </c>
      <c r="J1920">
        <v>25</v>
      </c>
      <c r="K1920">
        <v>22</v>
      </c>
    </row>
    <row r="1921" spans="1:11" x14ac:dyDescent="0.3">
      <c r="A1921" t="s">
        <v>11</v>
      </c>
      <c r="B1921" t="s">
        <v>13</v>
      </c>
      <c r="C1921" t="s">
        <v>72</v>
      </c>
      <c r="D1921" t="s">
        <v>327</v>
      </c>
      <c r="E1921" s="5">
        <v>45812.958333333343</v>
      </c>
      <c r="F1921">
        <v>25.697189000000002</v>
      </c>
      <c r="G1921">
        <v>85.245900000000006</v>
      </c>
      <c r="H1921" t="s">
        <v>772</v>
      </c>
      <c r="I1921">
        <v>14</v>
      </c>
      <c r="J1921">
        <v>42</v>
      </c>
      <c r="K1921">
        <v>28</v>
      </c>
    </row>
    <row r="1922" spans="1:11" x14ac:dyDescent="0.3">
      <c r="A1922" t="s">
        <v>11</v>
      </c>
      <c r="B1922" t="s">
        <v>13</v>
      </c>
      <c r="C1922" t="s">
        <v>73</v>
      </c>
      <c r="D1922" t="s">
        <v>328</v>
      </c>
      <c r="E1922" s="5">
        <v>45812.958333333343</v>
      </c>
      <c r="F1922">
        <v>25.560082999999999</v>
      </c>
      <c r="G1922">
        <v>87.553264999999996</v>
      </c>
      <c r="H1922" t="s">
        <v>774</v>
      </c>
      <c r="I1922">
        <v>13</v>
      </c>
      <c r="J1922">
        <v>26</v>
      </c>
      <c r="K1922">
        <v>21</v>
      </c>
    </row>
    <row r="1923" spans="1:11" x14ac:dyDescent="0.3">
      <c r="A1923" t="s">
        <v>11</v>
      </c>
      <c r="B1923" t="s">
        <v>13</v>
      </c>
      <c r="C1923" t="s">
        <v>65</v>
      </c>
      <c r="D1923" t="s">
        <v>317</v>
      </c>
      <c r="E1923" s="5">
        <v>45812.958333333343</v>
      </c>
      <c r="F1923">
        <v>26.088130499999998</v>
      </c>
      <c r="G1923">
        <v>87.938403359999995</v>
      </c>
      <c r="H1923" t="s">
        <v>775</v>
      </c>
    </row>
    <row r="1924" spans="1:11" x14ac:dyDescent="0.3">
      <c r="A1924" t="s">
        <v>11</v>
      </c>
      <c r="B1924" t="s">
        <v>13</v>
      </c>
      <c r="C1924" t="s">
        <v>65</v>
      </c>
      <c r="D1924" t="s">
        <v>317</v>
      </c>
      <c r="E1924" s="5">
        <v>45812.958333333343</v>
      </c>
      <c r="F1924">
        <v>26.088130499999998</v>
      </c>
      <c r="G1924">
        <v>87.938403359999995</v>
      </c>
      <c r="H1924" t="s">
        <v>772</v>
      </c>
    </row>
    <row r="1925" spans="1:11" x14ac:dyDescent="0.3">
      <c r="A1925" t="s">
        <v>11</v>
      </c>
      <c r="B1925" t="s">
        <v>13</v>
      </c>
      <c r="C1925" t="s">
        <v>65</v>
      </c>
      <c r="D1925" t="s">
        <v>317</v>
      </c>
      <c r="E1925" s="5">
        <v>45812.958333333343</v>
      </c>
      <c r="F1925">
        <v>26.088130499999998</v>
      </c>
      <c r="G1925">
        <v>87.938403359999995</v>
      </c>
      <c r="H1925" t="s">
        <v>776</v>
      </c>
    </row>
    <row r="1926" spans="1:11" x14ac:dyDescent="0.3">
      <c r="A1926" t="s">
        <v>11</v>
      </c>
      <c r="B1926" t="s">
        <v>13</v>
      </c>
      <c r="C1926" t="s">
        <v>66</v>
      </c>
      <c r="D1926" t="s">
        <v>318</v>
      </c>
      <c r="E1926" s="5">
        <v>45812.958333333343</v>
      </c>
      <c r="F1926">
        <v>27.308327999999999</v>
      </c>
      <c r="G1926">
        <v>84.531741999999994</v>
      </c>
      <c r="H1926" t="s">
        <v>776</v>
      </c>
      <c r="I1926">
        <v>2</v>
      </c>
      <c r="J1926">
        <v>104</v>
      </c>
      <c r="K1926">
        <v>7</v>
      </c>
    </row>
    <row r="1927" spans="1:11" x14ac:dyDescent="0.3">
      <c r="A1927" t="s">
        <v>11</v>
      </c>
      <c r="B1927" t="s">
        <v>13</v>
      </c>
      <c r="C1927" t="s">
        <v>61</v>
      </c>
      <c r="D1927" t="s">
        <v>661</v>
      </c>
      <c r="E1927" s="5">
        <v>45812.958333333343</v>
      </c>
      <c r="F1927">
        <v>25.610368999999999</v>
      </c>
      <c r="G1927">
        <v>85.132568000000006</v>
      </c>
      <c r="H1927" t="s">
        <v>776</v>
      </c>
      <c r="I1927">
        <v>74</v>
      </c>
      <c r="J1927">
        <v>88</v>
      </c>
      <c r="K1927">
        <v>78</v>
      </c>
    </row>
    <row r="1928" spans="1:11" x14ac:dyDescent="0.3">
      <c r="A1928" t="s">
        <v>11</v>
      </c>
      <c r="B1928" t="s">
        <v>13</v>
      </c>
      <c r="C1928" t="s">
        <v>61</v>
      </c>
      <c r="D1928" t="s">
        <v>322</v>
      </c>
      <c r="E1928" s="5">
        <v>45812.958333333343</v>
      </c>
      <c r="F1928">
        <v>25.619651000000001</v>
      </c>
      <c r="G1928">
        <v>85.147381999999993</v>
      </c>
      <c r="H1928" t="s">
        <v>774</v>
      </c>
      <c r="I1928">
        <v>6</v>
      </c>
      <c r="J1928">
        <v>8</v>
      </c>
      <c r="K1928">
        <v>7</v>
      </c>
    </row>
    <row r="1929" spans="1:11" x14ac:dyDescent="0.3">
      <c r="A1929" t="s">
        <v>11</v>
      </c>
      <c r="B1929" t="s">
        <v>13</v>
      </c>
      <c r="C1929" t="s">
        <v>61</v>
      </c>
      <c r="D1929" t="s">
        <v>313</v>
      </c>
      <c r="E1929" s="5">
        <v>45812.958333333343</v>
      </c>
      <c r="F1929">
        <v>25.596727000000001</v>
      </c>
      <c r="G1929">
        <v>85.085623999999996</v>
      </c>
      <c r="H1929" t="s">
        <v>771</v>
      </c>
    </row>
    <row r="1930" spans="1:11" x14ac:dyDescent="0.3">
      <c r="A1930" t="s">
        <v>11</v>
      </c>
      <c r="B1930" t="s">
        <v>13</v>
      </c>
      <c r="C1930" t="s">
        <v>67</v>
      </c>
      <c r="D1930" t="s">
        <v>319</v>
      </c>
      <c r="E1930" s="5">
        <v>45812.958333333343</v>
      </c>
      <c r="F1930">
        <v>25.376776</v>
      </c>
      <c r="G1930">
        <v>86.471523000000005</v>
      </c>
      <c r="H1930" t="s">
        <v>773</v>
      </c>
      <c r="I1930">
        <v>6</v>
      </c>
      <c r="J1930">
        <v>8</v>
      </c>
      <c r="K1930">
        <v>7</v>
      </c>
    </row>
    <row r="1931" spans="1:11" x14ac:dyDescent="0.3">
      <c r="A1931" t="s">
        <v>11</v>
      </c>
      <c r="B1931" t="s">
        <v>13</v>
      </c>
      <c r="C1931" t="s">
        <v>71</v>
      </c>
      <c r="D1931" t="s">
        <v>325</v>
      </c>
      <c r="E1931" s="5">
        <v>45812.958333333343</v>
      </c>
      <c r="F1931">
        <v>26.114419999999999</v>
      </c>
      <c r="G1931">
        <v>85.398129999999995</v>
      </c>
      <c r="H1931" t="s">
        <v>775</v>
      </c>
      <c r="I1931">
        <v>80</v>
      </c>
      <c r="J1931">
        <v>266</v>
      </c>
      <c r="K1931">
        <v>184</v>
      </c>
    </row>
    <row r="1932" spans="1:11" x14ac:dyDescent="0.3">
      <c r="A1932" t="s">
        <v>11</v>
      </c>
      <c r="B1932" t="s">
        <v>13</v>
      </c>
      <c r="C1932" t="s">
        <v>58</v>
      </c>
      <c r="D1932" t="s">
        <v>308</v>
      </c>
      <c r="E1932" s="5">
        <v>45812.958333333343</v>
      </c>
      <c r="F1932">
        <v>25.265194000000001</v>
      </c>
      <c r="G1932">
        <v>87.012946999999997</v>
      </c>
      <c r="H1932" t="s">
        <v>770</v>
      </c>
      <c r="I1932">
        <v>3</v>
      </c>
      <c r="J1932">
        <v>26</v>
      </c>
      <c r="K1932">
        <v>13</v>
      </c>
    </row>
    <row r="1933" spans="1:11" x14ac:dyDescent="0.3">
      <c r="A1933" t="s">
        <v>11</v>
      </c>
      <c r="B1933" t="s">
        <v>13</v>
      </c>
      <c r="C1933" t="s">
        <v>70</v>
      </c>
      <c r="D1933" t="s">
        <v>324</v>
      </c>
      <c r="E1933" s="5">
        <v>45812.958333333343</v>
      </c>
      <c r="F1933">
        <v>25.567519999999998</v>
      </c>
      <c r="G1933">
        <v>83.966379000000003</v>
      </c>
      <c r="H1933" t="s">
        <v>771</v>
      </c>
      <c r="I1933">
        <v>44</v>
      </c>
      <c r="J1933">
        <v>189</v>
      </c>
      <c r="K1933">
        <v>117</v>
      </c>
    </row>
    <row r="1934" spans="1:11" x14ac:dyDescent="0.3">
      <c r="A1934" t="s">
        <v>11</v>
      </c>
      <c r="B1934" t="s">
        <v>13</v>
      </c>
      <c r="C1934" t="s">
        <v>69</v>
      </c>
      <c r="D1934" t="s">
        <v>758</v>
      </c>
      <c r="E1934" s="5">
        <v>45812.958333333343</v>
      </c>
      <c r="F1934">
        <v>24.795500000000001</v>
      </c>
      <c r="G1934">
        <v>84.999399999999994</v>
      </c>
      <c r="H1934" t="s">
        <v>772</v>
      </c>
      <c r="I1934">
        <v>1</v>
      </c>
      <c r="J1934">
        <v>12</v>
      </c>
      <c r="K1934">
        <v>6</v>
      </c>
    </row>
    <row r="1935" spans="1:11" x14ac:dyDescent="0.3">
      <c r="A1935" t="s">
        <v>11</v>
      </c>
      <c r="B1935" t="s">
        <v>13</v>
      </c>
      <c r="C1935" t="s">
        <v>69</v>
      </c>
      <c r="D1935" t="s">
        <v>758</v>
      </c>
      <c r="E1935" s="5">
        <v>45812.958333333343</v>
      </c>
      <c r="F1935">
        <v>24.795500000000001</v>
      </c>
      <c r="G1935">
        <v>84.999399999999994</v>
      </c>
      <c r="H1935" t="s">
        <v>774</v>
      </c>
      <c r="I1935">
        <v>13</v>
      </c>
      <c r="J1935">
        <v>15</v>
      </c>
      <c r="K1935">
        <v>14</v>
      </c>
    </row>
    <row r="1936" spans="1:11" x14ac:dyDescent="0.3">
      <c r="A1936" t="s">
        <v>11</v>
      </c>
      <c r="B1936" t="s">
        <v>13</v>
      </c>
      <c r="C1936" t="s">
        <v>69</v>
      </c>
      <c r="D1936" t="s">
        <v>758</v>
      </c>
      <c r="E1936" s="5">
        <v>45812.958333333343</v>
      </c>
      <c r="F1936">
        <v>24.795500000000001</v>
      </c>
      <c r="G1936">
        <v>84.999399999999994</v>
      </c>
      <c r="H1936" t="s">
        <v>770</v>
      </c>
      <c r="I1936">
        <v>19</v>
      </c>
      <c r="J1936">
        <v>21</v>
      </c>
      <c r="K1936">
        <v>20</v>
      </c>
    </row>
    <row r="1937" spans="1:11" x14ac:dyDescent="0.3">
      <c r="A1937" t="s">
        <v>11</v>
      </c>
      <c r="B1937" t="s">
        <v>13</v>
      </c>
      <c r="C1937" t="s">
        <v>61</v>
      </c>
      <c r="D1937" t="s">
        <v>329</v>
      </c>
      <c r="E1937" s="5">
        <v>45812.958333333343</v>
      </c>
      <c r="F1937">
        <v>25.592538999999999</v>
      </c>
      <c r="G1937">
        <v>85.227158000000003</v>
      </c>
      <c r="H1937" t="s">
        <v>773</v>
      </c>
      <c r="I1937">
        <v>10</v>
      </c>
      <c r="J1937">
        <v>14</v>
      </c>
      <c r="K1937">
        <v>12</v>
      </c>
    </row>
    <row r="1938" spans="1:11" x14ac:dyDescent="0.3">
      <c r="A1938" t="s">
        <v>11</v>
      </c>
      <c r="B1938" t="s">
        <v>13</v>
      </c>
      <c r="C1938" t="s">
        <v>71</v>
      </c>
      <c r="D1938" t="s">
        <v>325</v>
      </c>
      <c r="E1938" s="5">
        <v>45812.958333333343</v>
      </c>
      <c r="F1938">
        <v>26.114419999999999</v>
      </c>
      <c r="G1938">
        <v>85.398129999999995</v>
      </c>
      <c r="H1938" t="s">
        <v>770</v>
      </c>
      <c r="I1938">
        <v>1</v>
      </c>
      <c r="J1938">
        <v>84</v>
      </c>
      <c r="K1938">
        <v>60</v>
      </c>
    </row>
    <row r="1939" spans="1:11" x14ac:dyDescent="0.3">
      <c r="A1939" t="s">
        <v>11</v>
      </c>
      <c r="B1939" t="s">
        <v>16</v>
      </c>
      <c r="C1939" t="s">
        <v>78</v>
      </c>
      <c r="D1939" t="s">
        <v>334</v>
      </c>
      <c r="E1939" s="5">
        <v>45812.958333333343</v>
      </c>
      <c r="F1939">
        <v>22.368195</v>
      </c>
      <c r="G1939">
        <v>82.746431000000001</v>
      </c>
      <c r="H1939" t="s">
        <v>773</v>
      </c>
    </row>
    <row r="1940" spans="1:11" x14ac:dyDescent="0.3">
      <c r="A1940" t="s">
        <v>11</v>
      </c>
      <c r="B1940" t="s">
        <v>16</v>
      </c>
      <c r="C1940" t="s">
        <v>78</v>
      </c>
      <c r="D1940" t="s">
        <v>335</v>
      </c>
      <c r="E1940" s="5">
        <v>45812.958333333343</v>
      </c>
      <c r="F1940">
        <v>22.348441000000001</v>
      </c>
      <c r="G1940">
        <v>82.549610999999999</v>
      </c>
      <c r="H1940" t="s">
        <v>774</v>
      </c>
      <c r="I1940">
        <v>7</v>
      </c>
      <c r="J1940">
        <v>10</v>
      </c>
      <c r="K1940">
        <v>8</v>
      </c>
    </row>
    <row r="1941" spans="1:11" x14ac:dyDescent="0.3">
      <c r="A1941" t="s">
        <v>11</v>
      </c>
      <c r="B1941" t="s">
        <v>16</v>
      </c>
      <c r="C1941" t="s">
        <v>250</v>
      </c>
      <c r="D1941" t="s">
        <v>665</v>
      </c>
      <c r="E1941" s="5">
        <v>45812.958333333343</v>
      </c>
      <c r="F1941">
        <v>22.126650000000001</v>
      </c>
      <c r="G1941">
        <v>83.483211999999995</v>
      </c>
      <c r="H1941" t="s">
        <v>774</v>
      </c>
      <c r="I1941">
        <v>1</v>
      </c>
      <c r="J1941">
        <v>6</v>
      </c>
      <c r="K1941">
        <v>4</v>
      </c>
    </row>
    <row r="1942" spans="1:11" x14ac:dyDescent="0.3">
      <c r="A1942" t="s">
        <v>11</v>
      </c>
      <c r="B1942" t="s">
        <v>16</v>
      </c>
      <c r="C1942" t="s">
        <v>250</v>
      </c>
      <c r="D1942" t="s">
        <v>665</v>
      </c>
      <c r="E1942" s="5">
        <v>45812.958333333343</v>
      </c>
      <c r="F1942">
        <v>22.126650000000001</v>
      </c>
      <c r="G1942">
        <v>83.483211999999995</v>
      </c>
      <c r="H1942" t="s">
        <v>776</v>
      </c>
      <c r="I1942">
        <v>20</v>
      </c>
      <c r="J1942">
        <v>57</v>
      </c>
      <c r="K1942">
        <v>25</v>
      </c>
    </row>
    <row r="1943" spans="1:11" x14ac:dyDescent="0.3">
      <c r="A1943" t="s">
        <v>11</v>
      </c>
      <c r="B1943" t="s">
        <v>16</v>
      </c>
      <c r="C1943" t="s">
        <v>250</v>
      </c>
      <c r="D1943" t="s">
        <v>665</v>
      </c>
      <c r="E1943" s="5">
        <v>45812.958333333343</v>
      </c>
      <c r="F1943">
        <v>22.126650000000001</v>
      </c>
      <c r="G1943">
        <v>83.483211999999995</v>
      </c>
      <c r="H1943" t="s">
        <v>770</v>
      </c>
      <c r="I1943">
        <v>8</v>
      </c>
      <c r="J1943">
        <v>9</v>
      </c>
      <c r="K1943">
        <v>8</v>
      </c>
    </row>
    <row r="1944" spans="1:11" x14ac:dyDescent="0.3">
      <c r="A1944" t="s">
        <v>11</v>
      </c>
      <c r="B1944" t="s">
        <v>16</v>
      </c>
      <c r="C1944" t="s">
        <v>251</v>
      </c>
      <c r="D1944" t="s">
        <v>666</v>
      </c>
      <c r="E1944" s="5">
        <v>45812.958333333343</v>
      </c>
      <c r="F1944">
        <v>22.191017200000001</v>
      </c>
      <c r="G1944">
        <v>83.519700900000004</v>
      </c>
      <c r="H1944" t="s">
        <v>774</v>
      </c>
      <c r="I1944">
        <v>5</v>
      </c>
      <c r="J1944">
        <v>36</v>
      </c>
      <c r="K1944">
        <v>15</v>
      </c>
    </row>
    <row r="1945" spans="1:11" x14ac:dyDescent="0.3">
      <c r="A1945" t="s">
        <v>11</v>
      </c>
      <c r="B1945" t="s">
        <v>16</v>
      </c>
      <c r="C1945" t="s">
        <v>81</v>
      </c>
      <c r="D1945" t="s">
        <v>350</v>
      </c>
      <c r="E1945" s="5">
        <v>45812.958333333343</v>
      </c>
      <c r="F1945">
        <v>21.371751</v>
      </c>
      <c r="G1945">
        <v>81.664929000000001</v>
      </c>
      <c r="H1945" t="s">
        <v>776</v>
      </c>
      <c r="I1945">
        <v>10</v>
      </c>
      <c r="J1945">
        <v>62</v>
      </c>
      <c r="K1945">
        <v>18</v>
      </c>
    </row>
    <row r="1946" spans="1:11" x14ac:dyDescent="0.3">
      <c r="A1946" t="s">
        <v>11</v>
      </c>
      <c r="B1946" t="s">
        <v>16</v>
      </c>
      <c r="C1946" t="s">
        <v>81</v>
      </c>
      <c r="D1946" t="s">
        <v>350</v>
      </c>
      <c r="E1946" s="5">
        <v>45812.958333333343</v>
      </c>
      <c r="F1946">
        <v>21.371751</v>
      </c>
      <c r="G1946">
        <v>81.664929000000001</v>
      </c>
      <c r="H1946" t="s">
        <v>770</v>
      </c>
      <c r="I1946">
        <v>4</v>
      </c>
      <c r="J1946">
        <v>37</v>
      </c>
      <c r="K1946">
        <v>19</v>
      </c>
    </row>
    <row r="1947" spans="1:11" x14ac:dyDescent="0.3">
      <c r="A1947" t="s">
        <v>11</v>
      </c>
      <c r="B1947" t="s">
        <v>16</v>
      </c>
      <c r="C1947" t="s">
        <v>252</v>
      </c>
      <c r="D1947" t="s">
        <v>669</v>
      </c>
      <c r="E1947" s="5">
        <v>45812.958333333343</v>
      </c>
      <c r="F1947">
        <v>22.06631475</v>
      </c>
      <c r="G1947">
        <v>83.33820077</v>
      </c>
      <c r="H1947" t="s">
        <v>775</v>
      </c>
      <c r="I1947">
        <v>18</v>
      </c>
      <c r="J1947">
        <v>322</v>
      </c>
      <c r="K1947">
        <v>102</v>
      </c>
    </row>
    <row r="1948" spans="1:11" x14ac:dyDescent="0.3">
      <c r="A1948" t="s">
        <v>11</v>
      </c>
      <c r="B1948" t="s">
        <v>18</v>
      </c>
      <c r="C1948" t="s">
        <v>18</v>
      </c>
      <c r="D1948" t="s">
        <v>339</v>
      </c>
      <c r="E1948" s="5">
        <v>45812.958333333343</v>
      </c>
      <c r="F1948">
        <v>28.815328999999998</v>
      </c>
      <c r="G1948">
        <v>77.153009999999995</v>
      </c>
      <c r="H1948" t="s">
        <v>775</v>
      </c>
      <c r="I1948">
        <v>23</v>
      </c>
      <c r="J1948">
        <v>419</v>
      </c>
      <c r="K1948">
        <v>190</v>
      </c>
    </row>
    <row r="1949" spans="1:11" x14ac:dyDescent="0.3">
      <c r="A1949" t="s">
        <v>11</v>
      </c>
      <c r="B1949" t="s">
        <v>17</v>
      </c>
      <c r="C1949" t="s">
        <v>17</v>
      </c>
      <c r="D1949" t="s">
        <v>338</v>
      </c>
      <c r="E1949" s="5">
        <v>45812.958333333343</v>
      </c>
      <c r="F1949">
        <v>30.735567</v>
      </c>
      <c r="G1949">
        <v>76.775713999999994</v>
      </c>
      <c r="H1949" t="s">
        <v>770</v>
      </c>
      <c r="I1949">
        <v>4</v>
      </c>
      <c r="J1949">
        <v>188</v>
      </c>
      <c r="K1949">
        <v>104</v>
      </c>
    </row>
    <row r="1950" spans="1:11" x14ac:dyDescent="0.3">
      <c r="A1950" t="s">
        <v>11</v>
      </c>
      <c r="B1950" t="s">
        <v>17</v>
      </c>
      <c r="C1950" t="s">
        <v>17</v>
      </c>
      <c r="D1950" t="s">
        <v>345</v>
      </c>
      <c r="E1950" s="5">
        <v>45812.958333333343</v>
      </c>
      <c r="F1950">
        <v>30.719859</v>
      </c>
      <c r="G1950">
        <v>76.738636999999997</v>
      </c>
      <c r="H1950" t="s">
        <v>775</v>
      </c>
    </row>
    <row r="1951" spans="1:11" x14ac:dyDescent="0.3">
      <c r="A1951" t="s">
        <v>11</v>
      </c>
      <c r="B1951" t="s">
        <v>16</v>
      </c>
      <c r="C1951" t="s">
        <v>75</v>
      </c>
      <c r="D1951" t="s">
        <v>668</v>
      </c>
      <c r="E1951" s="5">
        <v>45812.958333333343</v>
      </c>
      <c r="F1951">
        <v>21.194814999999998</v>
      </c>
      <c r="G1951">
        <v>81.314769999999996</v>
      </c>
      <c r="H1951" t="s">
        <v>771</v>
      </c>
      <c r="I1951">
        <v>31</v>
      </c>
      <c r="J1951">
        <v>70</v>
      </c>
      <c r="K1951">
        <v>54</v>
      </c>
    </row>
    <row r="1952" spans="1:11" x14ac:dyDescent="0.3">
      <c r="A1952" t="s">
        <v>11</v>
      </c>
      <c r="B1952" t="s">
        <v>16</v>
      </c>
      <c r="C1952" t="s">
        <v>75</v>
      </c>
      <c r="D1952" t="s">
        <v>668</v>
      </c>
      <c r="E1952" s="5">
        <v>45812.958333333343</v>
      </c>
      <c r="F1952">
        <v>21.194814999999998</v>
      </c>
      <c r="G1952">
        <v>81.314769999999996</v>
      </c>
      <c r="H1952" t="s">
        <v>770</v>
      </c>
      <c r="I1952">
        <v>15</v>
      </c>
      <c r="J1952">
        <v>35</v>
      </c>
      <c r="K1952">
        <v>25</v>
      </c>
    </row>
    <row r="1953" spans="1:11" x14ac:dyDescent="0.3">
      <c r="A1953" t="s">
        <v>11</v>
      </c>
      <c r="B1953" t="s">
        <v>16</v>
      </c>
      <c r="C1953" t="s">
        <v>76</v>
      </c>
      <c r="D1953" t="s">
        <v>332</v>
      </c>
      <c r="E1953" s="5">
        <v>45812.958333333343</v>
      </c>
      <c r="F1953">
        <v>22.088149999999999</v>
      </c>
      <c r="G1953">
        <v>82.137370000000004</v>
      </c>
      <c r="H1953" t="s">
        <v>774</v>
      </c>
    </row>
    <row r="1954" spans="1:11" x14ac:dyDescent="0.3">
      <c r="A1954" t="s">
        <v>11</v>
      </c>
      <c r="B1954" t="s">
        <v>16</v>
      </c>
      <c r="C1954" t="s">
        <v>77</v>
      </c>
      <c r="D1954" t="s">
        <v>333</v>
      </c>
      <c r="E1954" s="5">
        <v>45812.958333333343</v>
      </c>
      <c r="F1954">
        <v>22.118124999999999</v>
      </c>
      <c r="G1954">
        <v>83.140608</v>
      </c>
      <c r="H1954" t="s">
        <v>775</v>
      </c>
      <c r="I1954">
        <v>36</v>
      </c>
      <c r="J1954">
        <v>404</v>
      </c>
      <c r="K1954">
        <v>94</v>
      </c>
    </row>
    <row r="1955" spans="1:11" x14ac:dyDescent="0.3">
      <c r="A1955" t="s">
        <v>11</v>
      </c>
      <c r="B1955" t="s">
        <v>16</v>
      </c>
      <c r="C1955" t="s">
        <v>77</v>
      </c>
      <c r="D1955" t="s">
        <v>333</v>
      </c>
      <c r="E1955" s="5">
        <v>45812.958333333343</v>
      </c>
      <c r="F1955">
        <v>22.118124999999999</v>
      </c>
      <c r="G1955">
        <v>83.140608</v>
      </c>
      <c r="H1955" t="s">
        <v>772</v>
      </c>
      <c r="I1955">
        <v>13</v>
      </c>
      <c r="J1955">
        <v>31</v>
      </c>
      <c r="K1955">
        <v>19</v>
      </c>
    </row>
    <row r="1956" spans="1:11" x14ac:dyDescent="0.3">
      <c r="A1956" t="s">
        <v>11</v>
      </c>
      <c r="B1956" t="s">
        <v>16</v>
      </c>
      <c r="C1956" t="s">
        <v>77</v>
      </c>
      <c r="D1956" t="s">
        <v>333</v>
      </c>
      <c r="E1956" s="5">
        <v>45812.958333333343</v>
      </c>
      <c r="F1956">
        <v>22.118124999999999</v>
      </c>
      <c r="G1956">
        <v>83.140608</v>
      </c>
      <c r="H1956" t="s">
        <v>774</v>
      </c>
      <c r="I1956">
        <v>6</v>
      </c>
      <c r="J1956">
        <v>7</v>
      </c>
      <c r="K1956">
        <v>6</v>
      </c>
    </row>
    <row r="1957" spans="1:11" x14ac:dyDescent="0.3">
      <c r="A1957" t="s">
        <v>11</v>
      </c>
      <c r="B1957" t="s">
        <v>16</v>
      </c>
      <c r="C1957" t="s">
        <v>81</v>
      </c>
      <c r="D1957" t="s">
        <v>348</v>
      </c>
      <c r="E1957" s="5">
        <v>45812.958333333343</v>
      </c>
      <c r="F1957">
        <v>21.219664999999999</v>
      </c>
      <c r="G1957">
        <v>81.630094</v>
      </c>
      <c r="H1957" t="s">
        <v>770</v>
      </c>
      <c r="I1957">
        <v>6</v>
      </c>
      <c r="J1957">
        <v>34</v>
      </c>
      <c r="K1957">
        <v>22</v>
      </c>
    </row>
    <row r="1958" spans="1:11" x14ac:dyDescent="0.3">
      <c r="A1958" t="s">
        <v>11</v>
      </c>
      <c r="B1958" t="s">
        <v>16</v>
      </c>
      <c r="C1958" t="s">
        <v>81</v>
      </c>
      <c r="D1958" t="s">
        <v>349</v>
      </c>
      <c r="E1958" s="5">
        <v>45812.958333333343</v>
      </c>
      <c r="F1958">
        <v>21.237755</v>
      </c>
      <c r="G1958">
        <v>81.705301000000006</v>
      </c>
      <c r="H1958" t="s">
        <v>775</v>
      </c>
      <c r="I1958">
        <v>1</v>
      </c>
      <c r="J1958">
        <v>6</v>
      </c>
      <c r="K1958">
        <v>3</v>
      </c>
    </row>
    <row r="1959" spans="1:11" x14ac:dyDescent="0.3">
      <c r="A1959" t="s">
        <v>11</v>
      </c>
      <c r="B1959" t="s">
        <v>16</v>
      </c>
      <c r="C1959" t="s">
        <v>81</v>
      </c>
      <c r="D1959" t="s">
        <v>349</v>
      </c>
      <c r="E1959" s="5">
        <v>45812.958333333343</v>
      </c>
      <c r="F1959">
        <v>21.237755</v>
      </c>
      <c r="G1959">
        <v>81.705301000000006</v>
      </c>
      <c r="H1959" t="s">
        <v>773</v>
      </c>
      <c r="I1959">
        <v>7</v>
      </c>
      <c r="J1959">
        <v>7</v>
      </c>
      <c r="K1959">
        <v>7</v>
      </c>
    </row>
    <row r="1960" spans="1:11" x14ac:dyDescent="0.3">
      <c r="A1960" t="s">
        <v>11</v>
      </c>
      <c r="B1960" t="s">
        <v>16</v>
      </c>
      <c r="C1960" t="s">
        <v>81</v>
      </c>
      <c r="D1960" t="s">
        <v>347</v>
      </c>
      <c r="E1960" s="5">
        <v>45812.958333333343</v>
      </c>
      <c r="F1960">
        <v>21.258814999999998</v>
      </c>
      <c r="G1960">
        <v>81.578979000000004</v>
      </c>
      <c r="H1960" t="s">
        <v>771</v>
      </c>
      <c r="I1960">
        <v>39</v>
      </c>
      <c r="J1960">
        <v>89</v>
      </c>
      <c r="K1960">
        <v>55</v>
      </c>
    </row>
    <row r="1961" spans="1:11" x14ac:dyDescent="0.3">
      <c r="A1961" t="s">
        <v>11</v>
      </c>
      <c r="B1961" t="s">
        <v>16</v>
      </c>
      <c r="C1961" t="s">
        <v>81</v>
      </c>
      <c r="D1961" t="s">
        <v>348</v>
      </c>
      <c r="E1961" s="5">
        <v>45812.958333333343</v>
      </c>
      <c r="F1961">
        <v>21.219664999999999</v>
      </c>
      <c r="G1961">
        <v>81.630094</v>
      </c>
      <c r="H1961" t="s">
        <v>774</v>
      </c>
      <c r="I1961">
        <v>3</v>
      </c>
      <c r="J1961">
        <v>15</v>
      </c>
      <c r="K1961">
        <v>8</v>
      </c>
    </row>
    <row r="1962" spans="1:11" x14ac:dyDescent="0.3">
      <c r="A1962" t="s">
        <v>11</v>
      </c>
      <c r="B1962" t="s">
        <v>16</v>
      </c>
      <c r="C1962" t="s">
        <v>81</v>
      </c>
      <c r="D1962" t="s">
        <v>350</v>
      </c>
      <c r="E1962" s="5">
        <v>45812.958333333343</v>
      </c>
      <c r="F1962">
        <v>21.371751</v>
      </c>
      <c r="G1962">
        <v>81.664929000000001</v>
      </c>
      <c r="H1962" t="s">
        <v>771</v>
      </c>
      <c r="I1962">
        <v>75</v>
      </c>
      <c r="J1962">
        <v>156</v>
      </c>
      <c r="K1962">
        <v>124</v>
      </c>
    </row>
    <row r="1963" spans="1:11" x14ac:dyDescent="0.3">
      <c r="A1963" t="s">
        <v>11</v>
      </c>
      <c r="B1963" t="s">
        <v>13</v>
      </c>
      <c r="C1963" t="s">
        <v>79</v>
      </c>
      <c r="D1963" t="s">
        <v>336</v>
      </c>
      <c r="E1963" s="5">
        <v>45812.958333333343</v>
      </c>
      <c r="F1963">
        <v>24.952822000000001</v>
      </c>
      <c r="G1963">
        <v>84.002396000000005</v>
      </c>
      <c r="H1963" t="s">
        <v>775</v>
      </c>
      <c r="I1963">
        <v>88</v>
      </c>
      <c r="J1963">
        <v>324</v>
      </c>
      <c r="K1963">
        <v>183</v>
      </c>
    </row>
    <row r="1964" spans="1:11" x14ac:dyDescent="0.3">
      <c r="A1964" t="s">
        <v>11</v>
      </c>
      <c r="B1964" t="s">
        <v>13</v>
      </c>
      <c r="C1964" t="s">
        <v>79</v>
      </c>
      <c r="D1964" t="s">
        <v>336</v>
      </c>
      <c r="E1964" s="5">
        <v>45812.958333333343</v>
      </c>
      <c r="F1964">
        <v>24.952822000000001</v>
      </c>
      <c r="G1964">
        <v>84.002396000000005</v>
      </c>
      <c r="H1964" t="s">
        <v>776</v>
      </c>
      <c r="I1964">
        <v>30</v>
      </c>
      <c r="J1964">
        <v>55</v>
      </c>
      <c r="K1964">
        <v>49</v>
      </c>
    </row>
    <row r="1965" spans="1:11" x14ac:dyDescent="0.3">
      <c r="A1965" t="s">
        <v>11</v>
      </c>
      <c r="B1965" t="s">
        <v>18</v>
      </c>
      <c r="C1965" t="s">
        <v>18</v>
      </c>
      <c r="D1965" t="s">
        <v>673</v>
      </c>
      <c r="E1965" s="5">
        <v>45812.958333333343</v>
      </c>
      <c r="F1965">
        <v>28.591824500000001</v>
      </c>
      <c r="G1965">
        <v>77.227307400000001</v>
      </c>
      <c r="H1965" t="s">
        <v>771</v>
      </c>
    </row>
    <row r="1966" spans="1:11" x14ac:dyDescent="0.3">
      <c r="A1966" t="s">
        <v>11</v>
      </c>
      <c r="B1966" t="s">
        <v>18</v>
      </c>
      <c r="C1966" t="s">
        <v>18</v>
      </c>
      <c r="D1966" t="s">
        <v>674</v>
      </c>
      <c r="E1966" s="5">
        <v>45812.958333333343</v>
      </c>
      <c r="F1966">
        <v>28.611281000000002</v>
      </c>
      <c r="G1966">
        <v>77.237737999999993</v>
      </c>
      <c r="H1966" t="s">
        <v>771</v>
      </c>
      <c r="I1966">
        <v>70</v>
      </c>
      <c r="J1966">
        <v>230</v>
      </c>
      <c r="K1966">
        <v>142</v>
      </c>
    </row>
    <row r="1967" spans="1:11" x14ac:dyDescent="0.3">
      <c r="A1967" t="s">
        <v>11</v>
      </c>
      <c r="B1967" t="s">
        <v>18</v>
      </c>
      <c r="C1967" t="s">
        <v>18</v>
      </c>
      <c r="D1967" t="s">
        <v>674</v>
      </c>
      <c r="E1967" s="5">
        <v>45812.958333333343</v>
      </c>
      <c r="F1967">
        <v>28.611281000000002</v>
      </c>
      <c r="G1967">
        <v>77.237737999999993</v>
      </c>
      <c r="H1967" t="s">
        <v>773</v>
      </c>
      <c r="I1967">
        <v>14</v>
      </c>
      <c r="J1967">
        <v>20</v>
      </c>
      <c r="K1967">
        <v>17</v>
      </c>
    </row>
    <row r="1968" spans="1:11" x14ac:dyDescent="0.3">
      <c r="A1968" t="s">
        <v>11</v>
      </c>
      <c r="B1968" t="s">
        <v>18</v>
      </c>
      <c r="C1968" t="s">
        <v>18</v>
      </c>
      <c r="D1968" t="s">
        <v>674</v>
      </c>
      <c r="E1968" s="5">
        <v>45812.958333333343</v>
      </c>
      <c r="F1968">
        <v>28.611281000000002</v>
      </c>
      <c r="G1968">
        <v>77.237737999999993</v>
      </c>
      <c r="H1968" t="s">
        <v>776</v>
      </c>
      <c r="I1968">
        <v>2</v>
      </c>
      <c r="J1968">
        <v>125</v>
      </c>
      <c r="K1968">
        <v>50</v>
      </c>
    </row>
    <row r="1969" spans="1:11" x14ac:dyDescent="0.3">
      <c r="A1969" t="s">
        <v>11</v>
      </c>
      <c r="B1969" t="s">
        <v>18</v>
      </c>
      <c r="C1969" t="s">
        <v>18</v>
      </c>
      <c r="D1969" t="s">
        <v>675</v>
      </c>
      <c r="E1969" s="5">
        <v>45812.958333333343</v>
      </c>
      <c r="F1969">
        <v>28.636429</v>
      </c>
      <c r="G1969">
        <v>77.201066999999995</v>
      </c>
      <c r="H1969" t="s">
        <v>774</v>
      </c>
      <c r="I1969">
        <v>6</v>
      </c>
      <c r="J1969">
        <v>37</v>
      </c>
      <c r="K1969">
        <v>19</v>
      </c>
    </row>
    <row r="1970" spans="1:11" x14ac:dyDescent="0.3">
      <c r="A1970" t="s">
        <v>11</v>
      </c>
      <c r="B1970" t="s">
        <v>18</v>
      </c>
      <c r="C1970" t="s">
        <v>18</v>
      </c>
      <c r="D1970" t="s">
        <v>675</v>
      </c>
      <c r="E1970" s="5">
        <v>45812.958333333343</v>
      </c>
      <c r="F1970">
        <v>28.636429</v>
      </c>
      <c r="G1970">
        <v>77.201066999999995</v>
      </c>
      <c r="H1970" t="s">
        <v>770</v>
      </c>
      <c r="I1970">
        <v>6</v>
      </c>
      <c r="J1970">
        <v>22</v>
      </c>
      <c r="K1970">
        <v>13</v>
      </c>
    </row>
    <row r="1971" spans="1:11" x14ac:dyDescent="0.3">
      <c r="A1971" t="s">
        <v>11</v>
      </c>
      <c r="B1971" t="s">
        <v>18</v>
      </c>
      <c r="C1971" t="s">
        <v>18</v>
      </c>
      <c r="D1971" t="s">
        <v>354</v>
      </c>
      <c r="E1971" s="5">
        <v>45812.958333333343</v>
      </c>
      <c r="F1971">
        <v>28.563262000000002</v>
      </c>
      <c r="G1971">
        <v>77.186937</v>
      </c>
      <c r="H1971" t="s">
        <v>775</v>
      </c>
      <c r="I1971">
        <v>57</v>
      </c>
      <c r="J1971">
        <v>385</v>
      </c>
      <c r="K1971">
        <v>224</v>
      </c>
    </row>
    <row r="1972" spans="1:11" x14ac:dyDescent="0.3">
      <c r="A1972" t="s">
        <v>11</v>
      </c>
      <c r="B1972" t="s">
        <v>18</v>
      </c>
      <c r="C1972" t="s">
        <v>18</v>
      </c>
      <c r="D1972" t="s">
        <v>354</v>
      </c>
      <c r="E1972" s="5">
        <v>45812.958333333343</v>
      </c>
      <c r="F1972">
        <v>28.563262000000002</v>
      </c>
      <c r="G1972">
        <v>77.186937</v>
      </c>
      <c r="H1972" t="s">
        <v>773</v>
      </c>
      <c r="I1972">
        <v>4</v>
      </c>
      <c r="J1972">
        <v>7</v>
      </c>
      <c r="K1972">
        <v>5</v>
      </c>
    </row>
    <row r="1973" spans="1:11" x14ac:dyDescent="0.3">
      <c r="A1973" t="s">
        <v>11</v>
      </c>
      <c r="B1973" t="s">
        <v>18</v>
      </c>
      <c r="C1973" t="s">
        <v>18</v>
      </c>
      <c r="D1973" t="s">
        <v>354</v>
      </c>
      <c r="E1973" s="5">
        <v>45812.958333333343</v>
      </c>
      <c r="F1973">
        <v>28.563262000000002</v>
      </c>
      <c r="G1973">
        <v>77.186937</v>
      </c>
      <c r="H1973" t="s">
        <v>770</v>
      </c>
      <c r="I1973">
        <v>10</v>
      </c>
      <c r="J1973">
        <v>17</v>
      </c>
      <c r="K1973">
        <v>12</v>
      </c>
    </row>
    <row r="1974" spans="1:11" x14ac:dyDescent="0.3">
      <c r="A1974" t="s">
        <v>11</v>
      </c>
      <c r="B1974" t="s">
        <v>18</v>
      </c>
      <c r="C1974" t="s">
        <v>18</v>
      </c>
      <c r="D1974" t="s">
        <v>355</v>
      </c>
      <c r="E1974" s="5">
        <v>45812.958333333343</v>
      </c>
      <c r="F1974">
        <v>28.732527999999999</v>
      </c>
      <c r="G1974">
        <v>77.119919999999993</v>
      </c>
      <c r="H1974" t="s">
        <v>771</v>
      </c>
      <c r="I1974">
        <v>86</v>
      </c>
      <c r="J1974">
        <v>500</v>
      </c>
      <c r="K1974">
        <v>289</v>
      </c>
    </row>
    <row r="1975" spans="1:11" x14ac:dyDescent="0.3">
      <c r="A1975" t="s">
        <v>11</v>
      </c>
      <c r="B1975" t="s">
        <v>18</v>
      </c>
      <c r="C1975" t="s">
        <v>18</v>
      </c>
      <c r="D1975" t="s">
        <v>355</v>
      </c>
      <c r="E1975" s="5">
        <v>45812.958333333343</v>
      </c>
      <c r="F1975">
        <v>28.732527999999999</v>
      </c>
      <c r="G1975">
        <v>77.119919999999993</v>
      </c>
      <c r="H1975" t="s">
        <v>774</v>
      </c>
      <c r="I1975">
        <v>8</v>
      </c>
      <c r="J1975">
        <v>95</v>
      </c>
      <c r="K1975">
        <v>38</v>
      </c>
    </row>
    <row r="1976" spans="1:11" x14ac:dyDescent="0.3">
      <c r="A1976" t="s">
        <v>11</v>
      </c>
      <c r="B1976" t="s">
        <v>18</v>
      </c>
      <c r="C1976" t="s">
        <v>18</v>
      </c>
      <c r="D1976" t="s">
        <v>356</v>
      </c>
      <c r="E1976" s="5">
        <v>45812.958333333343</v>
      </c>
      <c r="F1976">
        <v>28.651478099999999</v>
      </c>
      <c r="G1976">
        <v>77.147310500000003</v>
      </c>
      <c r="H1976" t="s">
        <v>770</v>
      </c>
      <c r="I1976">
        <v>15</v>
      </c>
      <c r="J1976">
        <v>53</v>
      </c>
      <c r="K1976">
        <v>32</v>
      </c>
    </row>
    <row r="1977" spans="1:11" x14ac:dyDescent="0.3">
      <c r="A1977" t="s">
        <v>11</v>
      </c>
      <c r="B1977" t="s">
        <v>18</v>
      </c>
      <c r="C1977" t="s">
        <v>18</v>
      </c>
      <c r="D1977" t="s">
        <v>342</v>
      </c>
      <c r="E1977" s="5">
        <v>45812.958333333343</v>
      </c>
      <c r="F1977">
        <v>28.5512005</v>
      </c>
      <c r="G1977">
        <v>77.2735737</v>
      </c>
      <c r="H1977" t="s">
        <v>775</v>
      </c>
      <c r="I1977">
        <v>43</v>
      </c>
      <c r="J1977">
        <v>338</v>
      </c>
      <c r="K1977">
        <v>178</v>
      </c>
    </row>
    <row r="1978" spans="1:11" x14ac:dyDescent="0.3">
      <c r="A1978" t="s">
        <v>11</v>
      </c>
      <c r="B1978" t="s">
        <v>18</v>
      </c>
      <c r="C1978" t="s">
        <v>18</v>
      </c>
      <c r="D1978" t="s">
        <v>342</v>
      </c>
      <c r="E1978" s="5">
        <v>45812.958333333343</v>
      </c>
      <c r="F1978">
        <v>28.5512005</v>
      </c>
      <c r="G1978">
        <v>77.2735737</v>
      </c>
      <c r="H1978" t="s">
        <v>776</v>
      </c>
      <c r="I1978">
        <v>26</v>
      </c>
      <c r="J1978">
        <v>154</v>
      </c>
      <c r="K1978">
        <v>66</v>
      </c>
    </row>
    <row r="1979" spans="1:11" x14ac:dyDescent="0.3">
      <c r="A1979" t="s">
        <v>11</v>
      </c>
      <c r="B1979" t="s">
        <v>18</v>
      </c>
      <c r="C1979" t="s">
        <v>18</v>
      </c>
      <c r="D1979" t="s">
        <v>672</v>
      </c>
      <c r="E1979" s="5">
        <v>45812.958333333343</v>
      </c>
      <c r="F1979">
        <v>28.571027399999998</v>
      </c>
      <c r="G1979">
        <v>77.071900600000006</v>
      </c>
      <c r="H1979" t="s">
        <v>775</v>
      </c>
      <c r="I1979">
        <v>45</v>
      </c>
      <c r="J1979">
        <v>378</v>
      </c>
      <c r="K1979">
        <v>207</v>
      </c>
    </row>
    <row r="1980" spans="1:11" x14ac:dyDescent="0.3">
      <c r="A1980" t="s">
        <v>11</v>
      </c>
      <c r="B1980" t="s">
        <v>18</v>
      </c>
      <c r="C1980" t="s">
        <v>18</v>
      </c>
      <c r="D1980" t="s">
        <v>672</v>
      </c>
      <c r="E1980" s="5">
        <v>45812.958333333343</v>
      </c>
      <c r="F1980">
        <v>28.571027399999998</v>
      </c>
      <c r="G1980">
        <v>77.071900600000006</v>
      </c>
      <c r="H1980" t="s">
        <v>774</v>
      </c>
      <c r="I1980">
        <v>19</v>
      </c>
      <c r="J1980">
        <v>42</v>
      </c>
      <c r="K1980">
        <v>30</v>
      </c>
    </row>
    <row r="1981" spans="1:11" x14ac:dyDescent="0.3">
      <c r="A1981" t="s">
        <v>11</v>
      </c>
      <c r="B1981" t="s">
        <v>18</v>
      </c>
      <c r="C1981" t="s">
        <v>18</v>
      </c>
      <c r="D1981" t="s">
        <v>676</v>
      </c>
      <c r="E1981" s="5">
        <v>45812.958333333343</v>
      </c>
      <c r="F1981">
        <v>28.628623999999999</v>
      </c>
      <c r="G1981">
        <v>77.241060000000004</v>
      </c>
      <c r="H1981" t="s">
        <v>771</v>
      </c>
      <c r="I1981">
        <v>67</v>
      </c>
      <c r="J1981">
        <v>208</v>
      </c>
      <c r="K1981">
        <v>132</v>
      </c>
    </row>
    <row r="1982" spans="1:11" x14ac:dyDescent="0.3">
      <c r="A1982" t="s">
        <v>11</v>
      </c>
      <c r="B1982" t="s">
        <v>18</v>
      </c>
      <c r="C1982" t="s">
        <v>18</v>
      </c>
      <c r="D1982" t="s">
        <v>676</v>
      </c>
      <c r="E1982" s="5">
        <v>45812.958333333343</v>
      </c>
      <c r="F1982">
        <v>28.628623999999999</v>
      </c>
      <c r="G1982">
        <v>77.241060000000004</v>
      </c>
      <c r="H1982" t="s">
        <v>776</v>
      </c>
      <c r="I1982">
        <v>17</v>
      </c>
      <c r="J1982">
        <v>145</v>
      </c>
      <c r="K1982">
        <v>49</v>
      </c>
    </row>
    <row r="1983" spans="1:11" x14ac:dyDescent="0.3">
      <c r="A1983" t="s">
        <v>11</v>
      </c>
      <c r="B1983" t="s">
        <v>18</v>
      </c>
      <c r="C1983" t="s">
        <v>18</v>
      </c>
      <c r="D1983" t="s">
        <v>676</v>
      </c>
      <c r="E1983" s="5">
        <v>45812.958333333343</v>
      </c>
      <c r="F1983">
        <v>28.628623999999999</v>
      </c>
      <c r="G1983">
        <v>77.241060000000004</v>
      </c>
      <c r="H1983" t="s">
        <v>770</v>
      </c>
      <c r="I1983">
        <v>1</v>
      </c>
      <c r="J1983">
        <v>43</v>
      </c>
      <c r="K1983">
        <v>20</v>
      </c>
    </row>
    <row r="1984" spans="1:11" x14ac:dyDescent="0.3">
      <c r="A1984" t="s">
        <v>11</v>
      </c>
      <c r="B1984" t="s">
        <v>18</v>
      </c>
      <c r="C1984" t="s">
        <v>18</v>
      </c>
      <c r="D1984" t="s">
        <v>360</v>
      </c>
      <c r="E1984" s="5">
        <v>45812.958333333343</v>
      </c>
      <c r="F1984">
        <v>28.73282</v>
      </c>
      <c r="G1984">
        <v>77.170632999999995</v>
      </c>
      <c r="H1984" t="s">
        <v>776</v>
      </c>
      <c r="I1984">
        <v>40</v>
      </c>
      <c r="J1984">
        <v>123</v>
      </c>
      <c r="K1984">
        <v>66</v>
      </c>
    </row>
    <row r="1985" spans="1:11" x14ac:dyDescent="0.3">
      <c r="A1985" t="s">
        <v>11</v>
      </c>
      <c r="B1985" t="s">
        <v>18</v>
      </c>
      <c r="C1985" t="s">
        <v>18</v>
      </c>
      <c r="D1985" t="s">
        <v>362</v>
      </c>
      <c r="E1985" s="5">
        <v>45812.958333333343</v>
      </c>
      <c r="F1985">
        <v>28.609089999999998</v>
      </c>
      <c r="G1985">
        <v>77.032541300000005</v>
      </c>
      <c r="H1985" t="s">
        <v>774</v>
      </c>
      <c r="I1985">
        <v>6</v>
      </c>
      <c r="J1985">
        <v>15</v>
      </c>
      <c r="K1985">
        <v>11</v>
      </c>
    </row>
    <row r="1986" spans="1:11" x14ac:dyDescent="0.3">
      <c r="A1986" t="s">
        <v>11</v>
      </c>
      <c r="B1986" t="s">
        <v>18</v>
      </c>
      <c r="C1986" t="s">
        <v>18</v>
      </c>
      <c r="D1986" t="s">
        <v>363</v>
      </c>
      <c r="E1986" s="5">
        <v>45812.958333333343</v>
      </c>
      <c r="F1986">
        <v>28.570173</v>
      </c>
      <c r="G1986">
        <v>76.933762000000002</v>
      </c>
      <c r="H1986" t="s">
        <v>776</v>
      </c>
      <c r="I1986">
        <v>18</v>
      </c>
      <c r="J1986">
        <v>62</v>
      </c>
      <c r="K1986">
        <v>36</v>
      </c>
    </row>
    <row r="1987" spans="1:11" x14ac:dyDescent="0.3">
      <c r="A1987" t="s">
        <v>11</v>
      </c>
      <c r="B1987" t="s">
        <v>18</v>
      </c>
      <c r="C1987" t="s">
        <v>18</v>
      </c>
      <c r="D1987" t="s">
        <v>364</v>
      </c>
      <c r="E1987" s="5">
        <v>45812.958333333343</v>
      </c>
      <c r="F1987">
        <v>28.822835999999999</v>
      </c>
      <c r="G1987">
        <v>77.101980999999995</v>
      </c>
      <c r="H1987" t="s">
        <v>770</v>
      </c>
      <c r="I1987">
        <v>5</v>
      </c>
      <c r="J1987">
        <v>58</v>
      </c>
      <c r="K1987">
        <v>36</v>
      </c>
    </row>
    <row r="1988" spans="1:11" x14ac:dyDescent="0.3">
      <c r="A1988" t="s">
        <v>11</v>
      </c>
      <c r="B1988" t="s">
        <v>18</v>
      </c>
      <c r="C1988" t="s">
        <v>18</v>
      </c>
      <c r="D1988" t="s">
        <v>365</v>
      </c>
      <c r="E1988" s="5">
        <v>45812.958333333343</v>
      </c>
      <c r="F1988">
        <v>28.567889999999998</v>
      </c>
      <c r="G1988">
        <v>77.250514999999993</v>
      </c>
      <c r="H1988" t="s">
        <v>774</v>
      </c>
      <c r="I1988">
        <v>11</v>
      </c>
      <c r="J1988">
        <v>45</v>
      </c>
      <c r="K1988">
        <v>25</v>
      </c>
    </row>
    <row r="1989" spans="1:11" x14ac:dyDescent="0.3">
      <c r="A1989" t="s">
        <v>11</v>
      </c>
      <c r="B1989" t="s">
        <v>18</v>
      </c>
      <c r="C1989" t="s">
        <v>18</v>
      </c>
      <c r="D1989" t="s">
        <v>365</v>
      </c>
      <c r="E1989" s="5">
        <v>45812.958333333343</v>
      </c>
      <c r="F1989">
        <v>28.567889999999998</v>
      </c>
      <c r="G1989">
        <v>77.250514999999993</v>
      </c>
      <c r="H1989" t="s">
        <v>770</v>
      </c>
      <c r="I1989">
        <v>2</v>
      </c>
      <c r="J1989">
        <v>306</v>
      </c>
      <c r="K1989">
        <v>166</v>
      </c>
    </row>
    <row r="1990" spans="1:11" x14ac:dyDescent="0.3">
      <c r="A1990" t="s">
        <v>11</v>
      </c>
      <c r="B1990" t="s">
        <v>18</v>
      </c>
      <c r="C1990" t="s">
        <v>18</v>
      </c>
      <c r="D1990" t="s">
        <v>759</v>
      </c>
      <c r="E1990" s="5">
        <v>45812.958333333343</v>
      </c>
      <c r="F1990">
        <v>28.530785000000002</v>
      </c>
      <c r="G1990">
        <v>77.271254999999996</v>
      </c>
      <c r="H1990" t="s">
        <v>773</v>
      </c>
      <c r="I1990">
        <v>8</v>
      </c>
      <c r="J1990">
        <v>11</v>
      </c>
      <c r="K1990">
        <v>9</v>
      </c>
    </row>
    <row r="1991" spans="1:11" x14ac:dyDescent="0.3">
      <c r="A1991" t="s">
        <v>11</v>
      </c>
      <c r="B1991" t="s">
        <v>18</v>
      </c>
      <c r="C1991" t="s">
        <v>18</v>
      </c>
      <c r="D1991" t="s">
        <v>357</v>
      </c>
      <c r="E1991" s="5">
        <v>45812.958333333343</v>
      </c>
      <c r="F1991">
        <v>28.550424899999999</v>
      </c>
      <c r="G1991">
        <v>77.215937699999998</v>
      </c>
      <c r="H1991" t="s">
        <v>774</v>
      </c>
      <c r="I1991">
        <v>24</v>
      </c>
      <c r="J1991">
        <v>80</v>
      </c>
      <c r="K1991">
        <v>48</v>
      </c>
    </row>
    <row r="1992" spans="1:11" x14ac:dyDescent="0.3">
      <c r="A1992" t="s">
        <v>11</v>
      </c>
      <c r="B1992" t="s">
        <v>18</v>
      </c>
      <c r="C1992" t="s">
        <v>18</v>
      </c>
      <c r="D1992" t="s">
        <v>357</v>
      </c>
      <c r="E1992" s="5">
        <v>45812.958333333343</v>
      </c>
      <c r="F1992">
        <v>28.550424899999999</v>
      </c>
      <c r="G1992">
        <v>77.215937699999998</v>
      </c>
      <c r="H1992" t="s">
        <v>770</v>
      </c>
      <c r="I1992">
        <v>11</v>
      </c>
      <c r="J1992">
        <v>53</v>
      </c>
      <c r="K1992">
        <v>28</v>
      </c>
    </row>
    <row r="1993" spans="1:11" x14ac:dyDescent="0.3">
      <c r="A1993" t="s">
        <v>11</v>
      </c>
      <c r="B1993" t="s">
        <v>18</v>
      </c>
      <c r="C1993" t="s">
        <v>18</v>
      </c>
      <c r="D1993" t="s">
        <v>371</v>
      </c>
      <c r="E1993" s="5">
        <v>45812.958333333343</v>
      </c>
      <c r="F1993">
        <v>28.710508000000001</v>
      </c>
      <c r="G1993">
        <v>77.249485000000007</v>
      </c>
      <c r="H1993" t="s">
        <v>772</v>
      </c>
      <c r="I1993">
        <v>12</v>
      </c>
      <c r="J1993">
        <v>100</v>
      </c>
      <c r="K1993">
        <v>54</v>
      </c>
    </row>
    <row r="1994" spans="1:11" x14ac:dyDescent="0.3">
      <c r="A1994" t="s">
        <v>11</v>
      </c>
      <c r="B1994" t="s">
        <v>18</v>
      </c>
      <c r="C1994" t="s">
        <v>18</v>
      </c>
      <c r="D1994" t="s">
        <v>664</v>
      </c>
      <c r="E1994" s="5">
        <v>45812.958333333343</v>
      </c>
      <c r="F1994">
        <v>28.647621999999998</v>
      </c>
      <c r="G1994">
        <v>77.315809000000002</v>
      </c>
      <c r="H1994" t="s">
        <v>775</v>
      </c>
      <c r="I1994">
        <v>13</v>
      </c>
      <c r="J1994">
        <v>392</v>
      </c>
      <c r="K1994">
        <v>173</v>
      </c>
    </row>
    <row r="1995" spans="1:11" x14ac:dyDescent="0.3">
      <c r="A1995" t="s">
        <v>11</v>
      </c>
      <c r="B1995" t="s">
        <v>18</v>
      </c>
      <c r="C1995" t="s">
        <v>18</v>
      </c>
      <c r="D1995" t="s">
        <v>664</v>
      </c>
      <c r="E1995" s="5">
        <v>45812.958333333343</v>
      </c>
      <c r="F1995">
        <v>28.647621999999998</v>
      </c>
      <c r="G1995">
        <v>77.315809000000002</v>
      </c>
      <c r="H1995" t="s">
        <v>771</v>
      </c>
      <c r="I1995">
        <v>83</v>
      </c>
      <c r="J1995">
        <v>418</v>
      </c>
      <c r="K1995">
        <v>214</v>
      </c>
    </row>
    <row r="1996" spans="1:11" x14ac:dyDescent="0.3">
      <c r="A1996" t="s">
        <v>11</v>
      </c>
      <c r="B1996" t="s">
        <v>18</v>
      </c>
      <c r="C1996" t="s">
        <v>18</v>
      </c>
      <c r="D1996" t="s">
        <v>670</v>
      </c>
      <c r="E1996" s="5">
        <v>45812.958333333343</v>
      </c>
      <c r="F1996">
        <v>28.725650399999999</v>
      </c>
      <c r="G1996">
        <v>77.201157300000006</v>
      </c>
      <c r="H1996" t="s">
        <v>775</v>
      </c>
      <c r="I1996">
        <v>16</v>
      </c>
      <c r="J1996">
        <v>398</v>
      </c>
      <c r="K1996">
        <v>185</v>
      </c>
    </row>
    <row r="1997" spans="1:11" x14ac:dyDescent="0.3">
      <c r="A1997" t="s">
        <v>11</v>
      </c>
      <c r="B1997" t="s">
        <v>18</v>
      </c>
      <c r="C1997" t="s">
        <v>18</v>
      </c>
      <c r="D1997" t="s">
        <v>677</v>
      </c>
      <c r="E1997" s="5">
        <v>45812.958333333343</v>
      </c>
      <c r="F1997">
        <v>28.580279999999998</v>
      </c>
      <c r="G1997">
        <v>77.233829</v>
      </c>
      <c r="H1997" t="s">
        <v>775</v>
      </c>
      <c r="I1997">
        <v>28</v>
      </c>
      <c r="J1997">
        <v>303</v>
      </c>
      <c r="K1997">
        <v>106</v>
      </c>
    </row>
    <row r="1998" spans="1:11" x14ac:dyDescent="0.3">
      <c r="A1998" t="s">
        <v>11</v>
      </c>
      <c r="B1998" t="s">
        <v>18</v>
      </c>
      <c r="C1998" t="s">
        <v>18</v>
      </c>
      <c r="D1998" t="s">
        <v>677</v>
      </c>
      <c r="E1998" s="5">
        <v>45812.958333333343</v>
      </c>
      <c r="F1998">
        <v>28.580279999999998</v>
      </c>
      <c r="G1998">
        <v>77.233829</v>
      </c>
      <c r="H1998" t="s">
        <v>774</v>
      </c>
      <c r="I1998">
        <v>4</v>
      </c>
      <c r="J1998">
        <v>27</v>
      </c>
      <c r="K1998">
        <v>13</v>
      </c>
    </row>
    <row r="1999" spans="1:11" x14ac:dyDescent="0.3">
      <c r="A1999" t="s">
        <v>11</v>
      </c>
      <c r="B1999" t="s">
        <v>22</v>
      </c>
      <c r="C1999" t="s">
        <v>85</v>
      </c>
      <c r="D1999" t="s">
        <v>377</v>
      </c>
      <c r="E1999" s="5">
        <v>45812.958333333343</v>
      </c>
      <c r="F1999">
        <v>16.172806000000001</v>
      </c>
      <c r="G1999">
        <v>75.659694000000002</v>
      </c>
      <c r="H1999" t="s">
        <v>770</v>
      </c>
      <c r="I1999">
        <v>12</v>
      </c>
      <c r="J1999">
        <v>16</v>
      </c>
      <c r="K1999">
        <v>16</v>
      </c>
    </row>
    <row r="2000" spans="1:11" x14ac:dyDescent="0.3">
      <c r="A2000" t="s">
        <v>11</v>
      </c>
      <c r="B2000" t="s">
        <v>22</v>
      </c>
      <c r="C2000" t="s">
        <v>255</v>
      </c>
      <c r="D2000" t="s">
        <v>680</v>
      </c>
      <c r="E2000" s="5">
        <v>45812.958333333343</v>
      </c>
      <c r="F2000">
        <v>15.888653</v>
      </c>
      <c r="G2000">
        <v>74.541751000000005</v>
      </c>
      <c r="H2000" t="s">
        <v>771</v>
      </c>
      <c r="I2000">
        <v>30</v>
      </c>
      <c r="J2000">
        <v>44</v>
      </c>
      <c r="K2000">
        <v>35</v>
      </c>
    </row>
    <row r="2001" spans="1:11" x14ac:dyDescent="0.3">
      <c r="A2001" t="s">
        <v>11</v>
      </c>
      <c r="B2001" t="s">
        <v>22</v>
      </c>
      <c r="C2001" t="s">
        <v>86</v>
      </c>
      <c r="D2001" t="s">
        <v>380</v>
      </c>
      <c r="E2001" s="5">
        <v>45812.958333333343</v>
      </c>
      <c r="F2001">
        <v>12.9135218</v>
      </c>
      <c r="G2001">
        <v>77.595080400000001</v>
      </c>
      <c r="H2001" t="s">
        <v>775</v>
      </c>
      <c r="I2001">
        <v>23</v>
      </c>
      <c r="J2001">
        <v>51</v>
      </c>
      <c r="K2001">
        <v>36</v>
      </c>
    </row>
    <row r="2002" spans="1:11" x14ac:dyDescent="0.3">
      <c r="A2002" t="s">
        <v>11</v>
      </c>
      <c r="B2002" t="s">
        <v>22</v>
      </c>
      <c r="C2002" t="s">
        <v>86</v>
      </c>
      <c r="D2002" t="s">
        <v>380</v>
      </c>
      <c r="E2002" s="5">
        <v>45812.958333333343</v>
      </c>
      <c r="F2002">
        <v>12.9135218</v>
      </c>
      <c r="G2002">
        <v>77.595080400000001</v>
      </c>
      <c r="H2002" t="s">
        <v>773</v>
      </c>
    </row>
    <row r="2003" spans="1:11" x14ac:dyDescent="0.3">
      <c r="A2003" t="s">
        <v>11</v>
      </c>
      <c r="B2003" t="s">
        <v>22</v>
      </c>
      <c r="C2003" t="s">
        <v>86</v>
      </c>
      <c r="D2003" t="s">
        <v>380</v>
      </c>
      <c r="E2003" s="5">
        <v>45812.958333333343</v>
      </c>
      <c r="F2003">
        <v>12.9135218</v>
      </c>
      <c r="G2003">
        <v>77.595080400000001</v>
      </c>
      <c r="H2003" t="s">
        <v>776</v>
      </c>
      <c r="I2003">
        <v>26</v>
      </c>
      <c r="J2003">
        <v>36</v>
      </c>
      <c r="K2003">
        <v>35</v>
      </c>
    </row>
    <row r="2004" spans="1:11" x14ac:dyDescent="0.3">
      <c r="A2004" t="s">
        <v>11</v>
      </c>
      <c r="B2004" t="s">
        <v>22</v>
      </c>
      <c r="C2004" t="s">
        <v>86</v>
      </c>
      <c r="D2004" t="s">
        <v>381</v>
      </c>
      <c r="E2004" s="5">
        <v>45812.958333333343</v>
      </c>
      <c r="F2004">
        <v>12.951912999999999</v>
      </c>
      <c r="G2004">
        <v>77.539783999999997</v>
      </c>
      <c r="H2004" t="s">
        <v>771</v>
      </c>
      <c r="I2004">
        <v>44</v>
      </c>
      <c r="J2004">
        <v>117</v>
      </c>
      <c r="K2004">
        <v>76</v>
      </c>
    </row>
    <row r="2005" spans="1:11" x14ac:dyDescent="0.3">
      <c r="A2005" t="s">
        <v>11</v>
      </c>
      <c r="B2005" t="s">
        <v>22</v>
      </c>
      <c r="C2005" t="s">
        <v>86</v>
      </c>
      <c r="D2005" t="s">
        <v>381</v>
      </c>
      <c r="E2005" s="5">
        <v>45812.958333333343</v>
      </c>
      <c r="F2005">
        <v>12.951912999999999</v>
      </c>
      <c r="G2005">
        <v>77.539783999999997</v>
      </c>
      <c r="H2005" t="s">
        <v>774</v>
      </c>
      <c r="I2005">
        <v>19</v>
      </c>
      <c r="J2005">
        <v>38</v>
      </c>
      <c r="K2005">
        <v>29</v>
      </c>
    </row>
    <row r="2006" spans="1:11" x14ac:dyDescent="0.3">
      <c r="A2006" t="s">
        <v>11</v>
      </c>
      <c r="B2006" t="s">
        <v>22</v>
      </c>
      <c r="C2006" t="s">
        <v>86</v>
      </c>
      <c r="D2006" t="s">
        <v>681</v>
      </c>
      <c r="E2006" s="5">
        <v>45812.958333333343</v>
      </c>
      <c r="F2006">
        <v>13.029152</v>
      </c>
      <c r="G2006">
        <v>77.585901000000007</v>
      </c>
      <c r="H2006" t="s">
        <v>775</v>
      </c>
      <c r="I2006">
        <v>23</v>
      </c>
      <c r="J2006">
        <v>61</v>
      </c>
      <c r="K2006">
        <v>40</v>
      </c>
    </row>
    <row r="2007" spans="1:11" x14ac:dyDescent="0.3">
      <c r="A2007" t="s">
        <v>11</v>
      </c>
      <c r="B2007" t="s">
        <v>22</v>
      </c>
      <c r="C2007" t="s">
        <v>86</v>
      </c>
      <c r="D2007" t="s">
        <v>681</v>
      </c>
      <c r="E2007" s="5">
        <v>45812.958333333343</v>
      </c>
      <c r="F2007">
        <v>13.029152</v>
      </c>
      <c r="G2007">
        <v>77.585901000000007</v>
      </c>
      <c r="H2007" t="s">
        <v>774</v>
      </c>
      <c r="I2007">
        <v>1</v>
      </c>
      <c r="J2007">
        <v>5</v>
      </c>
      <c r="K2007">
        <v>3</v>
      </c>
    </row>
    <row r="2008" spans="1:11" x14ac:dyDescent="0.3">
      <c r="A2008" t="s">
        <v>11</v>
      </c>
      <c r="B2008" t="s">
        <v>19</v>
      </c>
      <c r="C2008" t="s">
        <v>90</v>
      </c>
      <c r="D2008" t="s">
        <v>767</v>
      </c>
      <c r="E2008" s="5">
        <v>45812.958333333343</v>
      </c>
      <c r="F2008">
        <v>23.163798</v>
      </c>
      <c r="G2008">
        <v>72.677768</v>
      </c>
      <c r="H2008" t="s">
        <v>773</v>
      </c>
      <c r="I2008">
        <v>5</v>
      </c>
      <c r="J2008">
        <v>20</v>
      </c>
      <c r="K2008">
        <v>10</v>
      </c>
    </row>
    <row r="2009" spans="1:11" x14ac:dyDescent="0.3">
      <c r="A2009" t="s">
        <v>11</v>
      </c>
      <c r="B2009" t="s">
        <v>19</v>
      </c>
      <c r="C2009" t="s">
        <v>90</v>
      </c>
      <c r="D2009" t="s">
        <v>767</v>
      </c>
      <c r="E2009" s="5">
        <v>45812.958333333343</v>
      </c>
      <c r="F2009">
        <v>23.163798</v>
      </c>
      <c r="G2009">
        <v>72.677768</v>
      </c>
      <c r="H2009" t="s">
        <v>774</v>
      </c>
      <c r="I2009">
        <v>5</v>
      </c>
      <c r="J2009">
        <v>34</v>
      </c>
      <c r="K2009">
        <v>10</v>
      </c>
    </row>
    <row r="2010" spans="1:11" x14ac:dyDescent="0.3">
      <c r="A2010" t="s">
        <v>11</v>
      </c>
      <c r="B2010" t="s">
        <v>19</v>
      </c>
      <c r="C2010" t="s">
        <v>90</v>
      </c>
      <c r="D2010" t="s">
        <v>767</v>
      </c>
      <c r="E2010" s="5">
        <v>45812.958333333343</v>
      </c>
      <c r="F2010">
        <v>23.163798</v>
      </c>
      <c r="G2010">
        <v>72.677768</v>
      </c>
      <c r="H2010" t="s">
        <v>776</v>
      </c>
      <c r="I2010">
        <v>1</v>
      </c>
      <c r="J2010">
        <v>60</v>
      </c>
      <c r="K2010">
        <v>10</v>
      </c>
    </row>
    <row r="2011" spans="1:11" x14ac:dyDescent="0.3">
      <c r="A2011" t="s">
        <v>11</v>
      </c>
      <c r="B2011" t="s">
        <v>19</v>
      </c>
      <c r="C2011" t="s">
        <v>90</v>
      </c>
      <c r="D2011" t="s">
        <v>683</v>
      </c>
      <c r="E2011" s="5">
        <v>45812.958333333343</v>
      </c>
      <c r="F2011">
        <v>23.243639000000002</v>
      </c>
      <c r="G2011">
        <v>72.689940000000007</v>
      </c>
      <c r="H2011" t="s">
        <v>772</v>
      </c>
      <c r="I2011">
        <v>24</v>
      </c>
      <c r="J2011">
        <v>133</v>
      </c>
      <c r="K2011">
        <v>64</v>
      </c>
    </row>
    <row r="2012" spans="1:11" x14ac:dyDescent="0.3">
      <c r="A2012" t="s">
        <v>11</v>
      </c>
      <c r="B2012" t="s">
        <v>19</v>
      </c>
      <c r="C2012" t="s">
        <v>90</v>
      </c>
      <c r="D2012" t="s">
        <v>683</v>
      </c>
      <c r="E2012" s="5">
        <v>45812.958333333343</v>
      </c>
      <c r="F2012">
        <v>23.243639000000002</v>
      </c>
      <c r="G2012">
        <v>72.689940000000007</v>
      </c>
      <c r="H2012" t="s">
        <v>776</v>
      </c>
      <c r="I2012">
        <v>2</v>
      </c>
      <c r="J2012">
        <v>105</v>
      </c>
      <c r="K2012">
        <v>55</v>
      </c>
    </row>
    <row r="2013" spans="1:11" x14ac:dyDescent="0.3">
      <c r="A2013" t="s">
        <v>11</v>
      </c>
      <c r="B2013" t="s">
        <v>19</v>
      </c>
      <c r="C2013" t="s">
        <v>257</v>
      </c>
      <c r="D2013" t="s">
        <v>684</v>
      </c>
      <c r="E2013" s="5">
        <v>45812.958333333343</v>
      </c>
      <c r="F2013">
        <v>22.410802</v>
      </c>
      <c r="G2013">
        <v>73.097922999999994</v>
      </c>
      <c r="H2013" t="s">
        <v>771</v>
      </c>
      <c r="I2013">
        <v>1</v>
      </c>
      <c r="J2013">
        <v>9</v>
      </c>
      <c r="K2013">
        <v>3</v>
      </c>
    </row>
    <row r="2014" spans="1:11" x14ac:dyDescent="0.3">
      <c r="A2014" t="s">
        <v>11</v>
      </c>
      <c r="B2014" t="s">
        <v>19</v>
      </c>
      <c r="C2014" t="s">
        <v>257</v>
      </c>
      <c r="D2014" t="s">
        <v>684</v>
      </c>
      <c r="E2014" s="5">
        <v>45812.958333333343</v>
      </c>
      <c r="F2014">
        <v>22.410802</v>
      </c>
      <c r="G2014">
        <v>73.097922999999994</v>
      </c>
      <c r="H2014" t="s">
        <v>774</v>
      </c>
      <c r="I2014">
        <v>2</v>
      </c>
      <c r="J2014">
        <v>22</v>
      </c>
      <c r="K2014">
        <v>12</v>
      </c>
    </row>
    <row r="2015" spans="1:11" x14ac:dyDescent="0.3">
      <c r="A2015" t="s">
        <v>11</v>
      </c>
      <c r="B2015" t="s">
        <v>20</v>
      </c>
      <c r="C2015" t="s">
        <v>83</v>
      </c>
      <c r="D2015" t="s">
        <v>375</v>
      </c>
      <c r="E2015" s="5">
        <v>45812.958333333343</v>
      </c>
      <c r="F2015">
        <v>30.943887</v>
      </c>
      <c r="G2015">
        <v>76.801991000000001</v>
      </c>
      <c r="H2015" t="s">
        <v>776</v>
      </c>
      <c r="I2015">
        <v>50</v>
      </c>
      <c r="J2015">
        <v>105</v>
      </c>
      <c r="K2015">
        <v>71</v>
      </c>
    </row>
    <row r="2016" spans="1:11" x14ac:dyDescent="0.3">
      <c r="A2016" t="s">
        <v>11</v>
      </c>
      <c r="B2016" t="s">
        <v>21</v>
      </c>
      <c r="C2016" t="s">
        <v>84</v>
      </c>
      <c r="D2016" t="s">
        <v>376</v>
      </c>
      <c r="E2016" s="5">
        <v>45812.958333333343</v>
      </c>
      <c r="F2016">
        <v>34.066206000000001</v>
      </c>
      <c r="G2016">
        <v>74.819820000000007</v>
      </c>
      <c r="H2016" t="s">
        <v>774</v>
      </c>
      <c r="I2016">
        <v>3</v>
      </c>
      <c r="J2016">
        <v>6</v>
      </c>
      <c r="K2016">
        <v>3</v>
      </c>
    </row>
    <row r="2017" spans="1:11" x14ac:dyDescent="0.3">
      <c r="A2017" t="s">
        <v>11</v>
      </c>
      <c r="B2017" t="s">
        <v>21</v>
      </c>
      <c r="C2017" t="s">
        <v>84</v>
      </c>
      <c r="D2017" t="s">
        <v>376</v>
      </c>
      <c r="E2017" s="5">
        <v>45812.958333333343</v>
      </c>
      <c r="F2017">
        <v>34.066206000000001</v>
      </c>
      <c r="G2017">
        <v>74.819820000000007</v>
      </c>
      <c r="H2017" t="s">
        <v>776</v>
      </c>
      <c r="I2017">
        <v>12</v>
      </c>
      <c r="J2017">
        <v>20</v>
      </c>
      <c r="K2017">
        <v>15</v>
      </c>
    </row>
    <row r="2018" spans="1:11" x14ac:dyDescent="0.3">
      <c r="A2018" t="s">
        <v>11</v>
      </c>
      <c r="B2018" t="s">
        <v>39</v>
      </c>
      <c r="C2018" t="s">
        <v>256</v>
      </c>
      <c r="D2018" t="s">
        <v>682</v>
      </c>
      <c r="E2018" s="5">
        <v>45812.958333333343</v>
      </c>
      <c r="F2018">
        <v>23.805689999999998</v>
      </c>
      <c r="G2018">
        <v>86.442679999999996</v>
      </c>
      <c r="H2018" t="s">
        <v>772</v>
      </c>
      <c r="I2018">
        <v>127</v>
      </c>
      <c r="J2018">
        <v>129</v>
      </c>
      <c r="K2018">
        <v>127</v>
      </c>
    </row>
    <row r="2019" spans="1:11" x14ac:dyDescent="0.3">
      <c r="A2019" t="s">
        <v>11</v>
      </c>
      <c r="B2019" t="s">
        <v>39</v>
      </c>
      <c r="C2019" t="s">
        <v>256</v>
      </c>
      <c r="D2019" t="s">
        <v>682</v>
      </c>
      <c r="E2019" s="5">
        <v>45812.958333333343</v>
      </c>
      <c r="F2019">
        <v>23.805689999999998</v>
      </c>
      <c r="G2019">
        <v>86.442679999999996</v>
      </c>
      <c r="H2019" t="s">
        <v>774</v>
      </c>
    </row>
    <row r="2020" spans="1:11" x14ac:dyDescent="0.3">
      <c r="A2020" t="s">
        <v>11</v>
      </c>
      <c r="B2020" t="s">
        <v>19</v>
      </c>
      <c r="C2020" t="s">
        <v>82</v>
      </c>
      <c r="D2020" t="s">
        <v>374</v>
      </c>
      <c r="E2020" s="5">
        <v>45812.958333333343</v>
      </c>
      <c r="F2020">
        <v>23.020509000000001</v>
      </c>
      <c r="G2020">
        <v>72.579261000000002</v>
      </c>
      <c r="H2020" t="s">
        <v>774</v>
      </c>
      <c r="I2020">
        <v>10</v>
      </c>
      <c r="J2020">
        <v>27</v>
      </c>
      <c r="K2020">
        <v>17</v>
      </c>
    </row>
    <row r="2021" spans="1:11" x14ac:dyDescent="0.3">
      <c r="A2021" t="s">
        <v>11</v>
      </c>
      <c r="B2021" t="s">
        <v>19</v>
      </c>
      <c r="C2021" t="s">
        <v>82</v>
      </c>
      <c r="D2021" t="s">
        <v>374</v>
      </c>
      <c r="E2021" s="5">
        <v>45812.958333333343</v>
      </c>
      <c r="F2021">
        <v>23.020509000000001</v>
      </c>
      <c r="G2021">
        <v>72.579261000000002</v>
      </c>
      <c r="H2021" t="s">
        <v>776</v>
      </c>
      <c r="I2021">
        <v>1</v>
      </c>
      <c r="J2021">
        <v>125</v>
      </c>
      <c r="K2021">
        <v>61</v>
      </c>
    </row>
    <row r="2022" spans="1:11" x14ac:dyDescent="0.3">
      <c r="A2022" t="s">
        <v>11</v>
      </c>
      <c r="B2022" t="s">
        <v>19</v>
      </c>
      <c r="C2022" t="s">
        <v>82</v>
      </c>
      <c r="D2022" t="s">
        <v>685</v>
      </c>
      <c r="E2022" s="5">
        <v>45812.958333333343</v>
      </c>
      <c r="F2022">
        <v>23.016833999999999</v>
      </c>
      <c r="G2022">
        <v>72.625775000000004</v>
      </c>
      <c r="H2022" t="s">
        <v>771</v>
      </c>
      <c r="I2022">
        <v>27</v>
      </c>
      <c r="J2022">
        <v>241</v>
      </c>
      <c r="K2022">
        <v>93</v>
      </c>
    </row>
    <row r="2023" spans="1:11" x14ac:dyDescent="0.3">
      <c r="A2023" t="s">
        <v>11</v>
      </c>
      <c r="B2023" t="s">
        <v>19</v>
      </c>
      <c r="C2023" t="s">
        <v>82</v>
      </c>
      <c r="D2023" t="s">
        <v>685</v>
      </c>
      <c r="E2023" s="5">
        <v>45812.958333333343</v>
      </c>
      <c r="F2023">
        <v>23.016833999999999</v>
      </c>
      <c r="G2023">
        <v>72.625775000000004</v>
      </c>
      <c r="H2023" t="s">
        <v>772</v>
      </c>
      <c r="I2023">
        <v>1</v>
      </c>
      <c r="J2023">
        <v>11</v>
      </c>
      <c r="K2023">
        <v>8</v>
      </c>
    </row>
    <row r="2024" spans="1:11" x14ac:dyDescent="0.3">
      <c r="A2024" t="s">
        <v>11</v>
      </c>
      <c r="B2024" t="s">
        <v>19</v>
      </c>
      <c r="C2024" t="s">
        <v>82</v>
      </c>
      <c r="D2024" t="s">
        <v>378</v>
      </c>
      <c r="E2024" s="5">
        <v>45812.958333333343</v>
      </c>
      <c r="F2024">
        <v>23.041136999999999</v>
      </c>
      <c r="G2024">
        <v>72.456691000000006</v>
      </c>
      <c r="H2024" t="s">
        <v>773</v>
      </c>
    </row>
    <row r="2025" spans="1:11" x14ac:dyDescent="0.3">
      <c r="A2025" t="s">
        <v>11</v>
      </c>
      <c r="B2025" t="s">
        <v>19</v>
      </c>
      <c r="C2025" t="s">
        <v>82</v>
      </c>
      <c r="D2025" t="s">
        <v>378</v>
      </c>
      <c r="E2025" s="5">
        <v>45812.958333333343</v>
      </c>
      <c r="F2025">
        <v>23.041136999999999</v>
      </c>
      <c r="G2025">
        <v>72.456691000000006</v>
      </c>
      <c r="H2025" t="s">
        <v>776</v>
      </c>
      <c r="I2025">
        <v>20</v>
      </c>
      <c r="J2025">
        <v>72</v>
      </c>
      <c r="K2025">
        <v>28</v>
      </c>
    </row>
    <row r="2026" spans="1:11" x14ac:dyDescent="0.3">
      <c r="A2026" t="s">
        <v>11</v>
      </c>
      <c r="B2026" t="s">
        <v>19</v>
      </c>
      <c r="C2026" t="s">
        <v>82</v>
      </c>
      <c r="D2026" t="s">
        <v>389</v>
      </c>
      <c r="E2026" s="5">
        <v>45812.958333333343</v>
      </c>
      <c r="F2026">
        <v>23.107969000000001</v>
      </c>
      <c r="G2026">
        <v>72.574647999999996</v>
      </c>
      <c r="H2026" t="s">
        <v>771</v>
      </c>
      <c r="I2026">
        <v>36</v>
      </c>
      <c r="J2026">
        <v>236</v>
      </c>
      <c r="K2026">
        <v>99</v>
      </c>
    </row>
    <row r="2027" spans="1:11" x14ac:dyDescent="0.3">
      <c r="A2027" t="s">
        <v>11</v>
      </c>
      <c r="B2027" t="s">
        <v>19</v>
      </c>
      <c r="C2027" t="s">
        <v>82</v>
      </c>
      <c r="D2027" t="s">
        <v>389</v>
      </c>
      <c r="E2027" s="5">
        <v>45812.958333333343</v>
      </c>
      <c r="F2027">
        <v>23.107969000000001</v>
      </c>
      <c r="G2027">
        <v>72.574647999999996</v>
      </c>
      <c r="H2027" t="s">
        <v>772</v>
      </c>
      <c r="I2027">
        <v>32</v>
      </c>
      <c r="J2027">
        <v>102</v>
      </c>
      <c r="K2027">
        <v>55</v>
      </c>
    </row>
    <row r="2028" spans="1:11" x14ac:dyDescent="0.3">
      <c r="A2028" t="s">
        <v>11</v>
      </c>
      <c r="B2028" t="s">
        <v>19</v>
      </c>
      <c r="C2028" t="s">
        <v>82</v>
      </c>
      <c r="D2028" t="s">
        <v>389</v>
      </c>
      <c r="E2028" s="5">
        <v>45812.958333333343</v>
      </c>
      <c r="F2028">
        <v>23.107969000000001</v>
      </c>
      <c r="G2028">
        <v>72.574647999999996</v>
      </c>
      <c r="H2028" t="s">
        <v>774</v>
      </c>
      <c r="I2028">
        <v>9</v>
      </c>
      <c r="J2028">
        <v>42</v>
      </c>
      <c r="K2028">
        <v>20</v>
      </c>
    </row>
    <row r="2029" spans="1:11" x14ac:dyDescent="0.3">
      <c r="A2029" t="s">
        <v>11</v>
      </c>
      <c r="B2029" t="s">
        <v>19</v>
      </c>
      <c r="C2029" t="s">
        <v>82</v>
      </c>
      <c r="D2029" t="s">
        <v>372</v>
      </c>
      <c r="E2029" s="5">
        <v>45812.958333333343</v>
      </c>
      <c r="F2029">
        <v>22.977134</v>
      </c>
      <c r="G2029">
        <v>72.553023999999994</v>
      </c>
      <c r="H2029" t="s">
        <v>773</v>
      </c>
      <c r="I2029">
        <v>1</v>
      </c>
      <c r="J2029">
        <v>23</v>
      </c>
      <c r="K2029">
        <v>8</v>
      </c>
    </row>
    <row r="2030" spans="1:11" x14ac:dyDescent="0.3">
      <c r="A2030" t="s">
        <v>11</v>
      </c>
      <c r="B2030" t="s">
        <v>19</v>
      </c>
      <c r="C2030" t="s">
        <v>82</v>
      </c>
      <c r="D2030" t="s">
        <v>385</v>
      </c>
      <c r="E2030" s="5">
        <v>45812.958333333343</v>
      </c>
      <c r="F2030">
        <v>23.04307</v>
      </c>
      <c r="G2030">
        <v>72.562967999999998</v>
      </c>
      <c r="H2030" t="s">
        <v>775</v>
      </c>
      <c r="I2030">
        <v>45</v>
      </c>
      <c r="J2030">
        <v>167</v>
      </c>
      <c r="K2030">
        <v>73</v>
      </c>
    </row>
    <row r="2031" spans="1:11" x14ac:dyDescent="0.3">
      <c r="A2031" t="s">
        <v>11</v>
      </c>
      <c r="B2031" t="s">
        <v>19</v>
      </c>
      <c r="C2031" t="s">
        <v>82</v>
      </c>
      <c r="D2031" t="s">
        <v>385</v>
      </c>
      <c r="E2031" s="5">
        <v>45812.958333333343</v>
      </c>
      <c r="F2031">
        <v>23.04307</v>
      </c>
      <c r="G2031">
        <v>72.562967999999998</v>
      </c>
      <c r="H2031" t="s">
        <v>772</v>
      </c>
      <c r="I2031">
        <v>10</v>
      </c>
      <c r="J2031">
        <v>81</v>
      </c>
      <c r="K2031">
        <v>32</v>
      </c>
    </row>
    <row r="2032" spans="1:11" x14ac:dyDescent="0.3">
      <c r="A2032" t="s">
        <v>11</v>
      </c>
      <c r="B2032" t="s">
        <v>19</v>
      </c>
      <c r="C2032" t="s">
        <v>90</v>
      </c>
      <c r="D2032" t="s">
        <v>767</v>
      </c>
      <c r="E2032" s="5">
        <v>45812.958333333343</v>
      </c>
      <c r="F2032">
        <v>23.163798</v>
      </c>
      <c r="G2032">
        <v>72.677768</v>
      </c>
      <c r="H2032" t="s">
        <v>772</v>
      </c>
      <c r="I2032">
        <v>5</v>
      </c>
      <c r="J2032">
        <v>47</v>
      </c>
      <c r="K2032">
        <v>24</v>
      </c>
    </row>
    <row r="2033" spans="1:11" x14ac:dyDescent="0.3">
      <c r="A2033" t="s">
        <v>11</v>
      </c>
      <c r="B2033" t="s">
        <v>19</v>
      </c>
      <c r="C2033" t="s">
        <v>254</v>
      </c>
      <c r="D2033" t="s">
        <v>679</v>
      </c>
      <c r="E2033" s="5">
        <v>45812.958333333343</v>
      </c>
      <c r="F2033">
        <v>22.969611</v>
      </c>
      <c r="G2033">
        <v>72.643500000000003</v>
      </c>
      <c r="H2033" t="s">
        <v>771</v>
      </c>
      <c r="I2033">
        <v>43</v>
      </c>
      <c r="J2033">
        <v>260</v>
      </c>
      <c r="K2033">
        <v>92</v>
      </c>
    </row>
    <row r="2034" spans="1:11" x14ac:dyDescent="0.3">
      <c r="A2034" t="s">
        <v>11</v>
      </c>
      <c r="B2034" t="s">
        <v>23</v>
      </c>
      <c r="C2034" t="s">
        <v>88</v>
      </c>
      <c r="D2034" t="s">
        <v>384</v>
      </c>
      <c r="E2034" s="5">
        <v>45812.958333333343</v>
      </c>
      <c r="F2034">
        <v>28.315300000000001</v>
      </c>
      <c r="G2034">
        <v>76.914299999999997</v>
      </c>
      <c r="H2034" t="s">
        <v>773</v>
      </c>
      <c r="I2034">
        <v>4</v>
      </c>
      <c r="J2034">
        <v>9</v>
      </c>
      <c r="K2034">
        <v>6</v>
      </c>
    </row>
    <row r="2035" spans="1:11" x14ac:dyDescent="0.3">
      <c r="A2035" t="s">
        <v>11</v>
      </c>
      <c r="B2035" t="s">
        <v>18</v>
      </c>
      <c r="C2035" t="s">
        <v>18</v>
      </c>
      <c r="D2035" t="s">
        <v>367</v>
      </c>
      <c r="E2035" s="5">
        <v>45812.958333333343</v>
      </c>
      <c r="F2035">
        <v>28.531345999999999</v>
      </c>
      <c r="G2035">
        <v>77.190156000000002</v>
      </c>
      <c r="H2035" t="s">
        <v>776</v>
      </c>
      <c r="I2035">
        <v>15</v>
      </c>
      <c r="J2035">
        <v>62</v>
      </c>
      <c r="K2035">
        <v>25</v>
      </c>
    </row>
    <row r="2036" spans="1:11" x14ac:dyDescent="0.3">
      <c r="A2036" t="s">
        <v>11</v>
      </c>
      <c r="B2036" t="s">
        <v>18</v>
      </c>
      <c r="C2036" t="s">
        <v>18</v>
      </c>
      <c r="D2036" t="s">
        <v>367</v>
      </c>
      <c r="E2036" s="5">
        <v>45812.958333333343</v>
      </c>
      <c r="F2036">
        <v>28.531345999999999</v>
      </c>
      <c r="G2036">
        <v>77.190156000000002</v>
      </c>
      <c r="H2036" t="s">
        <v>770</v>
      </c>
      <c r="I2036">
        <v>8</v>
      </c>
      <c r="J2036">
        <v>210</v>
      </c>
      <c r="K2036">
        <v>111</v>
      </c>
    </row>
    <row r="2037" spans="1:11" x14ac:dyDescent="0.3">
      <c r="A2037" t="s">
        <v>11</v>
      </c>
      <c r="B2037" t="s">
        <v>19</v>
      </c>
      <c r="C2037" t="s">
        <v>82</v>
      </c>
      <c r="D2037" t="s">
        <v>372</v>
      </c>
      <c r="E2037" s="5">
        <v>45812.958333333343</v>
      </c>
      <c r="F2037">
        <v>22.977134</v>
      </c>
      <c r="G2037">
        <v>72.553023999999994</v>
      </c>
      <c r="H2037" t="s">
        <v>774</v>
      </c>
      <c r="I2037">
        <v>22</v>
      </c>
      <c r="J2037">
        <v>108</v>
      </c>
      <c r="K2037">
        <v>64</v>
      </c>
    </row>
    <row r="2038" spans="1:11" x14ac:dyDescent="0.3">
      <c r="A2038" t="s">
        <v>11</v>
      </c>
      <c r="B2038" t="s">
        <v>19</v>
      </c>
      <c r="C2038" t="s">
        <v>82</v>
      </c>
      <c r="D2038" t="s">
        <v>372</v>
      </c>
      <c r="E2038" s="5">
        <v>45812.958333333343</v>
      </c>
      <c r="F2038">
        <v>22.977134</v>
      </c>
      <c r="G2038">
        <v>72.553023999999994</v>
      </c>
      <c r="H2038" t="s">
        <v>776</v>
      </c>
      <c r="I2038">
        <v>1</v>
      </c>
      <c r="J2038">
        <v>52</v>
      </c>
      <c r="K2038">
        <v>18</v>
      </c>
    </row>
    <row r="2039" spans="1:11" x14ac:dyDescent="0.3">
      <c r="A2039" t="s">
        <v>11</v>
      </c>
      <c r="B2039" t="s">
        <v>22</v>
      </c>
      <c r="C2039" t="s">
        <v>93</v>
      </c>
      <c r="D2039" t="s">
        <v>392</v>
      </c>
      <c r="E2039" s="5">
        <v>45812.958333333343</v>
      </c>
      <c r="F2039">
        <v>14.7918</v>
      </c>
      <c r="G2039">
        <v>75.389600000000002</v>
      </c>
      <c r="H2039" t="s">
        <v>774</v>
      </c>
    </row>
    <row r="2040" spans="1:11" x14ac:dyDescent="0.3">
      <c r="A2040" t="s">
        <v>11</v>
      </c>
      <c r="B2040" t="s">
        <v>22</v>
      </c>
      <c r="C2040" t="s">
        <v>94</v>
      </c>
      <c r="D2040" t="s">
        <v>393</v>
      </c>
      <c r="E2040" s="5">
        <v>45812.958333333343</v>
      </c>
      <c r="F2040">
        <v>15.3714823</v>
      </c>
      <c r="G2040">
        <v>75.116016799999997</v>
      </c>
      <c r="H2040" t="s">
        <v>772</v>
      </c>
      <c r="I2040">
        <v>11</v>
      </c>
      <c r="J2040">
        <v>11</v>
      </c>
      <c r="K2040">
        <v>11</v>
      </c>
    </row>
    <row r="2041" spans="1:11" x14ac:dyDescent="0.3">
      <c r="A2041" t="s">
        <v>11</v>
      </c>
      <c r="B2041" t="s">
        <v>22</v>
      </c>
      <c r="C2041" t="s">
        <v>95</v>
      </c>
      <c r="D2041" t="s">
        <v>394</v>
      </c>
      <c r="E2041" s="5">
        <v>45812.958333333343</v>
      </c>
      <c r="F2041">
        <v>17.321992999999999</v>
      </c>
      <c r="G2041">
        <v>76.822627999999995</v>
      </c>
      <c r="H2041" t="s">
        <v>775</v>
      </c>
      <c r="I2041">
        <v>35</v>
      </c>
      <c r="J2041">
        <v>92</v>
      </c>
      <c r="K2041">
        <v>61</v>
      </c>
    </row>
    <row r="2042" spans="1:11" x14ac:dyDescent="0.3">
      <c r="A2042" t="s">
        <v>11</v>
      </c>
      <c r="B2042" t="s">
        <v>22</v>
      </c>
      <c r="C2042" t="s">
        <v>95</v>
      </c>
      <c r="D2042" t="s">
        <v>686</v>
      </c>
      <c r="E2042" s="5">
        <v>45812.958333333343</v>
      </c>
      <c r="F2042">
        <v>17.336317999999999</v>
      </c>
      <c r="G2042">
        <v>76.847397000000001</v>
      </c>
      <c r="H2042" t="s">
        <v>770</v>
      </c>
      <c r="I2042">
        <v>2</v>
      </c>
      <c r="J2042">
        <v>20</v>
      </c>
      <c r="K2042">
        <v>14</v>
      </c>
    </row>
    <row r="2043" spans="1:11" x14ac:dyDescent="0.3">
      <c r="A2043" t="s">
        <v>11</v>
      </c>
      <c r="B2043" t="s">
        <v>22</v>
      </c>
      <c r="C2043" t="s">
        <v>258</v>
      </c>
      <c r="D2043" t="s">
        <v>687</v>
      </c>
      <c r="E2043" s="5">
        <v>45812.958333333343</v>
      </c>
      <c r="F2043">
        <v>15.347630000000001</v>
      </c>
      <c r="G2043">
        <v>76.181766999999994</v>
      </c>
      <c r="H2043" t="s">
        <v>771</v>
      </c>
      <c r="I2043">
        <v>16</v>
      </c>
      <c r="J2043">
        <v>59</v>
      </c>
      <c r="K2043">
        <v>31</v>
      </c>
    </row>
    <row r="2044" spans="1:11" x14ac:dyDescent="0.3">
      <c r="A2044" t="s">
        <v>11</v>
      </c>
      <c r="B2044" t="s">
        <v>22</v>
      </c>
      <c r="C2044" t="s">
        <v>86</v>
      </c>
      <c r="D2044" t="s">
        <v>688</v>
      </c>
      <c r="E2044" s="5">
        <v>45812.958333333343</v>
      </c>
      <c r="F2044">
        <v>13.003871999999999</v>
      </c>
      <c r="G2044">
        <v>77.664216999999994</v>
      </c>
      <c r="H2044" t="s">
        <v>771</v>
      </c>
      <c r="I2044">
        <v>82</v>
      </c>
      <c r="J2044">
        <v>147</v>
      </c>
      <c r="K2044">
        <v>107</v>
      </c>
    </row>
    <row r="2045" spans="1:11" x14ac:dyDescent="0.3">
      <c r="A2045" t="s">
        <v>11</v>
      </c>
      <c r="B2045" t="s">
        <v>22</v>
      </c>
      <c r="C2045" t="s">
        <v>86</v>
      </c>
      <c r="D2045" t="s">
        <v>688</v>
      </c>
      <c r="E2045" s="5">
        <v>45812.958333333343</v>
      </c>
      <c r="F2045">
        <v>13.003871999999999</v>
      </c>
      <c r="G2045">
        <v>77.664216999999994</v>
      </c>
      <c r="H2045" t="s">
        <v>770</v>
      </c>
      <c r="I2045">
        <v>28</v>
      </c>
      <c r="J2045">
        <v>29</v>
      </c>
      <c r="K2045">
        <v>28</v>
      </c>
    </row>
    <row r="2046" spans="1:11" x14ac:dyDescent="0.3">
      <c r="A2046" t="s">
        <v>11</v>
      </c>
      <c r="B2046" t="s">
        <v>22</v>
      </c>
      <c r="C2046" t="s">
        <v>86</v>
      </c>
      <c r="D2046" t="s">
        <v>404</v>
      </c>
      <c r="E2046" s="5">
        <v>45812.958333333343</v>
      </c>
      <c r="F2046">
        <v>13.027019900000001</v>
      </c>
      <c r="G2046">
        <v>77.494094000000004</v>
      </c>
      <c r="H2046" t="s">
        <v>772</v>
      </c>
      <c r="I2046">
        <v>16</v>
      </c>
      <c r="J2046">
        <v>23</v>
      </c>
      <c r="K2046">
        <v>20</v>
      </c>
    </row>
    <row r="2047" spans="1:11" x14ac:dyDescent="0.3">
      <c r="A2047" t="s">
        <v>11</v>
      </c>
      <c r="B2047" t="s">
        <v>22</v>
      </c>
      <c r="C2047" t="s">
        <v>86</v>
      </c>
      <c r="D2047" t="s">
        <v>404</v>
      </c>
      <c r="E2047" s="5">
        <v>45812.958333333343</v>
      </c>
      <c r="F2047">
        <v>13.027019900000001</v>
      </c>
      <c r="G2047">
        <v>77.494094000000004</v>
      </c>
      <c r="H2047" t="s">
        <v>773</v>
      </c>
      <c r="I2047">
        <v>4</v>
      </c>
      <c r="J2047">
        <v>5</v>
      </c>
      <c r="K2047">
        <v>5</v>
      </c>
    </row>
    <row r="2048" spans="1:11" x14ac:dyDescent="0.3">
      <c r="A2048" t="s">
        <v>11</v>
      </c>
      <c r="B2048" t="s">
        <v>22</v>
      </c>
      <c r="C2048" t="s">
        <v>86</v>
      </c>
      <c r="D2048" t="s">
        <v>405</v>
      </c>
      <c r="E2048" s="5">
        <v>45812.958333333343</v>
      </c>
      <c r="F2048">
        <v>12.921417999999999</v>
      </c>
      <c r="G2048">
        <v>77.502465999999998</v>
      </c>
      <c r="H2048" t="s">
        <v>776</v>
      </c>
      <c r="I2048">
        <v>24</v>
      </c>
      <c r="J2048">
        <v>49</v>
      </c>
      <c r="K2048">
        <v>33</v>
      </c>
    </row>
    <row r="2049" spans="1:11" x14ac:dyDescent="0.3">
      <c r="A2049" t="s">
        <v>11</v>
      </c>
      <c r="B2049" t="s">
        <v>22</v>
      </c>
      <c r="C2049" t="s">
        <v>86</v>
      </c>
      <c r="D2049" t="s">
        <v>401</v>
      </c>
      <c r="E2049" s="5">
        <v>45812.958333333343</v>
      </c>
      <c r="F2049">
        <v>13.024634199999999</v>
      </c>
      <c r="G2049">
        <v>77.508011499999995</v>
      </c>
      <c r="H2049" t="s">
        <v>776</v>
      </c>
      <c r="I2049">
        <v>34</v>
      </c>
      <c r="J2049">
        <v>42</v>
      </c>
      <c r="K2049">
        <v>37</v>
      </c>
    </row>
    <row r="2050" spans="1:11" x14ac:dyDescent="0.3">
      <c r="A2050" t="s">
        <v>11</v>
      </c>
      <c r="B2050" t="s">
        <v>22</v>
      </c>
      <c r="C2050" t="s">
        <v>86</v>
      </c>
      <c r="D2050" t="s">
        <v>402</v>
      </c>
      <c r="E2050" s="5">
        <v>45812.958333333343</v>
      </c>
      <c r="F2050">
        <v>12.917348</v>
      </c>
      <c r="G2050">
        <v>77.622812999999994</v>
      </c>
      <c r="H2050" t="s">
        <v>775</v>
      </c>
      <c r="I2050">
        <v>29</v>
      </c>
      <c r="J2050">
        <v>60</v>
      </c>
      <c r="K2050">
        <v>42</v>
      </c>
    </row>
    <row r="2051" spans="1:11" x14ac:dyDescent="0.3">
      <c r="A2051" t="s">
        <v>11</v>
      </c>
      <c r="B2051" t="s">
        <v>22</v>
      </c>
      <c r="C2051" t="s">
        <v>86</v>
      </c>
      <c r="D2051" t="s">
        <v>402</v>
      </c>
      <c r="E2051" s="5">
        <v>45812.958333333343</v>
      </c>
      <c r="F2051">
        <v>12.917348</v>
      </c>
      <c r="G2051">
        <v>77.622812999999994</v>
      </c>
      <c r="H2051" t="s">
        <v>772</v>
      </c>
      <c r="I2051">
        <v>26</v>
      </c>
      <c r="J2051">
        <v>69</v>
      </c>
      <c r="K2051">
        <v>49</v>
      </c>
    </row>
    <row r="2052" spans="1:11" x14ac:dyDescent="0.3">
      <c r="A2052" t="s">
        <v>11</v>
      </c>
      <c r="B2052" t="s">
        <v>22</v>
      </c>
      <c r="C2052" t="s">
        <v>102</v>
      </c>
      <c r="D2052" t="s">
        <v>403</v>
      </c>
      <c r="E2052" s="5">
        <v>45812.958333333343</v>
      </c>
      <c r="F2052">
        <v>11.55358</v>
      </c>
      <c r="G2052">
        <v>76.555210000000002</v>
      </c>
      <c r="H2052" t="s">
        <v>772</v>
      </c>
      <c r="I2052">
        <v>15</v>
      </c>
      <c r="J2052">
        <v>29</v>
      </c>
      <c r="K2052">
        <v>28</v>
      </c>
    </row>
    <row r="2053" spans="1:11" x14ac:dyDescent="0.3">
      <c r="A2053" t="s">
        <v>11</v>
      </c>
      <c r="B2053" t="s">
        <v>22</v>
      </c>
      <c r="C2053" t="s">
        <v>97</v>
      </c>
      <c r="D2053" t="s">
        <v>396</v>
      </c>
      <c r="E2053" s="5">
        <v>45812.958333333343</v>
      </c>
      <c r="F2053">
        <v>13.328028</v>
      </c>
      <c r="G2053">
        <v>75.797055999999998</v>
      </c>
      <c r="H2053" t="s">
        <v>771</v>
      </c>
    </row>
    <row r="2054" spans="1:11" x14ac:dyDescent="0.3">
      <c r="A2054" t="s">
        <v>11</v>
      </c>
      <c r="B2054" t="s">
        <v>22</v>
      </c>
      <c r="C2054" t="s">
        <v>97</v>
      </c>
      <c r="D2054" t="s">
        <v>396</v>
      </c>
      <c r="E2054" s="5">
        <v>45812.958333333343</v>
      </c>
      <c r="F2054">
        <v>13.328028</v>
      </c>
      <c r="G2054">
        <v>75.797055999999998</v>
      </c>
      <c r="H2054" t="s">
        <v>772</v>
      </c>
    </row>
    <row r="2055" spans="1:11" x14ac:dyDescent="0.3">
      <c r="A2055" t="s">
        <v>11</v>
      </c>
      <c r="B2055" t="s">
        <v>22</v>
      </c>
      <c r="C2055" t="s">
        <v>258</v>
      </c>
      <c r="D2055" t="s">
        <v>687</v>
      </c>
      <c r="E2055" s="5">
        <v>45812.958333333343</v>
      </c>
      <c r="F2055">
        <v>15.347630000000001</v>
      </c>
      <c r="G2055">
        <v>76.181766999999994</v>
      </c>
      <c r="H2055" t="s">
        <v>773</v>
      </c>
      <c r="I2055">
        <v>1</v>
      </c>
      <c r="J2055">
        <v>3</v>
      </c>
      <c r="K2055">
        <v>2</v>
      </c>
    </row>
    <row r="2056" spans="1:11" x14ac:dyDescent="0.3">
      <c r="A2056" t="s">
        <v>11</v>
      </c>
      <c r="B2056" t="s">
        <v>22</v>
      </c>
      <c r="C2056" t="s">
        <v>105</v>
      </c>
      <c r="D2056" t="s">
        <v>408</v>
      </c>
      <c r="E2056" s="5">
        <v>45812.958333333343</v>
      </c>
      <c r="F2056">
        <v>12.415910999999999</v>
      </c>
      <c r="G2056">
        <v>75.735050000000001</v>
      </c>
      <c r="H2056" t="s">
        <v>773</v>
      </c>
      <c r="I2056">
        <v>1</v>
      </c>
      <c r="J2056">
        <v>2</v>
      </c>
      <c r="K2056">
        <v>1</v>
      </c>
    </row>
    <row r="2057" spans="1:11" x14ac:dyDescent="0.3">
      <c r="A2057" t="s">
        <v>11</v>
      </c>
      <c r="B2057" t="s">
        <v>22</v>
      </c>
      <c r="C2057" t="s">
        <v>259</v>
      </c>
      <c r="D2057" t="s">
        <v>689</v>
      </c>
      <c r="E2057" s="5">
        <v>45812.958333333343</v>
      </c>
      <c r="F2057">
        <v>12.889250000000001</v>
      </c>
      <c r="G2057">
        <v>74.852999999999994</v>
      </c>
      <c r="H2057" t="s">
        <v>775</v>
      </c>
      <c r="I2057">
        <v>33</v>
      </c>
      <c r="J2057">
        <v>41</v>
      </c>
      <c r="K2057">
        <v>38</v>
      </c>
    </row>
    <row r="2058" spans="1:11" x14ac:dyDescent="0.3">
      <c r="A2058" t="s">
        <v>11</v>
      </c>
      <c r="B2058" t="s">
        <v>22</v>
      </c>
      <c r="C2058" t="s">
        <v>259</v>
      </c>
      <c r="D2058" t="s">
        <v>689</v>
      </c>
      <c r="E2058" s="5">
        <v>45812.958333333343</v>
      </c>
      <c r="F2058">
        <v>12.889250000000001</v>
      </c>
      <c r="G2058">
        <v>74.852999999999994</v>
      </c>
      <c r="H2058" t="s">
        <v>771</v>
      </c>
      <c r="I2058">
        <v>38</v>
      </c>
      <c r="J2058">
        <v>48</v>
      </c>
      <c r="K2058">
        <v>45</v>
      </c>
    </row>
    <row r="2059" spans="1:11" x14ac:dyDescent="0.3">
      <c r="A2059" t="s">
        <v>11</v>
      </c>
      <c r="B2059" t="s">
        <v>22</v>
      </c>
      <c r="C2059" t="s">
        <v>98</v>
      </c>
      <c r="D2059" t="s">
        <v>397</v>
      </c>
      <c r="E2059" s="5">
        <v>45812.958333333343</v>
      </c>
      <c r="F2059">
        <v>14.4758</v>
      </c>
      <c r="G2059">
        <v>75.905199999999994</v>
      </c>
      <c r="H2059" t="s">
        <v>775</v>
      </c>
      <c r="I2059">
        <v>27</v>
      </c>
      <c r="J2059">
        <v>94</v>
      </c>
      <c r="K2059">
        <v>50</v>
      </c>
    </row>
    <row r="2060" spans="1:11" x14ac:dyDescent="0.3">
      <c r="A2060" t="s">
        <v>11</v>
      </c>
      <c r="B2060" t="s">
        <v>22</v>
      </c>
      <c r="C2060" t="s">
        <v>92</v>
      </c>
      <c r="D2060" t="s">
        <v>391</v>
      </c>
      <c r="E2060" s="5">
        <v>45812.958333333343</v>
      </c>
      <c r="F2060">
        <v>15.411455999999999</v>
      </c>
      <c r="G2060">
        <v>75.638132999999996</v>
      </c>
      <c r="H2060" t="s">
        <v>774</v>
      </c>
      <c r="I2060">
        <v>16</v>
      </c>
      <c r="J2060">
        <v>23</v>
      </c>
      <c r="K2060">
        <v>19</v>
      </c>
    </row>
    <row r="2061" spans="1:11" x14ac:dyDescent="0.3">
      <c r="A2061" t="s">
        <v>11</v>
      </c>
      <c r="B2061" t="s">
        <v>22</v>
      </c>
      <c r="C2061" t="s">
        <v>260</v>
      </c>
      <c r="D2061" t="s">
        <v>691</v>
      </c>
      <c r="E2061" s="5">
        <v>45812.958333333343</v>
      </c>
      <c r="F2061">
        <v>13.94</v>
      </c>
      <c r="G2061">
        <v>75.555916999999994</v>
      </c>
      <c r="H2061" t="s">
        <v>772</v>
      </c>
      <c r="I2061">
        <v>12</v>
      </c>
      <c r="J2061">
        <v>25</v>
      </c>
      <c r="K2061">
        <v>18</v>
      </c>
    </row>
    <row r="2062" spans="1:11" x14ac:dyDescent="0.3">
      <c r="A2062" t="s">
        <v>11</v>
      </c>
      <c r="B2062" t="s">
        <v>22</v>
      </c>
      <c r="C2062" t="s">
        <v>260</v>
      </c>
      <c r="D2062" t="s">
        <v>691</v>
      </c>
      <c r="E2062" s="5">
        <v>45812.958333333343</v>
      </c>
      <c r="F2062">
        <v>13.94</v>
      </c>
      <c r="G2062">
        <v>75.555916999999994</v>
      </c>
      <c r="H2062" t="s">
        <v>774</v>
      </c>
      <c r="I2062">
        <v>2</v>
      </c>
      <c r="J2062">
        <v>8</v>
      </c>
      <c r="K2062">
        <v>4</v>
      </c>
    </row>
    <row r="2063" spans="1:11" x14ac:dyDescent="0.3">
      <c r="A2063" t="s">
        <v>11</v>
      </c>
      <c r="B2063" t="s">
        <v>22</v>
      </c>
      <c r="C2063" t="s">
        <v>260</v>
      </c>
      <c r="D2063" t="s">
        <v>691</v>
      </c>
      <c r="E2063" s="5">
        <v>45812.958333333343</v>
      </c>
      <c r="F2063">
        <v>13.94</v>
      </c>
      <c r="G2063">
        <v>75.555916999999994</v>
      </c>
      <c r="H2063" t="s">
        <v>776</v>
      </c>
      <c r="I2063">
        <v>2</v>
      </c>
      <c r="J2063">
        <v>30</v>
      </c>
      <c r="K2063">
        <v>14</v>
      </c>
    </row>
    <row r="2064" spans="1:11" x14ac:dyDescent="0.3">
      <c r="A2064" t="s">
        <v>11</v>
      </c>
      <c r="B2064" t="s">
        <v>22</v>
      </c>
      <c r="C2064" t="s">
        <v>86</v>
      </c>
      <c r="D2064" t="s">
        <v>390</v>
      </c>
      <c r="E2064" s="5">
        <v>45812.958333333343</v>
      </c>
      <c r="F2064">
        <v>12.938539</v>
      </c>
      <c r="G2064">
        <v>77.590100000000007</v>
      </c>
      <c r="H2064" t="s">
        <v>775</v>
      </c>
      <c r="I2064">
        <v>15</v>
      </c>
      <c r="J2064">
        <v>37</v>
      </c>
      <c r="K2064">
        <v>28</v>
      </c>
    </row>
    <row r="2065" spans="1:11" x14ac:dyDescent="0.3">
      <c r="A2065" t="s">
        <v>11</v>
      </c>
      <c r="B2065" t="s">
        <v>22</v>
      </c>
      <c r="C2065" t="s">
        <v>86</v>
      </c>
      <c r="D2065" t="s">
        <v>390</v>
      </c>
      <c r="E2065" s="5">
        <v>45812.958333333343</v>
      </c>
      <c r="F2065">
        <v>12.938539</v>
      </c>
      <c r="G2065">
        <v>77.590100000000007</v>
      </c>
      <c r="H2065" t="s">
        <v>773</v>
      </c>
      <c r="I2065">
        <v>2</v>
      </c>
      <c r="J2065">
        <v>2</v>
      </c>
      <c r="K2065">
        <v>2</v>
      </c>
    </row>
    <row r="2066" spans="1:11" x14ac:dyDescent="0.3">
      <c r="A2066" t="s">
        <v>11</v>
      </c>
      <c r="B2066" t="s">
        <v>22</v>
      </c>
      <c r="C2066" t="s">
        <v>104</v>
      </c>
      <c r="D2066" t="s">
        <v>407</v>
      </c>
      <c r="E2066" s="5">
        <v>45812.958333333343</v>
      </c>
      <c r="F2066">
        <v>13.377516</v>
      </c>
      <c r="G2066">
        <v>77.099072000000007</v>
      </c>
      <c r="H2066" t="s">
        <v>771</v>
      </c>
      <c r="I2066">
        <v>74</v>
      </c>
      <c r="J2066">
        <v>179</v>
      </c>
      <c r="K2066">
        <v>125</v>
      </c>
    </row>
    <row r="2067" spans="1:11" x14ac:dyDescent="0.3">
      <c r="A2067" t="s">
        <v>11</v>
      </c>
      <c r="B2067" t="s">
        <v>22</v>
      </c>
      <c r="C2067" t="s">
        <v>259</v>
      </c>
      <c r="D2067" t="s">
        <v>689</v>
      </c>
      <c r="E2067" s="5">
        <v>45812.958333333343</v>
      </c>
      <c r="F2067">
        <v>12.889250000000001</v>
      </c>
      <c r="G2067">
        <v>74.852999999999994</v>
      </c>
      <c r="H2067" t="s">
        <v>770</v>
      </c>
      <c r="I2067">
        <v>18</v>
      </c>
      <c r="J2067">
        <v>19</v>
      </c>
      <c r="K2067">
        <v>18</v>
      </c>
    </row>
    <row r="2068" spans="1:11" x14ac:dyDescent="0.3">
      <c r="A2068" t="s">
        <v>11</v>
      </c>
      <c r="B2068" t="s">
        <v>25</v>
      </c>
      <c r="C2068" t="s">
        <v>114</v>
      </c>
      <c r="D2068" t="s">
        <v>428</v>
      </c>
      <c r="E2068" s="5">
        <v>45812.958333333343</v>
      </c>
      <c r="F2068">
        <v>22.431000000000001</v>
      </c>
      <c r="G2068">
        <v>75.521299999999997</v>
      </c>
      <c r="H2068" t="s">
        <v>770</v>
      </c>
      <c r="I2068">
        <v>16</v>
      </c>
      <c r="J2068">
        <v>80</v>
      </c>
      <c r="K2068">
        <v>53</v>
      </c>
    </row>
    <row r="2069" spans="1:11" x14ac:dyDescent="0.3">
      <c r="A2069" t="s">
        <v>11</v>
      </c>
      <c r="B2069" t="s">
        <v>25</v>
      </c>
      <c r="C2069" t="s">
        <v>114</v>
      </c>
      <c r="D2069" t="s">
        <v>418</v>
      </c>
      <c r="E2069" s="5">
        <v>45812.958333333343</v>
      </c>
      <c r="F2069">
        <v>22.678000000000001</v>
      </c>
      <c r="G2069">
        <v>75.855900000000005</v>
      </c>
      <c r="H2069" t="s">
        <v>775</v>
      </c>
      <c r="I2069">
        <v>52</v>
      </c>
      <c r="J2069">
        <v>180</v>
      </c>
      <c r="K2069">
        <v>94</v>
      </c>
    </row>
    <row r="2070" spans="1:11" x14ac:dyDescent="0.3">
      <c r="A2070" t="s">
        <v>11</v>
      </c>
      <c r="B2070" t="s">
        <v>25</v>
      </c>
      <c r="C2070" t="s">
        <v>114</v>
      </c>
      <c r="D2070" t="s">
        <v>418</v>
      </c>
      <c r="E2070" s="5">
        <v>45812.958333333343</v>
      </c>
      <c r="F2070">
        <v>22.678000000000001</v>
      </c>
      <c r="G2070">
        <v>75.855900000000005</v>
      </c>
      <c r="H2070" t="s">
        <v>772</v>
      </c>
      <c r="I2070">
        <v>35</v>
      </c>
      <c r="J2070">
        <v>60</v>
      </c>
      <c r="K2070">
        <v>44</v>
      </c>
    </row>
    <row r="2071" spans="1:11" x14ac:dyDescent="0.3">
      <c r="A2071" t="s">
        <v>11</v>
      </c>
      <c r="B2071" t="s">
        <v>25</v>
      </c>
      <c r="C2071" t="s">
        <v>114</v>
      </c>
      <c r="D2071" t="s">
        <v>418</v>
      </c>
      <c r="E2071" s="5">
        <v>45812.958333333343</v>
      </c>
      <c r="F2071">
        <v>22.678000000000001</v>
      </c>
      <c r="G2071">
        <v>75.855900000000005</v>
      </c>
      <c r="H2071" t="s">
        <v>774</v>
      </c>
      <c r="I2071">
        <v>57</v>
      </c>
      <c r="J2071">
        <v>63</v>
      </c>
      <c r="K2071">
        <v>60</v>
      </c>
    </row>
    <row r="2072" spans="1:11" x14ac:dyDescent="0.3">
      <c r="A2072" t="s">
        <v>11</v>
      </c>
      <c r="B2072" t="s">
        <v>25</v>
      </c>
      <c r="C2072" t="s">
        <v>114</v>
      </c>
      <c r="D2072" t="s">
        <v>418</v>
      </c>
      <c r="E2072" s="5">
        <v>45812.958333333343</v>
      </c>
      <c r="F2072">
        <v>22.678000000000001</v>
      </c>
      <c r="G2072">
        <v>75.855900000000005</v>
      </c>
      <c r="H2072" t="s">
        <v>770</v>
      </c>
      <c r="I2072">
        <v>5</v>
      </c>
      <c r="J2072">
        <v>14</v>
      </c>
      <c r="K2072">
        <v>11</v>
      </c>
    </row>
    <row r="2073" spans="1:11" x14ac:dyDescent="0.3">
      <c r="A2073" t="s">
        <v>11</v>
      </c>
      <c r="B2073" t="s">
        <v>25</v>
      </c>
      <c r="C2073" t="s">
        <v>114</v>
      </c>
      <c r="D2073" t="s">
        <v>419</v>
      </c>
      <c r="E2073" s="5">
        <v>45812.958333333343</v>
      </c>
      <c r="F2073">
        <v>22.708400000000001</v>
      </c>
      <c r="G2073">
        <v>75.881500000000003</v>
      </c>
      <c r="H2073" t="s">
        <v>775</v>
      </c>
      <c r="I2073">
        <v>40</v>
      </c>
      <c r="J2073">
        <v>229</v>
      </c>
      <c r="K2073">
        <v>87</v>
      </c>
    </row>
    <row r="2074" spans="1:11" x14ac:dyDescent="0.3">
      <c r="A2074" t="s">
        <v>11</v>
      </c>
      <c r="B2074" t="s">
        <v>25</v>
      </c>
      <c r="C2074" t="s">
        <v>114</v>
      </c>
      <c r="D2074" t="s">
        <v>419</v>
      </c>
      <c r="E2074" s="5">
        <v>45812.958333333343</v>
      </c>
      <c r="F2074">
        <v>22.708400000000001</v>
      </c>
      <c r="G2074">
        <v>75.881500000000003</v>
      </c>
      <c r="H2074" t="s">
        <v>776</v>
      </c>
      <c r="I2074">
        <v>16</v>
      </c>
      <c r="J2074">
        <v>28</v>
      </c>
      <c r="K2074">
        <v>18</v>
      </c>
    </row>
    <row r="2075" spans="1:11" x14ac:dyDescent="0.3">
      <c r="A2075" t="s">
        <v>11</v>
      </c>
      <c r="B2075" t="s">
        <v>25</v>
      </c>
      <c r="C2075" t="s">
        <v>109</v>
      </c>
      <c r="D2075" t="s">
        <v>420</v>
      </c>
      <c r="E2075" s="5">
        <v>45812.958333333343</v>
      </c>
      <c r="F2075">
        <v>23.163174000000001</v>
      </c>
      <c r="G2075">
        <v>79.973061000000001</v>
      </c>
      <c r="H2075" t="s">
        <v>775</v>
      </c>
      <c r="I2075">
        <v>15</v>
      </c>
      <c r="J2075">
        <v>90</v>
      </c>
      <c r="K2075">
        <v>55</v>
      </c>
    </row>
    <row r="2076" spans="1:11" x14ac:dyDescent="0.3">
      <c r="A2076" t="s">
        <v>11</v>
      </c>
      <c r="B2076" t="s">
        <v>25</v>
      </c>
      <c r="C2076" t="s">
        <v>109</v>
      </c>
      <c r="D2076" t="s">
        <v>420</v>
      </c>
      <c r="E2076" s="5">
        <v>45812.958333333343</v>
      </c>
      <c r="F2076">
        <v>23.163174000000001</v>
      </c>
      <c r="G2076">
        <v>79.973061000000001</v>
      </c>
      <c r="H2076" t="s">
        <v>772</v>
      </c>
      <c r="I2076">
        <v>34</v>
      </c>
      <c r="J2076">
        <v>65</v>
      </c>
      <c r="K2076">
        <v>49</v>
      </c>
    </row>
    <row r="2077" spans="1:11" x14ac:dyDescent="0.3">
      <c r="A2077" t="s">
        <v>11</v>
      </c>
      <c r="B2077" t="s">
        <v>25</v>
      </c>
      <c r="C2077" t="s">
        <v>109</v>
      </c>
      <c r="D2077" t="s">
        <v>420</v>
      </c>
      <c r="E2077" s="5">
        <v>45812.958333333343</v>
      </c>
      <c r="F2077">
        <v>23.163174000000001</v>
      </c>
      <c r="G2077">
        <v>79.973061000000001</v>
      </c>
      <c r="H2077" t="s">
        <v>774</v>
      </c>
      <c r="I2077">
        <v>9</v>
      </c>
      <c r="J2077">
        <v>111</v>
      </c>
      <c r="K2077">
        <v>35</v>
      </c>
    </row>
    <row r="2078" spans="1:11" x14ac:dyDescent="0.3">
      <c r="A2078" t="s">
        <v>11</v>
      </c>
      <c r="B2078" t="s">
        <v>25</v>
      </c>
      <c r="C2078" t="s">
        <v>119</v>
      </c>
      <c r="D2078" t="s">
        <v>432</v>
      </c>
      <c r="E2078" s="5">
        <v>45812.958333333343</v>
      </c>
      <c r="F2078">
        <v>24.108969999999999</v>
      </c>
      <c r="G2078">
        <v>82.645579999999995</v>
      </c>
      <c r="H2078" t="s">
        <v>774</v>
      </c>
      <c r="I2078">
        <v>34</v>
      </c>
      <c r="J2078">
        <v>117</v>
      </c>
      <c r="K2078">
        <v>49</v>
      </c>
    </row>
    <row r="2079" spans="1:11" x14ac:dyDescent="0.3">
      <c r="A2079" t="s">
        <v>11</v>
      </c>
      <c r="B2079" t="s">
        <v>25</v>
      </c>
      <c r="C2079" t="s">
        <v>119</v>
      </c>
      <c r="D2079" t="s">
        <v>432</v>
      </c>
      <c r="E2079" s="5">
        <v>45812.958333333343</v>
      </c>
      <c r="F2079">
        <v>24.108969999999999</v>
      </c>
      <c r="G2079">
        <v>82.645579999999995</v>
      </c>
      <c r="H2079" t="s">
        <v>770</v>
      </c>
      <c r="I2079">
        <v>3</v>
      </c>
      <c r="J2079">
        <v>105</v>
      </c>
      <c r="K2079">
        <v>84</v>
      </c>
    </row>
    <row r="2080" spans="1:11" x14ac:dyDescent="0.3">
      <c r="A2080" t="s">
        <v>11</v>
      </c>
      <c r="B2080" t="s">
        <v>25</v>
      </c>
      <c r="C2080" t="s">
        <v>289</v>
      </c>
      <c r="D2080" t="s">
        <v>761</v>
      </c>
      <c r="E2080" s="5">
        <v>45812.958333333343</v>
      </c>
      <c r="F2080">
        <v>23.182718999999999</v>
      </c>
      <c r="G2080">
        <v>75.768218000000005</v>
      </c>
      <c r="H2080" t="s">
        <v>775</v>
      </c>
      <c r="I2080">
        <v>33</v>
      </c>
      <c r="J2080">
        <v>118</v>
      </c>
      <c r="K2080">
        <v>61</v>
      </c>
    </row>
    <row r="2081" spans="1:11" x14ac:dyDescent="0.3">
      <c r="A2081" t="s">
        <v>11</v>
      </c>
      <c r="B2081" t="s">
        <v>25</v>
      </c>
      <c r="C2081" t="s">
        <v>289</v>
      </c>
      <c r="D2081" t="s">
        <v>761</v>
      </c>
      <c r="E2081" s="5">
        <v>45812.958333333343</v>
      </c>
      <c r="F2081">
        <v>23.182718999999999</v>
      </c>
      <c r="G2081">
        <v>75.768218000000005</v>
      </c>
      <c r="H2081" t="s">
        <v>773</v>
      </c>
      <c r="I2081">
        <v>2</v>
      </c>
      <c r="J2081">
        <v>4</v>
      </c>
      <c r="K2081">
        <v>3</v>
      </c>
    </row>
    <row r="2082" spans="1:11" x14ac:dyDescent="0.3">
      <c r="A2082" t="s">
        <v>11</v>
      </c>
      <c r="B2082" t="s">
        <v>26</v>
      </c>
      <c r="C2082" t="s">
        <v>129</v>
      </c>
      <c r="D2082" t="s">
        <v>444</v>
      </c>
      <c r="E2082" s="5">
        <v>45812.958333333343</v>
      </c>
      <c r="F2082">
        <v>20.719515999999999</v>
      </c>
      <c r="G2082">
        <v>77.000253000000001</v>
      </c>
      <c r="H2082" t="s">
        <v>771</v>
      </c>
      <c r="I2082">
        <v>52</v>
      </c>
      <c r="J2082">
        <v>192</v>
      </c>
      <c r="K2082">
        <v>90</v>
      </c>
    </row>
    <row r="2083" spans="1:11" x14ac:dyDescent="0.3">
      <c r="A2083" t="s">
        <v>11</v>
      </c>
      <c r="B2083" t="s">
        <v>26</v>
      </c>
      <c r="C2083" t="s">
        <v>129</v>
      </c>
      <c r="D2083" t="s">
        <v>444</v>
      </c>
      <c r="E2083" s="5">
        <v>45812.958333333343</v>
      </c>
      <c r="F2083">
        <v>20.719515999999999</v>
      </c>
      <c r="G2083">
        <v>77.000253000000001</v>
      </c>
      <c r="H2083" t="s">
        <v>776</v>
      </c>
      <c r="I2083">
        <v>32</v>
      </c>
      <c r="J2083">
        <v>100</v>
      </c>
      <c r="K2083">
        <v>51</v>
      </c>
    </row>
    <row r="2084" spans="1:11" x14ac:dyDescent="0.3">
      <c r="A2084" t="s">
        <v>11</v>
      </c>
      <c r="B2084" t="s">
        <v>25</v>
      </c>
      <c r="C2084" t="s">
        <v>115</v>
      </c>
      <c r="D2084" t="s">
        <v>423</v>
      </c>
      <c r="E2084" s="5">
        <v>45812.958333333343</v>
      </c>
      <c r="F2084">
        <v>23.817486779999999</v>
      </c>
      <c r="G2084">
        <v>79.446246000000002</v>
      </c>
      <c r="H2084" t="s">
        <v>776</v>
      </c>
      <c r="I2084">
        <v>19</v>
      </c>
      <c r="J2084">
        <v>25</v>
      </c>
      <c r="K2084">
        <v>22</v>
      </c>
    </row>
    <row r="2085" spans="1:11" x14ac:dyDescent="0.3">
      <c r="A2085" t="s">
        <v>11</v>
      </c>
      <c r="B2085" t="s">
        <v>25</v>
      </c>
      <c r="C2085" t="s">
        <v>116</v>
      </c>
      <c r="D2085" t="s">
        <v>424</v>
      </c>
      <c r="E2085" s="5">
        <v>45812.958333333343</v>
      </c>
      <c r="F2085">
        <v>26.203441999999999</v>
      </c>
      <c r="G2085">
        <v>78.193251000000004</v>
      </c>
      <c r="H2085" t="s">
        <v>775</v>
      </c>
      <c r="I2085">
        <v>24</v>
      </c>
      <c r="J2085">
        <v>329</v>
      </c>
      <c r="K2085">
        <v>138</v>
      </c>
    </row>
    <row r="2086" spans="1:11" x14ac:dyDescent="0.3">
      <c r="A2086" t="s">
        <v>11</v>
      </c>
      <c r="B2086" t="s">
        <v>25</v>
      </c>
      <c r="C2086" t="s">
        <v>116</v>
      </c>
      <c r="D2086" t="s">
        <v>424</v>
      </c>
      <c r="E2086" s="5">
        <v>45812.958333333343</v>
      </c>
      <c r="F2086">
        <v>26.203441999999999</v>
      </c>
      <c r="G2086">
        <v>78.193251000000004</v>
      </c>
      <c r="H2086" t="s">
        <v>774</v>
      </c>
      <c r="I2086">
        <v>5</v>
      </c>
      <c r="J2086">
        <v>25</v>
      </c>
      <c r="K2086">
        <v>14</v>
      </c>
    </row>
    <row r="2087" spans="1:11" x14ac:dyDescent="0.3">
      <c r="A2087" t="s">
        <v>11</v>
      </c>
      <c r="B2087" t="s">
        <v>25</v>
      </c>
      <c r="C2087" t="s">
        <v>116</v>
      </c>
      <c r="D2087" t="s">
        <v>425</v>
      </c>
      <c r="E2087" s="5">
        <v>45812.958333333343</v>
      </c>
      <c r="F2087">
        <v>26.259242</v>
      </c>
      <c r="G2087">
        <v>78.216431999999998</v>
      </c>
      <c r="H2087" t="s">
        <v>776</v>
      </c>
      <c r="I2087">
        <v>26</v>
      </c>
      <c r="J2087">
        <v>110</v>
      </c>
      <c r="K2087">
        <v>57</v>
      </c>
    </row>
    <row r="2088" spans="1:11" x14ac:dyDescent="0.3">
      <c r="A2088" t="s">
        <v>11</v>
      </c>
      <c r="B2088" t="s">
        <v>25</v>
      </c>
      <c r="C2088" t="s">
        <v>116</v>
      </c>
      <c r="D2088" t="s">
        <v>426</v>
      </c>
      <c r="E2088" s="5">
        <v>45812.958333333343</v>
      </c>
      <c r="F2088">
        <v>26.200388</v>
      </c>
      <c r="G2088">
        <v>78.147713999999993</v>
      </c>
      <c r="H2088" t="s">
        <v>770</v>
      </c>
      <c r="I2088">
        <v>4</v>
      </c>
      <c r="J2088">
        <v>124</v>
      </c>
      <c r="K2088">
        <v>80</v>
      </c>
    </row>
    <row r="2089" spans="1:11" x14ac:dyDescent="0.3">
      <c r="A2089" t="s">
        <v>11</v>
      </c>
      <c r="B2089" t="s">
        <v>24</v>
      </c>
      <c r="C2089" t="s">
        <v>106</v>
      </c>
      <c r="D2089" t="s">
        <v>409</v>
      </c>
      <c r="E2089" s="5">
        <v>45812.958333333343</v>
      </c>
      <c r="F2089">
        <v>8.5149092999999993</v>
      </c>
      <c r="G2089">
        <v>76.943587899999997</v>
      </c>
      <c r="H2089" t="s">
        <v>773</v>
      </c>
      <c r="I2089">
        <v>2</v>
      </c>
      <c r="J2089">
        <v>4</v>
      </c>
      <c r="K2089">
        <v>3</v>
      </c>
    </row>
    <row r="2090" spans="1:11" x14ac:dyDescent="0.3">
      <c r="A2090" t="s">
        <v>11</v>
      </c>
      <c r="B2090" t="s">
        <v>24</v>
      </c>
      <c r="C2090" t="s">
        <v>106</v>
      </c>
      <c r="D2090" t="s">
        <v>409</v>
      </c>
      <c r="E2090" s="5">
        <v>45812.958333333343</v>
      </c>
      <c r="F2090">
        <v>8.5149092999999993</v>
      </c>
      <c r="G2090">
        <v>76.943587899999997</v>
      </c>
      <c r="H2090" t="s">
        <v>774</v>
      </c>
      <c r="I2090">
        <v>4</v>
      </c>
      <c r="J2090">
        <v>24</v>
      </c>
      <c r="K2090">
        <v>17</v>
      </c>
    </row>
    <row r="2091" spans="1:11" x14ac:dyDescent="0.3">
      <c r="A2091" t="s">
        <v>11</v>
      </c>
      <c r="B2091" t="s">
        <v>25</v>
      </c>
      <c r="C2091" t="s">
        <v>108</v>
      </c>
      <c r="D2091" t="s">
        <v>411</v>
      </c>
      <c r="E2091" s="5">
        <v>45812.958333333343</v>
      </c>
      <c r="F2091">
        <v>23.264759000000002</v>
      </c>
      <c r="G2091">
        <v>77.381568000000001</v>
      </c>
      <c r="H2091" t="s">
        <v>770</v>
      </c>
      <c r="I2091">
        <v>30</v>
      </c>
      <c r="J2091">
        <v>104</v>
      </c>
      <c r="K2091">
        <v>85</v>
      </c>
    </row>
    <row r="2092" spans="1:11" x14ac:dyDescent="0.3">
      <c r="A2092" t="s">
        <v>11</v>
      </c>
      <c r="B2092" t="s">
        <v>25</v>
      </c>
      <c r="C2092" t="s">
        <v>108</v>
      </c>
      <c r="D2092" t="s">
        <v>693</v>
      </c>
      <c r="E2092" s="5">
        <v>45812.958333333343</v>
      </c>
      <c r="F2092">
        <v>23.210494000000001</v>
      </c>
      <c r="G2092">
        <v>77.425409000000002</v>
      </c>
      <c r="H2092" t="s">
        <v>772</v>
      </c>
      <c r="I2092">
        <v>13</v>
      </c>
      <c r="J2092">
        <v>109</v>
      </c>
      <c r="K2092">
        <v>45</v>
      </c>
    </row>
    <row r="2093" spans="1:11" x14ac:dyDescent="0.3">
      <c r="A2093" t="s">
        <v>11</v>
      </c>
      <c r="B2093" t="s">
        <v>25</v>
      </c>
      <c r="C2093" t="s">
        <v>108</v>
      </c>
      <c r="D2093" t="s">
        <v>693</v>
      </c>
      <c r="E2093" s="5">
        <v>45812.958333333343</v>
      </c>
      <c r="F2093">
        <v>23.210494000000001</v>
      </c>
      <c r="G2093">
        <v>77.425409000000002</v>
      </c>
      <c r="H2093" t="s">
        <v>776</v>
      </c>
      <c r="I2093">
        <v>8</v>
      </c>
      <c r="J2093">
        <v>80</v>
      </c>
      <c r="K2093">
        <v>22</v>
      </c>
    </row>
    <row r="2094" spans="1:11" x14ac:dyDescent="0.3">
      <c r="A2094" t="s">
        <v>11</v>
      </c>
      <c r="B2094" t="s">
        <v>25</v>
      </c>
      <c r="C2094" t="s">
        <v>109</v>
      </c>
      <c r="D2094" t="s">
        <v>421</v>
      </c>
      <c r="E2094" s="5">
        <v>45812.958333333343</v>
      </c>
      <c r="F2094">
        <v>23.142887999999999</v>
      </c>
      <c r="G2094">
        <v>79.916146999999995</v>
      </c>
      <c r="H2094" t="s">
        <v>770</v>
      </c>
      <c r="I2094">
        <v>3</v>
      </c>
      <c r="J2094">
        <v>103</v>
      </c>
      <c r="K2094">
        <v>59</v>
      </c>
    </row>
    <row r="2095" spans="1:11" x14ac:dyDescent="0.3">
      <c r="A2095" t="s">
        <v>11</v>
      </c>
      <c r="B2095" t="s">
        <v>25</v>
      </c>
      <c r="C2095" t="s">
        <v>109</v>
      </c>
      <c r="D2095" t="s">
        <v>422</v>
      </c>
      <c r="E2095" s="5">
        <v>45812.958333333343</v>
      </c>
      <c r="F2095">
        <v>23.168606</v>
      </c>
      <c r="G2095">
        <v>79.932247000000004</v>
      </c>
      <c r="H2095" t="s">
        <v>771</v>
      </c>
      <c r="I2095">
        <v>71</v>
      </c>
      <c r="J2095">
        <v>346</v>
      </c>
      <c r="K2095">
        <v>145</v>
      </c>
    </row>
    <row r="2096" spans="1:11" x14ac:dyDescent="0.3">
      <c r="A2096" t="s">
        <v>11</v>
      </c>
      <c r="B2096" t="s">
        <v>25</v>
      </c>
      <c r="C2096" t="s">
        <v>109</v>
      </c>
      <c r="D2096" t="s">
        <v>422</v>
      </c>
      <c r="E2096" s="5">
        <v>45812.958333333343</v>
      </c>
      <c r="F2096">
        <v>23.168606</v>
      </c>
      <c r="G2096">
        <v>79.932247000000004</v>
      </c>
      <c r="H2096" t="s">
        <v>776</v>
      </c>
      <c r="I2096">
        <v>4</v>
      </c>
      <c r="J2096">
        <v>171</v>
      </c>
      <c r="K2096">
        <v>83</v>
      </c>
    </row>
    <row r="2097" spans="1:11" x14ac:dyDescent="0.3">
      <c r="A2097" t="s">
        <v>11</v>
      </c>
      <c r="B2097" t="s">
        <v>25</v>
      </c>
      <c r="C2097" t="s">
        <v>109</v>
      </c>
      <c r="D2097" t="s">
        <v>413</v>
      </c>
      <c r="E2097" s="5">
        <v>45812.958333333343</v>
      </c>
      <c r="F2097">
        <v>23.218135</v>
      </c>
      <c r="G2097">
        <v>79.957769999999996</v>
      </c>
      <c r="H2097" t="s">
        <v>775</v>
      </c>
      <c r="I2097">
        <v>17</v>
      </c>
      <c r="J2097">
        <v>78</v>
      </c>
      <c r="K2097">
        <v>51</v>
      </c>
    </row>
    <row r="2098" spans="1:11" x14ac:dyDescent="0.3">
      <c r="A2098" t="s">
        <v>11</v>
      </c>
      <c r="B2098" t="s">
        <v>25</v>
      </c>
      <c r="C2098" t="s">
        <v>110</v>
      </c>
      <c r="D2098" t="s">
        <v>414</v>
      </c>
      <c r="E2098" s="5">
        <v>45812.958333333343</v>
      </c>
      <c r="F2098">
        <v>23.500160000000001</v>
      </c>
      <c r="G2098">
        <v>80.232839999999996</v>
      </c>
      <c r="H2098" t="s">
        <v>771</v>
      </c>
      <c r="I2098">
        <v>64</v>
      </c>
      <c r="J2098">
        <v>268</v>
      </c>
      <c r="K2098">
        <v>147</v>
      </c>
    </row>
    <row r="2099" spans="1:11" x14ac:dyDescent="0.3">
      <c r="A2099" t="s">
        <v>11</v>
      </c>
      <c r="B2099" t="s">
        <v>25</v>
      </c>
      <c r="C2099" t="s">
        <v>112</v>
      </c>
      <c r="D2099" t="s">
        <v>416</v>
      </c>
      <c r="E2099" s="5">
        <v>45812.958333333343</v>
      </c>
      <c r="F2099">
        <v>23.108440000000002</v>
      </c>
      <c r="G2099">
        <v>77.511427999999995</v>
      </c>
      <c r="H2099" t="s">
        <v>773</v>
      </c>
      <c r="I2099">
        <v>4</v>
      </c>
      <c r="J2099">
        <v>13</v>
      </c>
      <c r="K2099">
        <v>6</v>
      </c>
    </row>
    <row r="2100" spans="1:11" x14ac:dyDescent="0.3">
      <c r="A2100" t="s">
        <v>11</v>
      </c>
      <c r="B2100" t="s">
        <v>25</v>
      </c>
      <c r="C2100" t="s">
        <v>112</v>
      </c>
      <c r="D2100" t="s">
        <v>416</v>
      </c>
      <c r="E2100" s="5">
        <v>45812.958333333343</v>
      </c>
      <c r="F2100">
        <v>23.108440000000002</v>
      </c>
      <c r="G2100">
        <v>77.511427999999995</v>
      </c>
      <c r="H2100" t="s">
        <v>774</v>
      </c>
      <c r="I2100">
        <v>4</v>
      </c>
      <c r="J2100">
        <v>76</v>
      </c>
      <c r="K2100">
        <v>21</v>
      </c>
    </row>
    <row r="2101" spans="1:11" x14ac:dyDescent="0.3">
      <c r="A2101" t="s">
        <v>11</v>
      </c>
      <c r="B2101" t="s">
        <v>25</v>
      </c>
      <c r="C2101" t="s">
        <v>261</v>
      </c>
      <c r="D2101" t="s">
        <v>692</v>
      </c>
      <c r="E2101" s="5">
        <v>45812.958333333343</v>
      </c>
      <c r="F2101">
        <v>23.331731000000001</v>
      </c>
      <c r="G2101">
        <v>75.045980999999998</v>
      </c>
      <c r="H2101" t="s">
        <v>771</v>
      </c>
      <c r="I2101">
        <v>83</v>
      </c>
      <c r="J2101">
        <v>173</v>
      </c>
      <c r="K2101">
        <v>128</v>
      </c>
    </row>
    <row r="2102" spans="1:11" x14ac:dyDescent="0.3">
      <c r="A2102" t="s">
        <v>11</v>
      </c>
      <c r="B2102" t="s">
        <v>25</v>
      </c>
      <c r="C2102" t="s">
        <v>117</v>
      </c>
      <c r="D2102" t="s">
        <v>429</v>
      </c>
      <c r="E2102" s="5">
        <v>45812.958333333343</v>
      </c>
      <c r="F2102">
        <v>23.838585999999999</v>
      </c>
      <c r="G2102">
        <v>78.759431000000006</v>
      </c>
      <c r="H2102" t="s">
        <v>774</v>
      </c>
      <c r="I2102">
        <v>7</v>
      </c>
      <c r="J2102">
        <v>24</v>
      </c>
      <c r="K2102">
        <v>11</v>
      </c>
    </row>
    <row r="2103" spans="1:11" x14ac:dyDescent="0.3">
      <c r="A2103" t="s">
        <v>11</v>
      </c>
      <c r="B2103" t="s">
        <v>22</v>
      </c>
      <c r="C2103" t="s">
        <v>100</v>
      </c>
      <c r="D2103" t="s">
        <v>399</v>
      </c>
      <c r="E2103" s="5">
        <v>45812.958333333343</v>
      </c>
      <c r="F2103">
        <v>16.760200000000001</v>
      </c>
      <c r="G2103">
        <v>77.142799999999994</v>
      </c>
      <c r="H2103" t="s">
        <v>775</v>
      </c>
      <c r="I2103">
        <v>19</v>
      </c>
      <c r="J2103">
        <v>50</v>
      </c>
      <c r="K2103">
        <v>30</v>
      </c>
    </row>
    <row r="2104" spans="1:11" x14ac:dyDescent="0.3">
      <c r="A2104" t="s">
        <v>11</v>
      </c>
      <c r="B2104" t="s">
        <v>24</v>
      </c>
      <c r="C2104" t="s">
        <v>101</v>
      </c>
      <c r="D2104" t="s">
        <v>400</v>
      </c>
      <c r="E2104" s="5">
        <v>45812.958333333343</v>
      </c>
      <c r="F2104">
        <v>10.073232000000001</v>
      </c>
      <c r="G2104">
        <v>76.302764999999994</v>
      </c>
      <c r="H2104" t="s">
        <v>771</v>
      </c>
    </row>
    <row r="2105" spans="1:11" x14ac:dyDescent="0.3">
      <c r="A2105" t="s">
        <v>11</v>
      </c>
      <c r="B2105" t="s">
        <v>24</v>
      </c>
      <c r="C2105" t="s">
        <v>101</v>
      </c>
      <c r="D2105" t="s">
        <v>400</v>
      </c>
      <c r="E2105" s="5">
        <v>45812.958333333343</v>
      </c>
      <c r="F2105">
        <v>10.073232000000001</v>
      </c>
      <c r="G2105">
        <v>76.302764999999994</v>
      </c>
      <c r="H2105" t="s">
        <v>772</v>
      </c>
    </row>
    <row r="2106" spans="1:11" x14ac:dyDescent="0.3">
      <c r="A2106" t="s">
        <v>11</v>
      </c>
      <c r="B2106" t="s">
        <v>25</v>
      </c>
      <c r="C2106" t="s">
        <v>119</v>
      </c>
      <c r="D2106" t="s">
        <v>432</v>
      </c>
      <c r="E2106" s="5">
        <v>45812.958333333343</v>
      </c>
      <c r="F2106">
        <v>24.108969999999999</v>
      </c>
      <c r="G2106">
        <v>82.645579999999995</v>
      </c>
      <c r="H2106" t="s">
        <v>775</v>
      </c>
      <c r="I2106">
        <v>40</v>
      </c>
      <c r="J2106">
        <v>318</v>
      </c>
      <c r="K2106">
        <v>167</v>
      </c>
    </row>
    <row r="2107" spans="1:11" x14ac:dyDescent="0.3">
      <c r="A2107" t="s">
        <v>11</v>
      </c>
      <c r="B2107" t="s">
        <v>24</v>
      </c>
      <c r="C2107" t="s">
        <v>262</v>
      </c>
      <c r="D2107" t="s">
        <v>694</v>
      </c>
      <c r="E2107" s="5">
        <v>45812.958333333343</v>
      </c>
      <c r="F2107">
        <v>11.875</v>
      </c>
      <c r="G2107">
        <v>75.373199999999997</v>
      </c>
      <c r="H2107" t="s">
        <v>773</v>
      </c>
      <c r="I2107">
        <v>1</v>
      </c>
      <c r="J2107">
        <v>2</v>
      </c>
      <c r="K2107">
        <v>1</v>
      </c>
    </row>
    <row r="2108" spans="1:11" x14ac:dyDescent="0.3">
      <c r="A2108" t="s">
        <v>11</v>
      </c>
      <c r="B2108" t="s">
        <v>26</v>
      </c>
      <c r="C2108" t="s">
        <v>265</v>
      </c>
      <c r="D2108" t="s">
        <v>698</v>
      </c>
      <c r="E2108" s="5">
        <v>45812.958333333343</v>
      </c>
      <c r="F2108">
        <v>18.399629999999998</v>
      </c>
      <c r="G2108">
        <v>76.574520000000007</v>
      </c>
      <c r="H2108" t="s">
        <v>771</v>
      </c>
      <c r="I2108">
        <v>72</v>
      </c>
      <c r="J2108">
        <v>410</v>
      </c>
      <c r="K2108">
        <v>116</v>
      </c>
    </row>
    <row r="2109" spans="1:11" x14ac:dyDescent="0.3">
      <c r="A2109" t="s">
        <v>11</v>
      </c>
      <c r="B2109" t="s">
        <v>26</v>
      </c>
      <c r="C2109" t="s">
        <v>122</v>
      </c>
      <c r="D2109" t="s">
        <v>436</v>
      </c>
      <c r="E2109" s="5">
        <v>45812.958333333343</v>
      </c>
      <c r="F2109">
        <v>18.1023399</v>
      </c>
      <c r="G2109">
        <v>73.478368700000004</v>
      </c>
      <c r="H2109" t="s">
        <v>774</v>
      </c>
      <c r="I2109">
        <v>27</v>
      </c>
      <c r="J2109">
        <v>129</v>
      </c>
      <c r="K2109">
        <v>56</v>
      </c>
    </row>
    <row r="2110" spans="1:11" x14ac:dyDescent="0.3">
      <c r="A2110" t="s">
        <v>11</v>
      </c>
      <c r="B2110" t="s">
        <v>26</v>
      </c>
      <c r="C2110" t="s">
        <v>123</v>
      </c>
      <c r="D2110" t="s">
        <v>437</v>
      </c>
      <c r="E2110" s="5">
        <v>45812.958333333343</v>
      </c>
      <c r="F2110">
        <v>20.555712</v>
      </c>
      <c r="G2110">
        <v>74.529235999999997</v>
      </c>
      <c r="H2110" t="s">
        <v>775</v>
      </c>
      <c r="I2110">
        <v>27</v>
      </c>
      <c r="J2110">
        <v>378</v>
      </c>
      <c r="K2110">
        <v>120</v>
      </c>
    </row>
    <row r="2111" spans="1:11" x14ac:dyDescent="0.3">
      <c r="A2111" t="s">
        <v>11</v>
      </c>
      <c r="B2111" t="s">
        <v>26</v>
      </c>
      <c r="C2111" t="s">
        <v>124</v>
      </c>
      <c r="D2111" t="s">
        <v>438</v>
      </c>
      <c r="E2111" s="5">
        <v>45812.958333333343</v>
      </c>
      <c r="F2111">
        <v>19.296481</v>
      </c>
      <c r="G2111">
        <v>72.840923000000004</v>
      </c>
      <c r="H2111" t="s">
        <v>771</v>
      </c>
      <c r="I2111">
        <v>43</v>
      </c>
      <c r="J2111">
        <v>93</v>
      </c>
      <c r="K2111">
        <v>65</v>
      </c>
    </row>
    <row r="2112" spans="1:11" x14ac:dyDescent="0.3">
      <c r="A2112" t="s">
        <v>11</v>
      </c>
      <c r="B2112" t="s">
        <v>26</v>
      </c>
      <c r="C2112" t="s">
        <v>124</v>
      </c>
      <c r="D2112" t="s">
        <v>438</v>
      </c>
      <c r="E2112" s="5">
        <v>45812.958333333343</v>
      </c>
      <c r="F2112">
        <v>19.296481</v>
      </c>
      <c r="G2112">
        <v>72.840923000000004</v>
      </c>
      <c r="H2112" t="s">
        <v>772</v>
      </c>
      <c r="I2112">
        <v>5</v>
      </c>
      <c r="J2112">
        <v>41</v>
      </c>
      <c r="K2112">
        <v>21</v>
      </c>
    </row>
    <row r="2113" spans="1:11" x14ac:dyDescent="0.3">
      <c r="A2113" t="s">
        <v>11</v>
      </c>
      <c r="B2113" t="s">
        <v>26</v>
      </c>
      <c r="C2113" t="s">
        <v>124</v>
      </c>
      <c r="D2113" t="s">
        <v>438</v>
      </c>
      <c r="E2113" s="5">
        <v>45812.958333333343</v>
      </c>
      <c r="F2113">
        <v>19.296481</v>
      </c>
      <c r="G2113">
        <v>72.840923000000004</v>
      </c>
      <c r="H2113" t="s">
        <v>774</v>
      </c>
      <c r="I2113">
        <v>2</v>
      </c>
      <c r="J2113">
        <v>6</v>
      </c>
      <c r="K2113">
        <v>2</v>
      </c>
    </row>
    <row r="2114" spans="1:11" x14ac:dyDescent="0.3">
      <c r="A2114" t="s">
        <v>11</v>
      </c>
      <c r="B2114" t="s">
        <v>26</v>
      </c>
      <c r="C2114" t="s">
        <v>135</v>
      </c>
      <c r="D2114" t="s">
        <v>461</v>
      </c>
      <c r="E2114" s="5">
        <v>45812.958333333343</v>
      </c>
      <c r="F2114">
        <v>19.065930999999999</v>
      </c>
      <c r="G2114">
        <v>72.862131000000005</v>
      </c>
      <c r="H2114" t="s">
        <v>772</v>
      </c>
      <c r="I2114">
        <v>17</v>
      </c>
      <c r="J2114">
        <v>98</v>
      </c>
      <c r="K2114">
        <v>48</v>
      </c>
    </row>
    <row r="2115" spans="1:11" x14ac:dyDescent="0.3">
      <c r="A2115" t="s">
        <v>11</v>
      </c>
      <c r="B2115" t="s">
        <v>26</v>
      </c>
      <c r="C2115" t="s">
        <v>135</v>
      </c>
      <c r="D2115" t="s">
        <v>461</v>
      </c>
      <c r="E2115" s="5">
        <v>45812.958333333343</v>
      </c>
      <c r="F2115">
        <v>19.065930999999999</v>
      </c>
      <c r="G2115">
        <v>72.862131000000005</v>
      </c>
      <c r="H2115" t="s">
        <v>776</v>
      </c>
      <c r="I2115">
        <v>3</v>
      </c>
      <c r="J2115">
        <v>56</v>
      </c>
      <c r="K2115">
        <v>20</v>
      </c>
    </row>
    <row r="2116" spans="1:11" x14ac:dyDescent="0.3">
      <c r="A2116" t="s">
        <v>11</v>
      </c>
      <c r="B2116" t="s">
        <v>26</v>
      </c>
      <c r="C2116" t="s">
        <v>135</v>
      </c>
      <c r="D2116" t="s">
        <v>462</v>
      </c>
      <c r="E2116" s="5">
        <v>45812.958333333343</v>
      </c>
      <c r="F2116">
        <v>19.232410000000002</v>
      </c>
      <c r="G2116">
        <v>72.868949999999998</v>
      </c>
      <c r="H2116" t="s">
        <v>771</v>
      </c>
      <c r="I2116">
        <v>69</v>
      </c>
      <c r="J2116">
        <v>136</v>
      </c>
      <c r="K2116">
        <v>92</v>
      </c>
    </row>
    <row r="2117" spans="1:11" x14ac:dyDescent="0.3">
      <c r="A2117" t="s">
        <v>11</v>
      </c>
      <c r="B2117" t="s">
        <v>26</v>
      </c>
      <c r="C2117" t="s">
        <v>135</v>
      </c>
      <c r="D2117" t="s">
        <v>762</v>
      </c>
      <c r="E2117" s="5">
        <v>45812.958333333343</v>
      </c>
      <c r="F2117">
        <v>19.224333300000001</v>
      </c>
      <c r="G2117">
        <v>72.865811300000004</v>
      </c>
      <c r="H2117" t="s">
        <v>772</v>
      </c>
      <c r="I2117">
        <v>10</v>
      </c>
      <c r="J2117">
        <v>74</v>
      </c>
      <c r="K2117">
        <v>26</v>
      </c>
    </row>
    <row r="2118" spans="1:11" x14ac:dyDescent="0.3">
      <c r="A2118" t="s">
        <v>11</v>
      </c>
      <c r="B2118" t="s">
        <v>26</v>
      </c>
      <c r="C2118" t="s">
        <v>135</v>
      </c>
      <c r="D2118" t="s">
        <v>699</v>
      </c>
      <c r="E2118" s="5">
        <v>45812.958333333343</v>
      </c>
      <c r="F2118">
        <v>18.976700000000001</v>
      </c>
      <c r="G2118">
        <v>72.837999999999994</v>
      </c>
      <c r="H2118" t="s">
        <v>771</v>
      </c>
      <c r="I2118">
        <v>34</v>
      </c>
      <c r="J2118">
        <v>72</v>
      </c>
      <c r="K2118">
        <v>51</v>
      </c>
    </row>
    <row r="2119" spans="1:11" x14ac:dyDescent="0.3">
      <c r="A2119" t="s">
        <v>11</v>
      </c>
      <c r="B2119" t="s">
        <v>26</v>
      </c>
      <c r="C2119" t="s">
        <v>135</v>
      </c>
      <c r="D2119" t="s">
        <v>699</v>
      </c>
      <c r="E2119" s="5">
        <v>45812.958333333343</v>
      </c>
      <c r="F2119">
        <v>18.976700000000001</v>
      </c>
      <c r="G2119">
        <v>72.837999999999994</v>
      </c>
      <c r="H2119" t="s">
        <v>772</v>
      </c>
      <c r="I2119">
        <v>13</v>
      </c>
      <c r="J2119">
        <v>96</v>
      </c>
      <c r="K2119">
        <v>35</v>
      </c>
    </row>
    <row r="2120" spans="1:11" x14ac:dyDescent="0.3">
      <c r="A2120" t="s">
        <v>11</v>
      </c>
      <c r="B2120" t="s">
        <v>26</v>
      </c>
      <c r="C2120" t="s">
        <v>135</v>
      </c>
      <c r="D2120" t="s">
        <v>699</v>
      </c>
      <c r="E2120" s="5">
        <v>45812.958333333343</v>
      </c>
      <c r="F2120">
        <v>18.976700000000001</v>
      </c>
      <c r="G2120">
        <v>72.837999999999994</v>
      </c>
      <c r="H2120" t="s">
        <v>770</v>
      </c>
      <c r="I2120">
        <v>1</v>
      </c>
      <c r="J2120">
        <v>63</v>
      </c>
      <c r="K2120">
        <v>50</v>
      </c>
    </row>
    <row r="2121" spans="1:11" x14ac:dyDescent="0.3">
      <c r="A2121" t="s">
        <v>11</v>
      </c>
      <c r="B2121" t="s">
        <v>26</v>
      </c>
      <c r="C2121" t="s">
        <v>125</v>
      </c>
      <c r="D2121" t="s">
        <v>439</v>
      </c>
      <c r="E2121" s="5">
        <v>45812.958333333343</v>
      </c>
      <c r="F2121">
        <v>19.786089</v>
      </c>
      <c r="G2121">
        <v>72.757970999999998</v>
      </c>
      <c r="H2121" t="s">
        <v>775</v>
      </c>
      <c r="I2121">
        <v>37</v>
      </c>
      <c r="J2121">
        <v>83</v>
      </c>
      <c r="K2121">
        <v>66</v>
      </c>
    </row>
    <row r="2122" spans="1:11" x14ac:dyDescent="0.3">
      <c r="A2122" t="s">
        <v>11</v>
      </c>
      <c r="B2122" t="s">
        <v>26</v>
      </c>
      <c r="C2122" t="s">
        <v>125</v>
      </c>
      <c r="D2122" t="s">
        <v>439</v>
      </c>
      <c r="E2122" s="5">
        <v>45812.958333333343</v>
      </c>
      <c r="F2122">
        <v>19.786089</v>
      </c>
      <c r="G2122">
        <v>72.757970999999998</v>
      </c>
      <c r="H2122" t="s">
        <v>770</v>
      </c>
      <c r="I2122">
        <v>4</v>
      </c>
      <c r="J2122">
        <v>43</v>
      </c>
      <c r="K2122">
        <v>29</v>
      </c>
    </row>
    <row r="2123" spans="1:11" x14ac:dyDescent="0.3">
      <c r="A2123" t="s">
        <v>11</v>
      </c>
      <c r="B2123" t="s">
        <v>26</v>
      </c>
      <c r="C2123" t="s">
        <v>126</v>
      </c>
      <c r="D2123" t="s">
        <v>440</v>
      </c>
      <c r="E2123" s="5">
        <v>45812.958333333343</v>
      </c>
      <c r="F2123">
        <v>19.962900000000001</v>
      </c>
      <c r="G2123">
        <v>79.298714000000004</v>
      </c>
      <c r="H2123" t="s">
        <v>773</v>
      </c>
      <c r="I2123">
        <v>4</v>
      </c>
      <c r="J2123">
        <v>10</v>
      </c>
      <c r="K2123">
        <v>6</v>
      </c>
    </row>
    <row r="2124" spans="1:11" x14ac:dyDescent="0.3">
      <c r="A2124" t="s">
        <v>11</v>
      </c>
      <c r="B2124" t="s">
        <v>26</v>
      </c>
      <c r="C2124" t="s">
        <v>126</v>
      </c>
      <c r="D2124" t="s">
        <v>441</v>
      </c>
      <c r="E2124" s="5">
        <v>45812.958333333343</v>
      </c>
      <c r="F2124">
        <v>19.9775302</v>
      </c>
      <c r="G2124">
        <v>79.2337086</v>
      </c>
      <c r="H2124" t="s">
        <v>773</v>
      </c>
      <c r="I2124">
        <v>1</v>
      </c>
      <c r="J2124">
        <v>1</v>
      </c>
      <c r="K2124">
        <v>1</v>
      </c>
    </row>
    <row r="2125" spans="1:11" x14ac:dyDescent="0.3">
      <c r="A2125" t="s">
        <v>11</v>
      </c>
      <c r="B2125" t="s">
        <v>26</v>
      </c>
      <c r="C2125" t="s">
        <v>127</v>
      </c>
      <c r="D2125" t="s">
        <v>442</v>
      </c>
      <c r="E2125" s="5">
        <v>45812.958333333343</v>
      </c>
      <c r="F2125">
        <v>20.918945999999998</v>
      </c>
      <c r="G2125">
        <v>74.776387999999997</v>
      </c>
      <c r="H2125" t="s">
        <v>771</v>
      </c>
      <c r="I2125">
        <v>63</v>
      </c>
      <c r="J2125">
        <v>108</v>
      </c>
      <c r="K2125">
        <v>86</v>
      </c>
    </row>
    <row r="2126" spans="1:11" x14ac:dyDescent="0.3">
      <c r="A2126" t="s">
        <v>11</v>
      </c>
      <c r="B2126" t="s">
        <v>26</v>
      </c>
      <c r="C2126" t="s">
        <v>130</v>
      </c>
      <c r="D2126" t="s">
        <v>446</v>
      </c>
      <c r="E2126" s="5">
        <v>45812.958333333343</v>
      </c>
      <c r="F2126">
        <v>20.939198000000001</v>
      </c>
      <c r="G2126">
        <v>77.765701000000007</v>
      </c>
      <c r="H2126" t="s">
        <v>772</v>
      </c>
      <c r="I2126">
        <v>4</v>
      </c>
      <c r="J2126">
        <v>68</v>
      </c>
      <c r="K2126">
        <v>25</v>
      </c>
    </row>
    <row r="2127" spans="1:11" x14ac:dyDescent="0.3">
      <c r="A2127" t="s">
        <v>11</v>
      </c>
      <c r="B2127" t="s">
        <v>26</v>
      </c>
      <c r="C2127" t="s">
        <v>130</v>
      </c>
      <c r="D2127" t="s">
        <v>446</v>
      </c>
      <c r="E2127" s="5">
        <v>45812.958333333343</v>
      </c>
      <c r="F2127">
        <v>20.939198000000001</v>
      </c>
      <c r="G2127">
        <v>77.765701000000007</v>
      </c>
      <c r="H2127" t="s">
        <v>773</v>
      </c>
      <c r="I2127">
        <v>2</v>
      </c>
      <c r="J2127">
        <v>12</v>
      </c>
      <c r="K2127">
        <v>4</v>
      </c>
    </row>
    <row r="2128" spans="1:11" x14ac:dyDescent="0.3">
      <c r="A2128" t="s">
        <v>11</v>
      </c>
      <c r="B2128" t="s">
        <v>26</v>
      </c>
      <c r="C2128" t="s">
        <v>49</v>
      </c>
      <c r="D2128" t="s">
        <v>453</v>
      </c>
      <c r="E2128" s="5">
        <v>45812.958333333343</v>
      </c>
      <c r="F2128">
        <v>19.875620000000001</v>
      </c>
      <c r="G2128">
        <v>75.387309999999999</v>
      </c>
      <c r="H2128" t="s">
        <v>771</v>
      </c>
      <c r="I2128">
        <v>62</v>
      </c>
      <c r="J2128">
        <v>128</v>
      </c>
      <c r="K2128">
        <v>91</v>
      </c>
    </row>
    <row r="2129" spans="1:11" x14ac:dyDescent="0.3">
      <c r="A2129" t="s">
        <v>11</v>
      </c>
      <c r="B2129" t="s">
        <v>26</v>
      </c>
      <c r="C2129" t="s">
        <v>49</v>
      </c>
      <c r="D2129" t="s">
        <v>453</v>
      </c>
      <c r="E2129" s="5">
        <v>45812.958333333343</v>
      </c>
      <c r="F2129">
        <v>19.875620000000001</v>
      </c>
      <c r="G2129">
        <v>75.387309999999999</v>
      </c>
      <c r="H2129" t="s">
        <v>776</v>
      </c>
      <c r="I2129">
        <v>16</v>
      </c>
      <c r="J2129">
        <v>112</v>
      </c>
      <c r="K2129">
        <v>31</v>
      </c>
    </row>
    <row r="2130" spans="1:11" x14ac:dyDescent="0.3">
      <c r="A2130" t="s">
        <v>11</v>
      </c>
      <c r="B2130" t="s">
        <v>26</v>
      </c>
      <c r="C2130" t="s">
        <v>49</v>
      </c>
      <c r="D2130" t="s">
        <v>697</v>
      </c>
      <c r="E2130" s="5">
        <v>45812.958333333343</v>
      </c>
      <c r="F2130">
        <v>19.8389439</v>
      </c>
      <c r="G2130">
        <v>75.244448000000006</v>
      </c>
      <c r="H2130" t="s">
        <v>773</v>
      </c>
      <c r="I2130">
        <v>9</v>
      </c>
      <c r="J2130">
        <v>10</v>
      </c>
      <c r="K2130">
        <v>9</v>
      </c>
    </row>
    <row r="2131" spans="1:11" x14ac:dyDescent="0.3">
      <c r="A2131" t="s">
        <v>11</v>
      </c>
      <c r="B2131" t="s">
        <v>26</v>
      </c>
      <c r="C2131" t="s">
        <v>127</v>
      </c>
      <c r="D2131" t="s">
        <v>442</v>
      </c>
      <c r="E2131" s="5">
        <v>45812.958333333343</v>
      </c>
      <c r="F2131">
        <v>20.918945999999998</v>
      </c>
      <c r="G2131">
        <v>74.776387999999997</v>
      </c>
      <c r="H2131" t="s">
        <v>776</v>
      </c>
      <c r="I2131">
        <v>13</v>
      </c>
      <c r="J2131">
        <v>42</v>
      </c>
      <c r="K2131">
        <v>22</v>
      </c>
    </row>
    <row r="2132" spans="1:11" x14ac:dyDescent="0.3">
      <c r="A2132" t="s">
        <v>11</v>
      </c>
      <c r="B2132" t="s">
        <v>26</v>
      </c>
      <c r="C2132" t="s">
        <v>264</v>
      </c>
      <c r="D2132" t="s">
        <v>696</v>
      </c>
      <c r="E2132" s="5">
        <v>45812.958333333343</v>
      </c>
      <c r="F2132">
        <v>21.001263999999999</v>
      </c>
      <c r="G2132">
        <v>75.565601999999998</v>
      </c>
      <c r="H2132" t="s">
        <v>775</v>
      </c>
      <c r="I2132">
        <v>44</v>
      </c>
      <c r="J2132">
        <v>107</v>
      </c>
      <c r="K2132">
        <v>68</v>
      </c>
    </row>
    <row r="2133" spans="1:11" x14ac:dyDescent="0.3">
      <c r="A2133" t="s">
        <v>11</v>
      </c>
      <c r="B2133" t="s">
        <v>26</v>
      </c>
      <c r="C2133" t="s">
        <v>132</v>
      </c>
      <c r="D2133" t="s">
        <v>449</v>
      </c>
      <c r="E2133" s="5">
        <v>45812.958333333343</v>
      </c>
      <c r="F2133">
        <v>19.192056000000001</v>
      </c>
      <c r="G2133">
        <v>72.958518799999993</v>
      </c>
      <c r="H2133" t="s">
        <v>771</v>
      </c>
      <c r="I2133">
        <v>52</v>
      </c>
      <c r="J2133">
        <v>90</v>
      </c>
      <c r="K2133">
        <v>74</v>
      </c>
    </row>
    <row r="2134" spans="1:11" x14ac:dyDescent="0.3">
      <c r="A2134" t="s">
        <v>11</v>
      </c>
      <c r="B2134" t="s">
        <v>26</v>
      </c>
      <c r="C2134" t="s">
        <v>132</v>
      </c>
      <c r="D2134" t="s">
        <v>449</v>
      </c>
      <c r="E2134" s="5">
        <v>45812.958333333343</v>
      </c>
      <c r="F2134">
        <v>19.192056000000001</v>
      </c>
      <c r="G2134">
        <v>72.958518799999993</v>
      </c>
      <c r="H2134" t="s">
        <v>776</v>
      </c>
      <c r="I2134">
        <v>14</v>
      </c>
      <c r="J2134">
        <v>59</v>
      </c>
      <c r="K2134">
        <v>19</v>
      </c>
    </row>
    <row r="2135" spans="1:11" x14ac:dyDescent="0.3">
      <c r="A2135" t="s">
        <v>11</v>
      </c>
      <c r="B2135" t="s">
        <v>26</v>
      </c>
      <c r="C2135" t="s">
        <v>49</v>
      </c>
      <c r="D2135" t="s">
        <v>697</v>
      </c>
      <c r="E2135" s="5">
        <v>45812.958333333343</v>
      </c>
      <c r="F2135">
        <v>19.8389439</v>
      </c>
      <c r="G2135">
        <v>75.244448000000006</v>
      </c>
      <c r="H2135" t="s">
        <v>770</v>
      </c>
      <c r="I2135">
        <v>3</v>
      </c>
      <c r="J2135">
        <v>114</v>
      </c>
      <c r="K2135">
        <v>79</v>
      </c>
    </row>
    <row r="2136" spans="1:11" x14ac:dyDescent="0.3">
      <c r="A2136" t="s">
        <v>11</v>
      </c>
      <c r="B2136" t="s">
        <v>26</v>
      </c>
      <c r="C2136" t="s">
        <v>266</v>
      </c>
      <c r="D2136" t="s">
        <v>700</v>
      </c>
      <c r="E2136" s="5">
        <v>45812.958333333343</v>
      </c>
      <c r="F2136">
        <v>19.164850000000001</v>
      </c>
      <c r="G2136">
        <v>73.234089999999995</v>
      </c>
      <c r="H2136" t="s">
        <v>772</v>
      </c>
      <c r="I2136">
        <v>34</v>
      </c>
      <c r="J2136">
        <v>109</v>
      </c>
      <c r="K2136">
        <v>73</v>
      </c>
    </row>
    <row r="2137" spans="1:11" x14ac:dyDescent="0.3">
      <c r="A2137" t="s">
        <v>11</v>
      </c>
      <c r="B2137" t="s">
        <v>26</v>
      </c>
      <c r="C2137" t="s">
        <v>121</v>
      </c>
      <c r="D2137" t="s">
        <v>450</v>
      </c>
      <c r="E2137" s="5">
        <v>45812.958333333343</v>
      </c>
      <c r="F2137">
        <v>16.6870449</v>
      </c>
      <c r="G2137">
        <v>74.250587199999998</v>
      </c>
      <c r="H2137" t="s">
        <v>773</v>
      </c>
      <c r="I2137">
        <v>1</v>
      </c>
      <c r="J2137">
        <v>6</v>
      </c>
      <c r="K2137">
        <v>2</v>
      </c>
    </row>
    <row r="2138" spans="1:11" x14ac:dyDescent="0.3">
      <c r="A2138" t="s">
        <v>11</v>
      </c>
      <c r="B2138" t="s">
        <v>26</v>
      </c>
      <c r="C2138" t="s">
        <v>121</v>
      </c>
      <c r="D2138" t="s">
        <v>435</v>
      </c>
      <c r="E2138" s="5">
        <v>45812.958333333343</v>
      </c>
      <c r="F2138">
        <v>16.714374500000002</v>
      </c>
      <c r="G2138">
        <v>74.242639800000006</v>
      </c>
      <c r="H2138" t="s">
        <v>771</v>
      </c>
      <c r="I2138">
        <v>57</v>
      </c>
      <c r="J2138">
        <v>97</v>
      </c>
      <c r="K2138">
        <v>76</v>
      </c>
    </row>
    <row r="2139" spans="1:11" x14ac:dyDescent="0.3">
      <c r="A2139" t="s">
        <v>11</v>
      </c>
      <c r="B2139" t="s">
        <v>26</v>
      </c>
      <c r="C2139" t="s">
        <v>135</v>
      </c>
      <c r="D2139" t="s">
        <v>461</v>
      </c>
      <c r="E2139" s="5">
        <v>45812.958333333343</v>
      </c>
      <c r="F2139">
        <v>19.065930999999999</v>
      </c>
      <c r="G2139">
        <v>72.862131000000005</v>
      </c>
      <c r="H2139" t="s">
        <v>775</v>
      </c>
      <c r="I2139">
        <v>5</v>
      </c>
      <c r="J2139">
        <v>76</v>
      </c>
      <c r="K2139">
        <v>27</v>
      </c>
    </row>
    <row r="2140" spans="1:11" x14ac:dyDescent="0.3">
      <c r="A2140" t="s">
        <v>11</v>
      </c>
      <c r="B2140" t="s">
        <v>26</v>
      </c>
      <c r="C2140" t="s">
        <v>135</v>
      </c>
      <c r="D2140" t="s">
        <v>461</v>
      </c>
      <c r="E2140" s="5">
        <v>45812.958333333343</v>
      </c>
      <c r="F2140">
        <v>19.065930999999999</v>
      </c>
      <c r="G2140">
        <v>72.862131000000005</v>
      </c>
      <c r="H2140" t="s">
        <v>771</v>
      </c>
    </row>
    <row r="2141" spans="1:11" x14ac:dyDescent="0.3">
      <c r="A2141" t="s">
        <v>11</v>
      </c>
      <c r="B2141" t="s">
        <v>26</v>
      </c>
      <c r="C2141" t="s">
        <v>133</v>
      </c>
      <c r="D2141" t="s">
        <v>452</v>
      </c>
      <c r="E2141" s="5">
        <v>45812.958333333343</v>
      </c>
      <c r="F2141">
        <v>19.024390199999999</v>
      </c>
      <c r="G2141">
        <v>73.040672099999995</v>
      </c>
      <c r="H2141" t="s">
        <v>776</v>
      </c>
      <c r="I2141">
        <v>9</v>
      </c>
      <c r="J2141">
        <v>52</v>
      </c>
      <c r="K2141">
        <v>19</v>
      </c>
    </row>
    <row r="2142" spans="1:11" x14ac:dyDescent="0.3">
      <c r="A2142" t="s">
        <v>11</v>
      </c>
      <c r="B2142" t="s">
        <v>26</v>
      </c>
      <c r="C2142" t="s">
        <v>135</v>
      </c>
      <c r="D2142" t="s">
        <v>465</v>
      </c>
      <c r="E2142" s="5">
        <v>45812.958333333343</v>
      </c>
      <c r="F2142">
        <v>19.1878657</v>
      </c>
      <c r="G2142">
        <v>72.8304069</v>
      </c>
      <c r="H2142" t="s">
        <v>772</v>
      </c>
      <c r="I2142">
        <v>4</v>
      </c>
      <c r="J2142">
        <v>97</v>
      </c>
      <c r="K2142">
        <v>22</v>
      </c>
    </row>
    <row r="2143" spans="1:11" x14ac:dyDescent="0.3">
      <c r="A2143" t="s">
        <v>11</v>
      </c>
      <c r="B2143" t="s">
        <v>26</v>
      </c>
      <c r="C2143" t="s">
        <v>135</v>
      </c>
      <c r="D2143" t="s">
        <v>466</v>
      </c>
      <c r="E2143" s="5">
        <v>45812.958333333343</v>
      </c>
      <c r="F2143">
        <v>18.897756000000001</v>
      </c>
      <c r="G2143">
        <v>72.813320000000004</v>
      </c>
      <c r="H2143" t="s">
        <v>775</v>
      </c>
      <c r="I2143">
        <v>16</v>
      </c>
      <c r="J2143">
        <v>59</v>
      </c>
      <c r="K2143">
        <v>34</v>
      </c>
    </row>
    <row r="2144" spans="1:11" x14ac:dyDescent="0.3">
      <c r="A2144" t="s">
        <v>11</v>
      </c>
      <c r="B2144" t="s">
        <v>26</v>
      </c>
      <c r="C2144" t="s">
        <v>135</v>
      </c>
      <c r="D2144" t="s">
        <v>466</v>
      </c>
      <c r="E2144" s="5">
        <v>45812.958333333343</v>
      </c>
      <c r="F2144">
        <v>18.897756000000001</v>
      </c>
      <c r="G2144">
        <v>72.813320000000004</v>
      </c>
      <c r="H2144" t="s">
        <v>774</v>
      </c>
      <c r="I2144">
        <v>12</v>
      </c>
      <c r="J2144">
        <v>19</v>
      </c>
      <c r="K2144">
        <v>16</v>
      </c>
    </row>
    <row r="2145" spans="1:11" x14ac:dyDescent="0.3">
      <c r="A2145" t="s">
        <v>11</v>
      </c>
      <c r="B2145" t="s">
        <v>26</v>
      </c>
      <c r="C2145" t="s">
        <v>135</v>
      </c>
      <c r="D2145" t="s">
        <v>466</v>
      </c>
      <c r="E2145" s="5">
        <v>45812.958333333343</v>
      </c>
      <c r="F2145">
        <v>18.897756000000001</v>
      </c>
      <c r="G2145">
        <v>72.813320000000004</v>
      </c>
      <c r="H2145" t="s">
        <v>776</v>
      </c>
      <c r="I2145">
        <v>12</v>
      </c>
      <c r="J2145">
        <v>74</v>
      </c>
      <c r="K2145">
        <v>26</v>
      </c>
    </row>
    <row r="2146" spans="1:11" x14ac:dyDescent="0.3">
      <c r="A2146" t="s">
        <v>11</v>
      </c>
      <c r="B2146" t="s">
        <v>26</v>
      </c>
      <c r="C2146" t="s">
        <v>135</v>
      </c>
      <c r="D2146" t="s">
        <v>463</v>
      </c>
      <c r="E2146" s="5">
        <v>45812.958333333343</v>
      </c>
      <c r="F2146">
        <v>19.137499999999999</v>
      </c>
      <c r="G2146">
        <v>72.915056000000007</v>
      </c>
      <c r="H2146" t="s">
        <v>772</v>
      </c>
      <c r="I2146">
        <v>7</v>
      </c>
      <c r="J2146">
        <v>8</v>
      </c>
      <c r="K2146">
        <v>7</v>
      </c>
    </row>
    <row r="2147" spans="1:11" x14ac:dyDescent="0.3">
      <c r="A2147" t="s">
        <v>11</v>
      </c>
      <c r="B2147" t="s">
        <v>26</v>
      </c>
      <c r="C2147" t="s">
        <v>135</v>
      </c>
      <c r="D2147" t="s">
        <v>463</v>
      </c>
      <c r="E2147" s="5">
        <v>45812.958333333343</v>
      </c>
      <c r="F2147">
        <v>19.137499999999999</v>
      </c>
      <c r="G2147">
        <v>72.915056000000007</v>
      </c>
      <c r="H2147" t="s">
        <v>776</v>
      </c>
      <c r="I2147">
        <v>16</v>
      </c>
      <c r="J2147">
        <v>16</v>
      </c>
      <c r="K2147">
        <v>16</v>
      </c>
    </row>
    <row r="2148" spans="1:11" x14ac:dyDescent="0.3">
      <c r="A2148" t="s">
        <v>11</v>
      </c>
      <c r="B2148" t="s">
        <v>26</v>
      </c>
      <c r="C2148" t="s">
        <v>135</v>
      </c>
      <c r="D2148" t="s">
        <v>463</v>
      </c>
      <c r="E2148" s="5">
        <v>45812.958333333343</v>
      </c>
      <c r="F2148">
        <v>19.137499999999999</v>
      </c>
      <c r="G2148">
        <v>72.915056000000007</v>
      </c>
      <c r="H2148" t="s">
        <v>770</v>
      </c>
      <c r="I2148">
        <v>9</v>
      </c>
      <c r="J2148">
        <v>9</v>
      </c>
      <c r="K2148">
        <v>9</v>
      </c>
    </row>
    <row r="2149" spans="1:11" x14ac:dyDescent="0.3">
      <c r="A2149" t="s">
        <v>11</v>
      </c>
      <c r="B2149" t="s">
        <v>26</v>
      </c>
      <c r="C2149" t="s">
        <v>135</v>
      </c>
      <c r="D2149" t="s">
        <v>459</v>
      </c>
      <c r="E2149" s="5">
        <v>45812.958333333343</v>
      </c>
      <c r="F2149">
        <v>19.383199999999999</v>
      </c>
      <c r="G2149">
        <v>72.820400000000006</v>
      </c>
      <c r="H2149" t="s">
        <v>770</v>
      </c>
      <c r="I2149">
        <v>7</v>
      </c>
      <c r="J2149">
        <v>7</v>
      </c>
      <c r="K2149">
        <v>7</v>
      </c>
    </row>
    <row r="2150" spans="1:11" x14ac:dyDescent="0.3">
      <c r="A2150" t="s">
        <v>11</v>
      </c>
      <c r="B2150" t="s">
        <v>26</v>
      </c>
      <c r="C2150" t="s">
        <v>138</v>
      </c>
      <c r="D2150" t="s">
        <v>481</v>
      </c>
      <c r="E2150" s="5">
        <v>45812.958333333343</v>
      </c>
      <c r="F2150">
        <v>21.121801000000001</v>
      </c>
      <c r="G2150">
        <v>79.049520000000001</v>
      </c>
      <c r="H2150" t="s">
        <v>771</v>
      </c>
      <c r="I2150">
        <v>71</v>
      </c>
      <c r="J2150">
        <v>165</v>
      </c>
      <c r="K2150">
        <v>113</v>
      </c>
    </row>
    <row r="2151" spans="1:11" x14ac:dyDescent="0.3">
      <c r="A2151" t="s">
        <v>11</v>
      </c>
      <c r="B2151" t="s">
        <v>26</v>
      </c>
      <c r="C2151" t="s">
        <v>138</v>
      </c>
      <c r="D2151" t="s">
        <v>481</v>
      </c>
      <c r="E2151" s="5">
        <v>45812.958333333343</v>
      </c>
      <c r="F2151">
        <v>21.121801000000001</v>
      </c>
      <c r="G2151">
        <v>79.049520000000001</v>
      </c>
      <c r="H2151" t="s">
        <v>774</v>
      </c>
      <c r="I2151">
        <v>12</v>
      </c>
      <c r="J2151">
        <v>65</v>
      </c>
      <c r="K2151">
        <v>27</v>
      </c>
    </row>
    <row r="2152" spans="1:11" x14ac:dyDescent="0.3">
      <c r="A2152" t="s">
        <v>11</v>
      </c>
      <c r="B2152" t="s">
        <v>26</v>
      </c>
      <c r="C2152" t="s">
        <v>138</v>
      </c>
      <c r="D2152" t="s">
        <v>703</v>
      </c>
      <c r="E2152" s="5">
        <v>45812.958333333343</v>
      </c>
      <c r="F2152">
        <v>21.152875000000002</v>
      </c>
      <c r="G2152">
        <v>79.051753099999999</v>
      </c>
      <c r="H2152" t="s">
        <v>770</v>
      </c>
      <c r="I2152">
        <v>3</v>
      </c>
      <c r="J2152">
        <v>106</v>
      </c>
      <c r="K2152">
        <v>51</v>
      </c>
    </row>
    <row r="2153" spans="1:11" x14ac:dyDescent="0.3">
      <c r="A2153" t="s">
        <v>11</v>
      </c>
      <c r="B2153" t="s">
        <v>26</v>
      </c>
      <c r="C2153" t="s">
        <v>138</v>
      </c>
      <c r="D2153" t="s">
        <v>482</v>
      </c>
      <c r="E2153" s="5">
        <v>45812.958333333343</v>
      </c>
      <c r="F2153">
        <v>21.143383</v>
      </c>
      <c r="G2153">
        <v>79.048912000000001</v>
      </c>
      <c r="H2153" t="s">
        <v>772</v>
      </c>
      <c r="I2153">
        <v>11</v>
      </c>
      <c r="J2153">
        <v>78</v>
      </c>
      <c r="K2153">
        <v>32</v>
      </c>
    </row>
    <row r="2154" spans="1:11" x14ac:dyDescent="0.3">
      <c r="A2154" t="s">
        <v>11</v>
      </c>
      <c r="B2154" t="s">
        <v>26</v>
      </c>
      <c r="C2154" t="s">
        <v>135</v>
      </c>
      <c r="D2154" t="s">
        <v>701</v>
      </c>
      <c r="E2154" s="5">
        <v>45812.958333333343</v>
      </c>
      <c r="F2154">
        <v>19.036458499999998</v>
      </c>
      <c r="G2154">
        <v>72.895437099999995</v>
      </c>
      <c r="H2154" t="s">
        <v>771</v>
      </c>
      <c r="I2154">
        <v>56</v>
      </c>
      <c r="J2154">
        <v>118</v>
      </c>
      <c r="K2154">
        <v>89</v>
      </c>
    </row>
    <row r="2155" spans="1:11" x14ac:dyDescent="0.3">
      <c r="A2155" t="s">
        <v>11</v>
      </c>
      <c r="B2155" t="s">
        <v>26</v>
      </c>
      <c r="C2155" t="s">
        <v>135</v>
      </c>
      <c r="D2155" t="s">
        <v>701</v>
      </c>
      <c r="E2155" s="5">
        <v>45812.958333333343</v>
      </c>
      <c r="F2155">
        <v>19.036458499999998</v>
      </c>
      <c r="G2155">
        <v>72.895437099999995</v>
      </c>
      <c r="H2155" t="s">
        <v>772</v>
      </c>
      <c r="I2155">
        <v>21</v>
      </c>
      <c r="J2155">
        <v>69</v>
      </c>
      <c r="K2155">
        <v>38</v>
      </c>
    </row>
    <row r="2156" spans="1:11" x14ac:dyDescent="0.3">
      <c r="A2156" t="s">
        <v>11</v>
      </c>
      <c r="B2156" t="s">
        <v>26</v>
      </c>
      <c r="C2156" t="s">
        <v>135</v>
      </c>
      <c r="D2156" t="s">
        <v>470</v>
      </c>
      <c r="E2156" s="5">
        <v>45812.958333333343</v>
      </c>
      <c r="F2156">
        <v>19.10078</v>
      </c>
      <c r="G2156">
        <v>72.874619999999993</v>
      </c>
      <c r="H2156" t="s">
        <v>771</v>
      </c>
      <c r="I2156">
        <v>72</v>
      </c>
      <c r="J2156">
        <v>99</v>
      </c>
      <c r="K2156">
        <v>83</v>
      </c>
    </row>
    <row r="2157" spans="1:11" x14ac:dyDescent="0.3">
      <c r="A2157" t="s">
        <v>11</v>
      </c>
      <c r="B2157" t="s">
        <v>26</v>
      </c>
      <c r="C2157" t="s">
        <v>135</v>
      </c>
      <c r="D2157" t="s">
        <v>470</v>
      </c>
      <c r="E2157" s="5">
        <v>45812.958333333343</v>
      </c>
      <c r="F2157">
        <v>19.10078</v>
      </c>
      <c r="G2157">
        <v>72.874619999999993</v>
      </c>
      <c r="H2157" t="s">
        <v>772</v>
      </c>
      <c r="I2157">
        <v>27</v>
      </c>
      <c r="J2157">
        <v>48</v>
      </c>
      <c r="K2157">
        <v>35</v>
      </c>
    </row>
    <row r="2158" spans="1:11" x14ac:dyDescent="0.3">
      <c r="A2158" t="s">
        <v>11</v>
      </c>
      <c r="B2158" t="s">
        <v>26</v>
      </c>
      <c r="C2158" t="s">
        <v>135</v>
      </c>
      <c r="D2158" t="s">
        <v>470</v>
      </c>
      <c r="E2158" s="5">
        <v>45812.958333333343</v>
      </c>
      <c r="F2158">
        <v>19.10078</v>
      </c>
      <c r="G2158">
        <v>72.874619999999993</v>
      </c>
      <c r="H2158" t="s">
        <v>770</v>
      </c>
      <c r="I2158">
        <v>7</v>
      </c>
      <c r="J2158">
        <v>7</v>
      </c>
      <c r="K2158">
        <v>7</v>
      </c>
    </row>
    <row r="2159" spans="1:11" x14ac:dyDescent="0.3">
      <c r="A2159" t="s">
        <v>11</v>
      </c>
      <c r="B2159" t="s">
        <v>26</v>
      </c>
      <c r="C2159" t="s">
        <v>135</v>
      </c>
      <c r="D2159" t="s">
        <v>469</v>
      </c>
      <c r="E2159" s="5">
        <v>45812.958333333343</v>
      </c>
      <c r="F2159">
        <v>19.11074</v>
      </c>
      <c r="G2159">
        <v>72.860839999999996</v>
      </c>
      <c r="H2159" t="s">
        <v>775</v>
      </c>
      <c r="I2159">
        <v>43</v>
      </c>
      <c r="J2159">
        <v>116</v>
      </c>
      <c r="K2159">
        <v>71</v>
      </c>
    </row>
    <row r="2160" spans="1:11" x14ac:dyDescent="0.3">
      <c r="A2160" t="s">
        <v>11</v>
      </c>
      <c r="B2160" t="s">
        <v>26</v>
      </c>
      <c r="C2160" t="s">
        <v>135</v>
      </c>
      <c r="D2160" t="s">
        <v>469</v>
      </c>
      <c r="E2160" s="5">
        <v>45812.958333333343</v>
      </c>
      <c r="F2160">
        <v>19.11074</v>
      </c>
      <c r="G2160">
        <v>72.860839999999996</v>
      </c>
      <c r="H2160" t="s">
        <v>772</v>
      </c>
      <c r="I2160">
        <v>43</v>
      </c>
      <c r="J2160">
        <v>112</v>
      </c>
      <c r="K2160">
        <v>70</v>
      </c>
    </row>
    <row r="2161" spans="1:11" x14ac:dyDescent="0.3">
      <c r="A2161" t="s">
        <v>11</v>
      </c>
      <c r="B2161" t="s">
        <v>26</v>
      </c>
      <c r="C2161" t="s">
        <v>135</v>
      </c>
      <c r="D2161" t="s">
        <v>469</v>
      </c>
      <c r="E2161" s="5">
        <v>45812.958333333343</v>
      </c>
      <c r="F2161">
        <v>19.11074</v>
      </c>
      <c r="G2161">
        <v>72.860839999999996</v>
      </c>
      <c r="H2161" t="s">
        <v>774</v>
      </c>
      <c r="I2161">
        <v>1</v>
      </c>
      <c r="J2161">
        <v>10</v>
      </c>
      <c r="K2161">
        <v>3</v>
      </c>
    </row>
    <row r="2162" spans="1:11" x14ac:dyDescent="0.3">
      <c r="A2162" t="s">
        <v>11</v>
      </c>
      <c r="B2162" t="s">
        <v>26</v>
      </c>
      <c r="C2162" t="s">
        <v>135</v>
      </c>
      <c r="D2162" t="s">
        <v>469</v>
      </c>
      <c r="E2162" s="5">
        <v>45812.958333333343</v>
      </c>
      <c r="F2162">
        <v>19.11074</v>
      </c>
      <c r="G2162">
        <v>72.860839999999996</v>
      </c>
      <c r="H2162" t="s">
        <v>770</v>
      </c>
      <c r="I2162">
        <v>2</v>
      </c>
      <c r="J2162">
        <v>138</v>
      </c>
      <c r="K2162">
        <v>80</v>
      </c>
    </row>
    <row r="2163" spans="1:11" x14ac:dyDescent="0.3">
      <c r="A2163" t="s">
        <v>11</v>
      </c>
      <c r="B2163" t="s">
        <v>26</v>
      </c>
      <c r="C2163" t="s">
        <v>135</v>
      </c>
      <c r="D2163" t="s">
        <v>464</v>
      </c>
      <c r="E2163" s="5">
        <v>45812.958333333343</v>
      </c>
      <c r="F2163">
        <v>19.060497999999999</v>
      </c>
      <c r="G2163">
        <v>72.923355999999998</v>
      </c>
      <c r="H2163" t="s">
        <v>776</v>
      </c>
      <c r="I2163">
        <v>8</v>
      </c>
      <c r="J2163">
        <v>92</v>
      </c>
      <c r="K2163">
        <v>17</v>
      </c>
    </row>
    <row r="2164" spans="1:11" x14ac:dyDescent="0.3">
      <c r="A2164" t="s">
        <v>11</v>
      </c>
      <c r="B2164" t="s">
        <v>26</v>
      </c>
      <c r="C2164" t="s">
        <v>135</v>
      </c>
      <c r="D2164" t="s">
        <v>763</v>
      </c>
      <c r="E2164" s="5">
        <v>45812.958333333343</v>
      </c>
      <c r="F2164">
        <v>19.000083</v>
      </c>
      <c r="G2164">
        <v>72.813992999999996</v>
      </c>
      <c r="H2164" t="s">
        <v>771</v>
      </c>
      <c r="I2164">
        <v>47</v>
      </c>
      <c r="J2164">
        <v>96</v>
      </c>
      <c r="K2164">
        <v>67</v>
      </c>
    </row>
    <row r="2165" spans="1:11" x14ac:dyDescent="0.3">
      <c r="A2165" t="s">
        <v>11</v>
      </c>
      <c r="B2165" t="s">
        <v>26</v>
      </c>
      <c r="C2165" t="s">
        <v>135</v>
      </c>
      <c r="D2165" t="s">
        <v>763</v>
      </c>
      <c r="E2165" s="5">
        <v>45812.958333333343</v>
      </c>
      <c r="F2165">
        <v>19.000083</v>
      </c>
      <c r="G2165">
        <v>72.813992999999996</v>
      </c>
      <c r="H2165" t="s">
        <v>773</v>
      </c>
      <c r="I2165">
        <v>2</v>
      </c>
      <c r="J2165">
        <v>3</v>
      </c>
      <c r="K2165">
        <v>2</v>
      </c>
    </row>
    <row r="2166" spans="1:11" x14ac:dyDescent="0.3">
      <c r="A2166" t="s">
        <v>11</v>
      </c>
      <c r="B2166" t="s">
        <v>26</v>
      </c>
      <c r="C2166" t="s">
        <v>135</v>
      </c>
      <c r="D2166" t="s">
        <v>704</v>
      </c>
      <c r="E2166" s="5">
        <v>45812.958333333343</v>
      </c>
      <c r="F2166">
        <v>19.086300000000001</v>
      </c>
      <c r="G2166">
        <v>72.888800000000003</v>
      </c>
      <c r="H2166" t="s">
        <v>771</v>
      </c>
    </row>
    <row r="2167" spans="1:11" x14ac:dyDescent="0.3">
      <c r="A2167" t="s">
        <v>11</v>
      </c>
      <c r="B2167" t="s">
        <v>26</v>
      </c>
      <c r="C2167" t="s">
        <v>135</v>
      </c>
      <c r="D2167" t="s">
        <v>704</v>
      </c>
      <c r="E2167" s="5">
        <v>45812.958333333343</v>
      </c>
      <c r="F2167">
        <v>19.086300000000001</v>
      </c>
      <c r="G2167">
        <v>72.888800000000003</v>
      </c>
      <c r="H2167" t="s">
        <v>776</v>
      </c>
      <c r="I2167">
        <v>3</v>
      </c>
      <c r="J2167">
        <v>14</v>
      </c>
      <c r="K2167">
        <v>7</v>
      </c>
    </row>
    <row r="2168" spans="1:11" x14ac:dyDescent="0.3">
      <c r="A2168" t="s">
        <v>11</v>
      </c>
      <c r="B2168" t="s">
        <v>26</v>
      </c>
      <c r="C2168" t="s">
        <v>135</v>
      </c>
      <c r="D2168" t="s">
        <v>467</v>
      </c>
      <c r="E2168" s="5">
        <v>45812.958333333343</v>
      </c>
      <c r="F2168">
        <v>19.197089999999999</v>
      </c>
      <c r="G2168">
        <v>72.822040000000001</v>
      </c>
      <c r="H2168" t="s">
        <v>772</v>
      </c>
      <c r="I2168">
        <v>57</v>
      </c>
      <c r="J2168">
        <v>97</v>
      </c>
      <c r="K2168">
        <v>77</v>
      </c>
    </row>
    <row r="2169" spans="1:11" x14ac:dyDescent="0.3">
      <c r="A2169" t="s">
        <v>11</v>
      </c>
      <c r="B2169" t="s">
        <v>26</v>
      </c>
      <c r="C2169" t="s">
        <v>135</v>
      </c>
      <c r="D2169" t="s">
        <v>768</v>
      </c>
      <c r="E2169" s="5">
        <v>45812.958333333343</v>
      </c>
      <c r="F2169">
        <v>19.047000000000001</v>
      </c>
      <c r="G2169">
        <v>72.874600000000001</v>
      </c>
      <c r="H2169" t="s">
        <v>775</v>
      </c>
      <c r="I2169">
        <v>66</v>
      </c>
      <c r="J2169">
        <v>120</v>
      </c>
      <c r="K2169">
        <v>78</v>
      </c>
    </row>
    <row r="2170" spans="1:11" x14ac:dyDescent="0.3">
      <c r="A2170" t="s">
        <v>11</v>
      </c>
      <c r="B2170" t="s">
        <v>26</v>
      </c>
      <c r="C2170" t="s">
        <v>135</v>
      </c>
      <c r="D2170" t="s">
        <v>768</v>
      </c>
      <c r="E2170" s="5">
        <v>45812.958333333343</v>
      </c>
      <c r="F2170">
        <v>19.047000000000001</v>
      </c>
      <c r="G2170">
        <v>72.874600000000001</v>
      </c>
      <c r="H2170" t="s">
        <v>770</v>
      </c>
      <c r="I2170">
        <v>5</v>
      </c>
      <c r="J2170">
        <v>5</v>
      </c>
      <c r="K2170">
        <v>5</v>
      </c>
    </row>
    <row r="2171" spans="1:11" x14ac:dyDescent="0.3">
      <c r="A2171" t="s">
        <v>11</v>
      </c>
      <c r="B2171" t="s">
        <v>26</v>
      </c>
      <c r="C2171" t="s">
        <v>135</v>
      </c>
      <c r="D2171" t="s">
        <v>459</v>
      </c>
      <c r="E2171" s="5">
        <v>45812.958333333343</v>
      </c>
      <c r="F2171">
        <v>19.383199999999999</v>
      </c>
      <c r="G2171">
        <v>72.820400000000006</v>
      </c>
      <c r="H2171" t="s">
        <v>771</v>
      </c>
      <c r="I2171">
        <v>62</v>
      </c>
      <c r="J2171">
        <v>120</v>
      </c>
      <c r="K2171">
        <v>89</v>
      </c>
    </row>
    <row r="2172" spans="1:11" x14ac:dyDescent="0.3">
      <c r="A2172" t="s">
        <v>11</v>
      </c>
      <c r="B2172" t="s">
        <v>26</v>
      </c>
      <c r="C2172" t="s">
        <v>135</v>
      </c>
      <c r="D2172" t="s">
        <v>769</v>
      </c>
      <c r="E2172" s="5">
        <v>45812.958333333343</v>
      </c>
      <c r="F2172">
        <v>19.04946</v>
      </c>
      <c r="G2172">
        <v>72.923000000000002</v>
      </c>
      <c r="H2172" t="s">
        <v>771</v>
      </c>
      <c r="I2172">
        <v>88</v>
      </c>
      <c r="J2172">
        <v>186</v>
      </c>
      <c r="K2172">
        <v>130</v>
      </c>
    </row>
    <row r="2173" spans="1:11" x14ac:dyDescent="0.3">
      <c r="A2173" t="s">
        <v>11</v>
      </c>
      <c r="B2173" t="s">
        <v>26</v>
      </c>
      <c r="C2173" t="s">
        <v>135</v>
      </c>
      <c r="D2173" t="s">
        <v>455</v>
      </c>
      <c r="E2173" s="5">
        <v>45812.958333333343</v>
      </c>
      <c r="F2173">
        <v>19.083694000000001</v>
      </c>
      <c r="G2173">
        <v>72.920967000000005</v>
      </c>
      <c r="H2173" t="s">
        <v>772</v>
      </c>
      <c r="I2173">
        <v>10</v>
      </c>
      <c r="J2173">
        <v>46</v>
      </c>
      <c r="K2173">
        <v>29</v>
      </c>
    </row>
    <row r="2174" spans="1:11" x14ac:dyDescent="0.3">
      <c r="A2174" t="s">
        <v>11</v>
      </c>
      <c r="B2174" t="s">
        <v>26</v>
      </c>
      <c r="C2174" t="s">
        <v>135</v>
      </c>
      <c r="D2174" t="s">
        <v>457</v>
      </c>
      <c r="E2174" s="5">
        <v>45812.958333333343</v>
      </c>
      <c r="F2174">
        <v>19.215858999999998</v>
      </c>
      <c r="G2174">
        <v>72.831717999999995</v>
      </c>
      <c r="H2174" t="s">
        <v>770</v>
      </c>
      <c r="I2174">
        <v>1</v>
      </c>
      <c r="J2174">
        <v>47</v>
      </c>
      <c r="K2174">
        <v>29</v>
      </c>
    </row>
    <row r="2175" spans="1:11" x14ac:dyDescent="0.3">
      <c r="A2175" t="s">
        <v>11</v>
      </c>
      <c r="B2175" t="s">
        <v>26</v>
      </c>
      <c r="C2175" t="s">
        <v>139</v>
      </c>
      <c r="D2175" t="s">
        <v>483</v>
      </c>
      <c r="E2175" s="5">
        <v>45812.958333333343</v>
      </c>
      <c r="F2175">
        <v>19.173852</v>
      </c>
      <c r="G2175">
        <v>77.296290999999997</v>
      </c>
      <c r="H2175" t="s">
        <v>775</v>
      </c>
      <c r="I2175">
        <v>33</v>
      </c>
      <c r="J2175">
        <v>76</v>
      </c>
      <c r="K2175">
        <v>59</v>
      </c>
    </row>
    <row r="2176" spans="1:11" x14ac:dyDescent="0.3">
      <c r="A2176" t="s">
        <v>11</v>
      </c>
      <c r="B2176" t="s">
        <v>26</v>
      </c>
      <c r="C2176" t="s">
        <v>139</v>
      </c>
      <c r="D2176" t="s">
        <v>483</v>
      </c>
      <c r="E2176" s="5">
        <v>45812.958333333343</v>
      </c>
      <c r="F2176">
        <v>19.173852</v>
      </c>
      <c r="G2176">
        <v>77.296290999999997</v>
      </c>
      <c r="H2176" t="s">
        <v>774</v>
      </c>
    </row>
    <row r="2177" spans="1:11" x14ac:dyDescent="0.3">
      <c r="A2177" t="s">
        <v>11</v>
      </c>
      <c r="B2177" t="s">
        <v>26</v>
      </c>
      <c r="C2177" t="s">
        <v>140</v>
      </c>
      <c r="D2177" t="s">
        <v>484</v>
      </c>
      <c r="E2177" s="5">
        <v>45812.958333333343</v>
      </c>
      <c r="F2177">
        <v>20.0073285</v>
      </c>
      <c r="G2177">
        <v>73.776242699999997</v>
      </c>
      <c r="H2177" t="s">
        <v>771</v>
      </c>
      <c r="I2177">
        <v>119</v>
      </c>
      <c r="J2177">
        <v>155</v>
      </c>
      <c r="K2177">
        <v>138</v>
      </c>
    </row>
    <row r="2178" spans="1:11" x14ac:dyDescent="0.3">
      <c r="A2178" t="s">
        <v>11</v>
      </c>
      <c r="B2178" t="s">
        <v>26</v>
      </c>
      <c r="C2178" t="s">
        <v>140</v>
      </c>
      <c r="D2178" t="s">
        <v>490</v>
      </c>
      <c r="E2178" s="5">
        <v>45812.958333333343</v>
      </c>
      <c r="F2178">
        <v>20.021502999999999</v>
      </c>
      <c r="G2178">
        <v>73.813844000000003</v>
      </c>
      <c r="H2178" t="s">
        <v>774</v>
      </c>
      <c r="I2178">
        <v>1</v>
      </c>
      <c r="J2178">
        <v>27</v>
      </c>
      <c r="K2178">
        <v>9</v>
      </c>
    </row>
    <row r="2179" spans="1:11" x14ac:dyDescent="0.3">
      <c r="A2179" t="s">
        <v>11</v>
      </c>
      <c r="B2179" t="s">
        <v>26</v>
      </c>
      <c r="C2179" t="s">
        <v>140</v>
      </c>
      <c r="D2179" t="s">
        <v>491</v>
      </c>
      <c r="E2179" s="5">
        <v>45812.958333333343</v>
      </c>
      <c r="F2179">
        <v>19.950220000000002</v>
      </c>
      <c r="G2179">
        <v>73.731480000000005</v>
      </c>
      <c r="H2179" t="s">
        <v>771</v>
      </c>
      <c r="I2179">
        <v>89</v>
      </c>
      <c r="J2179">
        <v>136</v>
      </c>
      <c r="K2179">
        <v>105</v>
      </c>
    </row>
    <row r="2180" spans="1:11" x14ac:dyDescent="0.3">
      <c r="A2180" t="s">
        <v>11</v>
      </c>
      <c r="B2180" t="s">
        <v>26</v>
      </c>
      <c r="C2180" t="s">
        <v>140</v>
      </c>
      <c r="D2180" t="s">
        <v>491</v>
      </c>
      <c r="E2180" s="5">
        <v>45812.958333333343</v>
      </c>
      <c r="F2180">
        <v>19.950220000000002</v>
      </c>
      <c r="G2180">
        <v>73.731480000000005</v>
      </c>
      <c r="H2180" t="s">
        <v>772</v>
      </c>
      <c r="I2180">
        <v>6</v>
      </c>
      <c r="J2180">
        <v>19</v>
      </c>
      <c r="K2180">
        <v>10</v>
      </c>
    </row>
    <row r="2181" spans="1:11" x14ac:dyDescent="0.3">
      <c r="A2181" t="s">
        <v>11</v>
      </c>
      <c r="B2181" t="s">
        <v>26</v>
      </c>
      <c r="C2181" t="s">
        <v>137</v>
      </c>
      <c r="D2181" t="s">
        <v>709</v>
      </c>
      <c r="E2181" s="5">
        <v>45812.958333333343</v>
      </c>
      <c r="F2181">
        <v>19.090337000000002</v>
      </c>
      <c r="G2181">
        <v>73.014232000000007</v>
      </c>
      <c r="H2181" t="s">
        <v>772</v>
      </c>
      <c r="I2181">
        <v>37</v>
      </c>
      <c r="J2181">
        <v>353</v>
      </c>
      <c r="K2181">
        <v>139</v>
      </c>
    </row>
    <row r="2182" spans="1:11" x14ac:dyDescent="0.3">
      <c r="A2182" t="s">
        <v>11</v>
      </c>
      <c r="B2182" t="s">
        <v>26</v>
      </c>
      <c r="C2182" t="s">
        <v>137</v>
      </c>
      <c r="D2182" t="s">
        <v>709</v>
      </c>
      <c r="E2182" s="5">
        <v>45812.958333333343</v>
      </c>
      <c r="F2182">
        <v>19.090337000000002</v>
      </c>
      <c r="G2182">
        <v>73.014232000000007</v>
      </c>
      <c r="H2182" t="s">
        <v>770</v>
      </c>
      <c r="I2182">
        <v>37</v>
      </c>
      <c r="J2182">
        <v>84</v>
      </c>
      <c r="K2182">
        <v>52</v>
      </c>
    </row>
    <row r="2183" spans="1:11" x14ac:dyDescent="0.3">
      <c r="A2183" t="s">
        <v>11</v>
      </c>
      <c r="B2183" t="s">
        <v>26</v>
      </c>
      <c r="C2183" t="s">
        <v>137</v>
      </c>
      <c r="D2183" t="s">
        <v>477</v>
      </c>
      <c r="E2183" s="5">
        <v>45812.958333333343</v>
      </c>
      <c r="F2183">
        <v>19.113505100000001</v>
      </c>
      <c r="G2183">
        <v>73.008977999999999</v>
      </c>
      <c r="H2183" t="s">
        <v>772</v>
      </c>
    </row>
    <row r="2184" spans="1:11" x14ac:dyDescent="0.3">
      <c r="A2184" t="s">
        <v>11</v>
      </c>
      <c r="B2184" t="s">
        <v>26</v>
      </c>
      <c r="C2184" t="s">
        <v>137</v>
      </c>
      <c r="D2184" t="s">
        <v>477</v>
      </c>
      <c r="E2184" s="5">
        <v>45812.958333333343</v>
      </c>
      <c r="F2184">
        <v>19.113505100000001</v>
      </c>
      <c r="G2184">
        <v>73.008977999999999</v>
      </c>
      <c r="H2184" t="s">
        <v>774</v>
      </c>
    </row>
    <row r="2185" spans="1:11" x14ac:dyDescent="0.3">
      <c r="A2185" t="s">
        <v>11</v>
      </c>
      <c r="B2185" t="s">
        <v>26</v>
      </c>
      <c r="C2185" t="s">
        <v>137</v>
      </c>
      <c r="D2185" t="s">
        <v>478</v>
      </c>
      <c r="E2185" s="5">
        <v>45812.958333333343</v>
      </c>
      <c r="F2185">
        <v>19.057575199999999</v>
      </c>
      <c r="G2185">
        <v>73.015136699999999</v>
      </c>
      <c r="H2185" t="s">
        <v>772</v>
      </c>
    </row>
    <row r="2186" spans="1:11" x14ac:dyDescent="0.3">
      <c r="A2186" t="s">
        <v>11</v>
      </c>
      <c r="B2186" t="s">
        <v>26</v>
      </c>
      <c r="C2186" t="s">
        <v>137</v>
      </c>
      <c r="D2186" t="s">
        <v>478</v>
      </c>
      <c r="E2186" s="5">
        <v>45812.958333333343</v>
      </c>
      <c r="F2186">
        <v>19.057575199999999</v>
      </c>
      <c r="G2186">
        <v>73.015136699999999</v>
      </c>
      <c r="H2186" t="s">
        <v>774</v>
      </c>
      <c r="I2186">
        <v>1</v>
      </c>
      <c r="J2186">
        <v>22</v>
      </c>
      <c r="K2186">
        <v>10</v>
      </c>
    </row>
    <row r="2187" spans="1:11" x14ac:dyDescent="0.3">
      <c r="A2187" t="s">
        <v>11</v>
      </c>
      <c r="B2187" t="s">
        <v>26</v>
      </c>
      <c r="C2187" t="s">
        <v>137</v>
      </c>
      <c r="D2187" t="s">
        <v>478</v>
      </c>
      <c r="E2187" s="5">
        <v>45812.958333333343</v>
      </c>
      <c r="F2187">
        <v>19.057575199999999</v>
      </c>
      <c r="G2187">
        <v>73.015136699999999</v>
      </c>
      <c r="H2187" t="s">
        <v>776</v>
      </c>
      <c r="I2187">
        <v>3</v>
      </c>
      <c r="J2187">
        <v>68</v>
      </c>
      <c r="K2187">
        <v>6</v>
      </c>
    </row>
    <row r="2188" spans="1:11" x14ac:dyDescent="0.3">
      <c r="A2188" t="s">
        <v>11</v>
      </c>
      <c r="B2188" t="s">
        <v>26</v>
      </c>
      <c r="C2188" t="s">
        <v>137</v>
      </c>
      <c r="D2188" t="s">
        <v>480</v>
      </c>
      <c r="E2188" s="5">
        <v>45812.958333333343</v>
      </c>
      <c r="F2188">
        <v>19.062999999999999</v>
      </c>
      <c r="G2188">
        <v>73.120900000000006</v>
      </c>
      <c r="H2188" t="s">
        <v>775</v>
      </c>
      <c r="I2188">
        <v>59</v>
      </c>
      <c r="J2188">
        <v>325</v>
      </c>
      <c r="K2188">
        <v>133</v>
      </c>
    </row>
    <row r="2189" spans="1:11" x14ac:dyDescent="0.3">
      <c r="A2189" t="s">
        <v>11</v>
      </c>
      <c r="B2189" t="s">
        <v>26</v>
      </c>
      <c r="C2189" t="s">
        <v>137</v>
      </c>
      <c r="D2189" t="s">
        <v>480</v>
      </c>
      <c r="E2189" s="5">
        <v>45812.958333333343</v>
      </c>
      <c r="F2189">
        <v>19.062999999999999</v>
      </c>
      <c r="G2189">
        <v>73.120900000000006</v>
      </c>
      <c r="H2189" t="s">
        <v>772</v>
      </c>
      <c r="I2189">
        <v>22</v>
      </c>
      <c r="J2189">
        <v>111</v>
      </c>
      <c r="K2189">
        <v>55</v>
      </c>
    </row>
    <row r="2190" spans="1:11" x14ac:dyDescent="0.3">
      <c r="A2190" t="s">
        <v>11</v>
      </c>
      <c r="B2190" t="s">
        <v>26</v>
      </c>
      <c r="C2190" t="s">
        <v>137</v>
      </c>
      <c r="D2190" t="s">
        <v>480</v>
      </c>
      <c r="E2190" s="5">
        <v>45812.958333333343</v>
      </c>
      <c r="F2190">
        <v>19.062999999999999</v>
      </c>
      <c r="G2190">
        <v>73.120900000000006</v>
      </c>
      <c r="H2190" t="s">
        <v>773</v>
      </c>
      <c r="I2190">
        <v>2</v>
      </c>
      <c r="J2190">
        <v>9</v>
      </c>
      <c r="K2190">
        <v>5</v>
      </c>
    </row>
    <row r="2191" spans="1:11" x14ac:dyDescent="0.3">
      <c r="A2191" t="s">
        <v>11</v>
      </c>
      <c r="B2191" t="s">
        <v>26</v>
      </c>
      <c r="C2191" t="s">
        <v>142</v>
      </c>
      <c r="D2191" t="s">
        <v>493</v>
      </c>
      <c r="E2191" s="5">
        <v>45812.958333333343</v>
      </c>
      <c r="F2191">
        <v>19.265594</v>
      </c>
      <c r="G2191">
        <v>76.761463000000006</v>
      </c>
      <c r="H2191" t="s">
        <v>775</v>
      </c>
      <c r="I2191">
        <v>33</v>
      </c>
      <c r="J2191">
        <v>76</v>
      </c>
      <c r="K2191">
        <v>56</v>
      </c>
    </row>
    <row r="2192" spans="1:11" x14ac:dyDescent="0.3">
      <c r="A2192" t="s">
        <v>11</v>
      </c>
      <c r="B2192" t="s">
        <v>26</v>
      </c>
      <c r="C2192" t="s">
        <v>142</v>
      </c>
      <c r="D2192" t="s">
        <v>493</v>
      </c>
      <c r="E2192" s="5">
        <v>45812.958333333343</v>
      </c>
      <c r="F2192">
        <v>19.265594</v>
      </c>
      <c r="G2192">
        <v>76.761463000000006</v>
      </c>
      <c r="H2192" t="s">
        <v>771</v>
      </c>
      <c r="I2192">
        <v>49</v>
      </c>
      <c r="J2192">
        <v>113</v>
      </c>
      <c r="K2192">
        <v>67</v>
      </c>
    </row>
    <row r="2193" spans="1:11" x14ac:dyDescent="0.3">
      <c r="A2193" t="s">
        <v>11</v>
      </c>
      <c r="B2193" t="s">
        <v>26</v>
      </c>
      <c r="C2193" t="s">
        <v>142</v>
      </c>
      <c r="D2193" t="s">
        <v>493</v>
      </c>
      <c r="E2193" s="5">
        <v>45812.958333333343</v>
      </c>
      <c r="F2193">
        <v>19.265594</v>
      </c>
      <c r="G2193">
        <v>76.761463000000006</v>
      </c>
      <c r="H2193" t="s">
        <v>773</v>
      </c>
      <c r="I2193">
        <v>2</v>
      </c>
      <c r="J2193">
        <v>4</v>
      </c>
      <c r="K2193">
        <v>3</v>
      </c>
    </row>
    <row r="2194" spans="1:11" x14ac:dyDescent="0.3">
      <c r="A2194" t="s">
        <v>11</v>
      </c>
      <c r="B2194" t="s">
        <v>26</v>
      </c>
      <c r="C2194" t="s">
        <v>136</v>
      </c>
      <c r="D2194" t="s">
        <v>486</v>
      </c>
      <c r="E2194" s="5">
        <v>45812.958333333343</v>
      </c>
      <c r="F2194">
        <v>18.536456999999999</v>
      </c>
      <c r="G2194">
        <v>73.805453999999997</v>
      </c>
      <c r="H2194" t="s">
        <v>770</v>
      </c>
      <c r="I2194">
        <v>1</v>
      </c>
      <c r="J2194">
        <v>136</v>
      </c>
      <c r="K2194">
        <v>97</v>
      </c>
    </row>
    <row r="2195" spans="1:11" x14ac:dyDescent="0.3">
      <c r="A2195" t="s">
        <v>11</v>
      </c>
      <c r="B2195" t="s">
        <v>26</v>
      </c>
      <c r="C2195" t="s">
        <v>136</v>
      </c>
      <c r="D2195" t="s">
        <v>487</v>
      </c>
      <c r="E2195" s="5">
        <v>45812.958333333343</v>
      </c>
      <c r="F2195">
        <v>18.530085</v>
      </c>
      <c r="G2195">
        <v>73.849598</v>
      </c>
      <c r="H2195" t="s">
        <v>772</v>
      </c>
      <c r="I2195">
        <v>106</v>
      </c>
      <c r="J2195">
        <v>223</v>
      </c>
      <c r="K2195">
        <v>146</v>
      </c>
    </row>
    <row r="2196" spans="1:11" x14ac:dyDescent="0.3">
      <c r="A2196" t="s">
        <v>11</v>
      </c>
      <c r="B2196" t="s">
        <v>26</v>
      </c>
      <c r="C2196" t="s">
        <v>136</v>
      </c>
      <c r="D2196" t="s">
        <v>487</v>
      </c>
      <c r="E2196" s="5">
        <v>45812.958333333343</v>
      </c>
      <c r="F2196">
        <v>18.530085</v>
      </c>
      <c r="G2196">
        <v>73.849598</v>
      </c>
      <c r="H2196" t="s">
        <v>776</v>
      </c>
      <c r="I2196">
        <v>34</v>
      </c>
      <c r="J2196">
        <v>78</v>
      </c>
      <c r="K2196">
        <v>47</v>
      </c>
    </row>
    <row r="2197" spans="1:11" x14ac:dyDescent="0.3">
      <c r="A2197" t="s">
        <v>11</v>
      </c>
      <c r="B2197" t="s">
        <v>26</v>
      </c>
      <c r="C2197" t="s">
        <v>136</v>
      </c>
      <c r="D2197" t="s">
        <v>511</v>
      </c>
      <c r="E2197" s="5">
        <v>45812.958333333343</v>
      </c>
      <c r="F2197">
        <v>18.547056000000001</v>
      </c>
      <c r="G2197">
        <v>73.826908000000003</v>
      </c>
      <c r="H2197" t="s">
        <v>771</v>
      </c>
      <c r="I2197">
        <v>55</v>
      </c>
      <c r="J2197">
        <v>118</v>
      </c>
      <c r="K2197">
        <v>87</v>
      </c>
    </row>
    <row r="2198" spans="1:11" x14ac:dyDescent="0.3">
      <c r="A2198" t="s">
        <v>11</v>
      </c>
      <c r="B2198" t="s">
        <v>26</v>
      </c>
      <c r="C2198" t="s">
        <v>136</v>
      </c>
      <c r="D2198" t="s">
        <v>474</v>
      </c>
      <c r="E2198" s="5">
        <v>45812.958333333343</v>
      </c>
      <c r="F2198">
        <v>18.60577</v>
      </c>
      <c r="G2198">
        <v>73.749976000000004</v>
      </c>
      <c r="H2198" t="s">
        <v>771</v>
      </c>
      <c r="I2198">
        <v>81</v>
      </c>
      <c r="J2198">
        <v>159</v>
      </c>
      <c r="K2198">
        <v>110</v>
      </c>
    </row>
    <row r="2199" spans="1:11" x14ac:dyDescent="0.3">
      <c r="A2199" t="s">
        <v>11</v>
      </c>
      <c r="B2199" t="s">
        <v>26</v>
      </c>
      <c r="C2199" t="s">
        <v>136</v>
      </c>
      <c r="D2199" t="s">
        <v>474</v>
      </c>
      <c r="E2199" s="5">
        <v>45812.958333333343</v>
      </c>
      <c r="F2199">
        <v>18.60577</v>
      </c>
      <c r="G2199">
        <v>73.749976000000004</v>
      </c>
      <c r="H2199" t="s">
        <v>776</v>
      </c>
      <c r="I2199">
        <v>55</v>
      </c>
      <c r="J2199">
        <v>126</v>
      </c>
      <c r="K2199">
        <v>62</v>
      </c>
    </row>
    <row r="2200" spans="1:11" x14ac:dyDescent="0.3">
      <c r="A2200" t="s">
        <v>11</v>
      </c>
      <c r="B2200" t="s">
        <v>26</v>
      </c>
      <c r="C2200" t="s">
        <v>136</v>
      </c>
      <c r="D2200" t="s">
        <v>475</v>
      </c>
      <c r="E2200" s="5">
        <v>45812.958333333343</v>
      </c>
      <c r="F2200">
        <v>18.501792999999999</v>
      </c>
      <c r="G2200">
        <v>73.927531999999999</v>
      </c>
      <c r="H2200" t="s">
        <v>776</v>
      </c>
      <c r="I2200">
        <v>38</v>
      </c>
      <c r="J2200">
        <v>90</v>
      </c>
      <c r="K2200">
        <v>52</v>
      </c>
    </row>
    <row r="2201" spans="1:11" x14ac:dyDescent="0.3">
      <c r="A2201" t="s">
        <v>11</v>
      </c>
      <c r="B2201" t="s">
        <v>26</v>
      </c>
      <c r="C2201" t="s">
        <v>136</v>
      </c>
      <c r="D2201" t="s">
        <v>708</v>
      </c>
      <c r="E2201" s="5">
        <v>45812.958333333343</v>
      </c>
      <c r="F2201">
        <v>18.501174299999999</v>
      </c>
      <c r="G2201">
        <v>73.816552700000003</v>
      </c>
      <c r="H2201" t="s">
        <v>775</v>
      </c>
      <c r="I2201">
        <v>28</v>
      </c>
      <c r="J2201">
        <v>28</v>
      </c>
      <c r="K2201">
        <v>28</v>
      </c>
    </row>
    <row r="2202" spans="1:11" x14ac:dyDescent="0.3">
      <c r="A2202" t="s">
        <v>11</v>
      </c>
      <c r="B2202" t="s">
        <v>26</v>
      </c>
      <c r="C2202" t="s">
        <v>141</v>
      </c>
      <c r="D2202" t="s">
        <v>489</v>
      </c>
      <c r="E2202" s="5">
        <v>45812.958333333343</v>
      </c>
      <c r="F2202">
        <v>18.590509999999998</v>
      </c>
      <c r="G2202">
        <v>73.77946</v>
      </c>
      <c r="H2202" t="s">
        <v>774</v>
      </c>
    </row>
    <row r="2203" spans="1:11" x14ac:dyDescent="0.3">
      <c r="A2203" t="s">
        <v>11</v>
      </c>
      <c r="B2203" t="s">
        <v>26</v>
      </c>
      <c r="C2203" t="s">
        <v>141</v>
      </c>
      <c r="D2203" t="s">
        <v>489</v>
      </c>
      <c r="E2203" s="5">
        <v>45812.958333333343</v>
      </c>
      <c r="F2203">
        <v>18.590509999999998</v>
      </c>
      <c r="G2203">
        <v>73.77946</v>
      </c>
      <c r="H2203" t="s">
        <v>770</v>
      </c>
      <c r="I2203">
        <v>1</v>
      </c>
      <c r="J2203">
        <v>89</v>
      </c>
      <c r="K2203">
        <v>57</v>
      </c>
    </row>
    <row r="2204" spans="1:11" x14ac:dyDescent="0.3">
      <c r="A2204" t="s">
        <v>11</v>
      </c>
      <c r="B2204" t="s">
        <v>26</v>
      </c>
      <c r="C2204" t="s">
        <v>141</v>
      </c>
      <c r="D2204" t="s">
        <v>485</v>
      </c>
      <c r="E2204" s="5">
        <v>45812.958333333343</v>
      </c>
      <c r="F2204">
        <v>18.616318</v>
      </c>
      <c r="G2204">
        <v>73.765797000000006</v>
      </c>
      <c r="H2204" t="s">
        <v>771</v>
      </c>
      <c r="I2204">
        <v>91</v>
      </c>
      <c r="J2204">
        <v>167</v>
      </c>
      <c r="K2204">
        <v>127</v>
      </c>
    </row>
    <row r="2205" spans="1:11" x14ac:dyDescent="0.3">
      <c r="A2205" t="s">
        <v>11</v>
      </c>
      <c r="B2205" t="s">
        <v>26</v>
      </c>
      <c r="C2205" t="s">
        <v>140</v>
      </c>
      <c r="D2205" t="s">
        <v>492</v>
      </c>
      <c r="E2205" s="5">
        <v>45812.958333333343</v>
      </c>
      <c r="F2205">
        <v>19.959134599999999</v>
      </c>
      <c r="G2205">
        <v>73.778800799999999</v>
      </c>
      <c r="H2205" t="s">
        <v>771</v>
      </c>
      <c r="I2205">
        <v>56</v>
      </c>
      <c r="J2205">
        <v>105</v>
      </c>
      <c r="K2205">
        <v>88</v>
      </c>
    </row>
    <row r="2206" spans="1:11" x14ac:dyDescent="0.3">
      <c r="A2206" t="s">
        <v>11</v>
      </c>
      <c r="B2206" t="s">
        <v>26</v>
      </c>
      <c r="C2206" t="s">
        <v>140</v>
      </c>
      <c r="D2206" t="s">
        <v>492</v>
      </c>
      <c r="E2206" s="5">
        <v>45812.958333333343</v>
      </c>
      <c r="F2206">
        <v>19.959134599999999</v>
      </c>
      <c r="G2206">
        <v>73.778800799999999</v>
      </c>
      <c r="H2206" t="s">
        <v>772</v>
      </c>
      <c r="I2206">
        <v>5</v>
      </c>
      <c r="J2206">
        <v>23</v>
      </c>
      <c r="K2206">
        <v>13</v>
      </c>
    </row>
    <row r="2207" spans="1:11" x14ac:dyDescent="0.3">
      <c r="A2207" t="s">
        <v>11</v>
      </c>
      <c r="B2207" t="s">
        <v>26</v>
      </c>
      <c r="C2207" t="s">
        <v>137</v>
      </c>
      <c r="D2207" t="s">
        <v>709</v>
      </c>
      <c r="E2207" s="5">
        <v>45812.958333333343</v>
      </c>
      <c r="F2207">
        <v>19.090337000000002</v>
      </c>
      <c r="G2207">
        <v>73.014232000000007</v>
      </c>
      <c r="H2207" t="s">
        <v>771</v>
      </c>
      <c r="I2207">
        <v>50</v>
      </c>
      <c r="J2207">
        <v>321</v>
      </c>
      <c r="K2207">
        <v>137</v>
      </c>
    </row>
    <row r="2208" spans="1:11" x14ac:dyDescent="0.3">
      <c r="A2208" t="s">
        <v>11</v>
      </c>
      <c r="B2208" t="s">
        <v>26</v>
      </c>
      <c r="C2208" t="s">
        <v>141</v>
      </c>
      <c r="D2208" t="s">
        <v>488</v>
      </c>
      <c r="E2208" s="5">
        <v>45812.958333333343</v>
      </c>
      <c r="F2208">
        <v>18.63673</v>
      </c>
      <c r="G2208">
        <v>73.824870000000004</v>
      </c>
      <c r="H2208" t="s">
        <v>774</v>
      </c>
      <c r="I2208">
        <v>4</v>
      </c>
      <c r="J2208">
        <v>24</v>
      </c>
      <c r="K2208">
        <v>11</v>
      </c>
    </row>
    <row r="2209" spans="1:11" x14ac:dyDescent="0.3">
      <c r="A2209" t="s">
        <v>11</v>
      </c>
      <c r="B2209" t="s">
        <v>26</v>
      </c>
      <c r="C2209" t="s">
        <v>141</v>
      </c>
      <c r="D2209" t="s">
        <v>489</v>
      </c>
      <c r="E2209" s="5">
        <v>45812.958333333343</v>
      </c>
      <c r="F2209">
        <v>18.590509999999998</v>
      </c>
      <c r="G2209">
        <v>73.77946</v>
      </c>
      <c r="H2209" t="s">
        <v>772</v>
      </c>
    </row>
    <row r="2210" spans="1:11" x14ac:dyDescent="0.3">
      <c r="A2210" t="s">
        <v>11</v>
      </c>
      <c r="B2210" t="s">
        <v>26</v>
      </c>
      <c r="C2210" t="s">
        <v>136</v>
      </c>
      <c r="D2210" t="s">
        <v>486</v>
      </c>
      <c r="E2210" s="5">
        <v>45812.958333333343</v>
      </c>
      <c r="F2210">
        <v>18.536456999999999</v>
      </c>
      <c r="G2210">
        <v>73.805453999999997</v>
      </c>
      <c r="H2210" t="s">
        <v>772</v>
      </c>
      <c r="I2210">
        <v>9</v>
      </c>
      <c r="J2210">
        <v>38</v>
      </c>
      <c r="K2210">
        <v>20</v>
      </c>
    </row>
    <row r="2211" spans="1:11" x14ac:dyDescent="0.3">
      <c r="A2211" t="s">
        <v>11</v>
      </c>
      <c r="B2211" t="s">
        <v>28</v>
      </c>
      <c r="C2211" t="s">
        <v>156</v>
      </c>
      <c r="D2211" t="s">
        <v>508</v>
      </c>
      <c r="E2211" s="5">
        <v>45812.958333333343</v>
      </c>
      <c r="F2211">
        <v>24.820738899999998</v>
      </c>
      <c r="G2211">
        <v>93.942308499999996</v>
      </c>
      <c r="H2211" t="s">
        <v>776</v>
      </c>
    </row>
    <row r="2212" spans="1:11" x14ac:dyDescent="0.3">
      <c r="A2212" t="s">
        <v>11</v>
      </c>
      <c r="B2212" t="s">
        <v>41</v>
      </c>
      <c r="C2212" t="s">
        <v>273</v>
      </c>
      <c r="D2212" t="s">
        <v>716</v>
      </c>
      <c r="E2212" s="5">
        <v>45812.958333333343</v>
      </c>
      <c r="F2212">
        <v>25.580341900000001</v>
      </c>
      <c r="G2212">
        <v>91.894257100000004</v>
      </c>
      <c r="H2212" t="s">
        <v>773</v>
      </c>
      <c r="I2212">
        <v>7</v>
      </c>
      <c r="J2212">
        <v>10</v>
      </c>
      <c r="K2212">
        <v>8</v>
      </c>
    </row>
    <row r="2213" spans="1:11" x14ac:dyDescent="0.3">
      <c r="A2213" t="s">
        <v>11</v>
      </c>
      <c r="B2213" t="s">
        <v>41</v>
      </c>
      <c r="C2213" t="s">
        <v>273</v>
      </c>
      <c r="D2213" t="s">
        <v>716</v>
      </c>
      <c r="E2213" s="5">
        <v>45812.958333333343</v>
      </c>
      <c r="F2213">
        <v>25.580341900000001</v>
      </c>
      <c r="G2213">
        <v>91.894257100000004</v>
      </c>
      <c r="H2213" t="s">
        <v>776</v>
      </c>
      <c r="I2213">
        <v>28</v>
      </c>
      <c r="J2213">
        <v>77</v>
      </c>
      <c r="K2213">
        <v>53</v>
      </c>
    </row>
    <row r="2214" spans="1:11" x14ac:dyDescent="0.3">
      <c r="A2214" t="s">
        <v>11</v>
      </c>
      <c r="B2214" t="s">
        <v>41</v>
      </c>
      <c r="C2214" t="s">
        <v>273</v>
      </c>
      <c r="D2214" t="s">
        <v>717</v>
      </c>
      <c r="E2214" s="5">
        <v>45812.958333333343</v>
      </c>
      <c r="F2214">
        <v>25.558599999999998</v>
      </c>
      <c r="G2214">
        <v>91.898499999999999</v>
      </c>
      <c r="H2214" t="s">
        <v>771</v>
      </c>
      <c r="I2214">
        <v>43</v>
      </c>
      <c r="J2214">
        <v>96</v>
      </c>
      <c r="K2214">
        <v>63</v>
      </c>
    </row>
    <row r="2215" spans="1:11" x14ac:dyDescent="0.3">
      <c r="A2215" t="s">
        <v>11</v>
      </c>
      <c r="B2215" t="s">
        <v>41</v>
      </c>
      <c r="C2215" t="s">
        <v>273</v>
      </c>
      <c r="D2215" t="s">
        <v>717</v>
      </c>
      <c r="E2215" s="5">
        <v>45812.958333333343</v>
      </c>
      <c r="F2215">
        <v>25.558599999999998</v>
      </c>
      <c r="G2215">
        <v>91.898499999999999</v>
      </c>
      <c r="H2215" t="s">
        <v>772</v>
      </c>
    </row>
    <row r="2216" spans="1:11" x14ac:dyDescent="0.3">
      <c r="A2216" t="s">
        <v>11</v>
      </c>
      <c r="B2216" t="s">
        <v>29</v>
      </c>
      <c r="C2216" t="s">
        <v>159</v>
      </c>
      <c r="D2216" t="s">
        <v>513</v>
      </c>
      <c r="E2216" s="5">
        <v>45812.958333333343</v>
      </c>
      <c r="F2216">
        <v>23.717634199999999</v>
      </c>
      <c r="G2216">
        <v>92.719284099999996</v>
      </c>
      <c r="H2216" t="s">
        <v>775</v>
      </c>
      <c r="I2216">
        <v>12</v>
      </c>
      <c r="J2216">
        <v>38</v>
      </c>
      <c r="K2216">
        <v>25</v>
      </c>
    </row>
    <row r="2217" spans="1:11" x14ac:dyDescent="0.3">
      <c r="A2217" t="s">
        <v>11</v>
      </c>
      <c r="B2217" t="s">
        <v>29</v>
      </c>
      <c r="C2217" t="s">
        <v>159</v>
      </c>
      <c r="D2217" t="s">
        <v>513</v>
      </c>
      <c r="E2217" s="5">
        <v>45812.958333333343</v>
      </c>
      <c r="F2217">
        <v>23.717634199999999</v>
      </c>
      <c r="G2217">
        <v>92.719284099999996</v>
      </c>
      <c r="H2217" t="s">
        <v>771</v>
      </c>
      <c r="I2217">
        <v>68</v>
      </c>
      <c r="J2217">
        <v>117</v>
      </c>
      <c r="K2217">
        <v>97</v>
      </c>
    </row>
    <row r="2218" spans="1:11" x14ac:dyDescent="0.3">
      <c r="A2218" t="s">
        <v>11</v>
      </c>
      <c r="B2218" t="s">
        <v>40</v>
      </c>
      <c r="C2218" t="s">
        <v>271</v>
      </c>
      <c r="D2218" t="s">
        <v>714</v>
      </c>
      <c r="E2218" s="5">
        <v>45812.958333333343</v>
      </c>
      <c r="F2218">
        <v>25.663541299999999</v>
      </c>
      <c r="G2218">
        <v>94.098987800000003</v>
      </c>
      <c r="H2218" t="s">
        <v>775</v>
      </c>
      <c r="I2218">
        <v>58</v>
      </c>
      <c r="J2218">
        <v>309</v>
      </c>
      <c r="K2218">
        <v>139</v>
      </c>
    </row>
    <row r="2219" spans="1:11" x14ac:dyDescent="0.3">
      <c r="A2219" t="s">
        <v>11</v>
      </c>
      <c r="B2219" t="s">
        <v>27</v>
      </c>
      <c r="C2219" t="s">
        <v>146</v>
      </c>
      <c r="D2219" t="s">
        <v>497</v>
      </c>
      <c r="E2219" s="5">
        <v>45812.958333333343</v>
      </c>
      <c r="F2219">
        <v>22.265816000000001</v>
      </c>
      <c r="G2219">
        <v>86.174829000000003</v>
      </c>
      <c r="H2219" t="s">
        <v>775</v>
      </c>
    </row>
    <row r="2220" spans="1:11" x14ac:dyDescent="0.3">
      <c r="A2220" t="s">
        <v>11</v>
      </c>
      <c r="B2220" t="s">
        <v>27</v>
      </c>
      <c r="C2220" t="s">
        <v>147</v>
      </c>
      <c r="D2220" t="s">
        <v>498</v>
      </c>
      <c r="E2220" s="5">
        <v>45812.958333333343</v>
      </c>
      <c r="F2220">
        <v>22.18972222</v>
      </c>
      <c r="G2220">
        <v>84.862777780000002</v>
      </c>
      <c r="H2220" t="s">
        <v>771</v>
      </c>
    </row>
    <row r="2221" spans="1:11" x14ac:dyDescent="0.3">
      <c r="A2221" t="s">
        <v>11</v>
      </c>
      <c r="B2221" t="s">
        <v>27</v>
      </c>
      <c r="C2221" t="s">
        <v>147</v>
      </c>
      <c r="D2221" t="s">
        <v>520</v>
      </c>
      <c r="E2221" s="5">
        <v>45812.958333333343</v>
      </c>
      <c r="F2221">
        <v>22.220832999999999</v>
      </c>
      <c r="G2221">
        <v>84.809443999999999</v>
      </c>
      <c r="H2221" t="s">
        <v>775</v>
      </c>
      <c r="I2221">
        <v>2</v>
      </c>
      <c r="J2221">
        <v>310</v>
      </c>
      <c r="K2221">
        <v>48</v>
      </c>
    </row>
    <row r="2222" spans="1:11" x14ac:dyDescent="0.3">
      <c r="A2222" t="s">
        <v>11</v>
      </c>
      <c r="B2222" t="s">
        <v>27</v>
      </c>
      <c r="C2222" t="s">
        <v>147</v>
      </c>
      <c r="D2222" t="s">
        <v>520</v>
      </c>
      <c r="E2222" s="5">
        <v>45812.958333333343</v>
      </c>
      <c r="F2222">
        <v>22.220832999999999</v>
      </c>
      <c r="G2222">
        <v>84.809443999999999</v>
      </c>
      <c r="H2222" t="s">
        <v>773</v>
      </c>
      <c r="I2222">
        <v>2</v>
      </c>
      <c r="J2222">
        <v>3</v>
      </c>
      <c r="K2222">
        <v>2</v>
      </c>
    </row>
    <row r="2223" spans="1:11" x14ac:dyDescent="0.3">
      <c r="A2223" t="s">
        <v>11</v>
      </c>
      <c r="B2223" t="s">
        <v>27</v>
      </c>
      <c r="C2223" t="s">
        <v>147</v>
      </c>
      <c r="D2223" t="s">
        <v>520</v>
      </c>
      <c r="E2223" s="5">
        <v>45812.958333333343</v>
      </c>
      <c r="F2223">
        <v>22.220832999999999</v>
      </c>
      <c r="G2223">
        <v>84.809443999999999</v>
      </c>
      <c r="H2223" t="s">
        <v>774</v>
      </c>
      <c r="I2223">
        <v>3</v>
      </c>
      <c r="J2223">
        <v>10</v>
      </c>
      <c r="K2223">
        <v>6</v>
      </c>
    </row>
    <row r="2224" spans="1:11" x14ac:dyDescent="0.3">
      <c r="A2224" t="s">
        <v>11</v>
      </c>
      <c r="B2224" t="s">
        <v>27</v>
      </c>
      <c r="C2224" t="s">
        <v>147</v>
      </c>
      <c r="D2224" t="s">
        <v>520</v>
      </c>
      <c r="E2224" s="5">
        <v>45812.958333333343</v>
      </c>
      <c r="F2224">
        <v>22.220832999999999</v>
      </c>
      <c r="G2224">
        <v>84.809443999999999</v>
      </c>
      <c r="H2224" t="s">
        <v>770</v>
      </c>
      <c r="I2224">
        <v>3</v>
      </c>
      <c r="J2224">
        <v>147</v>
      </c>
      <c r="K2224">
        <v>78</v>
      </c>
    </row>
    <row r="2225" spans="1:11" x14ac:dyDescent="0.3">
      <c r="A2225" t="s">
        <v>11</v>
      </c>
      <c r="B2225" t="s">
        <v>27</v>
      </c>
      <c r="C2225" t="s">
        <v>167</v>
      </c>
      <c r="D2225" t="s">
        <v>522</v>
      </c>
      <c r="E2225" s="5">
        <v>45812.958333333343</v>
      </c>
      <c r="F2225">
        <v>20.936071099999999</v>
      </c>
      <c r="G2225">
        <v>85.1707021</v>
      </c>
      <c r="H2225" t="s">
        <v>775</v>
      </c>
      <c r="I2225">
        <v>7</v>
      </c>
      <c r="J2225">
        <v>335</v>
      </c>
      <c r="K2225">
        <v>134</v>
      </c>
    </row>
    <row r="2226" spans="1:11" x14ac:dyDescent="0.3">
      <c r="A2226" t="s">
        <v>11</v>
      </c>
      <c r="B2226" t="s">
        <v>27</v>
      </c>
      <c r="C2226" t="s">
        <v>167</v>
      </c>
      <c r="D2226" t="s">
        <v>522</v>
      </c>
      <c r="E2226" s="5">
        <v>45812.958333333343</v>
      </c>
      <c r="F2226">
        <v>20.936071099999999</v>
      </c>
      <c r="G2226">
        <v>85.1707021</v>
      </c>
      <c r="H2226" t="s">
        <v>772</v>
      </c>
      <c r="I2226">
        <v>26</v>
      </c>
      <c r="J2226">
        <v>39</v>
      </c>
      <c r="K2226">
        <v>32</v>
      </c>
    </row>
    <row r="2227" spans="1:11" x14ac:dyDescent="0.3">
      <c r="A2227" t="s">
        <v>11</v>
      </c>
      <c r="B2227" t="s">
        <v>27</v>
      </c>
      <c r="C2227" t="s">
        <v>167</v>
      </c>
      <c r="D2227" t="s">
        <v>522</v>
      </c>
      <c r="E2227" s="5">
        <v>45812.958333333343</v>
      </c>
      <c r="F2227">
        <v>20.936071099999999</v>
      </c>
      <c r="G2227">
        <v>85.1707021</v>
      </c>
      <c r="H2227" t="s">
        <v>773</v>
      </c>
      <c r="I2227">
        <v>3</v>
      </c>
      <c r="J2227">
        <v>4</v>
      </c>
      <c r="K2227">
        <v>4</v>
      </c>
    </row>
    <row r="2228" spans="1:11" x14ac:dyDescent="0.3">
      <c r="A2228" t="s">
        <v>11</v>
      </c>
      <c r="B2228" t="s">
        <v>32</v>
      </c>
      <c r="C2228" t="s">
        <v>32</v>
      </c>
      <c r="D2228" t="s">
        <v>523</v>
      </c>
      <c r="E2228" s="5">
        <v>45812.958333333343</v>
      </c>
      <c r="F2228">
        <v>11.930899999999999</v>
      </c>
      <c r="G2228">
        <v>79.802700000000002</v>
      </c>
      <c r="H2228" t="s">
        <v>772</v>
      </c>
      <c r="I2228">
        <v>3</v>
      </c>
      <c r="J2228">
        <v>22</v>
      </c>
      <c r="K2228">
        <v>10</v>
      </c>
    </row>
    <row r="2229" spans="1:11" x14ac:dyDescent="0.3">
      <c r="A2229" t="s">
        <v>11</v>
      </c>
      <c r="B2229" t="s">
        <v>30</v>
      </c>
      <c r="C2229" t="s">
        <v>168</v>
      </c>
      <c r="D2229" t="s">
        <v>524</v>
      </c>
      <c r="E2229" s="5">
        <v>45812.958333333343</v>
      </c>
      <c r="F2229">
        <v>31.62</v>
      </c>
      <c r="G2229">
        <v>74.876512000000005</v>
      </c>
      <c r="H2229" t="s">
        <v>775</v>
      </c>
      <c r="I2229">
        <v>39</v>
      </c>
      <c r="J2229">
        <v>88</v>
      </c>
      <c r="K2229">
        <v>60</v>
      </c>
    </row>
    <row r="2230" spans="1:11" x14ac:dyDescent="0.3">
      <c r="A2230" t="s">
        <v>11</v>
      </c>
      <c r="B2230" t="s">
        <v>30</v>
      </c>
      <c r="C2230" t="s">
        <v>168</v>
      </c>
      <c r="D2230" t="s">
        <v>524</v>
      </c>
      <c r="E2230" s="5">
        <v>45812.958333333343</v>
      </c>
      <c r="F2230">
        <v>31.62</v>
      </c>
      <c r="G2230">
        <v>74.876512000000005</v>
      </c>
      <c r="H2230" t="s">
        <v>771</v>
      </c>
      <c r="I2230">
        <v>34</v>
      </c>
      <c r="J2230">
        <v>92</v>
      </c>
      <c r="K2230">
        <v>66</v>
      </c>
    </row>
    <row r="2231" spans="1:11" x14ac:dyDescent="0.3">
      <c r="A2231" t="s">
        <v>11</v>
      </c>
      <c r="B2231" t="s">
        <v>30</v>
      </c>
      <c r="C2231" t="s">
        <v>168</v>
      </c>
      <c r="D2231" t="s">
        <v>524</v>
      </c>
      <c r="E2231" s="5">
        <v>45812.958333333343</v>
      </c>
      <c r="F2231">
        <v>31.62</v>
      </c>
      <c r="G2231">
        <v>74.876512000000005</v>
      </c>
      <c r="H2231" t="s">
        <v>774</v>
      </c>
      <c r="I2231">
        <v>7</v>
      </c>
      <c r="J2231">
        <v>122</v>
      </c>
      <c r="K2231">
        <v>48</v>
      </c>
    </row>
    <row r="2232" spans="1:11" x14ac:dyDescent="0.3">
      <c r="A2232" t="s">
        <v>11</v>
      </c>
      <c r="B2232" t="s">
        <v>30</v>
      </c>
      <c r="C2232" t="s">
        <v>269</v>
      </c>
      <c r="D2232" t="s">
        <v>712</v>
      </c>
      <c r="E2232" s="5">
        <v>45812.958333333343</v>
      </c>
      <c r="F2232">
        <v>30.233011000000001</v>
      </c>
      <c r="G2232">
        <v>74.907758000000001</v>
      </c>
      <c r="H2232" t="s">
        <v>775</v>
      </c>
      <c r="I2232">
        <v>22</v>
      </c>
      <c r="J2232">
        <v>87</v>
      </c>
      <c r="K2232">
        <v>44</v>
      </c>
    </row>
    <row r="2233" spans="1:11" x14ac:dyDescent="0.3">
      <c r="A2233" t="s">
        <v>11</v>
      </c>
      <c r="B2233" t="s">
        <v>30</v>
      </c>
      <c r="C2233" t="s">
        <v>270</v>
      </c>
      <c r="D2233" t="s">
        <v>713</v>
      </c>
      <c r="E2233" s="5">
        <v>45812.958333333343</v>
      </c>
      <c r="F2233">
        <v>31.321906999999999</v>
      </c>
      <c r="G2233">
        <v>75.578913999999997</v>
      </c>
      <c r="H2233" t="s">
        <v>773</v>
      </c>
      <c r="I2233">
        <v>2</v>
      </c>
      <c r="J2233">
        <v>2</v>
      </c>
      <c r="K2233">
        <v>2</v>
      </c>
    </row>
    <row r="2234" spans="1:11" x14ac:dyDescent="0.3">
      <c r="A2234" t="s">
        <v>11</v>
      </c>
      <c r="B2234" t="s">
        <v>40</v>
      </c>
      <c r="C2234" t="s">
        <v>271</v>
      </c>
      <c r="D2234" t="s">
        <v>714</v>
      </c>
      <c r="E2234" s="5">
        <v>45812.958333333343</v>
      </c>
      <c r="F2234">
        <v>25.663541299999999</v>
      </c>
      <c r="G2234">
        <v>94.098987800000003</v>
      </c>
      <c r="H2234" t="s">
        <v>772</v>
      </c>
      <c r="I2234">
        <v>2</v>
      </c>
      <c r="J2234">
        <v>6</v>
      </c>
      <c r="K2234">
        <v>3</v>
      </c>
    </row>
    <row r="2235" spans="1:11" x14ac:dyDescent="0.3">
      <c r="A2235" t="s">
        <v>11</v>
      </c>
      <c r="B2235" t="s">
        <v>40</v>
      </c>
      <c r="C2235" t="s">
        <v>271</v>
      </c>
      <c r="D2235" t="s">
        <v>714</v>
      </c>
      <c r="E2235" s="5">
        <v>45812.958333333343</v>
      </c>
      <c r="F2235">
        <v>25.663541299999999</v>
      </c>
      <c r="G2235">
        <v>94.098987800000003</v>
      </c>
      <c r="H2235" t="s">
        <v>773</v>
      </c>
      <c r="I2235">
        <v>1</v>
      </c>
      <c r="J2235">
        <v>1</v>
      </c>
      <c r="K2235">
        <v>1</v>
      </c>
    </row>
    <row r="2236" spans="1:11" x14ac:dyDescent="0.3">
      <c r="A2236" t="s">
        <v>11</v>
      </c>
      <c r="B2236" t="s">
        <v>27</v>
      </c>
      <c r="C2236" t="s">
        <v>148</v>
      </c>
      <c r="D2236" t="s">
        <v>499</v>
      </c>
      <c r="E2236" s="5">
        <v>45812.958333333343</v>
      </c>
      <c r="F2236">
        <v>21.511610000000001</v>
      </c>
      <c r="G2236">
        <v>86.890879999999996</v>
      </c>
      <c r="H2236" t="s">
        <v>776</v>
      </c>
      <c r="I2236">
        <v>36</v>
      </c>
      <c r="J2236">
        <v>51</v>
      </c>
      <c r="K2236">
        <v>41</v>
      </c>
    </row>
    <row r="2237" spans="1:11" x14ac:dyDescent="0.3">
      <c r="A2237" t="s">
        <v>11</v>
      </c>
      <c r="B2237" t="s">
        <v>27</v>
      </c>
      <c r="C2237" t="s">
        <v>148</v>
      </c>
      <c r="D2237" t="s">
        <v>499</v>
      </c>
      <c r="E2237" s="5">
        <v>45812.958333333343</v>
      </c>
      <c r="F2237">
        <v>21.511610000000001</v>
      </c>
      <c r="G2237">
        <v>86.890879999999996</v>
      </c>
      <c r="H2237" t="s">
        <v>770</v>
      </c>
      <c r="I2237">
        <v>13</v>
      </c>
      <c r="J2237">
        <v>168</v>
      </c>
      <c r="K2237">
        <v>37</v>
      </c>
    </row>
    <row r="2238" spans="1:11" x14ac:dyDescent="0.3">
      <c r="A2238" t="s">
        <v>11</v>
      </c>
      <c r="B2238" t="s">
        <v>27</v>
      </c>
      <c r="C2238" t="s">
        <v>149</v>
      </c>
      <c r="D2238" t="s">
        <v>500</v>
      </c>
      <c r="E2238" s="5">
        <v>45812.958333333343</v>
      </c>
      <c r="F2238">
        <v>22.116605400000001</v>
      </c>
      <c r="G2238">
        <v>85.394554600000006</v>
      </c>
      <c r="H2238" t="s">
        <v>776</v>
      </c>
      <c r="I2238">
        <v>26</v>
      </c>
      <c r="J2238">
        <v>115</v>
      </c>
      <c r="K2238">
        <v>33</v>
      </c>
    </row>
    <row r="2239" spans="1:11" x14ac:dyDescent="0.3">
      <c r="A2239" t="s">
        <v>11</v>
      </c>
      <c r="B2239" t="s">
        <v>26</v>
      </c>
      <c r="C2239" t="s">
        <v>136</v>
      </c>
      <c r="D2239" t="s">
        <v>511</v>
      </c>
      <c r="E2239" s="5">
        <v>45812.958333333343</v>
      </c>
      <c r="F2239">
        <v>18.547056000000001</v>
      </c>
      <c r="G2239">
        <v>73.826908000000003</v>
      </c>
      <c r="H2239" t="s">
        <v>776</v>
      </c>
      <c r="I2239">
        <v>14</v>
      </c>
      <c r="J2239">
        <v>106</v>
      </c>
      <c r="K2239">
        <v>26</v>
      </c>
    </row>
    <row r="2240" spans="1:11" x14ac:dyDescent="0.3">
      <c r="A2240" t="s">
        <v>11</v>
      </c>
      <c r="B2240" t="s">
        <v>26</v>
      </c>
      <c r="C2240" t="s">
        <v>136</v>
      </c>
      <c r="D2240" t="s">
        <v>511</v>
      </c>
      <c r="E2240" s="5">
        <v>45812.958333333343</v>
      </c>
      <c r="F2240">
        <v>18.547056000000001</v>
      </c>
      <c r="G2240">
        <v>73.826908000000003</v>
      </c>
      <c r="H2240" t="s">
        <v>770</v>
      </c>
      <c r="I2240">
        <v>3</v>
      </c>
      <c r="J2240">
        <v>198</v>
      </c>
      <c r="K2240">
        <v>138</v>
      </c>
    </row>
    <row r="2241" spans="1:11" x14ac:dyDescent="0.3">
      <c r="A2241" t="s">
        <v>11</v>
      </c>
      <c r="B2241" t="s">
        <v>26</v>
      </c>
      <c r="C2241" t="s">
        <v>290</v>
      </c>
      <c r="D2241" t="s">
        <v>764</v>
      </c>
      <c r="E2241" s="5">
        <v>45812.958333333343</v>
      </c>
      <c r="F2241">
        <v>16.503799999999998</v>
      </c>
      <c r="G2241">
        <v>74.362300000000005</v>
      </c>
      <c r="H2241" t="s">
        <v>775</v>
      </c>
      <c r="I2241">
        <v>60</v>
      </c>
      <c r="J2241">
        <v>309</v>
      </c>
      <c r="K2241">
        <v>134</v>
      </c>
    </row>
    <row r="2242" spans="1:11" x14ac:dyDescent="0.3">
      <c r="A2242" t="s">
        <v>11</v>
      </c>
      <c r="B2242" t="s">
        <v>26</v>
      </c>
      <c r="C2242" t="s">
        <v>157</v>
      </c>
      <c r="D2242" t="s">
        <v>512</v>
      </c>
      <c r="E2242" s="5">
        <v>45812.958333333343</v>
      </c>
      <c r="F2242">
        <v>17.633626400000001</v>
      </c>
      <c r="G2242">
        <v>75.913249500000006</v>
      </c>
      <c r="H2242" t="s">
        <v>773</v>
      </c>
      <c r="I2242">
        <v>8</v>
      </c>
      <c r="J2242">
        <v>30</v>
      </c>
      <c r="K2242">
        <v>14</v>
      </c>
    </row>
    <row r="2243" spans="1:11" x14ac:dyDescent="0.3">
      <c r="A2243" t="s">
        <v>11</v>
      </c>
      <c r="B2243" t="s">
        <v>27</v>
      </c>
      <c r="C2243" t="s">
        <v>151</v>
      </c>
      <c r="D2243" t="s">
        <v>503</v>
      </c>
      <c r="E2243" s="5">
        <v>45812.958333333343</v>
      </c>
      <c r="F2243">
        <v>20.346520000000002</v>
      </c>
      <c r="G2243">
        <v>85.816299999999998</v>
      </c>
      <c r="H2243" t="s">
        <v>771</v>
      </c>
      <c r="I2243">
        <v>25</v>
      </c>
      <c r="J2243">
        <v>189</v>
      </c>
      <c r="K2243">
        <v>72</v>
      </c>
    </row>
    <row r="2244" spans="1:11" x14ac:dyDescent="0.3">
      <c r="A2244" t="s">
        <v>11</v>
      </c>
      <c r="B2244" t="s">
        <v>27</v>
      </c>
      <c r="C2244" t="s">
        <v>151</v>
      </c>
      <c r="D2244" t="s">
        <v>503</v>
      </c>
      <c r="E2244" s="5">
        <v>45812.958333333343</v>
      </c>
      <c r="F2244">
        <v>20.346520000000002</v>
      </c>
      <c r="G2244">
        <v>85.816299999999998</v>
      </c>
      <c r="H2244" t="s">
        <v>770</v>
      </c>
      <c r="I2244">
        <v>18</v>
      </c>
      <c r="J2244">
        <v>123</v>
      </c>
      <c r="K2244">
        <v>70</v>
      </c>
    </row>
    <row r="2245" spans="1:11" x14ac:dyDescent="0.3">
      <c r="A2245" t="s">
        <v>11</v>
      </c>
      <c r="B2245" t="s">
        <v>27</v>
      </c>
      <c r="C2245" t="s">
        <v>152</v>
      </c>
      <c r="D2245" t="s">
        <v>504</v>
      </c>
      <c r="E2245" s="5">
        <v>45812.958333333343</v>
      </c>
      <c r="F2245">
        <v>22.061567029999999</v>
      </c>
      <c r="G2245">
        <v>85.474096130000007</v>
      </c>
      <c r="H2245" t="s">
        <v>773</v>
      </c>
      <c r="I2245">
        <v>4</v>
      </c>
      <c r="J2245">
        <v>4</v>
      </c>
      <c r="K2245">
        <v>4</v>
      </c>
    </row>
    <row r="2246" spans="1:11" x14ac:dyDescent="0.3">
      <c r="A2246" t="s">
        <v>11</v>
      </c>
      <c r="B2246" t="s">
        <v>27</v>
      </c>
      <c r="C2246" t="s">
        <v>153</v>
      </c>
      <c r="D2246" t="s">
        <v>505</v>
      </c>
      <c r="E2246" s="5">
        <v>45812.958333333343</v>
      </c>
      <c r="F2246">
        <v>21.800499599999998</v>
      </c>
      <c r="G2246">
        <v>83.839697700000002</v>
      </c>
      <c r="H2246" t="s">
        <v>771</v>
      </c>
      <c r="I2246">
        <v>74</v>
      </c>
      <c r="J2246">
        <v>133</v>
      </c>
      <c r="K2246">
        <v>100</v>
      </c>
    </row>
    <row r="2247" spans="1:11" x14ac:dyDescent="0.3">
      <c r="A2247" t="s">
        <v>11</v>
      </c>
      <c r="B2247" t="s">
        <v>26</v>
      </c>
      <c r="C2247" t="s">
        <v>155</v>
      </c>
      <c r="D2247" t="s">
        <v>507</v>
      </c>
      <c r="E2247" s="5">
        <v>45812.958333333343</v>
      </c>
      <c r="F2247">
        <v>19.235581</v>
      </c>
      <c r="G2247">
        <v>73.159120999999999</v>
      </c>
      <c r="H2247" t="s">
        <v>775</v>
      </c>
      <c r="I2247">
        <v>59</v>
      </c>
      <c r="J2247">
        <v>217</v>
      </c>
      <c r="K2247">
        <v>107</v>
      </c>
    </row>
    <row r="2248" spans="1:11" x14ac:dyDescent="0.3">
      <c r="A2248" t="s">
        <v>11</v>
      </c>
      <c r="B2248" t="s">
        <v>26</v>
      </c>
      <c r="C2248" t="s">
        <v>155</v>
      </c>
      <c r="D2248" t="s">
        <v>507</v>
      </c>
      <c r="E2248" s="5">
        <v>45812.958333333343</v>
      </c>
      <c r="F2248">
        <v>19.235581</v>
      </c>
      <c r="G2248">
        <v>73.159120999999999</v>
      </c>
      <c r="H2248" t="s">
        <v>776</v>
      </c>
      <c r="I2248">
        <v>5</v>
      </c>
      <c r="J2248">
        <v>114</v>
      </c>
      <c r="K2248">
        <v>19</v>
      </c>
    </row>
    <row r="2249" spans="1:11" x14ac:dyDescent="0.3">
      <c r="A2249" t="s">
        <v>11</v>
      </c>
      <c r="B2249" t="s">
        <v>26</v>
      </c>
      <c r="C2249" t="s">
        <v>267</v>
      </c>
      <c r="D2249" t="s">
        <v>710</v>
      </c>
      <c r="E2249" s="5">
        <v>45812.958333333343</v>
      </c>
      <c r="F2249">
        <v>19.445820999999999</v>
      </c>
      <c r="G2249">
        <v>72.798823100000007</v>
      </c>
      <c r="H2249" t="s">
        <v>770</v>
      </c>
      <c r="I2249">
        <v>2</v>
      </c>
      <c r="J2249">
        <v>61</v>
      </c>
      <c r="K2249">
        <v>40</v>
      </c>
    </row>
    <row r="2250" spans="1:11" x14ac:dyDescent="0.3">
      <c r="A2250" t="s">
        <v>11</v>
      </c>
      <c r="B2250" t="s">
        <v>27</v>
      </c>
      <c r="C2250" t="s">
        <v>154</v>
      </c>
      <c r="D2250" t="s">
        <v>506</v>
      </c>
      <c r="E2250" s="5">
        <v>45812.958333333343</v>
      </c>
      <c r="F2250">
        <v>20.941849999999999</v>
      </c>
      <c r="G2250">
        <v>86.115099999999998</v>
      </c>
      <c r="H2250" t="s">
        <v>775</v>
      </c>
      <c r="I2250">
        <v>17</v>
      </c>
      <c r="J2250">
        <v>97</v>
      </c>
      <c r="K2250">
        <v>65</v>
      </c>
    </row>
    <row r="2251" spans="1:11" x14ac:dyDescent="0.3">
      <c r="A2251" t="s">
        <v>11</v>
      </c>
      <c r="B2251" t="s">
        <v>27</v>
      </c>
      <c r="C2251" t="s">
        <v>144</v>
      </c>
      <c r="D2251" t="s">
        <v>495</v>
      </c>
      <c r="E2251" s="5">
        <v>45812.958333333343</v>
      </c>
      <c r="F2251">
        <v>21.643899999999999</v>
      </c>
      <c r="G2251">
        <v>85.599355000000003</v>
      </c>
      <c r="H2251" t="s">
        <v>773</v>
      </c>
      <c r="I2251">
        <v>5</v>
      </c>
      <c r="J2251">
        <v>7</v>
      </c>
      <c r="K2251">
        <v>6</v>
      </c>
    </row>
    <row r="2252" spans="1:11" x14ac:dyDescent="0.3">
      <c r="A2252" t="s">
        <v>11</v>
      </c>
      <c r="B2252" t="s">
        <v>26</v>
      </c>
      <c r="C2252" t="s">
        <v>157</v>
      </c>
      <c r="D2252" t="s">
        <v>705</v>
      </c>
      <c r="E2252" s="5">
        <v>45812.958333333343</v>
      </c>
      <c r="F2252">
        <v>17.654389999999999</v>
      </c>
      <c r="G2252">
        <v>75.906490000000005</v>
      </c>
      <c r="H2252" t="s">
        <v>773</v>
      </c>
      <c r="I2252">
        <v>3</v>
      </c>
      <c r="J2252">
        <v>8</v>
      </c>
      <c r="K2252">
        <v>5</v>
      </c>
    </row>
    <row r="2253" spans="1:11" x14ac:dyDescent="0.3">
      <c r="A2253" t="s">
        <v>11</v>
      </c>
      <c r="B2253" t="s">
        <v>26</v>
      </c>
      <c r="C2253" t="s">
        <v>157</v>
      </c>
      <c r="D2253" t="s">
        <v>509</v>
      </c>
      <c r="E2253" s="5">
        <v>45812.958333333343</v>
      </c>
      <c r="F2253">
        <v>17.6599188</v>
      </c>
      <c r="G2253">
        <v>75.906390599999995</v>
      </c>
      <c r="H2253" t="s">
        <v>774</v>
      </c>
      <c r="I2253">
        <v>4</v>
      </c>
      <c r="J2253">
        <v>43</v>
      </c>
      <c r="K2253">
        <v>22</v>
      </c>
    </row>
    <row r="2254" spans="1:11" x14ac:dyDescent="0.3">
      <c r="A2254" t="s">
        <v>11</v>
      </c>
      <c r="B2254" t="s">
        <v>31</v>
      </c>
      <c r="C2254" t="s">
        <v>165</v>
      </c>
      <c r="D2254" t="s">
        <v>519</v>
      </c>
      <c r="E2254" s="5">
        <v>45812.958333333343</v>
      </c>
      <c r="F2254">
        <v>27.554793</v>
      </c>
      <c r="G2254">
        <v>76.611536000000001</v>
      </c>
      <c r="H2254" t="s">
        <v>776</v>
      </c>
      <c r="I2254">
        <v>52</v>
      </c>
      <c r="J2254">
        <v>118</v>
      </c>
      <c r="K2254">
        <v>78</v>
      </c>
    </row>
    <row r="2255" spans="1:11" x14ac:dyDescent="0.3">
      <c r="A2255" t="s">
        <v>11</v>
      </c>
      <c r="B2255" t="s">
        <v>31</v>
      </c>
      <c r="C2255" t="s">
        <v>174</v>
      </c>
      <c r="D2255" t="s">
        <v>530</v>
      </c>
      <c r="E2255" s="5">
        <v>45812.958333333343</v>
      </c>
      <c r="F2255">
        <v>23.55519</v>
      </c>
      <c r="G2255">
        <v>74.440010000000001</v>
      </c>
      <c r="H2255" t="s">
        <v>771</v>
      </c>
      <c r="I2255">
        <v>68</v>
      </c>
      <c r="J2255">
        <v>212</v>
      </c>
      <c r="K2255">
        <v>110</v>
      </c>
    </row>
    <row r="2256" spans="1:11" x14ac:dyDescent="0.3">
      <c r="A2256" t="s">
        <v>11</v>
      </c>
      <c r="B2256" t="s">
        <v>31</v>
      </c>
      <c r="C2256" t="s">
        <v>174</v>
      </c>
      <c r="D2256" t="s">
        <v>530</v>
      </c>
      <c r="E2256" s="5">
        <v>45812.958333333343</v>
      </c>
      <c r="F2256">
        <v>23.55519</v>
      </c>
      <c r="G2256">
        <v>74.440010000000001</v>
      </c>
      <c r="H2256" t="s">
        <v>772</v>
      </c>
      <c r="I2256">
        <v>13</v>
      </c>
      <c r="J2256">
        <v>43</v>
      </c>
      <c r="K2256">
        <v>24</v>
      </c>
    </row>
    <row r="2257" spans="1:11" x14ac:dyDescent="0.3">
      <c r="A2257" t="s">
        <v>11</v>
      </c>
      <c r="B2257" t="s">
        <v>31</v>
      </c>
      <c r="C2257" t="s">
        <v>174</v>
      </c>
      <c r="D2257" t="s">
        <v>530</v>
      </c>
      <c r="E2257" s="5">
        <v>45812.958333333343</v>
      </c>
      <c r="F2257">
        <v>23.55519</v>
      </c>
      <c r="G2257">
        <v>74.440010000000001</v>
      </c>
      <c r="H2257" t="s">
        <v>774</v>
      </c>
      <c r="I2257">
        <v>2</v>
      </c>
      <c r="J2257">
        <v>15</v>
      </c>
      <c r="K2257">
        <v>9</v>
      </c>
    </row>
    <row r="2258" spans="1:11" x14ac:dyDescent="0.3">
      <c r="A2258" t="s">
        <v>11</v>
      </c>
      <c r="B2258" t="s">
        <v>31</v>
      </c>
      <c r="C2258" t="s">
        <v>175</v>
      </c>
      <c r="D2258" t="s">
        <v>531</v>
      </c>
      <c r="E2258" s="5">
        <v>45812.958333333343</v>
      </c>
      <c r="F2258">
        <v>25.106006000000001</v>
      </c>
      <c r="G2258">
        <v>76.469948000000002</v>
      </c>
      <c r="H2258" t="s">
        <v>775</v>
      </c>
      <c r="I2258">
        <v>4</v>
      </c>
      <c r="J2258">
        <v>84</v>
      </c>
      <c r="K2258">
        <v>40</v>
      </c>
    </row>
    <row r="2259" spans="1:11" x14ac:dyDescent="0.3">
      <c r="A2259" t="s">
        <v>11</v>
      </c>
      <c r="B2259" t="s">
        <v>31</v>
      </c>
      <c r="C2259" t="s">
        <v>175</v>
      </c>
      <c r="D2259" t="s">
        <v>531</v>
      </c>
      <c r="E2259" s="5">
        <v>45812.958333333343</v>
      </c>
      <c r="F2259">
        <v>25.106006000000001</v>
      </c>
      <c r="G2259">
        <v>76.469948000000002</v>
      </c>
      <c r="H2259" t="s">
        <v>771</v>
      </c>
      <c r="I2259">
        <v>73</v>
      </c>
      <c r="J2259">
        <v>189</v>
      </c>
      <c r="K2259">
        <v>116</v>
      </c>
    </row>
    <row r="2260" spans="1:11" x14ac:dyDescent="0.3">
      <c r="A2260" t="s">
        <v>11</v>
      </c>
      <c r="B2260" t="s">
        <v>31</v>
      </c>
      <c r="C2260" t="s">
        <v>175</v>
      </c>
      <c r="D2260" t="s">
        <v>531</v>
      </c>
      <c r="E2260" s="5">
        <v>45812.958333333343</v>
      </c>
      <c r="F2260">
        <v>25.106006000000001</v>
      </c>
      <c r="G2260">
        <v>76.469948000000002</v>
      </c>
      <c r="H2260" t="s">
        <v>773</v>
      </c>
      <c r="I2260">
        <v>3</v>
      </c>
      <c r="J2260">
        <v>5</v>
      </c>
      <c r="K2260">
        <v>4</v>
      </c>
    </row>
    <row r="2261" spans="1:11" x14ac:dyDescent="0.3">
      <c r="A2261" t="s">
        <v>11</v>
      </c>
      <c r="B2261" t="s">
        <v>31</v>
      </c>
      <c r="C2261" t="s">
        <v>175</v>
      </c>
      <c r="D2261" t="s">
        <v>531</v>
      </c>
      <c r="E2261" s="5">
        <v>45812.958333333343</v>
      </c>
      <c r="F2261">
        <v>25.106006000000001</v>
      </c>
      <c r="G2261">
        <v>76.469948000000002</v>
      </c>
      <c r="H2261" t="s">
        <v>774</v>
      </c>
      <c r="I2261">
        <v>3</v>
      </c>
      <c r="J2261">
        <v>18</v>
      </c>
      <c r="K2261">
        <v>9</v>
      </c>
    </row>
    <row r="2262" spans="1:11" x14ac:dyDescent="0.3">
      <c r="A2262" t="s">
        <v>11</v>
      </c>
      <c r="B2262" t="s">
        <v>31</v>
      </c>
      <c r="C2262" t="s">
        <v>175</v>
      </c>
      <c r="D2262" t="s">
        <v>531</v>
      </c>
      <c r="E2262" s="5">
        <v>45812.958333333343</v>
      </c>
      <c r="F2262">
        <v>25.106006000000001</v>
      </c>
      <c r="G2262">
        <v>76.469948000000002</v>
      </c>
      <c r="H2262" t="s">
        <v>770</v>
      </c>
      <c r="I2262">
        <v>3</v>
      </c>
      <c r="J2262">
        <v>137</v>
      </c>
      <c r="K2262">
        <v>77</v>
      </c>
    </row>
    <row r="2263" spans="1:11" x14ac:dyDescent="0.3">
      <c r="A2263" t="s">
        <v>11</v>
      </c>
      <c r="B2263" t="s">
        <v>31</v>
      </c>
      <c r="C2263" t="s">
        <v>176</v>
      </c>
      <c r="D2263" t="s">
        <v>532</v>
      </c>
      <c r="E2263" s="5">
        <v>45812.958333333343</v>
      </c>
      <c r="F2263">
        <v>25.747299000000002</v>
      </c>
      <c r="G2263">
        <v>71.393989000000005</v>
      </c>
      <c r="H2263" t="s">
        <v>772</v>
      </c>
      <c r="I2263">
        <v>3</v>
      </c>
      <c r="J2263">
        <v>50</v>
      </c>
      <c r="K2263">
        <v>15</v>
      </c>
    </row>
    <row r="2264" spans="1:11" x14ac:dyDescent="0.3">
      <c r="A2264" t="s">
        <v>11</v>
      </c>
      <c r="B2264" t="s">
        <v>31</v>
      </c>
      <c r="C2264" t="s">
        <v>172</v>
      </c>
      <c r="D2264" t="s">
        <v>528</v>
      </c>
      <c r="E2264" s="5">
        <v>45812.958333333343</v>
      </c>
      <c r="F2264">
        <v>27.215415</v>
      </c>
      <c r="G2264">
        <v>77.50873</v>
      </c>
      <c r="H2264" t="s">
        <v>771</v>
      </c>
    </row>
    <row r="2265" spans="1:11" x14ac:dyDescent="0.3">
      <c r="A2265" t="s">
        <v>11</v>
      </c>
      <c r="B2265" t="s">
        <v>30</v>
      </c>
      <c r="C2265" t="s">
        <v>161</v>
      </c>
      <c r="D2265" t="s">
        <v>515</v>
      </c>
      <c r="E2265" s="5">
        <v>45812.958333333343</v>
      </c>
      <c r="F2265">
        <v>30.649961000000001</v>
      </c>
      <c r="G2265">
        <v>76.331441999999996</v>
      </c>
      <c r="H2265" t="s">
        <v>771</v>
      </c>
      <c r="I2265">
        <v>59</v>
      </c>
      <c r="J2265">
        <v>223</v>
      </c>
      <c r="K2265">
        <v>117</v>
      </c>
    </row>
    <row r="2266" spans="1:11" x14ac:dyDescent="0.3">
      <c r="A2266" t="s">
        <v>11</v>
      </c>
      <c r="B2266" t="s">
        <v>30</v>
      </c>
      <c r="C2266" t="s">
        <v>162</v>
      </c>
      <c r="D2266" t="s">
        <v>516</v>
      </c>
      <c r="E2266" s="5">
        <v>45812.958333333343</v>
      </c>
      <c r="F2266">
        <v>30.349388000000001</v>
      </c>
      <c r="G2266">
        <v>76.366641999999999</v>
      </c>
      <c r="H2266" t="s">
        <v>775</v>
      </c>
      <c r="I2266">
        <v>34</v>
      </c>
      <c r="J2266">
        <v>90</v>
      </c>
      <c r="K2266">
        <v>71</v>
      </c>
    </row>
    <row r="2267" spans="1:11" x14ac:dyDescent="0.3">
      <c r="A2267" t="s">
        <v>11</v>
      </c>
      <c r="B2267" t="s">
        <v>30</v>
      </c>
      <c r="C2267" t="s">
        <v>163</v>
      </c>
      <c r="D2267" t="s">
        <v>517</v>
      </c>
      <c r="E2267" s="5">
        <v>45812.958333333343</v>
      </c>
      <c r="F2267">
        <v>31.0325454</v>
      </c>
      <c r="G2267">
        <v>76.562304600000004</v>
      </c>
      <c r="H2267" t="s">
        <v>772</v>
      </c>
      <c r="I2267">
        <v>14</v>
      </c>
      <c r="J2267">
        <v>22</v>
      </c>
      <c r="K2267">
        <v>17</v>
      </c>
    </row>
    <row r="2268" spans="1:11" x14ac:dyDescent="0.3">
      <c r="A2268" t="s">
        <v>11</v>
      </c>
      <c r="B2268" t="s">
        <v>31</v>
      </c>
      <c r="C2268" t="s">
        <v>173</v>
      </c>
      <c r="D2268" t="s">
        <v>529</v>
      </c>
      <c r="E2268" s="5">
        <v>45812.958333333343</v>
      </c>
      <c r="F2268">
        <v>25.339604999999999</v>
      </c>
      <c r="G2268">
        <v>74.618882999999997</v>
      </c>
      <c r="H2268" t="s">
        <v>776</v>
      </c>
      <c r="I2268">
        <v>8</v>
      </c>
      <c r="J2268">
        <v>102</v>
      </c>
      <c r="K2268">
        <v>33</v>
      </c>
    </row>
    <row r="2269" spans="1:11" x14ac:dyDescent="0.3">
      <c r="A2269" t="s">
        <v>11</v>
      </c>
      <c r="B2269" t="s">
        <v>31</v>
      </c>
      <c r="C2269" t="s">
        <v>170</v>
      </c>
      <c r="D2269" t="s">
        <v>719</v>
      </c>
      <c r="E2269" s="5">
        <v>45812.958333333343</v>
      </c>
      <c r="F2269">
        <v>28.194908999999999</v>
      </c>
      <c r="G2269">
        <v>76.862296000000001</v>
      </c>
      <c r="H2269" t="s">
        <v>773</v>
      </c>
    </row>
    <row r="2270" spans="1:11" x14ac:dyDescent="0.3">
      <c r="A2270" t="s">
        <v>11</v>
      </c>
      <c r="B2270" t="s">
        <v>31</v>
      </c>
      <c r="C2270" t="s">
        <v>170</v>
      </c>
      <c r="D2270" t="s">
        <v>719</v>
      </c>
      <c r="E2270" s="5">
        <v>45812.958333333343</v>
      </c>
      <c r="F2270">
        <v>28.194908999999999</v>
      </c>
      <c r="G2270">
        <v>76.862296000000001</v>
      </c>
      <c r="H2270" t="s">
        <v>776</v>
      </c>
      <c r="I2270">
        <v>29</v>
      </c>
      <c r="J2270">
        <v>157</v>
      </c>
      <c r="K2270">
        <v>54</v>
      </c>
    </row>
    <row r="2271" spans="1:11" x14ac:dyDescent="0.3">
      <c r="A2271" t="s">
        <v>11</v>
      </c>
      <c r="B2271" t="s">
        <v>30</v>
      </c>
      <c r="C2271" t="s">
        <v>169</v>
      </c>
      <c r="D2271" t="s">
        <v>525</v>
      </c>
      <c r="E2271" s="5">
        <v>45812.958333333343</v>
      </c>
      <c r="F2271">
        <v>30.736056000000001</v>
      </c>
      <c r="G2271">
        <v>76.209693999999999</v>
      </c>
      <c r="H2271" t="s">
        <v>775</v>
      </c>
      <c r="I2271">
        <v>58</v>
      </c>
      <c r="J2271">
        <v>134</v>
      </c>
      <c r="K2271">
        <v>86</v>
      </c>
    </row>
    <row r="2272" spans="1:11" x14ac:dyDescent="0.3">
      <c r="A2272" t="s">
        <v>11</v>
      </c>
      <c r="B2272" t="s">
        <v>30</v>
      </c>
      <c r="C2272" t="s">
        <v>160</v>
      </c>
      <c r="D2272" t="s">
        <v>514</v>
      </c>
      <c r="E2272" s="5">
        <v>45812.958333333343</v>
      </c>
      <c r="F2272">
        <v>30.902799999999999</v>
      </c>
      <c r="G2272">
        <v>75.808599999999998</v>
      </c>
      <c r="H2272" t="s">
        <v>774</v>
      </c>
      <c r="I2272">
        <v>3</v>
      </c>
      <c r="J2272">
        <v>48</v>
      </c>
      <c r="K2272">
        <v>21</v>
      </c>
    </row>
    <row r="2273" spans="1:11" x14ac:dyDescent="0.3">
      <c r="A2273" t="s">
        <v>11</v>
      </c>
      <c r="B2273" t="s">
        <v>31</v>
      </c>
      <c r="C2273" t="s">
        <v>172</v>
      </c>
      <c r="D2273" t="s">
        <v>528</v>
      </c>
      <c r="E2273" s="5">
        <v>45812.958333333343</v>
      </c>
      <c r="F2273">
        <v>27.215415</v>
      </c>
      <c r="G2273">
        <v>77.50873</v>
      </c>
      <c r="H2273" t="s">
        <v>776</v>
      </c>
      <c r="I2273">
        <v>14</v>
      </c>
      <c r="J2273">
        <v>74</v>
      </c>
      <c r="K2273">
        <v>34</v>
      </c>
    </row>
    <row r="2274" spans="1:11" x14ac:dyDescent="0.3">
      <c r="A2274" t="s">
        <v>11</v>
      </c>
      <c r="B2274" t="s">
        <v>31</v>
      </c>
      <c r="C2274" t="s">
        <v>173</v>
      </c>
      <c r="D2274" t="s">
        <v>529</v>
      </c>
      <c r="E2274" s="5">
        <v>45812.958333333343</v>
      </c>
      <c r="F2274">
        <v>25.339604999999999</v>
      </c>
      <c r="G2274">
        <v>74.618882999999997</v>
      </c>
      <c r="H2274" t="s">
        <v>775</v>
      </c>
      <c r="I2274">
        <v>24</v>
      </c>
      <c r="J2274">
        <v>228</v>
      </c>
      <c r="K2274">
        <v>65</v>
      </c>
    </row>
    <row r="2275" spans="1:11" x14ac:dyDescent="0.3">
      <c r="A2275" t="s">
        <v>11</v>
      </c>
      <c r="B2275" t="s">
        <v>31</v>
      </c>
      <c r="C2275" t="s">
        <v>178</v>
      </c>
      <c r="D2275" t="s">
        <v>534</v>
      </c>
      <c r="E2275" s="5">
        <v>45812.958333333343</v>
      </c>
      <c r="F2275">
        <v>25.435773999999999</v>
      </c>
      <c r="G2275">
        <v>75.644272000000001</v>
      </c>
      <c r="H2275" t="s">
        <v>775</v>
      </c>
      <c r="I2275">
        <v>31</v>
      </c>
      <c r="J2275">
        <v>148</v>
      </c>
      <c r="K2275">
        <v>59</v>
      </c>
    </row>
    <row r="2276" spans="1:11" x14ac:dyDescent="0.3">
      <c r="A2276" t="s">
        <v>11</v>
      </c>
      <c r="B2276" t="s">
        <v>31</v>
      </c>
      <c r="C2276" t="s">
        <v>178</v>
      </c>
      <c r="D2276" t="s">
        <v>534</v>
      </c>
      <c r="E2276" s="5">
        <v>45812.958333333343</v>
      </c>
      <c r="F2276">
        <v>25.435773999999999</v>
      </c>
      <c r="G2276">
        <v>75.644272000000001</v>
      </c>
      <c r="H2276" t="s">
        <v>772</v>
      </c>
      <c r="I2276">
        <v>8</v>
      </c>
      <c r="J2276">
        <v>112</v>
      </c>
      <c r="K2276">
        <v>30</v>
      </c>
    </row>
    <row r="2277" spans="1:11" x14ac:dyDescent="0.3">
      <c r="A2277" t="s">
        <v>11</v>
      </c>
      <c r="B2277" t="s">
        <v>31</v>
      </c>
      <c r="C2277" t="s">
        <v>177</v>
      </c>
      <c r="D2277" t="s">
        <v>533</v>
      </c>
      <c r="E2277" s="5">
        <v>45812.958333333343</v>
      </c>
      <c r="F2277">
        <v>24.892047000000002</v>
      </c>
      <c r="G2277">
        <v>74.623526999999996</v>
      </c>
      <c r="H2277" t="s">
        <v>771</v>
      </c>
      <c r="I2277">
        <v>42</v>
      </c>
      <c r="J2277">
        <v>287</v>
      </c>
      <c r="K2277">
        <v>133</v>
      </c>
    </row>
    <row r="2278" spans="1:11" x14ac:dyDescent="0.3">
      <c r="A2278" t="s">
        <v>11</v>
      </c>
      <c r="B2278" t="s">
        <v>31</v>
      </c>
      <c r="C2278" t="s">
        <v>192</v>
      </c>
      <c r="D2278" t="s">
        <v>553</v>
      </c>
      <c r="E2278" s="5">
        <v>45812.958333333343</v>
      </c>
      <c r="F2278">
        <v>26.895551999999999</v>
      </c>
      <c r="G2278">
        <v>76.334753000000006</v>
      </c>
      <c r="H2278" t="s">
        <v>776</v>
      </c>
      <c r="I2278">
        <v>28</v>
      </c>
      <c r="J2278">
        <v>84</v>
      </c>
      <c r="K2278">
        <v>37</v>
      </c>
    </row>
    <row r="2279" spans="1:11" x14ac:dyDescent="0.3">
      <c r="A2279" t="s">
        <v>11</v>
      </c>
      <c r="B2279" t="s">
        <v>31</v>
      </c>
      <c r="C2279" t="s">
        <v>181</v>
      </c>
      <c r="D2279" t="s">
        <v>540</v>
      </c>
      <c r="E2279" s="5">
        <v>45812.958333333343</v>
      </c>
      <c r="F2279">
        <v>25.344694</v>
      </c>
      <c r="G2279">
        <v>72.626208000000005</v>
      </c>
      <c r="H2279" t="s">
        <v>770</v>
      </c>
      <c r="I2279">
        <v>46</v>
      </c>
      <c r="J2279">
        <v>109</v>
      </c>
      <c r="K2279">
        <v>81</v>
      </c>
    </row>
    <row r="2280" spans="1:11" x14ac:dyDescent="0.3">
      <c r="A2280" t="s">
        <v>11</v>
      </c>
      <c r="B2280" t="s">
        <v>31</v>
      </c>
      <c r="C2280" t="s">
        <v>182</v>
      </c>
      <c r="D2280" t="s">
        <v>541</v>
      </c>
      <c r="E2280" s="5">
        <v>45812.958333333343</v>
      </c>
      <c r="F2280">
        <v>24.588397000000001</v>
      </c>
      <c r="G2280">
        <v>76.172781999999998</v>
      </c>
      <c r="H2280" t="s">
        <v>774</v>
      </c>
      <c r="I2280">
        <v>5</v>
      </c>
      <c r="J2280">
        <v>17</v>
      </c>
      <c r="K2280">
        <v>9</v>
      </c>
    </row>
    <row r="2281" spans="1:11" x14ac:dyDescent="0.3">
      <c r="A2281" t="s">
        <v>11</v>
      </c>
      <c r="B2281" t="s">
        <v>31</v>
      </c>
      <c r="C2281" t="s">
        <v>182</v>
      </c>
      <c r="D2281" t="s">
        <v>541</v>
      </c>
      <c r="E2281" s="5">
        <v>45812.958333333343</v>
      </c>
      <c r="F2281">
        <v>24.588397000000001</v>
      </c>
      <c r="G2281">
        <v>76.172781999999998</v>
      </c>
      <c r="H2281" t="s">
        <v>770</v>
      </c>
      <c r="I2281">
        <v>7</v>
      </c>
      <c r="J2281">
        <v>71</v>
      </c>
      <c r="K2281">
        <v>38</v>
      </c>
    </row>
    <row r="2282" spans="1:11" x14ac:dyDescent="0.3">
      <c r="A2282" t="s">
        <v>11</v>
      </c>
      <c r="B2282" t="s">
        <v>31</v>
      </c>
      <c r="C2282" t="s">
        <v>183</v>
      </c>
      <c r="D2282" t="s">
        <v>542</v>
      </c>
      <c r="E2282" s="5">
        <v>45812.958333333343</v>
      </c>
      <c r="F2282">
        <v>28.108988</v>
      </c>
      <c r="G2282">
        <v>75.386577000000003</v>
      </c>
      <c r="H2282" t="s">
        <v>771</v>
      </c>
      <c r="I2282">
        <v>65</v>
      </c>
      <c r="J2282">
        <v>199</v>
      </c>
      <c r="K2282">
        <v>116</v>
      </c>
    </row>
    <row r="2283" spans="1:11" x14ac:dyDescent="0.3">
      <c r="A2283" t="s">
        <v>11</v>
      </c>
      <c r="B2283" t="s">
        <v>31</v>
      </c>
      <c r="C2283" t="s">
        <v>184</v>
      </c>
      <c r="D2283" t="s">
        <v>543</v>
      </c>
      <c r="E2283" s="5">
        <v>45812.958333333343</v>
      </c>
      <c r="F2283">
        <v>26.268249000000001</v>
      </c>
      <c r="G2283">
        <v>73.019385299999996</v>
      </c>
      <c r="H2283" t="s">
        <v>771</v>
      </c>
      <c r="I2283">
        <v>20</v>
      </c>
      <c r="J2283">
        <v>413</v>
      </c>
      <c r="K2283">
        <v>138</v>
      </c>
    </row>
    <row r="2284" spans="1:11" x14ac:dyDescent="0.3">
      <c r="A2284" t="s">
        <v>11</v>
      </c>
      <c r="B2284" t="s">
        <v>31</v>
      </c>
      <c r="C2284" t="s">
        <v>184</v>
      </c>
      <c r="D2284" t="s">
        <v>543</v>
      </c>
      <c r="E2284" s="5">
        <v>45812.958333333343</v>
      </c>
      <c r="F2284">
        <v>26.268249000000001</v>
      </c>
      <c r="G2284">
        <v>73.019385299999996</v>
      </c>
      <c r="H2284" t="s">
        <v>770</v>
      </c>
      <c r="I2284">
        <v>3</v>
      </c>
      <c r="J2284">
        <v>80</v>
      </c>
      <c r="K2284">
        <v>45</v>
      </c>
    </row>
    <row r="2285" spans="1:11" x14ac:dyDescent="0.3">
      <c r="A2285" t="s">
        <v>11</v>
      </c>
      <c r="B2285" t="s">
        <v>31</v>
      </c>
      <c r="C2285" t="s">
        <v>184</v>
      </c>
      <c r="D2285" t="s">
        <v>726</v>
      </c>
      <c r="E2285" s="5">
        <v>45812.958333333343</v>
      </c>
      <c r="F2285">
        <v>26.295809999999999</v>
      </c>
      <c r="G2285">
        <v>73.082283000000004</v>
      </c>
      <c r="H2285" t="s">
        <v>775</v>
      </c>
      <c r="I2285">
        <v>24</v>
      </c>
      <c r="J2285">
        <v>181</v>
      </c>
      <c r="K2285">
        <v>92</v>
      </c>
    </row>
    <row r="2286" spans="1:11" x14ac:dyDescent="0.3">
      <c r="A2286" t="s">
        <v>11</v>
      </c>
      <c r="B2286" t="s">
        <v>31</v>
      </c>
      <c r="C2286" t="s">
        <v>184</v>
      </c>
      <c r="D2286" t="s">
        <v>726</v>
      </c>
      <c r="E2286" s="5">
        <v>45812.958333333343</v>
      </c>
      <c r="F2286">
        <v>26.295809999999999</v>
      </c>
      <c r="G2286">
        <v>73.082283000000004</v>
      </c>
      <c r="H2286" t="s">
        <v>771</v>
      </c>
      <c r="I2286">
        <v>47</v>
      </c>
      <c r="J2286">
        <v>335</v>
      </c>
      <c r="K2286">
        <v>130</v>
      </c>
    </row>
    <row r="2287" spans="1:11" x14ac:dyDescent="0.3">
      <c r="A2287" t="s">
        <v>11</v>
      </c>
      <c r="B2287" t="s">
        <v>31</v>
      </c>
      <c r="C2287" t="s">
        <v>184</v>
      </c>
      <c r="D2287" t="s">
        <v>726</v>
      </c>
      <c r="E2287" s="5">
        <v>45812.958333333343</v>
      </c>
      <c r="F2287">
        <v>26.295809999999999</v>
      </c>
      <c r="G2287">
        <v>73.082283000000004</v>
      </c>
      <c r="H2287" t="s">
        <v>773</v>
      </c>
      <c r="I2287">
        <v>2</v>
      </c>
      <c r="J2287">
        <v>5</v>
      </c>
      <c r="K2287">
        <v>4</v>
      </c>
    </row>
    <row r="2288" spans="1:11" x14ac:dyDescent="0.3">
      <c r="A2288" t="s">
        <v>11</v>
      </c>
      <c r="B2288" t="s">
        <v>31</v>
      </c>
      <c r="C2288" t="s">
        <v>184</v>
      </c>
      <c r="D2288" t="s">
        <v>544</v>
      </c>
      <c r="E2288" s="5">
        <v>45812.958333333343</v>
      </c>
      <c r="F2288">
        <v>26.215415</v>
      </c>
      <c r="G2288">
        <v>73.070155999999997</v>
      </c>
      <c r="H2288" t="s">
        <v>775</v>
      </c>
      <c r="I2288">
        <v>21</v>
      </c>
      <c r="J2288">
        <v>438</v>
      </c>
      <c r="K2288">
        <v>98</v>
      </c>
    </row>
    <row r="2289" spans="1:11" x14ac:dyDescent="0.3">
      <c r="A2289" t="s">
        <v>11</v>
      </c>
      <c r="B2289" t="s">
        <v>31</v>
      </c>
      <c r="C2289" t="s">
        <v>190</v>
      </c>
      <c r="D2289" t="s">
        <v>551</v>
      </c>
      <c r="E2289" s="5">
        <v>45812.958333333343</v>
      </c>
      <c r="F2289">
        <v>23.837789000000001</v>
      </c>
      <c r="G2289">
        <v>73.714926000000006</v>
      </c>
      <c r="H2289" t="s">
        <v>770</v>
      </c>
      <c r="I2289">
        <v>14</v>
      </c>
      <c r="J2289">
        <v>99</v>
      </c>
      <c r="K2289">
        <v>83</v>
      </c>
    </row>
    <row r="2290" spans="1:11" x14ac:dyDescent="0.3">
      <c r="A2290" t="s">
        <v>11</v>
      </c>
      <c r="B2290" t="s">
        <v>31</v>
      </c>
      <c r="C2290" t="s">
        <v>179</v>
      </c>
      <c r="D2290" t="s">
        <v>765</v>
      </c>
      <c r="E2290" s="5">
        <v>45812.958333333343</v>
      </c>
      <c r="F2290">
        <v>26.902909000000001</v>
      </c>
      <c r="G2290">
        <v>75.836858000000007</v>
      </c>
      <c r="H2290" t="s">
        <v>776</v>
      </c>
      <c r="I2290">
        <v>24</v>
      </c>
      <c r="J2290">
        <v>80</v>
      </c>
      <c r="K2290">
        <v>45</v>
      </c>
    </row>
    <row r="2291" spans="1:11" x14ac:dyDescent="0.3">
      <c r="A2291" t="s">
        <v>11</v>
      </c>
      <c r="B2291" t="s">
        <v>31</v>
      </c>
      <c r="C2291" t="s">
        <v>179</v>
      </c>
      <c r="D2291" t="s">
        <v>718</v>
      </c>
      <c r="E2291" s="5">
        <v>45812.958333333343</v>
      </c>
      <c r="F2291">
        <v>26.843698</v>
      </c>
      <c r="G2291">
        <v>75.766893999999994</v>
      </c>
      <c r="H2291" t="s">
        <v>771</v>
      </c>
      <c r="I2291">
        <v>68</v>
      </c>
      <c r="J2291">
        <v>255</v>
      </c>
      <c r="K2291">
        <v>122</v>
      </c>
    </row>
    <row r="2292" spans="1:11" x14ac:dyDescent="0.3">
      <c r="A2292" t="s">
        <v>11</v>
      </c>
      <c r="B2292" t="s">
        <v>31</v>
      </c>
      <c r="C2292" t="s">
        <v>179</v>
      </c>
      <c r="D2292" t="s">
        <v>718</v>
      </c>
      <c r="E2292" s="5">
        <v>45812.958333333343</v>
      </c>
      <c r="F2292">
        <v>26.843698</v>
      </c>
      <c r="G2292">
        <v>75.766893999999994</v>
      </c>
      <c r="H2292" t="s">
        <v>773</v>
      </c>
      <c r="I2292">
        <v>1</v>
      </c>
      <c r="J2292">
        <v>6</v>
      </c>
      <c r="K2292">
        <v>4</v>
      </c>
    </row>
    <row r="2293" spans="1:11" x14ac:dyDescent="0.3">
      <c r="A2293" t="s">
        <v>11</v>
      </c>
      <c r="B2293" t="s">
        <v>31</v>
      </c>
      <c r="C2293" t="s">
        <v>179</v>
      </c>
      <c r="D2293" t="s">
        <v>535</v>
      </c>
      <c r="E2293" s="5">
        <v>45812.958333333343</v>
      </c>
      <c r="F2293">
        <v>26.9164092</v>
      </c>
      <c r="G2293">
        <v>75.7994901</v>
      </c>
      <c r="H2293" t="s">
        <v>772</v>
      </c>
      <c r="I2293">
        <v>8</v>
      </c>
      <c r="J2293">
        <v>62</v>
      </c>
      <c r="K2293">
        <v>25</v>
      </c>
    </row>
    <row r="2294" spans="1:11" x14ac:dyDescent="0.3">
      <c r="A2294" t="s">
        <v>11</v>
      </c>
      <c r="B2294" t="s">
        <v>31</v>
      </c>
      <c r="C2294" t="s">
        <v>179</v>
      </c>
      <c r="D2294" t="s">
        <v>535</v>
      </c>
      <c r="E2294" s="5">
        <v>45812.958333333343</v>
      </c>
      <c r="F2294">
        <v>26.9164092</v>
      </c>
      <c r="G2294">
        <v>75.7994901</v>
      </c>
      <c r="H2294" t="s">
        <v>770</v>
      </c>
      <c r="I2294">
        <v>10</v>
      </c>
      <c r="J2294">
        <v>77</v>
      </c>
      <c r="K2294">
        <v>39</v>
      </c>
    </row>
    <row r="2295" spans="1:11" x14ac:dyDescent="0.3">
      <c r="A2295" t="s">
        <v>11</v>
      </c>
      <c r="B2295" t="s">
        <v>31</v>
      </c>
      <c r="C2295" t="s">
        <v>184</v>
      </c>
      <c r="D2295" t="s">
        <v>544</v>
      </c>
      <c r="E2295" s="5">
        <v>45812.958333333343</v>
      </c>
      <c r="F2295">
        <v>26.215415</v>
      </c>
      <c r="G2295">
        <v>73.070155999999997</v>
      </c>
      <c r="H2295" t="s">
        <v>772</v>
      </c>
      <c r="I2295">
        <v>7</v>
      </c>
      <c r="J2295">
        <v>77</v>
      </c>
      <c r="K2295">
        <v>38</v>
      </c>
    </row>
    <row r="2296" spans="1:11" x14ac:dyDescent="0.3">
      <c r="A2296" t="s">
        <v>11</v>
      </c>
      <c r="B2296" t="s">
        <v>31</v>
      </c>
      <c r="C2296" t="s">
        <v>184</v>
      </c>
      <c r="D2296" t="s">
        <v>545</v>
      </c>
      <c r="E2296" s="5">
        <v>45812.958333333343</v>
      </c>
      <c r="F2296">
        <v>26.358805</v>
      </c>
      <c r="G2296">
        <v>73.047443999999999</v>
      </c>
      <c r="H2296" t="s">
        <v>775</v>
      </c>
      <c r="I2296">
        <v>15</v>
      </c>
      <c r="J2296">
        <v>197</v>
      </c>
      <c r="K2296">
        <v>62</v>
      </c>
    </row>
    <row r="2297" spans="1:11" x14ac:dyDescent="0.3">
      <c r="A2297" t="s">
        <v>11</v>
      </c>
      <c r="B2297" t="s">
        <v>31</v>
      </c>
      <c r="C2297" t="s">
        <v>184</v>
      </c>
      <c r="D2297" t="s">
        <v>545</v>
      </c>
      <c r="E2297" s="5">
        <v>45812.958333333343</v>
      </c>
      <c r="F2297">
        <v>26.358805</v>
      </c>
      <c r="G2297">
        <v>73.047443999999999</v>
      </c>
      <c r="H2297" t="s">
        <v>771</v>
      </c>
      <c r="I2297">
        <v>71</v>
      </c>
      <c r="J2297">
        <v>260</v>
      </c>
      <c r="K2297">
        <v>117</v>
      </c>
    </row>
    <row r="2298" spans="1:11" x14ac:dyDescent="0.3">
      <c r="A2298" t="s">
        <v>11</v>
      </c>
      <c r="B2298" t="s">
        <v>31</v>
      </c>
      <c r="C2298" t="s">
        <v>184</v>
      </c>
      <c r="D2298" t="s">
        <v>545</v>
      </c>
      <c r="E2298" s="5">
        <v>45812.958333333343</v>
      </c>
      <c r="F2298">
        <v>26.358805</v>
      </c>
      <c r="G2298">
        <v>73.047443999999999</v>
      </c>
      <c r="H2298" t="s">
        <v>774</v>
      </c>
      <c r="I2298">
        <v>5</v>
      </c>
      <c r="J2298">
        <v>37</v>
      </c>
      <c r="K2298">
        <v>15</v>
      </c>
    </row>
    <row r="2299" spans="1:11" x14ac:dyDescent="0.3">
      <c r="A2299" t="s">
        <v>11</v>
      </c>
      <c r="B2299" t="s">
        <v>31</v>
      </c>
      <c r="C2299" t="s">
        <v>195</v>
      </c>
      <c r="D2299" t="s">
        <v>723</v>
      </c>
      <c r="E2299" s="5">
        <v>45812.958333333343</v>
      </c>
      <c r="F2299">
        <v>25.164090000000002</v>
      </c>
      <c r="G2299">
        <v>75.858136999999999</v>
      </c>
      <c r="H2299" t="s">
        <v>772</v>
      </c>
      <c r="I2299">
        <v>34</v>
      </c>
      <c r="J2299">
        <v>129</v>
      </c>
      <c r="K2299">
        <v>72</v>
      </c>
    </row>
    <row r="2300" spans="1:11" x14ac:dyDescent="0.3">
      <c r="A2300" t="s">
        <v>11</v>
      </c>
      <c r="B2300" t="s">
        <v>31</v>
      </c>
      <c r="C2300" t="s">
        <v>195</v>
      </c>
      <c r="D2300" t="s">
        <v>720</v>
      </c>
      <c r="E2300" s="5">
        <v>45812.958333333343</v>
      </c>
      <c r="F2300">
        <v>25.143889999999999</v>
      </c>
      <c r="G2300">
        <v>75.821256000000005</v>
      </c>
      <c r="H2300" t="s">
        <v>771</v>
      </c>
      <c r="I2300">
        <v>71</v>
      </c>
      <c r="J2300">
        <v>142</v>
      </c>
      <c r="K2300">
        <v>105</v>
      </c>
    </row>
    <row r="2301" spans="1:11" x14ac:dyDescent="0.3">
      <c r="A2301" t="s">
        <v>11</v>
      </c>
      <c r="B2301" t="s">
        <v>31</v>
      </c>
      <c r="C2301" t="s">
        <v>274</v>
      </c>
      <c r="D2301" t="s">
        <v>721</v>
      </c>
      <c r="E2301" s="5">
        <v>45812.958333333343</v>
      </c>
      <c r="F2301">
        <v>27.213494000000001</v>
      </c>
      <c r="G2301">
        <v>73.734443999999996</v>
      </c>
      <c r="H2301" t="s">
        <v>775</v>
      </c>
      <c r="I2301">
        <v>17</v>
      </c>
      <c r="J2301">
        <v>305</v>
      </c>
      <c r="K2301">
        <v>89</v>
      </c>
    </row>
    <row r="2302" spans="1:11" x14ac:dyDescent="0.3">
      <c r="A2302" t="s">
        <v>11</v>
      </c>
      <c r="B2302" t="s">
        <v>31</v>
      </c>
      <c r="C2302" t="s">
        <v>274</v>
      </c>
      <c r="D2302" t="s">
        <v>721</v>
      </c>
      <c r="E2302" s="5">
        <v>45812.958333333343</v>
      </c>
      <c r="F2302">
        <v>27.213494000000001</v>
      </c>
      <c r="G2302">
        <v>73.734443999999996</v>
      </c>
      <c r="H2302" t="s">
        <v>772</v>
      </c>
      <c r="I2302">
        <v>7</v>
      </c>
      <c r="J2302">
        <v>103</v>
      </c>
      <c r="K2302">
        <v>30</v>
      </c>
    </row>
    <row r="2303" spans="1:11" x14ac:dyDescent="0.3">
      <c r="A2303" t="s">
        <v>11</v>
      </c>
      <c r="B2303" t="s">
        <v>31</v>
      </c>
      <c r="C2303" t="s">
        <v>186</v>
      </c>
      <c r="D2303" t="s">
        <v>547</v>
      </c>
      <c r="E2303" s="5">
        <v>45812.958333333343</v>
      </c>
      <c r="F2303">
        <v>24.041198000000001</v>
      </c>
      <c r="G2303">
        <v>74.780702000000005</v>
      </c>
      <c r="H2303" t="s">
        <v>775</v>
      </c>
      <c r="I2303">
        <v>33</v>
      </c>
      <c r="J2303">
        <v>83</v>
      </c>
      <c r="K2303">
        <v>55</v>
      </c>
    </row>
    <row r="2304" spans="1:11" x14ac:dyDescent="0.3">
      <c r="A2304" t="s">
        <v>11</v>
      </c>
      <c r="B2304" t="s">
        <v>31</v>
      </c>
      <c r="C2304" t="s">
        <v>188</v>
      </c>
      <c r="D2304" t="s">
        <v>549</v>
      </c>
      <c r="E2304" s="5">
        <v>45812.958333333343</v>
      </c>
      <c r="F2304">
        <v>26.031442999999999</v>
      </c>
      <c r="G2304">
        <v>76.359326999999993</v>
      </c>
      <c r="H2304" t="s">
        <v>770</v>
      </c>
      <c r="I2304">
        <v>7</v>
      </c>
      <c r="J2304">
        <v>167</v>
      </c>
      <c r="K2304">
        <v>93</v>
      </c>
    </row>
    <row r="2305" spans="1:11" x14ac:dyDescent="0.3">
      <c r="A2305" t="s">
        <v>11</v>
      </c>
      <c r="B2305" t="s">
        <v>31</v>
      </c>
      <c r="C2305" t="s">
        <v>189</v>
      </c>
      <c r="D2305" t="s">
        <v>550</v>
      </c>
      <c r="E2305" s="5">
        <v>45812.958333333343</v>
      </c>
      <c r="F2305">
        <v>27.608912</v>
      </c>
      <c r="G2305">
        <v>75.153301999999996</v>
      </c>
      <c r="H2305" t="s">
        <v>775</v>
      </c>
      <c r="I2305">
        <v>29</v>
      </c>
      <c r="J2305">
        <v>264</v>
      </c>
      <c r="K2305">
        <v>91</v>
      </c>
    </row>
    <row r="2306" spans="1:11" x14ac:dyDescent="0.3">
      <c r="A2306" t="s">
        <v>11</v>
      </c>
      <c r="B2306" t="s">
        <v>31</v>
      </c>
      <c r="C2306" t="s">
        <v>189</v>
      </c>
      <c r="D2306" t="s">
        <v>550</v>
      </c>
      <c r="E2306" s="5">
        <v>45812.958333333343</v>
      </c>
      <c r="F2306">
        <v>27.608912</v>
      </c>
      <c r="G2306">
        <v>75.153301999999996</v>
      </c>
      <c r="H2306" t="s">
        <v>770</v>
      </c>
      <c r="I2306">
        <v>4</v>
      </c>
      <c r="J2306">
        <v>82</v>
      </c>
      <c r="K2306">
        <v>56</v>
      </c>
    </row>
    <row r="2307" spans="1:11" x14ac:dyDescent="0.3">
      <c r="A2307" t="s">
        <v>11</v>
      </c>
      <c r="B2307" t="s">
        <v>31</v>
      </c>
      <c r="C2307" t="s">
        <v>275</v>
      </c>
      <c r="D2307" t="s">
        <v>724</v>
      </c>
      <c r="E2307" s="5">
        <v>45812.958333333343</v>
      </c>
      <c r="F2307">
        <v>24.885261</v>
      </c>
      <c r="G2307">
        <v>72.857549000000006</v>
      </c>
      <c r="H2307" t="s">
        <v>776</v>
      </c>
      <c r="I2307">
        <v>1</v>
      </c>
      <c r="J2307">
        <v>54</v>
      </c>
      <c r="K2307">
        <v>15</v>
      </c>
    </row>
    <row r="2308" spans="1:11" x14ac:dyDescent="0.3">
      <c r="A2308" t="s">
        <v>11</v>
      </c>
      <c r="B2308" t="s">
        <v>31</v>
      </c>
      <c r="C2308" t="s">
        <v>179</v>
      </c>
      <c r="D2308" t="s">
        <v>537</v>
      </c>
      <c r="E2308" s="5">
        <v>45812.958333333343</v>
      </c>
      <c r="F2308">
        <v>26.960668999999999</v>
      </c>
      <c r="G2308">
        <v>75.771816999999999</v>
      </c>
      <c r="H2308" t="s">
        <v>771</v>
      </c>
      <c r="I2308">
        <v>46</v>
      </c>
      <c r="J2308">
        <v>200</v>
      </c>
      <c r="K2308">
        <v>113</v>
      </c>
    </row>
    <row r="2309" spans="1:11" x14ac:dyDescent="0.3">
      <c r="A2309" t="s">
        <v>11</v>
      </c>
      <c r="B2309" t="s">
        <v>31</v>
      </c>
      <c r="C2309" t="s">
        <v>179</v>
      </c>
      <c r="D2309" t="s">
        <v>538</v>
      </c>
      <c r="E2309" s="5">
        <v>45812.958333333343</v>
      </c>
      <c r="F2309">
        <v>26.950292900000001</v>
      </c>
      <c r="G2309">
        <v>75.730942999999996</v>
      </c>
      <c r="H2309" t="s">
        <v>775</v>
      </c>
      <c r="I2309">
        <v>54</v>
      </c>
      <c r="J2309">
        <v>159</v>
      </c>
      <c r="K2309">
        <v>98</v>
      </c>
    </row>
    <row r="2310" spans="1:11" x14ac:dyDescent="0.3">
      <c r="A2310" t="s">
        <v>11</v>
      </c>
      <c r="B2310" t="s">
        <v>31</v>
      </c>
      <c r="C2310" t="s">
        <v>181</v>
      </c>
      <c r="D2310" t="s">
        <v>540</v>
      </c>
      <c r="E2310" s="5">
        <v>45812.958333333343</v>
      </c>
      <c r="F2310">
        <v>25.344694</v>
      </c>
      <c r="G2310">
        <v>72.626208000000005</v>
      </c>
      <c r="H2310" t="s">
        <v>772</v>
      </c>
      <c r="I2310">
        <v>40</v>
      </c>
      <c r="J2310">
        <v>86</v>
      </c>
      <c r="K2310">
        <v>55</v>
      </c>
    </row>
    <row r="2311" spans="1:11" x14ac:dyDescent="0.3">
      <c r="A2311" t="s">
        <v>11</v>
      </c>
      <c r="B2311" t="s">
        <v>31</v>
      </c>
      <c r="C2311" t="s">
        <v>207</v>
      </c>
      <c r="D2311" t="s">
        <v>571</v>
      </c>
      <c r="E2311" s="5">
        <v>45812.958333333343</v>
      </c>
      <c r="F2311">
        <v>26.159932999999999</v>
      </c>
      <c r="G2311">
        <v>75.780517000000003</v>
      </c>
      <c r="H2311" t="s">
        <v>776</v>
      </c>
      <c r="I2311">
        <v>3</v>
      </c>
      <c r="J2311">
        <v>125</v>
      </c>
      <c r="K2311">
        <v>45</v>
      </c>
    </row>
    <row r="2312" spans="1:11" x14ac:dyDescent="0.3">
      <c r="A2312" t="s">
        <v>11</v>
      </c>
      <c r="B2312" t="s">
        <v>31</v>
      </c>
      <c r="C2312" t="s">
        <v>276</v>
      </c>
      <c r="D2312" t="s">
        <v>725</v>
      </c>
      <c r="E2312" s="5">
        <v>45812.958333333343</v>
      </c>
      <c r="F2312">
        <v>24.588616600000002</v>
      </c>
      <c r="G2312">
        <v>73.632139699999996</v>
      </c>
      <c r="H2312" t="s">
        <v>771</v>
      </c>
      <c r="I2312">
        <v>67</v>
      </c>
      <c r="J2312">
        <v>118</v>
      </c>
      <c r="K2312">
        <v>95</v>
      </c>
    </row>
    <row r="2313" spans="1:11" x14ac:dyDescent="0.3">
      <c r="A2313" t="s">
        <v>11</v>
      </c>
      <c r="B2313" t="s">
        <v>31</v>
      </c>
      <c r="C2313" t="s">
        <v>276</v>
      </c>
      <c r="D2313" t="s">
        <v>725</v>
      </c>
      <c r="E2313" s="5">
        <v>45812.958333333343</v>
      </c>
      <c r="F2313">
        <v>24.588616600000002</v>
      </c>
      <c r="G2313">
        <v>73.632139699999996</v>
      </c>
      <c r="H2313" t="s">
        <v>774</v>
      </c>
      <c r="I2313">
        <v>1</v>
      </c>
      <c r="J2313">
        <v>20</v>
      </c>
      <c r="K2313">
        <v>8</v>
      </c>
    </row>
    <row r="2314" spans="1:11" x14ac:dyDescent="0.3">
      <c r="A2314" t="s">
        <v>11</v>
      </c>
      <c r="B2314" t="s">
        <v>31</v>
      </c>
      <c r="C2314" t="s">
        <v>187</v>
      </c>
      <c r="D2314" t="s">
        <v>548</v>
      </c>
      <c r="E2314" s="5">
        <v>45812.958333333343</v>
      </c>
      <c r="F2314">
        <v>25.036359999999998</v>
      </c>
      <c r="G2314">
        <v>73.883501999999993</v>
      </c>
      <c r="H2314" t="s">
        <v>775</v>
      </c>
      <c r="I2314">
        <v>7</v>
      </c>
      <c r="J2314">
        <v>140</v>
      </c>
      <c r="K2314">
        <v>35</v>
      </c>
    </row>
    <row r="2315" spans="1:11" x14ac:dyDescent="0.3">
      <c r="A2315" t="s">
        <v>11</v>
      </c>
      <c r="B2315" t="s">
        <v>31</v>
      </c>
      <c r="C2315" t="s">
        <v>187</v>
      </c>
      <c r="D2315" t="s">
        <v>548</v>
      </c>
      <c r="E2315" s="5">
        <v>45812.958333333343</v>
      </c>
      <c r="F2315">
        <v>25.036359999999998</v>
      </c>
      <c r="G2315">
        <v>73.883501999999993</v>
      </c>
      <c r="H2315" t="s">
        <v>773</v>
      </c>
      <c r="I2315">
        <v>8</v>
      </c>
      <c r="J2315">
        <v>21</v>
      </c>
      <c r="K2315">
        <v>13</v>
      </c>
    </row>
    <row r="2316" spans="1:11" x14ac:dyDescent="0.3">
      <c r="A2316" t="s">
        <v>11</v>
      </c>
      <c r="B2316" t="s">
        <v>31</v>
      </c>
      <c r="C2316" t="s">
        <v>187</v>
      </c>
      <c r="D2316" t="s">
        <v>548</v>
      </c>
      <c r="E2316" s="5">
        <v>45812.958333333343</v>
      </c>
      <c r="F2316">
        <v>25.036359999999998</v>
      </c>
      <c r="G2316">
        <v>73.883501999999993</v>
      </c>
      <c r="H2316" t="s">
        <v>774</v>
      </c>
      <c r="I2316">
        <v>2</v>
      </c>
      <c r="J2316">
        <v>15</v>
      </c>
      <c r="K2316">
        <v>6</v>
      </c>
    </row>
    <row r="2317" spans="1:11" x14ac:dyDescent="0.3">
      <c r="A2317" t="s">
        <v>11</v>
      </c>
      <c r="B2317" t="s">
        <v>34</v>
      </c>
      <c r="C2317" t="s">
        <v>202</v>
      </c>
      <c r="D2317" t="s">
        <v>566</v>
      </c>
      <c r="E2317" s="5">
        <v>45812.958333333343</v>
      </c>
      <c r="F2317">
        <v>27.338529999999999</v>
      </c>
      <c r="G2317">
        <v>88.614098999999996</v>
      </c>
      <c r="H2317" t="s">
        <v>772</v>
      </c>
      <c r="I2317">
        <v>1</v>
      </c>
      <c r="J2317">
        <v>10</v>
      </c>
      <c r="K2317">
        <v>4</v>
      </c>
    </row>
    <row r="2318" spans="1:11" x14ac:dyDescent="0.3">
      <c r="A2318" t="s">
        <v>11</v>
      </c>
      <c r="B2318" t="s">
        <v>34</v>
      </c>
      <c r="C2318" t="s">
        <v>202</v>
      </c>
      <c r="D2318" t="s">
        <v>566</v>
      </c>
      <c r="E2318" s="5">
        <v>45812.958333333343</v>
      </c>
      <c r="F2318">
        <v>27.338529999999999</v>
      </c>
      <c r="G2318">
        <v>88.614098999999996</v>
      </c>
      <c r="H2318" t="s">
        <v>770</v>
      </c>
      <c r="I2318">
        <v>20</v>
      </c>
      <c r="J2318">
        <v>98</v>
      </c>
      <c r="K2318">
        <v>33</v>
      </c>
    </row>
    <row r="2319" spans="1:11" x14ac:dyDescent="0.3">
      <c r="A2319" t="s">
        <v>11</v>
      </c>
      <c r="B2319" t="s">
        <v>33</v>
      </c>
      <c r="C2319" t="s">
        <v>215</v>
      </c>
      <c r="D2319" t="s">
        <v>588</v>
      </c>
      <c r="E2319" s="5">
        <v>45812.958333333343</v>
      </c>
      <c r="F2319">
        <v>8.8164280000000002</v>
      </c>
      <c r="G2319">
        <v>78.099039000000005</v>
      </c>
      <c r="H2319" t="s">
        <v>776</v>
      </c>
      <c r="I2319">
        <v>6</v>
      </c>
      <c r="J2319">
        <v>40</v>
      </c>
      <c r="K2319">
        <v>19</v>
      </c>
    </row>
    <row r="2320" spans="1:11" x14ac:dyDescent="0.3">
      <c r="A2320" t="s">
        <v>11</v>
      </c>
      <c r="B2320" t="s">
        <v>33</v>
      </c>
      <c r="C2320" t="s">
        <v>209</v>
      </c>
      <c r="D2320" t="s">
        <v>577</v>
      </c>
      <c r="E2320" s="5">
        <v>45812.958333333343</v>
      </c>
      <c r="F2320">
        <v>10.830158000000001</v>
      </c>
      <c r="G2320">
        <v>78.691849000000005</v>
      </c>
      <c r="H2320" t="s">
        <v>775</v>
      </c>
      <c r="I2320">
        <v>9</v>
      </c>
      <c r="J2320">
        <v>28</v>
      </c>
      <c r="K2320">
        <v>20</v>
      </c>
    </row>
    <row r="2321" spans="1:11" x14ac:dyDescent="0.3">
      <c r="A2321" t="s">
        <v>11</v>
      </c>
      <c r="B2321" t="s">
        <v>33</v>
      </c>
      <c r="C2321" t="s">
        <v>210</v>
      </c>
      <c r="D2321" t="s">
        <v>578</v>
      </c>
      <c r="E2321" s="5">
        <v>45812.958333333343</v>
      </c>
      <c r="F2321">
        <v>8.7284419999999994</v>
      </c>
      <c r="G2321">
        <v>77.696200000000005</v>
      </c>
      <c r="H2321" t="s">
        <v>771</v>
      </c>
      <c r="I2321">
        <v>20</v>
      </c>
      <c r="J2321">
        <v>37</v>
      </c>
      <c r="K2321">
        <v>28</v>
      </c>
    </row>
    <row r="2322" spans="1:11" x14ac:dyDescent="0.3">
      <c r="A2322" t="s">
        <v>11</v>
      </c>
      <c r="B2322" t="s">
        <v>33</v>
      </c>
      <c r="C2322" t="s">
        <v>210</v>
      </c>
      <c r="D2322" t="s">
        <v>578</v>
      </c>
      <c r="E2322" s="5">
        <v>45812.958333333343</v>
      </c>
      <c r="F2322">
        <v>8.7284419999999994</v>
      </c>
      <c r="G2322">
        <v>77.696200000000005</v>
      </c>
      <c r="H2322" t="s">
        <v>774</v>
      </c>
      <c r="I2322">
        <v>18</v>
      </c>
      <c r="J2322">
        <v>30</v>
      </c>
      <c r="K2322">
        <v>20</v>
      </c>
    </row>
    <row r="2323" spans="1:11" x14ac:dyDescent="0.3">
      <c r="A2323" t="s">
        <v>11</v>
      </c>
      <c r="B2323" t="s">
        <v>33</v>
      </c>
      <c r="C2323" t="s">
        <v>210</v>
      </c>
      <c r="D2323" t="s">
        <v>578</v>
      </c>
      <c r="E2323" s="5">
        <v>45812.958333333343</v>
      </c>
      <c r="F2323">
        <v>8.7284419999999994</v>
      </c>
      <c r="G2323">
        <v>77.696200000000005</v>
      </c>
      <c r="H2323" t="s">
        <v>770</v>
      </c>
      <c r="I2323">
        <v>6</v>
      </c>
      <c r="J2323">
        <v>7</v>
      </c>
      <c r="K2323">
        <v>6</v>
      </c>
    </row>
    <row r="2324" spans="1:11" x14ac:dyDescent="0.3">
      <c r="A2324" t="s">
        <v>11</v>
      </c>
      <c r="B2324" t="s">
        <v>33</v>
      </c>
      <c r="C2324" t="s">
        <v>211</v>
      </c>
      <c r="D2324" t="s">
        <v>579</v>
      </c>
      <c r="E2324" s="5">
        <v>45812.958333333343</v>
      </c>
      <c r="F2324">
        <v>11.0973603</v>
      </c>
      <c r="G2324">
        <v>77.322867299999999</v>
      </c>
      <c r="H2324" t="s">
        <v>771</v>
      </c>
      <c r="I2324">
        <v>14</v>
      </c>
      <c r="J2324">
        <v>69</v>
      </c>
      <c r="K2324">
        <v>34</v>
      </c>
    </row>
    <row r="2325" spans="1:11" x14ac:dyDescent="0.3">
      <c r="A2325" t="s">
        <v>11</v>
      </c>
      <c r="B2325" t="s">
        <v>33</v>
      </c>
      <c r="C2325" t="s">
        <v>211</v>
      </c>
      <c r="D2325" t="s">
        <v>579</v>
      </c>
      <c r="E2325" s="5">
        <v>45812.958333333343</v>
      </c>
      <c r="F2325">
        <v>11.0973603</v>
      </c>
      <c r="G2325">
        <v>77.322867299999999</v>
      </c>
      <c r="H2325" t="s">
        <v>774</v>
      </c>
    </row>
    <row r="2326" spans="1:11" x14ac:dyDescent="0.3">
      <c r="A2326" t="s">
        <v>11</v>
      </c>
      <c r="B2326" t="s">
        <v>33</v>
      </c>
      <c r="C2326" t="s">
        <v>211</v>
      </c>
      <c r="D2326" t="s">
        <v>579</v>
      </c>
      <c r="E2326" s="5">
        <v>45812.958333333343</v>
      </c>
      <c r="F2326">
        <v>11.0973603</v>
      </c>
      <c r="G2326">
        <v>77.322867299999999</v>
      </c>
      <c r="H2326" t="s">
        <v>770</v>
      </c>
    </row>
    <row r="2327" spans="1:11" x14ac:dyDescent="0.3">
      <c r="A2327" t="s">
        <v>11</v>
      </c>
      <c r="B2327" t="s">
        <v>33</v>
      </c>
      <c r="C2327" t="s">
        <v>212</v>
      </c>
      <c r="D2327" t="s">
        <v>580</v>
      </c>
      <c r="E2327" s="5">
        <v>45812.958333333343</v>
      </c>
      <c r="F2327">
        <v>9.5593819999999994</v>
      </c>
      <c r="G2327">
        <v>77.948828000000006</v>
      </c>
      <c r="H2327" t="s">
        <v>772</v>
      </c>
      <c r="I2327">
        <v>19</v>
      </c>
      <c r="J2327">
        <v>19</v>
      </c>
      <c r="K2327">
        <v>19</v>
      </c>
    </row>
    <row r="2328" spans="1:11" x14ac:dyDescent="0.3">
      <c r="A2328" t="s">
        <v>11</v>
      </c>
      <c r="B2328" t="s">
        <v>33</v>
      </c>
      <c r="C2328" t="s">
        <v>217</v>
      </c>
      <c r="D2328" t="s">
        <v>592</v>
      </c>
      <c r="E2328" s="5">
        <v>45812.958333333343</v>
      </c>
      <c r="F2328">
        <v>9.3639899999999994</v>
      </c>
      <c r="G2328">
        <v>78.831976999999995</v>
      </c>
      <c r="H2328" t="s">
        <v>776</v>
      </c>
      <c r="I2328">
        <v>21</v>
      </c>
      <c r="J2328">
        <v>24</v>
      </c>
      <c r="K2328">
        <v>23</v>
      </c>
    </row>
    <row r="2329" spans="1:11" x14ac:dyDescent="0.3">
      <c r="A2329" t="s">
        <v>11</v>
      </c>
      <c r="B2329" t="s">
        <v>33</v>
      </c>
      <c r="C2329" t="s">
        <v>214</v>
      </c>
      <c r="D2329" t="s">
        <v>587</v>
      </c>
      <c r="E2329" s="5">
        <v>45812.958333333343</v>
      </c>
      <c r="F2329">
        <v>12.952707</v>
      </c>
      <c r="G2329">
        <v>79.303939999999997</v>
      </c>
      <c r="H2329" t="s">
        <v>770</v>
      </c>
      <c r="I2329">
        <v>1</v>
      </c>
      <c r="J2329">
        <v>1</v>
      </c>
      <c r="K2329">
        <v>1</v>
      </c>
    </row>
    <row r="2330" spans="1:11" x14ac:dyDescent="0.3">
      <c r="A2330" t="s">
        <v>11</v>
      </c>
      <c r="B2330" t="s">
        <v>33</v>
      </c>
      <c r="C2330" t="s">
        <v>280</v>
      </c>
      <c r="D2330" t="s">
        <v>730</v>
      </c>
      <c r="E2330" s="5">
        <v>45812.958333333343</v>
      </c>
      <c r="F2330">
        <v>11.679111000000001</v>
      </c>
      <c r="G2330">
        <v>78.125051999999997</v>
      </c>
      <c r="H2330" t="s">
        <v>771</v>
      </c>
      <c r="I2330">
        <v>25</v>
      </c>
      <c r="J2330">
        <v>52</v>
      </c>
      <c r="K2330">
        <v>39</v>
      </c>
    </row>
    <row r="2331" spans="1:11" x14ac:dyDescent="0.3">
      <c r="A2331" t="s">
        <v>11</v>
      </c>
      <c r="B2331" t="s">
        <v>33</v>
      </c>
      <c r="C2331" t="s">
        <v>280</v>
      </c>
      <c r="D2331" t="s">
        <v>730</v>
      </c>
      <c r="E2331" s="5">
        <v>45812.958333333343</v>
      </c>
      <c r="F2331">
        <v>11.679111000000001</v>
      </c>
      <c r="G2331">
        <v>78.125051999999997</v>
      </c>
      <c r="H2331" t="s">
        <v>773</v>
      </c>
      <c r="I2331">
        <v>3</v>
      </c>
      <c r="J2331">
        <v>3</v>
      </c>
      <c r="K2331">
        <v>3</v>
      </c>
    </row>
    <row r="2332" spans="1:11" x14ac:dyDescent="0.3">
      <c r="A2332" t="s">
        <v>11</v>
      </c>
      <c r="B2332" t="s">
        <v>33</v>
      </c>
      <c r="C2332" t="s">
        <v>281</v>
      </c>
      <c r="D2332" t="s">
        <v>731</v>
      </c>
      <c r="E2332" s="5">
        <v>45812.958333333343</v>
      </c>
      <c r="F2332">
        <v>10.7654824</v>
      </c>
      <c r="G2332">
        <v>79.138996800000001</v>
      </c>
      <c r="H2332" t="s">
        <v>775</v>
      </c>
      <c r="I2332">
        <v>18</v>
      </c>
      <c r="J2332">
        <v>70</v>
      </c>
      <c r="K2332">
        <v>36</v>
      </c>
    </row>
    <row r="2333" spans="1:11" x14ac:dyDescent="0.3">
      <c r="A2333" t="s">
        <v>11</v>
      </c>
      <c r="B2333" t="s">
        <v>33</v>
      </c>
      <c r="C2333" t="s">
        <v>281</v>
      </c>
      <c r="D2333" t="s">
        <v>731</v>
      </c>
      <c r="E2333" s="5">
        <v>45812.958333333343</v>
      </c>
      <c r="F2333">
        <v>10.7654824</v>
      </c>
      <c r="G2333">
        <v>79.138996800000001</v>
      </c>
      <c r="H2333" t="s">
        <v>772</v>
      </c>
      <c r="I2333">
        <v>4</v>
      </c>
      <c r="J2333">
        <v>5</v>
      </c>
      <c r="K2333">
        <v>4</v>
      </c>
    </row>
    <row r="2334" spans="1:11" x14ac:dyDescent="0.3">
      <c r="A2334" t="s">
        <v>11</v>
      </c>
      <c r="B2334" t="s">
        <v>33</v>
      </c>
      <c r="C2334" t="s">
        <v>281</v>
      </c>
      <c r="D2334" t="s">
        <v>731</v>
      </c>
      <c r="E2334" s="5">
        <v>45812.958333333343</v>
      </c>
      <c r="F2334">
        <v>10.7654824</v>
      </c>
      <c r="G2334">
        <v>79.138996800000001</v>
      </c>
      <c r="H2334" t="s">
        <v>774</v>
      </c>
      <c r="I2334">
        <v>16</v>
      </c>
      <c r="J2334">
        <v>17</v>
      </c>
      <c r="K2334">
        <v>16</v>
      </c>
    </row>
    <row r="2335" spans="1:11" x14ac:dyDescent="0.3">
      <c r="A2335" t="s">
        <v>11</v>
      </c>
      <c r="B2335" t="s">
        <v>33</v>
      </c>
      <c r="C2335" t="s">
        <v>215</v>
      </c>
      <c r="D2335" t="s">
        <v>588</v>
      </c>
      <c r="E2335" s="5">
        <v>45812.958333333343</v>
      </c>
      <c r="F2335">
        <v>8.8164280000000002</v>
      </c>
      <c r="G2335">
        <v>78.099039000000005</v>
      </c>
      <c r="H2335" t="s">
        <v>772</v>
      </c>
      <c r="I2335">
        <v>4</v>
      </c>
      <c r="J2335">
        <v>6</v>
      </c>
      <c r="K2335">
        <v>5</v>
      </c>
    </row>
    <row r="2336" spans="1:11" x14ac:dyDescent="0.3">
      <c r="A2336" t="s">
        <v>11</v>
      </c>
      <c r="B2336" t="s">
        <v>33</v>
      </c>
      <c r="C2336" t="s">
        <v>208</v>
      </c>
      <c r="D2336" t="s">
        <v>735</v>
      </c>
      <c r="E2336" s="5">
        <v>45812.958333333343</v>
      </c>
      <c r="F2336">
        <v>11.763768300000001</v>
      </c>
      <c r="G2336">
        <v>79.749983499999999</v>
      </c>
      <c r="H2336" t="s">
        <v>770</v>
      </c>
      <c r="I2336">
        <v>1</v>
      </c>
      <c r="J2336">
        <v>2</v>
      </c>
      <c r="K2336">
        <v>1</v>
      </c>
    </row>
    <row r="2337" spans="1:11" x14ac:dyDescent="0.3">
      <c r="A2337" t="s">
        <v>11</v>
      </c>
      <c r="B2337" t="s">
        <v>33</v>
      </c>
      <c r="C2337" t="s">
        <v>204</v>
      </c>
      <c r="D2337" t="s">
        <v>568</v>
      </c>
      <c r="E2337" s="5">
        <v>45812.958333333343</v>
      </c>
      <c r="F2337">
        <v>10.358535</v>
      </c>
      <c r="G2337">
        <v>77.984320999999994</v>
      </c>
      <c r="H2337" t="s">
        <v>771</v>
      </c>
      <c r="I2337">
        <v>46</v>
      </c>
      <c r="J2337">
        <v>95</v>
      </c>
      <c r="K2337">
        <v>63</v>
      </c>
    </row>
    <row r="2338" spans="1:11" x14ac:dyDescent="0.3">
      <c r="A2338" t="s">
        <v>11</v>
      </c>
      <c r="B2338" t="s">
        <v>33</v>
      </c>
      <c r="C2338" t="s">
        <v>278</v>
      </c>
      <c r="D2338" t="s">
        <v>728</v>
      </c>
      <c r="E2338" s="5">
        <v>45812.958333333343</v>
      </c>
      <c r="F2338">
        <v>13.412699999999999</v>
      </c>
      <c r="G2338">
        <v>80.108099999999993</v>
      </c>
      <c r="H2338" t="s">
        <v>772</v>
      </c>
      <c r="I2338">
        <v>7</v>
      </c>
      <c r="J2338">
        <v>32</v>
      </c>
      <c r="K2338">
        <v>16</v>
      </c>
    </row>
    <row r="2339" spans="1:11" x14ac:dyDescent="0.3">
      <c r="A2339" t="s">
        <v>11</v>
      </c>
      <c r="B2339" t="s">
        <v>33</v>
      </c>
      <c r="C2339" t="s">
        <v>278</v>
      </c>
      <c r="D2339" t="s">
        <v>728</v>
      </c>
      <c r="E2339" s="5">
        <v>45812.958333333343</v>
      </c>
      <c r="F2339">
        <v>13.412699999999999</v>
      </c>
      <c r="G2339">
        <v>80.108099999999993</v>
      </c>
      <c r="H2339" t="s">
        <v>774</v>
      </c>
      <c r="I2339">
        <v>3</v>
      </c>
      <c r="J2339">
        <v>62</v>
      </c>
      <c r="K2339">
        <v>26</v>
      </c>
    </row>
    <row r="2340" spans="1:11" x14ac:dyDescent="0.3">
      <c r="A2340" t="s">
        <v>11</v>
      </c>
      <c r="B2340" t="s">
        <v>33</v>
      </c>
      <c r="C2340" t="s">
        <v>205</v>
      </c>
      <c r="D2340" t="s">
        <v>569</v>
      </c>
      <c r="E2340" s="5">
        <v>45812.958333333343</v>
      </c>
      <c r="F2340">
        <v>12.746998</v>
      </c>
      <c r="G2340">
        <v>77.813811000000001</v>
      </c>
      <c r="H2340" t="s">
        <v>774</v>
      </c>
      <c r="I2340">
        <v>48</v>
      </c>
      <c r="J2340">
        <v>51</v>
      </c>
      <c r="K2340">
        <v>50</v>
      </c>
    </row>
    <row r="2341" spans="1:11" x14ac:dyDescent="0.3">
      <c r="A2341" t="s">
        <v>11</v>
      </c>
      <c r="B2341" t="s">
        <v>33</v>
      </c>
      <c r="C2341" t="s">
        <v>205</v>
      </c>
      <c r="D2341" t="s">
        <v>569</v>
      </c>
      <c r="E2341" s="5">
        <v>45812.958333333343</v>
      </c>
      <c r="F2341">
        <v>12.746998</v>
      </c>
      <c r="G2341">
        <v>77.813811000000001</v>
      </c>
      <c r="H2341" t="s">
        <v>770</v>
      </c>
      <c r="I2341">
        <v>40</v>
      </c>
      <c r="J2341">
        <v>78</v>
      </c>
      <c r="K2341">
        <v>44</v>
      </c>
    </row>
    <row r="2342" spans="1:11" x14ac:dyDescent="0.3">
      <c r="A2342" t="s">
        <v>11</v>
      </c>
      <c r="B2342" t="s">
        <v>33</v>
      </c>
      <c r="C2342" t="s">
        <v>279</v>
      </c>
      <c r="D2342" t="s">
        <v>729</v>
      </c>
      <c r="E2342" s="5">
        <v>45812.958333333343</v>
      </c>
      <c r="F2342">
        <v>12.864618</v>
      </c>
      <c r="G2342">
        <v>79.659968000000006</v>
      </c>
      <c r="H2342" t="s">
        <v>775</v>
      </c>
      <c r="I2342">
        <v>27</v>
      </c>
      <c r="J2342">
        <v>80</v>
      </c>
      <c r="K2342">
        <v>50</v>
      </c>
    </row>
    <row r="2343" spans="1:11" x14ac:dyDescent="0.3">
      <c r="A2343" t="s">
        <v>11</v>
      </c>
      <c r="B2343" t="s">
        <v>33</v>
      </c>
      <c r="C2343" t="s">
        <v>279</v>
      </c>
      <c r="D2343" t="s">
        <v>729</v>
      </c>
      <c r="E2343" s="5">
        <v>45812.958333333343</v>
      </c>
      <c r="F2343">
        <v>12.864618</v>
      </c>
      <c r="G2343">
        <v>79.659968000000006</v>
      </c>
      <c r="H2343" t="s">
        <v>771</v>
      </c>
      <c r="I2343">
        <v>44</v>
      </c>
      <c r="J2343">
        <v>120</v>
      </c>
      <c r="K2343">
        <v>81</v>
      </c>
    </row>
    <row r="2344" spans="1:11" x14ac:dyDescent="0.3">
      <c r="A2344" t="s">
        <v>11</v>
      </c>
      <c r="B2344" t="s">
        <v>33</v>
      </c>
      <c r="C2344" t="s">
        <v>291</v>
      </c>
      <c r="D2344" t="s">
        <v>766</v>
      </c>
      <c r="E2344" s="5">
        <v>45812.958333333343</v>
      </c>
      <c r="F2344">
        <v>11.4068288</v>
      </c>
      <c r="G2344">
        <v>76.713897299999999</v>
      </c>
      <c r="H2344" t="s">
        <v>775</v>
      </c>
      <c r="I2344">
        <v>37</v>
      </c>
      <c r="J2344">
        <v>140</v>
      </c>
      <c r="K2344">
        <v>63</v>
      </c>
    </row>
    <row r="2345" spans="1:11" x14ac:dyDescent="0.3">
      <c r="A2345" t="s">
        <v>11</v>
      </c>
      <c r="B2345" t="s">
        <v>33</v>
      </c>
      <c r="C2345" t="s">
        <v>291</v>
      </c>
      <c r="D2345" t="s">
        <v>766</v>
      </c>
      <c r="E2345" s="5">
        <v>45812.958333333343</v>
      </c>
      <c r="F2345">
        <v>11.4068288</v>
      </c>
      <c r="G2345">
        <v>76.713897299999999</v>
      </c>
      <c r="H2345" t="s">
        <v>776</v>
      </c>
      <c r="I2345">
        <v>24</v>
      </c>
      <c r="J2345">
        <v>27</v>
      </c>
      <c r="K2345">
        <v>26</v>
      </c>
    </row>
    <row r="2346" spans="1:11" x14ac:dyDescent="0.3">
      <c r="A2346" t="s">
        <v>11</v>
      </c>
      <c r="B2346" t="s">
        <v>33</v>
      </c>
      <c r="C2346" t="s">
        <v>283</v>
      </c>
      <c r="D2346" t="s">
        <v>733</v>
      </c>
      <c r="E2346" s="5">
        <v>45812.958333333343</v>
      </c>
      <c r="F2346">
        <v>10.681158</v>
      </c>
      <c r="G2346">
        <v>78.741746000000006</v>
      </c>
      <c r="H2346" t="s">
        <v>775</v>
      </c>
      <c r="I2346">
        <v>11</v>
      </c>
      <c r="J2346">
        <v>30</v>
      </c>
      <c r="K2346">
        <v>20</v>
      </c>
    </row>
    <row r="2347" spans="1:11" x14ac:dyDescent="0.3">
      <c r="A2347" t="s">
        <v>11</v>
      </c>
      <c r="B2347" t="s">
        <v>33</v>
      </c>
      <c r="C2347" t="s">
        <v>217</v>
      </c>
      <c r="D2347" t="s">
        <v>592</v>
      </c>
      <c r="E2347" s="5">
        <v>45812.958333333343</v>
      </c>
      <c r="F2347">
        <v>9.3639899999999994</v>
      </c>
      <c r="G2347">
        <v>78.831976999999995</v>
      </c>
      <c r="H2347" t="s">
        <v>775</v>
      </c>
      <c r="I2347">
        <v>17</v>
      </c>
      <c r="J2347">
        <v>41</v>
      </c>
      <c r="K2347">
        <v>28</v>
      </c>
    </row>
    <row r="2348" spans="1:11" x14ac:dyDescent="0.3">
      <c r="A2348" t="s">
        <v>11</v>
      </c>
      <c r="B2348" t="s">
        <v>33</v>
      </c>
      <c r="C2348" t="s">
        <v>217</v>
      </c>
      <c r="D2348" t="s">
        <v>592</v>
      </c>
      <c r="E2348" s="5">
        <v>45812.958333333343</v>
      </c>
      <c r="F2348">
        <v>9.3639899999999994</v>
      </c>
      <c r="G2348">
        <v>78.831976999999995</v>
      </c>
      <c r="H2348" t="s">
        <v>771</v>
      </c>
      <c r="I2348">
        <v>11</v>
      </c>
      <c r="J2348">
        <v>47</v>
      </c>
      <c r="K2348">
        <v>27</v>
      </c>
    </row>
    <row r="2349" spans="1:11" x14ac:dyDescent="0.3">
      <c r="A2349" t="s">
        <v>11</v>
      </c>
      <c r="B2349" t="s">
        <v>33</v>
      </c>
      <c r="C2349" t="s">
        <v>277</v>
      </c>
      <c r="D2349" t="s">
        <v>727</v>
      </c>
      <c r="E2349" s="5">
        <v>45812.958333333343</v>
      </c>
      <c r="F2349">
        <v>12.877731600000001</v>
      </c>
      <c r="G2349">
        <v>80.083480699999996</v>
      </c>
      <c r="H2349" t="s">
        <v>772</v>
      </c>
    </row>
    <row r="2350" spans="1:11" x14ac:dyDescent="0.3">
      <c r="A2350" t="s">
        <v>11</v>
      </c>
      <c r="B2350" t="s">
        <v>33</v>
      </c>
      <c r="C2350" t="s">
        <v>277</v>
      </c>
      <c r="D2350" t="s">
        <v>727</v>
      </c>
      <c r="E2350" s="5">
        <v>45812.958333333343</v>
      </c>
      <c r="F2350">
        <v>12.877731600000001</v>
      </c>
      <c r="G2350">
        <v>80.083480699999996</v>
      </c>
      <c r="H2350" t="s">
        <v>776</v>
      </c>
      <c r="I2350">
        <v>20</v>
      </c>
      <c r="J2350">
        <v>20</v>
      </c>
      <c r="K2350">
        <v>20</v>
      </c>
    </row>
    <row r="2351" spans="1:11" x14ac:dyDescent="0.3">
      <c r="A2351" t="s">
        <v>11</v>
      </c>
      <c r="B2351" t="s">
        <v>33</v>
      </c>
      <c r="C2351" t="s">
        <v>197</v>
      </c>
      <c r="D2351" t="s">
        <v>572</v>
      </c>
      <c r="E2351" s="5">
        <v>45812.958333333343</v>
      </c>
      <c r="F2351">
        <v>12.9099161</v>
      </c>
      <c r="G2351">
        <v>80.107653799999994</v>
      </c>
      <c r="H2351" t="s">
        <v>776</v>
      </c>
      <c r="I2351">
        <v>12</v>
      </c>
      <c r="J2351">
        <v>30</v>
      </c>
      <c r="K2351">
        <v>26</v>
      </c>
    </row>
    <row r="2352" spans="1:11" x14ac:dyDescent="0.3">
      <c r="A2352" t="s">
        <v>11</v>
      </c>
      <c r="B2352" t="s">
        <v>33</v>
      </c>
      <c r="C2352" t="s">
        <v>197</v>
      </c>
      <c r="D2352" t="s">
        <v>573</v>
      </c>
      <c r="E2352" s="5">
        <v>45812.958333333343</v>
      </c>
      <c r="F2352">
        <v>13.127800000000001</v>
      </c>
      <c r="G2352">
        <v>80.264200000000002</v>
      </c>
      <c r="H2352" t="s">
        <v>771</v>
      </c>
      <c r="I2352">
        <v>10</v>
      </c>
      <c r="J2352">
        <v>60</v>
      </c>
      <c r="K2352">
        <v>32</v>
      </c>
    </row>
    <row r="2353" spans="1:11" x14ac:dyDescent="0.3">
      <c r="A2353" t="s">
        <v>11</v>
      </c>
      <c r="B2353" t="s">
        <v>33</v>
      </c>
      <c r="C2353" t="s">
        <v>197</v>
      </c>
      <c r="D2353" t="s">
        <v>573</v>
      </c>
      <c r="E2353" s="5">
        <v>45812.958333333343</v>
      </c>
      <c r="F2353">
        <v>13.127800000000001</v>
      </c>
      <c r="G2353">
        <v>80.264200000000002</v>
      </c>
      <c r="H2353" t="s">
        <v>772</v>
      </c>
      <c r="I2353">
        <v>8</v>
      </c>
      <c r="J2353">
        <v>17</v>
      </c>
      <c r="K2353">
        <v>13</v>
      </c>
    </row>
    <row r="2354" spans="1:11" x14ac:dyDescent="0.3">
      <c r="A2354" t="s">
        <v>11</v>
      </c>
      <c r="B2354" t="s">
        <v>33</v>
      </c>
      <c r="C2354" t="s">
        <v>279</v>
      </c>
      <c r="D2354" t="s">
        <v>729</v>
      </c>
      <c r="E2354" s="5">
        <v>45812.958333333343</v>
      </c>
      <c r="F2354">
        <v>12.864618</v>
      </c>
      <c r="G2354">
        <v>79.659968000000006</v>
      </c>
      <c r="H2354" t="s">
        <v>774</v>
      </c>
      <c r="I2354">
        <v>6</v>
      </c>
      <c r="J2354">
        <v>9</v>
      </c>
      <c r="K2354">
        <v>7</v>
      </c>
    </row>
    <row r="2355" spans="1:11" x14ac:dyDescent="0.3">
      <c r="A2355" t="s">
        <v>11</v>
      </c>
      <c r="B2355" t="s">
        <v>33</v>
      </c>
      <c r="C2355" t="s">
        <v>279</v>
      </c>
      <c r="D2355" t="s">
        <v>729</v>
      </c>
      <c r="E2355" s="5">
        <v>45812.958333333343</v>
      </c>
      <c r="F2355">
        <v>12.864618</v>
      </c>
      <c r="G2355">
        <v>79.659968000000006</v>
      </c>
      <c r="H2355" t="s">
        <v>770</v>
      </c>
      <c r="I2355">
        <v>1</v>
      </c>
      <c r="J2355">
        <v>1</v>
      </c>
      <c r="K2355">
        <v>1</v>
      </c>
    </row>
    <row r="2356" spans="1:11" x14ac:dyDescent="0.3">
      <c r="A2356" t="s">
        <v>11</v>
      </c>
      <c r="B2356" t="s">
        <v>33</v>
      </c>
      <c r="C2356" t="s">
        <v>282</v>
      </c>
      <c r="D2356" t="s">
        <v>732</v>
      </c>
      <c r="E2356" s="5">
        <v>45812.958333333343</v>
      </c>
      <c r="F2356">
        <v>9.8659350000000003</v>
      </c>
      <c r="G2356">
        <v>78.022668999999993</v>
      </c>
      <c r="H2356" t="s">
        <v>772</v>
      </c>
      <c r="I2356">
        <v>19</v>
      </c>
      <c r="J2356">
        <v>20</v>
      </c>
      <c r="K2356">
        <v>20</v>
      </c>
    </row>
    <row r="2357" spans="1:11" x14ac:dyDescent="0.3">
      <c r="A2357" t="s">
        <v>11</v>
      </c>
      <c r="B2357" t="s">
        <v>33</v>
      </c>
      <c r="C2357" t="s">
        <v>200</v>
      </c>
      <c r="D2357" t="s">
        <v>564</v>
      </c>
      <c r="E2357" s="5">
        <v>45812.958333333343</v>
      </c>
      <c r="F2357">
        <v>10.798548</v>
      </c>
      <c r="G2357">
        <v>79.838211999999999</v>
      </c>
      <c r="H2357" t="s">
        <v>775</v>
      </c>
      <c r="I2357">
        <v>8</v>
      </c>
      <c r="J2357">
        <v>43</v>
      </c>
      <c r="K2357">
        <v>23</v>
      </c>
    </row>
    <row r="2358" spans="1:11" x14ac:dyDescent="0.3">
      <c r="A2358" t="s">
        <v>11</v>
      </c>
      <c r="B2358" t="s">
        <v>33</v>
      </c>
      <c r="C2358" t="s">
        <v>197</v>
      </c>
      <c r="D2358" t="s">
        <v>559</v>
      </c>
      <c r="E2358" s="5">
        <v>45812.958333333343</v>
      </c>
      <c r="F2358">
        <v>13.1036</v>
      </c>
      <c r="G2358">
        <v>80.290899999999993</v>
      </c>
      <c r="H2358" t="s">
        <v>772</v>
      </c>
      <c r="I2358">
        <v>9</v>
      </c>
      <c r="J2358">
        <v>31</v>
      </c>
      <c r="K2358">
        <v>19</v>
      </c>
    </row>
    <row r="2359" spans="1:11" x14ac:dyDescent="0.3">
      <c r="A2359" t="s">
        <v>11</v>
      </c>
      <c r="B2359" t="s">
        <v>33</v>
      </c>
      <c r="C2359" t="s">
        <v>197</v>
      </c>
      <c r="D2359" t="s">
        <v>559</v>
      </c>
      <c r="E2359" s="5">
        <v>45812.958333333343</v>
      </c>
      <c r="F2359">
        <v>13.1036</v>
      </c>
      <c r="G2359">
        <v>80.290899999999993</v>
      </c>
      <c r="H2359" t="s">
        <v>774</v>
      </c>
      <c r="I2359">
        <v>4</v>
      </c>
      <c r="J2359">
        <v>15</v>
      </c>
      <c r="K2359">
        <v>8</v>
      </c>
    </row>
    <row r="2360" spans="1:11" x14ac:dyDescent="0.3">
      <c r="A2360" t="s">
        <v>11</v>
      </c>
      <c r="B2360" t="s">
        <v>33</v>
      </c>
      <c r="C2360" t="s">
        <v>197</v>
      </c>
      <c r="D2360" t="s">
        <v>560</v>
      </c>
      <c r="E2360" s="5">
        <v>45812.958333333343</v>
      </c>
      <c r="F2360">
        <v>13.005218899999999</v>
      </c>
      <c r="G2360">
        <v>80.239812499999999</v>
      </c>
      <c r="H2360" t="s">
        <v>771</v>
      </c>
      <c r="I2360">
        <v>31</v>
      </c>
      <c r="J2360">
        <v>56</v>
      </c>
      <c r="K2360">
        <v>43</v>
      </c>
    </row>
    <row r="2361" spans="1:11" x14ac:dyDescent="0.3">
      <c r="A2361" t="s">
        <v>11</v>
      </c>
      <c r="B2361" t="s">
        <v>33</v>
      </c>
      <c r="C2361" t="s">
        <v>197</v>
      </c>
      <c r="D2361" t="s">
        <v>560</v>
      </c>
      <c r="E2361" s="5">
        <v>45812.958333333343</v>
      </c>
      <c r="F2361">
        <v>13.005218899999999</v>
      </c>
      <c r="G2361">
        <v>80.239812499999999</v>
      </c>
      <c r="H2361" t="s">
        <v>772</v>
      </c>
      <c r="I2361">
        <v>12</v>
      </c>
      <c r="J2361">
        <v>14</v>
      </c>
      <c r="K2361">
        <v>13</v>
      </c>
    </row>
    <row r="2362" spans="1:11" x14ac:dyDescent="0.3">
      <c r="A2362" t="s">
        <v>11</v>
      </c>
      <c r="B2362" t="s">
        <v>33</v>
      </c>
      <c r="C2362" t="s">
        <v>197</v>
      </c>
      <c r="D2362" t="s">
        <v>575</v>
      </c>
      <c r="E2362" s="5">
        <v>45812.958333333343</v>
      </c>
      <c r="F2362">
        <v>13.164543999999999</v>
      </c>
      <c r="G2362">
        <v>80.26285</v>
      </c>
      <c r="H2362" t="s">
        <v>775</v>
      </c>
      <c r="I2362">
        <v>7</v>
      </c>
      <c r="J2362">
        <v>42</v>
      </c>
      <c r="K2362">
        <v>21</v>
      </c>
    </row>
    <row r="2363" spans="1:11" x14ac:dyDescent="0.3">
      <c r="A2363" t="s">
        <v>11</v>
      </c>
      <c r="B2363" t="s">
        <v>33</v>
      </c>
      <c r="C2363" t="s">
        <v>197</v>
      </c>
      <c r="D2363" t="s">
        <v>575</v>
      </c>
      <c r="E2363" s="5">
        <v>45812.958333333343</v>
      </c>
      <c r="F2363">
        <v>13.164543999999999</v>
      </c>
      <c r="G2363">
        <v>80.26285</v>
      </c>
      <c r="H2363" t="s">
        <v>776</v>
      </c>
      <c r="I2363">
        <v>11</v>
      </c>
      <c r="J2363">
        <v>112</v>
      </c>
      <c r="K2363">
        <v>95</v>
      </c>
    </row>
    <row r="2364" spans="1:11" x14ac:dyDescent="0.3">
      <c r="A2364" t="s">
        <v>11</v>
      </c>
      <c r="B2364" t="s">
        <v>33</v>
      </c>
      <c r="C2364" t="s">
        <v>208</v>
      </c>
      <c r="D2364" t="s">
        <v>576</v>
      </c>
      <c r="E2364" s="5">
        <v>45812.958333333343</v>
      </c>
      <c r="F2364">
        <v>11.6829898</v>
      </c>
      <c r="G2364">
        <v>79.753209900000002</v>
      </c>
      <c r="H2364" t="s">
        <v>772</v>
      </c>
    </row>
    <row r="2365" spans="1:11" x14ac:dyDescent="0.3">
      <c r="A2365" t="s">
        <v>11</v>
      </c>
      <c r="B2365" t="s">
        <v>35</v>
      </c>
      <c r="C2365" t="s">
        <v>213</v>
      </c>
      <c r="D2365" t="s">
        <v>584</v>
      </c>
      <c r="E2365" s="5">
        <v>45812.958333333343</v>
      </c>
      <c r="F2365">
        <v>17.540890999999998</v>
      </c>
      <c r="G2365">
        <v>78.358528000000007</v>
      </c>
      <c r="H2365" t="s">
        <v>775</v>
      </c>
      <c r="I2365">
        <v>28</v>
      </c>
      <c r="J2365">
        <v>72</v>
      </c>
      <c r="K2365">
        <v>48</v>
      </c>
    </row>
    <row r="2366" spans="1:11" x14ac:dyDescent="0.3">
      <c r="A2366" t="s">
        <v>11</v>
      </c>
      <c r="B2366" t="s">
        <v>35</v>
      </c>
      <c r="C2366" t="s">
        <v>213</v>
      </c>
      <c r="D2366" t="s">
        <v>584</v>
      </c>
      <c r="E2366" s="5">
        <v>45812.958333333343</v>
      </c>
      <c r="F2366">
        <v>17.540890999999998</v>
      </c>
      <c r="G2366">
        <v>78.358528000000007</v>
      </c>
      <c r="H2366" t="s">
        <v>772</v>
      </c>
      <c r="I2366">
        <v>21</v>
      </c>
      <c r="J2366">
        <v>63</v>
      </c>
      <c r="K2366">
        <v>34</v>
      </c>
    </row>
    <row r="2367" spans="1:11" x14ac:dyDescent="0.3">
      <c r="A2367" t="s">
        <v>11</v>
      </c>
      <c r="B2367" t="s">
        <v>35</v>
      </c>
      <c r="C2367" t="s">
        <v>213</v>
      </c>
      <c r="D2367" t="s">
        <v>737</v>
      </c>
      <c r="E2367" s="5">
        <v>45812.958333333343</v>
      </c>
      <c r="F2367">
        <v>17.460103</v>
      </c>
      <c r="G2367">
        <v>78.334361000000001</v>
      </c>
      <c r="H2367" t="s">
        <v>775</v>
      </c>
    </row>
    <row r="2368" spans="1:11" x14ac:dyDescent="0.3">
      <c r="A2368" t="s">
        <v>11</v>
      </c>
      <c r="B2368" t="s">
        <v>35</v>
      </c>
      <c r="C2368" t="s">
        <v>213</v>
      </c>
      <c r="D2368" t="s">
        <v>737</v>
      </c>
      <c r="E2368" s="5">
        <v>45812.958333333343</v>
      </c>
      <c r="F2368">
        <v>17.460103</v>
      </c>
      <c r="G2368">
        <v>78.334361000000001</v>
      </c>
      <c r="H2368" t="s">
        <v>774</v>
      </c>
    </row>
    <row r="2369" spans="1:11" x14ac:dyDescent="0.3">
      <c r="A2369" t="s">
        <v>11</v>
      </c>
      <c r="B2369" t="s">
        <v>35</v>
      </c>
      <c r="C2369" t="s">
        <v>213</v>
      </c>
      <c r="D2369" t="s">
        <v>738</v>
      </c>
      <c r="E2369" s="5">
        <v>45812.958333333343</v>
      </c>
      <c r="F2369">
        <v>17.5184</v>
      </c>
      <c r="G2369">
        <v>78.278777000000005</v>
      </c>
      <c r="H2369" t="s">
        <v>775</v>
      </c>
      <c r="I2369">
        <v>52</v>
      </c>
      <c r="J2369">
        <v>113</v>
      </c>
      <c r="K2369">
        <v>77</v>
      </c>
    </row>
    <row r="2370" spans="1:11" x14ac:dyDescent="0.3">
      <c r="A2370" t="s">
        <v>11</v>
      </c>
      <c r="B2370" t="s">
        <v>35</v>
      </c>
      <c r="C2370" t="s">
        <v>213</v>
      </c>
      <c r="D2370" t="s">
        <v>738</v>
      </c>
      <c r="E2370" s="5">
        <v>45812.958333333343</v>
      </c>
      <c r="F2370">
        <v>17.5184</v>
      </c>
      <c r="G2370">
        <v>78.278777000000005</v>
      </c>
      <c r="H2370" t="s">
        <v>771</v>
      </c>
      <c r="I2370">
        <v>54</v>
      </c>
      <c r="J2370">
        <v>140</v>
      </c>
      <c r="K2370">
        <v>84</v>
      </c>
    </row>
    <row r="2371" spans="1:11" x14ac:dyDescent="0.3">
      <c r="A2371" t="s">
        <v>11</v>
      </c>
      <c r="B2371" t="s">
        <v>35</v>
      </c>
      <c r="C2371" t="s">
        <v>213</v>
      </c>
      <c r="D2371" t="s">
        <v>738</v>
      </c>
      <c r="E2371" s="5">
        <v>45812.958333333343</v>
      </c>
      <c r="F2371">
        <v>17.5184</v>
      </c>
      <c r="G2371">
        <v>78.278777000000005</v>
      </c>
      <c r="H2371" t="s">
        <v>772</v>
      </c>
      <c r="I2371">
        <v>4</v>
      </c>
      <c r="J2371">
        <v>89</v>
      </c>
      <c r="K2371">
        <v>13</v>
      </c>
    </row>
    <row r="2372" spans="1:11" x14ac:dyDescent="0.3">
      <c r="A2372" t="s">
        <v>11</v>
      </c>
      <c r="B2372" t="s">
        <v>35</v>
      </c>
      <c r="C2372" t="s">
        <v>213</v>
      </c>
      <c r="D2372" t="s">
        <v>738</v>
      </c>
      <c r="E2372" s="5">
        <v>45812.958333333343</v>
      </c>
      <c r="F2372">
        <v>17.5184</v>
      </c>
      <c r="G2372">
        <v>78.278777000000005</v>
      </c>
      <c r="H2372" t="s">
        <v>774</v>
      </c>
      <c r="I2372">
        <v>10</v>
      </c>
      <c r="J2372">
        <v>19</v>
      </c>
      <c r="K2372">
        <v>14</v>
      </c>
    </row>
    <row r="2373" spans="1:11" x14ac:dyDescent="0.3">
      <c r="A2373" t="s">
        <v>11</v>
      </c>
      <c r="B2373" t="s">
        <v>35</v>
      </c>
      <c r="C2373" t="s">
        <v>213</v>
      </c>
      <c r="D2373" t="s">
        <v>586</v>
      </c>
      <c r="E2373" s="5">
        <v>45812.958333333343</v>
      </c>
      <c r="F2373">
        <v>17.531689499999999</v>
      </c>
      <c r="G2373">
        <v>78.218939000000006</v>
      </c>
      <c r="H2373" t="s">
        <v>771</v>
      </c>
      <c r="I2373">
        <v>63</v>
      </c>
      <c r="J2373">
        <v>151</v>
      </c>
      <c r="K2373">
        <v>102</v>
      </c>
    </row>
    <row r="2374" spans="1:11" x14ac:dyDescent="0.3">
      <c r="A2374" t="s">
        <v>11</v>
      </c>
      <c r="B2374" t="s">
        <v>35</v>
      </c>
      <c r="C2374" t="s">
        <v>213</v>
      </c>
      <c r="D2374" t="s">
        <v>586</v>
      </c>
      <c r="E2374" s="5">
        <v>45812.958333333343</v>
      </c>
      <c r="F2374">
        <v>17.531689499999999</v>
      </c>
      <c r="G2374">
        <v>78.218939000000006</v>
      </c>
      <c r="H2374" t="s">
        <v>772</v>
      </c>
      <c r="I2374">
        <v>33</v>
      </c>
      <c r="J2374">
        <v>69</v>
      </c>
      <c r="K2374">
        <v>44</v>
      </c>
    </row>
    <row r="2375" spans="1:11" x14ac:dyDescent="0.3">
      <c r="A2375" t="s">
        <v>11</v>
      </c>
      <c r="B2375" t="s">
        <v>36</v>
      </c>
      <c r="C2375" t="s">
        <v>218</v>
      </c>
      <c r="D2375" t="s">
        <v>595</v>
      </c>
      <c r="E2375" s="5">
        <v>45812.958333333343</v>
      </c>
      <c r="F2375">
        <v>28.359580999999999</v>
      </c>
      <c r="G2375">
        <v>79.414455000000004</v>
      </c>
      <c r="H2375" t="s">
        <v>775</v>
      </c>
    </row>
    <row r="2376" spans="1:11" x14ac:dyDescent="0.3">
      <c r="A2376" t="s">
        <v>11</v>
      </c>
      <c r="B2376" t="s">
        <v>36</v>
      </c>
      <c r="C2376" t="s">
        <v>218</v>
      </c>
      <c r="D2376" t="s">
        <v>595</v>
      </c>
      <c r="E2376" s="5">
        <v>45812.958333333343</v>
      </c>
      <c r="F2376">
        <v>28.359580999999999</v>
      </c>
      <c r="G2376">
        <v>79.414455000000004</v>
      </c>
      <c r="H2376" t="s">
        <v>771</v>
      </c>
    </row>
    <row r="2377" spans="1:11" x14ac:dyDescent="0.3">
      <c r="A2377" t="s">
        <v>11</v>
      </c>
      <c r="B2377" t="s">
        <v>36</v>
      </c>
      <c r="C2377" t="s">
        <v>218</v>
      </c>
      <c r="D2377" t="s">
        <v>596</v>
      </c>
      <c r="E2377" s="5">
        <v>45812.958333333343</v>
      </c>
      <c r="F2377">
        <v>28.389109359999999</v>
      </c>
      <c r="G2377">
        <v>79.429637080000006</v>
      </c>
      <c r="H2377" t="s">
        <v>774</v>
      </c>
      <c r="I2377">
        <v>26</v>
      </c>
      <c r="J2377">
        <v>31</v>
      </c>
      <c r="K2377">
        <v>27</v>
      </c>
    </row>
    <row r="2378" spans="1:11" x14ac:dyDescent="0.3">
      <c r="A2378" t="s">
        <v>11</v>
      </c>
      <c r="B2378" t="s">
        <v>36</v>
      </c>
      <c r="C2378" t="s">
        <v>219</v>
      </c>
      <c r="D2378" t="s">
        <v>597</v>
      </c>
      <c r="E2378" s="5">
        <v>45812.958333333343</v>
      </c>
      <c r="F2378">
        <v>28.406963000000001</v>
      </c>
      <c r="G2378">
        <v>77.849830999999995</v>
      </c>
      <c r="H2378" t="s">
        <v>773</v>
      </c>
      <c r="I2378">
        <v>10</v>
      </c>
      <c r="J2378">
        <v>20</v>
      </c>
      <c r="K2378">
        <v>13</v>
      </c>
    </row>
    <row r="2379" spans="1:11" x14ac:dyDescent="0.3">
      <c r="A2379" t="s">
        <v>11</v>
      </c>
      <c r="B2379" t="s">
        <v>36</v>
      </c>
      <c r="C2379" t="s">
        <v>219</v>
      </c>
      <c r="D2379" t="s">
        <v>597</v>
      </c>
      <c r="E2379" s="5">
        <v>45812.958333333343</v>
      </c>
      <c r="F2379">
        <v>28.406963000000001</v>
      </c>
      <c r="G2379">
        <v>77.849830999999995</v>
      </c>
      <c r="H2379" t="s">
        <v>776</v>
      </c>
      <c r="I2379">
        <v>20</v>
      </c>
      <c r="J2379">
        <v>115</v>
      </c>
      <c r="K2379">
        <v>51</v>
      </c>
    </row>
    <row r="2380" spans="1:11" x14ac:dyDescent="0.3">
      <c r="A2380" t="s">
        <v>11</v>
      </c>
      <c r="B2380" t="s">
        <v>36</v>
      </c>
      <c r="C2380" t="s">
        <v>219</v>
      </c>
      <c r="D2380" t="s">
        <v>597</v>
      </c>
      <c r="E2380" s="5">
        <v>45812.958333333343</v>
      </c>
      <c r="F2380">
        <v>28.406963000000001</v>
      </c>
      <c r="G2380">
        <v>77.849830999999995</v>
      </c>
      <c r="H2380" t="s">
        <v>770</v>
      </c>
      <c r="I2380">
        <v>1</v>
      </c>
      <c r="J2380">
        <v>88</v>
      </c>
      <c r="K2380">
        <v>54</v>
      </c>
    </row>
    <row r="2381" spans="1:11" x14ac:dyDescent="0.3">
      <c r="A2381" t="s">
        <v>11</v>
      </c>
      <c r="B2381" t="s">
        <v>36</v>
      </c>
      <c r="C2381" t="s">
        <v>220</v>
      </c>
      <c r="D2381" t="s">
        <v>598</v>
      </c>
      <c r="E2381" s="5">
        <v>45812.958333333343</v>
      </c>
      <c r="F2381">
        <v>27.168897000000001</v>
      </c>
      <c r="G2381">
        <v>78.376959999999997</v>
      </c>
      <c r="H2381" t="s">
        <v>772</v>
      </c>
      <c r="I2381">
        <v>17</v>
      </c>
      <c r="J2381">
        <v>17</v>
      </c>
      <c r="K2381">
        <v>17</v>
      </c>
    </row>
    <row r="2382" spans="1:11" x14ac:dyDescent="0.3">
      <c r="A2382" t="s">
        <v>11</v>
      </c>
      <c r="B2382" t="s">
        <v>36</v>
      </c>
      <c r="C2382" t="s">
        <v>220</v>
      </c>
      <c r="D2382" t="s">
        <v>599</v>
      </c>
      <c r="E2382" s="5">
        <v>45812.958333333343</v>
      </c>
      <c r="F2382">
        <v>27.159400000000002</v>
      </c>
      <c r="G2382">
        <v>78.395300000000006</v>
      </c>
      <c r="H2382" t="s">
        <v>773</v>
      </c>
      <c r="I2382">
        <v>2</v>
      </c>
      <c r="J2382">
        <v>2</v>
      </c>
      <c r="K2382">
        <v>2</v>
      </c>
    </row>
    <row r="2383" spans="1:11" x14ac:dyDescent="0.3">
      <c r="A2383" t="s">
        <v>11</v>
      </c>
      <c r="B2383" t="s">
        <v>36</v>
      </c>
      <c r="C2383" t="s">
        <v>216</v>
      </c>
      <c r="D2383" t="s">
        <v>591</v>
      </c>
      <c r="E2383" s="5">
        <v>45812.958333333343</v>
      </c>
      <c r="F2383">
        <v>27.198658330000001</v>
      </c>
      <c r="G2383">
        <v>78.005980559999998</v>
      </c>
      <c r="H2383" t="s">
        <v>772</v>
      </c>
      <c r="I2383">
        <v>14</v>
      </c>
      <c r="J2383">
        <v>108</v>
      </c>
      <c r="K2383">
        <v>47</v>
      </c>
    </row>
    <row r="2384" spans="1:11" x14ac:dyDescent="0.3">
      <c r="A2384" t="s">
        <v>11</v>
      </c>
      <c r="B2384" t="s">
        <v>36</v>
      </c>
      <c r="C2384" t="s">
        <v>216</v>
      </c>
      <c r="D2384" t="s">
        <v>605</v>
      </c>
      <c r="E2384" s="5">
        <v>45812.958333333343</v>
      </c>
      <c r="F2384">
        <v>27.194120000000002</v>
      </c>
      <c r="G2384">
        <v>77.962370000000007</v>
      </c>
      <c r="H2384" t="s">
        <v>775</v>
      </c>
      <c r="I2384">
        <v>40</v>
      </c>
      <c r="J2384">
        <v>372</v>
      </c>
      <c r="K2384">
        <v>202</v>
      </c>
    </row>
    <row r="2385" spans="1:11" x14ac:dyDescent="0.3">
      <c r="A2385" t="s">
        <v>11</v>
      </c>
      <c r="B2385" t="s">
        <v>36</v>
      </c>
      <c r="C2385" t="s">
        <v>216</v>
      </c>
      <c r="D2385" t="s">
        <v>605</v>
      </c>
      <c r="E2385" s="5">
        <v>45812.958333333343</v>
      </c>
      <c r="F2385">
        <v>27.194120000000002</v>
      </c>
      <c r="G2385">
        <v>77.962370000000007</v>
      </c>
      <c r="H2385" t="s">
        <v>773</v>
      </c>
      <c r="I2385">
        <v>4</v>
      </c>
      <c r="J2385">
        <v>18</v>
      </c>
      <c r="K2385">
        <v>8</v>
      </c>
    </row>
    <row r="2386" spans="1:11" x14ac:dyDescent="0.3">
      <c r="A2386" t="s">
        <v>11</v>
      </c>
      <c r="B2386" t="s">
        <v>36</v>
      </c>
      <c r="C2386" t="s">
        <v>216</v>
      </c>
      <c r="D2386" t="s">
        <v>739</v>
      </c>
      <c r="E2386" s="5">
        <v>45812.958333333343</v>
      </c>
      <c r="F2386">
        <v>27.198619999999998</v>
      </c>
      <c r="G2386">
        <v>77.920659999999998</v>
      </c>
      <c r="H2386" t="s">
        <v>775</v>
      </c>
      <c r="I2386">
        <v>21</v>
      </c>
      <c r="J2386">
        <v>198</v>
      </c>
      <c r="K2386">
        <v>67</v>
      </c>
    </row>
    <row r="2387" spans="1:11" x14ac:dyDescent="0.3">
      <c r="A2387" t="s">
        <v>11</v>
      </c>
      <c r="B2387" t="s">
        <v>36</v>
      </c>
      <c r="C2387" t="s">
        <v>216</v>
      </c>
      <c r="D2387" t="s">
        <v>739</v>
      </c>
      <c r="E2387" s="5">
        <v>45812.958333333343</v>
      </c>
      <c r="F2387">
        <v>27.198619999999998</v>
      </c>
      <c r="G2387">
        <v>77.920659999999998</v>
      </c>
      <c r="H2387" t="s">
        <v>770</v>
      </c>
      <c r="I2387">
        <v>1</v>
      </c>
      <c r="J2387">
        <v>7</v>
      </c>
      <c r="K2387">
        <v>4</v>
      </c>
    </row>
    <row r="2388" spans="1:11" x14ac:dyDescent="0.3">
      <c r="A2388" t="s">
        <v>11</v>
      </c>
      <c r="B2388" t="s">
        <v>35</v>
      </c>
      <c r="C2388" t="s">
        <v>213</v>
      </c>
      <c r="D2388" t="s">
        <v>586</v>
      </c>
      <c r="E2388" s="5">
        <v>45812.958333333343</v>
      </c>
      <c r="F2388">
        <v>17.531689499999999</v>
      </c>
      <c r="G2388">
        <v>78.218939000000006</v>
      </c>
      <c r="H2388" t="s">
        <v>776</v>
      </c>
      <c r="I2388">
        <v>28</v>
      </c>
      <c r="J2388">
        <v>44</v>
      </c>
      <c r="K2388">
        <v>37</v>
      </c>
    </row>
    <row r="2389" spans="1:11" x14ac:dyDescent="0.3">
      <c r="A2389" t="s">
        <v>11</v>
      </c>
      <c r="B2389" t="s">
        <v>35</v>
      </c>
      <c r="C2389" t="s">
        <v>213</v>
      </c>
      <c r="D2389" t="s">
        <v>581</v>
      </c>
      <c r="E2389" s="5">
        <v>45812.958333333343</v>
      </c>
      <c r="F2389">
        <v>17.544899000000001</v>
      </c>
      <c r="G2389">
        <v>78.486948999999996</v>
      </c>
      <c r="H2389" t="s">
        <v>773</v>
      </c>
      <c r="I2389">
        <v>4</v>
      </c>
      <c r="J2389">
        <v>4</v>
      </c>
      <c r="K2389">
        <v>4</v>
      </c>
    </row>
    <row r="2390" spans="1:11" x14ac:dyDescent="0.3">
      <c r="A2390" t="s">
        <v>11</v>
      </c>
      <c r="B2390" t="s">
        <v>35</v>
      </c>
      <c r="C2390" t="s">
        <v>213</v>
      </c>
      <c r="D2390" t="s">
        <v>582</v>
      </c>
      <c r="E2390" s="5">
        <v>45812.958333333343</v>
      </c>
      <c r="F2390">
        <v>17.372060000000001</v>
      </c>
      <c r="G2390">
        <v>78.50864</v>
      </c>
      <c r="H2390" t="s">
        <v>774</v>
      </c>
      <c r="I2390">
        <v>13</v>
      </c>
      <c r="J2390">
        <v>17</v>
      </c>
      <c r="K2390">
        <v>14</v>
      </c>
    </row>
    <row r="2391" spans="1:11" x14ac:dyDescent="0.3">
      <c r="A2391" t="s">
        <v>11</v>
      </c>
      <c r="B2391" t="s">
        <v>35</v>
      </c>
      <c r="C2391" t="s">
        <v>213</v>
      </c>
      <c r="D2391" t="s">
        <v>582</v>
      </c>
      <c r="E2391" s="5">
        <v>45812.958333333343</v>
      </c>
      <c r="F2391">
        <v>17.372060000000001</v>
      </c>
      <c r="G2391">
        <v>78.50864</v>
      </c>
      <c r="H2391" t="s">
        <v>770</v>
      </c>
      <c r="I2391">
        <v>7</v>
      </c>
      <c r="J2391">
        <v>37</v>
      </c>
      <c r="K2391">
        <v>23</v>
      </c>
    </row>
    <row r="2392" spans="1:11" x14ac:dyDescent="0.3">
      <c r="A2392" t="s">
        <v>11</v>
      </c>
      <c r="B2392" t="s">
        <v>35</v>
      </c>
      <c r="C2392" t="s">
        <v>213</v>
      </c>
      <c r="D2392" t="s">
        <v>583</v>
      </c>
      <c r="E2392" s="5">
        <v>45812.958333333343</v>
      </c>
      <c r="F2392">
        <v>17.528544</v>
      </c>
      <c r="G2392">
        <v>78.286195000000006</v>
      </c>
      <c r="H2392" t="s">
        <v>772</v>
      </c>
      <c r="I2392">
        <v>14</v>
      </c>
      <c r="J2392">
        <v>16</v>
      </c>
      <c r="K2392">
        <v>15</v>
      </c>
    </row>
    <row r="2393" spans="1:11" x14ac:dyDescent="0.3">
      <c r="A2393" t="s">
        <v>11</v>
      </c>
      <c r="B2393" t="s">
        <v>35</v>
      </c>
      <c r="C2393" t="s">
        <v>213</v>
      </c>
      <c r="D2393" t="s">
        <v>583</v>
      </c>
      <c r="E2393" s="5">
        <v>45812.958333333343</v>
      </c>
      <c r="F2393">
        <v>17.528544</v>
      </c>
      <c r="G2393">
        <v>78.286195000000006</v>
      </c>
      <c r="H2393" t="s">
        <v>773</v>
      </c>
      <c r="I2393">
        <v>4</v>
      </c>
      <c r="J2393">
        <v>6</v>
      </c>
      <c r="K2393">
        <v>5</v>
      </c>
    </row>
    <row r="2394" spans="1:11" x14ac:dyDescent="0.3">
      <c r="A2394" t="s">
        <v>11</v>
      </c>
      <c r="B2394" t="s">
        <v>35</v>
      </c>
      <c r="C2394" t="s">
        <v>213</v>
      </c>
      <c r="D2394" t="s">
        <v>583</v>
      </c>
      <c r="E2394" s="5">
        <v>45812.958333333343</v>
      </c>
      <c r="F2394">
        <v>17.528544</v>
      </c>
      <c r="G2394">
        <v>78.286195000000006</v>
      </c>
      <c r="H2394" t="s">
        <v>776</v>
      </c>
      <c r="I2394">
        <v>8</v>
      </c>
      <c r="J2394">
        <v>28</v>
      </c>
      <c r="K2394">
        <v>12</v>
      </c>
    </row>
    <row r="2395" spans="1:11" x14ac:dyDescent="0.3">
      <c r="A2395" t="s">
        <v>11</v>
      </c>
      <c r="B2395" t="s">
        <v>35</v>
      </c>
      <c r="C2395" t="s">
        <v>213</v>
      </c>
      <c r="D2395" t="s">
        <v>593</v>
      </c>
      <c r="E2395" s="5">
        <v>45812.958333333343</v>
      </c>
      <c r="F2395">
        <v>17.455945799999999</v>
      </c>
      <c r="G2395">
        <v>78.433215200000006</v>
      </c>
      <c r="H2395" t="s">
        <v>775</v>
      </c>
      <c r="I2395">
        <v>32</v>
      </c>
      <c r="J2395">
        <v>68</v>
      </c>
      <c r="K2395">
        <v>47</v>
      </c>
    </row>
    <row r="2396" spans="1:11" x14ac:dyDescent="0.3">
      <c r="A2396" t="s">
        <v>11</v>
      </c>
      <c r="B2396" t="s">
        <v>35</v>
      </c>
      <c r="C2396" t="s">
        <v>213</v>
      </c>
      <c r="D2396" t="s">
        <v>741</v>
      </c>
      <c r="E2396" s="5">
        <v>45812.958333333343</v>
      </c>
      <c r="F2396">
        <v>17.349694</v>
      </c>
      <c r="G2396">
        <v>78.451436999999999</v>
      </c>
      <c r="H2396" t="s">
        <v>773</v>
      </c>
      <c r="I2396">
        <v>3</v>
      </c>
      <c r="J2396">
        <v>5</v>
      </c>
      <c r="K2396">
        <v>4</v>
      </c>
    </row>
    <row r="2397" spans="1:11" x14ac:dyDescent="0.3">
      <c r="A2397" t="s">
        <v>11</v>
      </c>
      <c r="B2397" t="s">
        <v>42</v>
      </c>
      <c r="C2397" t="s">
        <v>286</v>
      </c>
      <c r="D2397" t="s">
        <v>742</v>
      </c>
      <c r="E2397" s="5">
        <v>45812.958333333343</v>
      </c>
      <c r="F2397">
        <v>23.817549700000001</v>
      </c>
      <c r="G2397">
        <v>91.272697399999998</v>
      </c>
      <c r="H2397" t="s">
        <v>775</v>
      </c>
      <c r="I2397">
        <v>11</v>
      </c>
      <c r="J2397">
        <v>26</v>
      </c>
      <c r="K2397">
        <v>18</v>
      </c>
    </row>
    <row r="2398" spans="1:11" x14ac:dyDescent="0.3">
      <c r="A2398" t="s">
        <v>11</v>
      </c>
      <c r="B2398" t="s">
        <v>36</v>
      </c>
      <c r="C2398" t="s">
        <v>216</v>
      </c>
      <c r="D2398" t="s">
        <v>589</v>
      </c>
      <c r="E2398" s="5">
        <v>45812.958333333343</v>
      </c>
      <c r="F2398">
        <v>27.237110000000001</v>
      </c>
      <c r="G2398">
        <v>78.019360000000006</v>
      </c>
      <c r="H2398" t="s">
        <v>771</v>
      </c>
      <c r="I2398">
        <v>38</v>
      </c>
      <c r="J2398">
        <v>193</v>
      </c>
      <c r="K2398">
        <v>105</v>
      </c>
    </row>
    <row r="2399" spans="1:11" x14ac:dyDescent="0.3">
      <c r="A2399" t="s">
        <v>11</v>
      </c>
      <c r="B2399" t="s">
        <v>36</v>
      </c>
      <c r="C2399" t="s">
        <v>216</v>
      </c>
      <c r="D2399" t="s">
        <v>589</v>
      </c>
      <c r="E2399" s="5">
        <v>45812.958333333343</v>
      </c>
      <c r="F2399">
        <v>27.237110000000001</v>
      </c>
      <c r="G2399">
        <v>78.019360000000006</v>
      </c>
      <c r="H2399" t="s">
        <v>772</v>
      </c>
      <c r="I2399">
        <v>11</v>
      </c>
      <c r="J2399">
        <v>11</v>
      </c>
      <c r="K2399">
        <v>11</v>
      </c>
    </row>
    <row r="2400" spans="1:11" x14ac:dyDescent="0.3">
      <c r="A2400" t="s">
        <v>11</v>
      </c>
      <c r="B2400" t="s">
        <v>36</v>
      </c>
      <c r="C2400" t="s">
        <v>216</v>
      </c>
      <c r="D2400" t="s">
        <v>589</v>
      </c>
      <c r="E2400" s="5">
        <v>45812.958333333343</v>
      </c>
      <c r="F2400">
        <v>27.237110000000001</v>
      </c>
      <c r="G2400">
        <v>78.019360000000006</v>
      </c>
      <c r="H2400" t="s">
        <v>770</v>
      </c>
      <c r="I2400">
        <v>2</v>
      </c>
      <c r="J2400">
        <v>58</v>
      </c>
      <c r="K2400">
        <v>51</v>
      </c>
    </row>
    <row r="2401" spans="1:11" x14ac:dyDescent="0.3">
      <c r="A2401" t="s">
        <v>11</v>
      </c>
      <c r="B2401" t="s">
        <v>36</v>
      </c>
      <c r="C2401" t="s">
        <v>227</v>
      </c>
      <c r="D2401" t="s">
        <v>612</v>
      </c>
      <c r="E2401" s="5">
        <v>45812.958333333343</v>
      </c>
      <c r="F2401">
        <v>28.964949000000001</v>
      </c>
      <c r="G2401">
        <v>77.278761000000003</v>
      </c>
      <c r="H2401" t="s">
        <v>770</v>
      </c>
      <c r="I2401">
        <v>12</v>
      </c>
      <c r="J2401">
        <v>73</v>
      </c>
      <c r="K2401">
        <v>47</v>
      </c>
    </row>
    <row r="2402" spans="1:11" x14ac:dyDescent="0.3">
      <c r="A2402" t="s">
        <v>11</v>
      </c>
      <c r="B2402" t="s">
        <v>36</v>
      </c>
      <c r="C2402" t="s">
        <v>216</v>
      </c>
      <c r="D2402" t="s">
        <v>590</v>
      </c>
      <c r="E2402" s="5">
        <v>45812.958333333343</v>
      </c>
      <c r="F2402">
        <v>27.106971999999999</v>
      </c>
      <c r="G2402">
        <v>78.000111000000004</v>
      </c>
      <c r="H2402" t="s">
        <v>771</v>
      </c>
      <c r="I2402">
        <v>25</v>
      </c>
      <c r="J2402">
        <v>189</v>
      </c>
      <c r="K2402">
        <v>88</v>
      </c>
    </row>
    <row r="2403" spans="1:11" x14ac:dyDescent="0.3">
      <c r="A2403" t="s">
        <v>11</v>
      </c>
      <c r="B2403" t="s">
        <v>36</v>
      </c>
      <c r="C2403" t="s">
        <v>229</v>
      </c>
      <c r="D2403" t="s">
        <v>743</v>
      </c>
      <c r="E2403" s="5">
        <v>45812.958333333343</v>
      </c>
      <c r="F2403">
        <v>26.8458805</v>
      </c>
      <c r="G2403">
        <v>80.936554099999995</v>
      </c>
      <c r="H2403" t="s">
        <v>771</v>
      </c>
    </row>
    <row r="2404" spans="1:11" x14ac:dyDescent="0.3">
      <c r="A2404" t="s">
        <v>11</v>
      </c>
      <c r="B2404" t="s">
        <v>36</v>
      </c>
      <c r="C2404" t="s">
        <v>229</v>
      </c>
      <c r="D2404" t="s">
        <v>743</v>
      </c>
      <c r="E2404" s="5">
        <v>45812.958333333343</v>
      </c>
      <c r="F2404">
        <v>26.8458805</v>
      </c>
      <c r="G2404">
        <v>80.936554099999995</v>
      </c>
      <c r="H2404" t="s">
        <v>772</v>
      </c>
    </row>
    <row r="2405" spans="1:11" x14ac:dyDescent="0.3">
      <c r="A2405" t="s">
        <v>11</v>
      </c>
      <c r="B2405" t="s">
        <v>36</v>
      </c>
      <c r="C2405" t="s">
        <v>229</v>
      </c>
      <c r="D2405" t="s">
        <v>743</v>
      </c>
      <c r="E2405" s="5">
        <v>45812.958333333343</v>
      </c>
      <c r="F2405">
        <v>26.8458805</v>
      </c>
      <c r="G2405">
        <v>80.936554099999995</v>
      </c>
      <c r="H2405" t="s">
        <v>774</v>
      </c>
    </row>
    <row r="2406" spans="1:11" x14ac:dyDescent="0.3">
      <c r="A2406" t="s">
        <v>11</v>
      </c>
      <c r="B2406" t="s">
        <v>36</v>
      </c>
      <c r="C2406" t="s">
        <v>229</v>
      </c>
      <c r="D2406" t="s">
        <v>616</v>
      </c>
      <c r="E2406" s="5">
        <v>45812.958333333343</v>
      </c>
      <c r="F2406">
        <v>26.833997220000001</v>
      </c>
      <c r="G2406">
        <v>80.891736100000003</v>
      </c>
      <c r="H2406" t="s">
        <v>770</v>
      </c>
      <c r="I2406">
        <v>2</v>
      </c>
      <c r="J2406">
        <v>81</v>
      </c>
      <c r="K2406">
        <v>56</v>
      </c>
    </row>
    <row r="2407" spans="1:11" x14ac:dyDescent="0.3">
      <c r="A2407" t="s">
        <v>11</v>
      </c>
      <c r="B2407" t="s">
        <v>36</v>
      </c>
      <c r="C2407" t="s">
        <v>230</v>
      </c>
      <c r="D2407" t="s">
        <v>624</v>
      </c>
      <c r="E2407" s="5">
        <v>45812.958333333343</v>
      </c>
      <c r="F2407">
        <v>28.953588199999999</v>
      </c>
      <c r="G2407">
        <v>77.762294100000005</v>
      </c>
      <c r="H2407" t="s">
        <v>773</v>
      </c>
      <c r="I2407">
        <v>8</v>
      </c>
      <c r="J2407">
        <v>83</v>
      </c>
      <c r="K2407">
        <v>14</v>
      </c>
    </row>
    <row r="2408" spans="1:11" x14ac:dyDescent="0.3">
      <c r="A2408" t="s">
        <v>11</v>
      </c>
      <c r="B2408" t="s">
        <v>36</v>
      </c>
      <c r="C2408" t="s">
        <v>230</v>
      </c>
      <c r="D2408" t="s">
        <v>624</v>
      </c>
      <c r="E2408" s="5">
        <v>45812.958333333343</v>
      </c>
      <c r="F2408">
        <v>28.953588199999999</v>
      </c>
      <c r="G2408">
        <v>77.762294100000005</v>
      </c>
      <c r="H2408" t="s">
        <v>770</v>
      </c>
      <c r="I2408">
        <v>6</v>
      </c>
      <c r="J2408">
        <v>130</v>
      </c>
      <c r="K2408">
        <v>90</v>
      </c>
    </row>
    <row r="2409" spans="1:11" x14ac:dyDescent="0.3">
      <c r="A2409" t="s">
        <v>11</v>
      </c>
      <c r="B2409" t="s">
        <v>36</v>
      </c>
      <c r="C2409" t="s">
        <v>221</v>
      </c>
      <c r="D2409" t="s">
        <v>600</v>
      </c>
      <c r="E2409" s="5">
        <v>45812.958333333343</v>
      </c>
      <c r="F2409">
        <v>28.646232999999999</v>
      </c>
      <c r="G2409">
        <v>77.358074999999999</v>
      </c>
      <c r="H2409" t="s">
        <v>773</v>
      </c>
      <c r="I2409">
        <v>4</v>
      </c>
      <c r="J2409">
        <v>11</v>
      </c>
      <c r="K2409">
        <v>6</v>
      </c>
    </row>
    <row r="2410" spans="1:11" x14ac:dyDescent="0.3">
      <c r="A2410" t="s">
        <v>11</v>
      </c>
      <c r="B2410" t="s">
        <v>36</v>
      </c>
      <c r="C2410" t="s">
        <v>221</v>
      </c>
      <c r="D2410" t="s">
        <v>601</v>
      </c>
      <c r="E2410" s="5">
        <v>45812.958333333343</v>
      </c>
      <c r="F2410">
        <v>28.757294000000002</v>
      </c>
      <c r="G2410">
        <v>77.278791999999996</v>
      </c>
      <c r="H2410" t="s">
        <v>773</v>
      </c>
      <c r="I2410">
        <v>9</v>
      </c>
      <c r="J2410">
        <v>19</v>
      </c>
      <c r="K2410">
        <v>14</v>
      </c>
    </row>
    <row r="2411" spans="1:11" x14ac:dyDescent="0.3">
      <c r="A2411" t="s">
        <v>11</v>
      </c>
      <c r="B2411" t="s">
        <v>36</v>
      </c>
      <c r="C2411" t="s">
        <v>221</v>
      </c>
      <c r="D2411" t="s">
        <v>601</v>
      </c>
      <c r="E2411" s="5">
        <v>45812.958333333343</v>
      </c>
      <c r="F2411">
        <v>28.757294000000002</v>
      </c>
      <c r="G2411">
        <v>77.278791999999996</v>
      </c>
      <c r="H2411" t="s">
        <v>776</v>
      </c>
      <c r="I2411">
        <v>64</v>
      </c>
      <c r="J2411">
        <v>117</v>
      </c>
      <c r="K2411">
        <v>84</v>
      </c>
    </row>
    <row r="2412" spans="1:11" x14ac:dyDescent="0.3">
      <c r="A2412" t="s">
        <v>11</v>
      </c>
      <c r="B2412" t="s">
        <v>36</v>
      </c>
      <c r="C2412" t="s">
        <v>221</v>
      </c>
      <c r="D2412" t="s">
        <v>602</v>
      </c>
      <c r="E2412" s="5">
        <v>45812.958333333343</v>
      </c>
      <c r="F2412">
        <v>28.685382000000001</v>
      </c>
      <c r="G2412">
        <v>77.453839000000002</v>
      </c>
      <c r="H2412" t="s">
        <v>776</v>
      </c>
      <c r="I2412">
        <v>40</v>
      </c>
      <c r="J2412">
        <v>118</v>
      </c>
      <c r="K2412">
        <v>75</v>
      </c>
    </row>
    <row r="2413" spans="1:11" x14ac:dyDescent="0.3">
      <c r="A2413" t="s">
        <v>11</v>
      </c>
      <c r="B2413" t="s">
        <v>36</v>
      </c>
      <c r="C2413" t="s">
        <v>221</v>
      </c>
      <c r="D2413" t="s">
        <v>603</v>
      </c>
      <c r="E2413" s="5">
        <v>45812.958333333343</v>
      </c>
      <c r="F2413">
        <v>28.660334599999999</v>
      </c>
      <c r="G2413">
        <v>77.357256300000003</v>
      </c>
      <c r="H2413" t="s">
        <v>772</v>
      </c>
      <c r="I2413">
        <v>9</v>
      </c>
      <c r="J2413">
        <v>131</v>
      </c>
      <c r="K2413">
        <v>65</v>
      </c>
    </row>
    <row r="2414" spans="1:11" x14ac:dyDescent="0.3">
      <c r="A2414" t="s">
        <v>11</v>
      </c>
      <c r="B2414" t="s">
        <v>36</v>
      </c>
      <c r="C2414" t="s">
        <v>224</v>
      </c>
      <c r="D2414" t="s">
        <v>608</v>
      </c>
      <c r="E2414" s="5">
        <v>45812.958333333343</v>
      </c>
      <c r="F2414">
        <v>28.725645</v>
      </c>
      <c r="G2414">
        <v>77.749674999999996</v>
      </c>
      <c r="H2414" t="s">
        <v>771</v>
      </c>
      <c r="I2414">
        <v>51</v>
      </c>
      <c r="J2414">
        <v>149</v>
      </c>
      <c r="K2414">
        <v>111</v>
      </c>
    </row>
    <row r="2415" spans="1:11" x14ac:dyDescent="0.3">
      <c r="A2415" t="s">
        <v>11</v>
      </c>
      <c r="B2415" t="s">
        <v>36</v>
      </c>
      <c r="C2415" t="s">
        <v>224</v>
      </c>
      <c r="D2415" t="s">
        <v>608</v>
      </c>
      <c r="E2415" s="5">
        <v>45812.958333333343</v>
      </c>
      <c r="F2415">
        <v>28.725645</v>
      </c>
      <c r="G2415">
        <v>77.749674999999996</v>
      </c>
      <c r="H2415" t="s">
        <v>776</v>
      </c>
      <c r="I2415">
        <v>40</v>
      </c>
      <c r="J2415">
        <v>100</v>
      </c>
      <c r="K2415">
        <v>54</v>
      </c>
    </row>
    <row r="2416" spans="1:11" x14ac:dyDescent="0.3">
      <c r="A2416" t="s">
        <v>11</v>
      </c>
      <c r="B2416" t="s">
        <v>36</v>
      </c>
      <c r="C2416" t="s">
        <v>225</v>
      </c>
      <c r="D2416" t="s">
        <v>609</v>
      </c>
      <c r="E2416" s="5">
        <v>45812.958333333343</v>
      </c>
      <c r="F2416">
        <v>25.454699999999999</v>
      </c>
      <c r="G2416">
        <v>78.603899999999996</v>
      </c>
      <c r="H2416" t="s">
        <v>770</v>
      </c>
      <c r="I2416">
        <v>1</v>
      </c>
      <c r="J2416">
        <v>20</v>
      </c>
      <c r="K2416">
        <v>12</v>
      </c>
    </row>
    <row r="2417" spans="1:11" x14ac:dyDescent="0.3">
      <c r="A2417" t="s">
        <v>11</v>
      </c>
      <c r="B2417" t="s">
        <v>36</v>
      </c>
      <c r="C2417" t="s">
        <v>226</v>
      </c>
      <c r="D2417" t="s">
        <v>744</v>
      </c>
      <c r="E2417" s="5">
        <v>45812.958333333343</v>
      </c>
      <c r="F2417">
        <v>26.428281999999999</v>
      </c>
      <c r="G2417">
        <v>80.327067</v>
      </c>
      <c r="H2417" t="s">
        <v>775</v>
      </c>
    </row>
    <row r="2418" spans="1:11" x14ac:dyDescent="0.3">
      <c r="A2418" t="s">
        <v>11</v>
      </c>
      <c r="B2418" t="s">
        <v>36</v>
      </c>
      <c r="C2418" t="s">
        <v>226</v>
      </c>
      <c r="D2418" t="s">
        <v>744</v>
      </c>
      <c r="E2418" s="5">
        <v>45812.958333333343</v>
      </c>
      <c r="F2418">
        <v>26.428281999999999</v>
      </c>
      <c r="G2418">
        <v>80.327067</v>
      </c>
      <c r="H2418" t="s">
        <v>776</v>
      </c>
    </row>
    <row r="2419" spans="1:11" x14ac:dyDescent="0.3">
      <c r="A2419" t="s">
        <v>11</v>
      </c>
      <c r="B2419" t="s">
        <v>36</v>
      </c>
      <c r="C2419" t="s">
        <v>222</v>
      </c>
      <c r="D2419" t="s">
        <v>604</v>
      </c>
      <c r="E2419" s="5">
        <v>45812.958333333343</v>
      </c>
      <c r="F2419">
        <v>26.730136000000002</v>
      </c>
      <c r="G2419">
        <v>83.433858999999998</v>
      </c>
      <c r="H2419" t="s">
        <v>771</v>
      </c>
      <c r="I2419">
        <v>72</v>
      </c>
      <c r="J2419">
        <v>166</v>
      </c>
      <c r="K2419">
        <v>120</v>
      </c>
    </row>
    <row r="2420" spans="1:11" x14ac:dyDescent="0.3">
      <c r="A2420" t="s">
        <v>11</v>
      </c>
      <c r="B2420" t="s">
        <v>36</v>
      </c>
      <c r="C2420" t="s">
        <v>222</v>
      </c>
      <c r="D2420" t="s">
        <v>604</v>
      </c>
      <c r="E2420" s="5">
        <v>45812.958333333343</v>
      </c>
      <c r="F2420">
        <v>26.730136000000002</v>
      </c>
      <c r="G2420">
        <v>83.433858999999998</v>
      </c>
      <c r="H2420" t="s">
        <v>773</v>
      </c>
      <c r="I2420">
        <v>1</v>
      </c>
      <c r="J2420">
        <v>1</v>
      </c>
      <c r="K2420">
        <v>1</v>
      </c>
    </row>
    <row r="2421" spans="1:11" x14ac:dyDescent="0.3">
      <c r="A2421" t="s">
        <v>11</v>
      </c>
      <c r="B2421" t="s">
        <v>36</v>
      </c>
      <c r="C2421" t="s">
        <v>223</v>
      </c>
      <c r="D2421" t="s">
        <v>745</v>
      </c>
      <c r="E2421" s="5">
        <v>45812.958333333343</v>
      </c>
      <c r="F2421">
        <v>28.472719999999999</v>
      </c>
      <c r="G2421">
        <v>77.481999999999999</v>
      </c>
      <c r="H2421" t="s">
        <v>771</v>
      </c>
      <c r="I2421">
        <v>56</v>
      </c>
      <c r="J2421">
        <v>198</v>
      </c>
      <c r="K2421">
        <v>119</v>
      </c>
    </row>
    <row r="2422" spans="1:11" x14ac:dyDescent="0.3">
      <c r="A2422" t="s">
        <v>11</v>
      </c>
      <c r="B2422" t="s">
        <v>36</v>
      </c>
      <c r="C2422" t="s">
        <v>223</v>
      </c>
      <c r="D2422" t="s">
        <v>745</v>
      </c>
      <c r="E2422" s="5">
        <v>45812.958333333343</v>
      </c>
      <c r="F2422">
        <v>28.472719999999999</v>
      </c>
      <c r="G2422">
        <v>77.481999999999999</v>
      </c>
      <c r="H2422" t="s">
        <v>770</v>
      </c>
      <c r="I2422">
        <v>3</v>
      </c>
      <c r="J2422">
        <v>98</v>
      </c>
      <c r="K2422">
        <v>53</v>
      </c>
    </row>
    <row r="2423" spans="1:11" x14ac:dyDescent="0.3">
      <c r="A2423" t="s">
        <v>11</v>
      </c>
      <c r="B2423" t="s">
        <v>36</v>
      </c>
      <c r="C2423" t="s">
        <v>226</v>
      </c>
      <c r="D2423" t="s">
        <v>744</v>
      </c>
      <c r="E2423" s="5">
        <v>45812.958333333343</v>
      </c>
      <c r="F2423">
        <v>26.428281999999999</v>
      </c>
      <c r="G2423">
        <v>80.327067</v>
      </c>
      <c r="H2423" t="s">
        <v>770</v>
      </c>
    </row>
    <row r="2424" spans="1:11" x14ac:dyDescent="0.3">
      <c r="A2424" t="s">
        <v>11</v>
      </c>
      <c r="B2424" t="s">
        <v>36</v>
      </c>
      <c r="C2424" t="s">
        <v>226</v>
      </c>
      <c r="D2424" t="s">
        <v>610</v>
      </c>
      <c r="E2424" s="5">
        <v>45812.958333333343</v>
      </c>
      <c r="F2424">
        <v>26.509954</v>
      </c>
      <c r="G2424">
        <v>80.249611999999999</v>
      </c>
      <c r="H2424" t="s">
        <v>770</v>
      </c>
      <c r="I2424">
        <v>16</v>
      </c>
      <c r="J2424">
        <v>17</v>
      </c>
      <c r="K2424">
        <v>17</v>
      </c>
    </row>
    <row r="2425" spans="1:11" x14ac:dyDescent="0.3">
      <c r="A2425" t="s">
        <v>11</v>
      </c>
      <c r="B2425" t="s">
        <v>36</v>
      </c>
      <c r="C2425" t="s">
        <v>226</v>
      </c>
      <c r="D2425" t="s">
        <v>611</v>
      </c>
      <c r="E2425" s="5">
        <v>45812.958333333343</v>
      </c>
      <c r="F2425">
        <v>26.470313600000001</v>
      </c>
      <c r="G2425">
        <v>80.322986299999997</v>
      </c>
      <c r="H2425" t="s">
        <v>772</v>
      </c>
      <c r="I2425">
        <v>41</v>
      </c>
      <c r="J2425">
        <v>76</v>
      </c>
      <c r="K2425">
        <v>59</v>
      </c>
    </row>
    <row r="2426" spans="1:11" x14ac:dyDescent="0.3">
      <c r="A2426" t="s">
        <v>11</v>
      </c>
      <c r="B2426" t="s">
        <v>36</v>
      </c>
      <c r="C2426" t="s">
        <v>228</v>
      </c>
      <c r="D2426" t="s">
        <v>613</v>
      </c>
      <c r="E2426" s="5">
        <v>45812.958333333343</v>
      </c>
      <c r="F2426">
        <v>28.2348927</v>
      </c>
      <c r="G2426">
        <v>77.868300199999993</v>
      </c>
      <c r="H2426" t="s">
        <v>775</v>
      </c>
    </row>
    <row r="2427" spans="1:11" x14ac:dyDescent="0.3">
      <c r="A2427" t="s">
        <v>11</v>
      </c>
      <c r="B2427" t="s">
        <v>36</v>
      </c>
      <c r="C2427" t="s">
        <v>228</v>
      </c>
      <c r="D2427" t="s">
        <v>613</v>
      </c>
      <c r="E2427" s="5">
        <v>45812.958333333343</v>
      </c>
      <c r="F2427">
        <v>28.2348927</v>
      </c>
      <c r="G2427">
        <v>77.868300199999993</v>
      </c>
      <c r="H2427" t="s">
        <v>773</v>
      </c>
      <c r="I2427">
        <v>1</v>
      </c>
      <c r="J2427">
        <v>1</v>
      </c>
      <c r="K2427">
        <v>1</v>
      </c>
    </row>
    <row r="2428" spans="1:11" x14ac:dyDescent="0.3">
      <c r="A2428" t="s">
        <v>11</v>
      </c>
      <c r="B2428" t="s">
        <v>36</v>
      </c>
      <c r="C2428" t="s">
        <v>229</v>
      </c>
      <c r="D2428" t="s">
        <v>614</v>
      </c>
      <c r="E2428" s="5">
        <v>45812.958333333343</v>
      </c>
      <c r="F2428">
        <v>26.766432999999999</v>
      </c>
      <c r="G2428">
        <v>80.927299000000005</v>
      </c>
      <c r="H2428" t="s">
        <v>773</v>
      </c>
      <c r="I2428">
        <v>2</v>
      </c>
      <c r="J2428">
        <v>5</v>
      </c>
      <c r="K2428">
        <v>4</v>
      </c>
    </row>
    <row r="2429" spans="1:11" x14ac:dyDescent="0.3">
      <c r="A2429" t="s">
        <v>11</v>
      </c>
      <c r="B2429" t="s">
        <v>36</v>
      </c>
      <c r="C2429" t="s">
        <v>229</v>
      </c>
      <c r="D2429" t="s">
        <v>622</v>
      </c>
      <c r="E2429" s="5">
        <v>45812.958333333343</v>
      </c>
      <c r="F2429">
        <v>26.906110999999999</v>
      </c>
      <c r="G2429">
        <v>80.948222000000001</v>
      </c>
      <c r="H2429" t="s">
        <v>770</v>
      </c>
      <c r="I2429">
        <v>6</v>
      </c>
      <c r="J2429">
        <v>46</v>
      </c>
      <c r="K2429">
        <v>32</v>
      </c>
    </row>
    <row r="2430" spans="1:11" x14ac:dyDescent="0.3">
      <c r="A2430" t="s">
        <v>11</v>
      </c>
      <c r="B2430" t="s">
        <v>36</v>
      </c>
      <c r="C2430" t="s">
        <v>229</v>
      </c>
      <c r="D2430" t="s">
        <v>621</v>
      </c>
      <c r="E2430" s="5">
        <v>45812.958333333343</v>
      </c>
      <c r="F2430">
        <v>26.868120000000001</v>
      </c>
      <c r="G2430">
        <v>81.005118999999993</v>
      </c>
      <c r="H2430" t="s">
        <v>774</v>
      </c>
      <c r="I2430">
        <v>8</v>
      </c>
      <c r="J2430">
        <v>11</v>
      </c>
      <c r="K2430">
        <v>10</v>
      </c>
    </row>
    <row r="2431" spans="1:11" x14ac:dyDescent="0.3">
      <c r="A2431" t="s">
        <v>11</v>
      </c>
      <c r="B2431" t="s">
        <v>36</v>
      </c>
      <c r="C2431" t="s">
        <v>234</v>
      </c>
      <c r="D2431" t="s">
        <v>642</v>
      </c>
      <c r="E2431" s="5">
        <v>45812.958333333343</v>
      </c>
      <c r="F2431">
        <v>25.262326000000002</v>
      </c>
      <c r="G2431">
        <v>82.995407999999998</v>
      </c>
      <c r="H2431" t="s">
        <v>776</v>
      </c>
      <c r="I2431">
        <v>4</v>
      </c>
      <c r="J2431">
        <v>52</v>
      </c>
      <c r="K2431">
        <v>13</v>
      </c>
    </row>
    <row r="2432" spans="1:11" x14ac:dyDescent="0.3">
      <c r="A2432" t="s">
        <v>11</v>
      </c>
      <c r="B2432" t="s">
        <v>36</v>
      </c>
      <c r="C2432" t="s">
        <v>234</v>
      </c>
      <c r="D2432" t="s">
        <v>642</v>
      </c>
      <c r="E2432" s="5">
        <v>45812.958333333343</v>
      </c>
      <c r="F2432">
        <v>25.262326000000002</v>
      </c>
      <c r="G2432">
        <v>82.995407999999998</v>
      </c>
      <c r="H2432" t="s">
        <v>770</v>
      </c>
      <c r="I2432">
        <v>1</v>
      </c>
      <c r="J2432">
        <v>7</v>
      </c>
      <c r="K2432">
        <v>3</v>
      </c>
    </row>
    <row r="2433" spans="1:11" x14ac:dyDescent="0.3">
      <c r="A2433" t="s">
        <v>11</v>
      </c>
      <c r="B2433" t="s">
        <v>36</v>
      </c>
      <c r="C2433" t="s">
        <v>234</v>
      </c>
      <c r="D2433" t="s">
        <v>629</v>
      </c>
      <c r="E2433" s="5">
        <v>45812.958333333343</v>
      </c>
      <c r="F2433">
        <v>25.323930000000001</v>
      </c>
      <c r="G2433">
        <v>82.996870000000001</v>
      </c>
      <c r="H2433" t="s">
        <v>775</v>
      </c>
      <c r="I2433">
        <v>12</v>
      </c>
      <c r="J2433">
        <v>118</v>
      </c>
      <c r="K2433">
        <v>61</v>
      </c>
    </row>
    <row r="2434" spans="1:11" x14ac:dyDescent="0.3">
      <c r="A2434" t="s">
        <v>11</v>
      </c>
      <c r="B2434" t="s">
        <v>36</v>
      </c>
      <c r="C2434" t="s">
        <v>235</v>
      </c>
      <c r="D2434" t="s">
        <v>630</v>
      </c>
      <c r="E2434" s="5">
        <v>45812.958333333343</v>
      </c>
      <c r="F2434">
        <v>27.571408999999999</v>
      </c>
      <c r="G2434">
        <v>77.655756999999994</v>
      </c>
      <c r="H2434" t="s">
        <v>772</v>
      </c>
      <c r="I2434">
        <v>12</v>
      </c>
      <c r="J2434">
        <v>12</v>
      </c>
      <c r="K2434">
        <v>12</v>
      </c>
    </row>
    <row r="2435" spans="1:11" x14ac:dyDescent="0.3">
      <c r="A2435" t="s">
        <v>11</v>
      </c>
      <c r="B2435" t="s">
        <v>36</v>
      </c>
      <c r="C2435" t="s">
        <v>235</v>
      </c>
      <c r="D2435" t="s">
        <v>630</v>
      </c>
      <c r="E2435" s="5">
        <v>45812.958333333343</v>
      </c>
      <c r="F2435">
        <v>27.571408999999999</v>
      </c>
      <c r="G2435">
        <v>77.655756999999994</v>
      </c>
      <c r="H2435" t="s">
        <v>773</v>
      </c>
      <c r="I2435">
        <v>1</v>
      </c>
      <c r="J2435">
        <v>2</v>
      </c>
      <c r="K2435">
        <v>2</v>
      </c>
    </row>
    <row r="2436" spans="1:11" x14ac:dyDescent="0.3">
      <c r="A2436" t="s">
        <v>11</v>
      </c>
      <c r="B2436" t="s">
        <v>36</v>
      </c>
      <c r="C2436" t="s">
        <v>235</v>
      </c>
      <c r="D2436" t="s">
        <v>630</v>
      </c>
      <c r="E2436" s="5">
        <v>45812.958333333343</v>
      </c>
      <c r="F2436">
        <v>27.571408999999999</v>
      </c>
      <c r="G2436">
        <v>77.655756999999994</v>
      </c>
      <c r="H2436" t="s">
        <v>776</v>
      </c>
      <c r="I2436">
        <v>18</v>
      </c>
      <c r="J2436">
        <v>48</v>
      </c>
      <c r="K2436">
        <v>23</v>
      </c>
    </row>
    <row r="2437" spans="1:11" x14ac:dyDescent="0.3">
      <c r="A2437" t="s">
        <v>11</v>
      </c>
      <c r="B2437" t="s">
        <v>37</v>
      </c>
      <c r="C2437" t="s">
        <v>236</v>
      </c>
      <c r="D2437" t="s">
        <v>631</v>
      </c>
      <c r="E2437" s="5">
        <v>45812.958333333343</v>
      </c>
      <c r="F2437">
        <v>30.269444</v>
      </c>
      <c r="G2437">
        <v>78.044167000000002</v>
      </c>
      <c r="H2437" t="s">
        <v>772</v>
      </c>
      <c r="I2437">
        <v>1</v>
      </c>
      <c r="J2437">
        <v>8</v>
      </c>
      <c r="K2437">
        <v>3</v>
      </c>
    </row>
    <row r="2438" spans="1:11" x14ac:dyDescent="0.3">
      <c r="A2438" t="s">
        <v>11</v>
      </c>
      <c r="B2438" t="s">
        <v>36</v>
      </c>
      <c r="C2438" t="s">
        <v>231</v>
      </c>
      <c r="D2438" t="s">
        <v>619</v>
      </c>
      <c r="E2438" s="5">
        <v>45812.958333333343</v>
      </c>
      <c r="F2438">
        <v>28.840738999999999</v>
      </c>
      <c r="G2438">
        <v>78.697530999999998</v>
      </c>
      <c r="H2438" t="s">
        <v>772</v>
      </c>
      <c r="I2438">
        <v>10</v>
      </c>
      <c r="J2438">
        <v>131</v>
      </c>
      <c r="K2438">
        <v>45</v>
      </c>
    </row>
    <row r="2439" spans="1:11" x14ac:dyDescent="0.3">
      <c r="A2439" t="s">
        <v>11</v>
      </c>
      <c r="B2439" t="s">
        <v>36</v>
      </c>
      <c r="C2439" t="s">
        <v>231</v>
      </c>
      <c r="D2439" t="s">
        <v>619</v>
      </c>
      <c r="E2439" s="5">
        <v>45812.958333333343</v>
      </c>
      <c r="F2439">
        <v>28.840738999999999</v>
      </c>
      <c r="G2439">
        <v>78.697530999999998</v>
      </c>
      <c r="H2439" t="s">
        <v>773</v>
      </c>
      <c r="I2439">
        <v>7</v>
      </c>
      <c r="J2439">
        <v>13</v>
      </c>
      <c r="K2439">
        <v>10</v>
      </c>
    </row>
    <row r="2440" spans="1:11" x14ac:dyDescent="0.3">
      <c r="A2440" t="s">
        <v>11</v>
      </c>
      <c r="B2440" t="s">
        <v>36</v>
      </c>
      <c r="C2440" t="s">
        <v>231</v>
      </c>
      <c r="D2440" t="s">
        <v>748</v>
      </c>
      <c r="E2440" s="5">
        <v>45812.958333333343</v>
      </c>
      <c r="F2440">
        <v>28.885280000000002</v>
      </c>
      <c r="G2440">
        <v>78.738799999999998</v>
      </c>
      <c r="H2440" t="s">
        <v>771</v>
      </c>
      <c r="I2440">
        <v>40</v>
      </c>
      <c r="J2440">
        <v>232</v>
      </c>
      <c r="K2440">
        <v>92</v>
      </c>
    </row>
    <row r="2441" spans="1:11" x14ac:dyDescent="0.3">
      <c r="A2441" t="s">
        <v>11</v>
      </c>
      <c r="B2441" t="s">
        <v>36</v>
      </c>
      <c r="C2441" t="s">
        <v>231</v>
      </c>
      <c r="D2441" t="s">
        <v>748</v>
      </c>
      <c r="E2441" s="5">
        <v>45812.958333333343</v>
      </c>
      <c r="F2441">
        <v>28.885280000000002</v>
      </c>
      <c r="G2441">
        <v>78.738799999999998</v>
      </c>
      <c r="H2441" t="s">
        <v>774</v>
      </c>
      <c r="I2441">
        <v>27</v>
      </c>
      <c r="J2441">
        <v>45</v>
      </c>
      <c r="K2441">
        <v>32</v>
      </c>
    </row>
    <row r="2442" spans="1:11" x14ac:dyDescent="0.3">
      <c r="A2442" t="s">
        <v>11</v>
      </c>
      <c r="B2442" t="s">
        <v>36</v>
      </c>
      <c r="C2442" t="s">
        <v>231</v>
      </c>
      <c r="D2442" t="s">
        <v>620</v>
      </c>
      <c r="E2442" s="5">
        <v>45812.958333333343</v>
      </c>
      <c r="F2442">
        <v>28.856663999999999</v>
      </c>
      <c r="G2442">
        <v>78.772638000000001</v>
      </c>
      <c r="H2442" t="s">
        <v>770</v>
      </c>
      <c r="I2442">
        <v>11</v>
      </c>
      <c r="J2442">
        <v>26</v>
      </c>
      <c r="K2442">
        <v>19</v>
      </c>
    </row>
    <row r="2443" spans="1:11" x14ac:dyDescent="0.3">
      <c r="A2443" t="s">
        <v>11</v>
      </c>
      <c r="B2443" t="s">
        <v>36</v>
      </c>
      <c r="C2443" t="s">
        <v>231</v>
      </c>
      <c r="D2443" t="s">
        <v>749</v>
      </c>
      <c r="E2443" s="5">
        <v>45812.958333333343</v>
      </c>
      <c r="F2443">
        <v>28.849398999999998</v>
      </c>
      <c r="G2443">
        <v>78.742362</v>
      </c>
      <c r="H2443" t="s">
        <v>775</v>
      </c>
      <c r="I2443">
        <v>16</v>
      </c>
      <c r="J2443">
        <v>278</v>
      </c>
      <c r="K2443">
        <v>59</v>
      </c>
    </row>
    <row r="2444" spans="1:11" x14ac:dyDescent="0.3">
      <c r="A2444" t="s">
        <v>11</v>
      </c>
      <c r="B2444" t="s">
        <v>36</v>
      </c>
      <c r="C2444" t="s">
        <v>231</v>
      </c>
      <c r="D2444" t="s">
        <v>749</v>
      </c>
      <c r="E2444" s="5">
        <v>45812.958333333343</v>
      </c>
      <c r="F2444">
        <v>28.849398999999998</v>
      </c>
      <c r="G2444">
        <v>78.742362</v>
      </c>
      <c r="H2444" t="s">
        <v>771</v>
      </c>
      <c r="I2444">
        <v>28</v>
      </c>
      <c r="J2444">
        <v>197</v>
      </c>
      <c r="K2444">
        <v>79</v>
      </c>
    </row>
    <row r="2445" spans="1:11" x14ac:dyDescent="0.3">
      <c r="A2445" t="s">
        <v>11</v>
      </c>
      <c r="B2445" t="s">
        <v>36</v>
      </c>
      <c r="C2445" t="s">
        <v>232</v>
      </c>
      <c r="D2445" t="s">
        <v>751</v>
      </c>
      <c r="E2445" s="5">
        <v>45812.958333333343</v>
      </c>
      <c r="F2445">
        <v>28.5898</v>
      </c>
      <c r="G2445">
        <v>77.310100000000006</v>
      </c>
      <c r="H2445" t="s">
        <v>773</v>
      </c>
      <c r="I2445">
        <v>6</v>
      </c>
      <c r="J2445">
        <v>14</v>
      </c>
      <c r="K2445">
        <v>10</v>
      </c>
    </row>
    <row r="2446" spans="1:11" x14ac:dyDescent="0.3">
      <c r="A2446" t="s">
        <v>11</v>
      </c>
      <c r="B2446" t="s">
        <v>36</v>
      </c>
      <c r="C2446" t="s">
        <v>232</v>
      </c>
      <c r="D2446" t="s">
        <v>751</v>
      </c>
      <c r="E2446" s="5">
        <v>45812.958333333343</v>
      </c>
      <c r="F2446">
        <v>28.5898</v>
      </c>
      <c r="G2446">
        <v>77.310100000000006</v>
      </c>
      <c r="H2446" t="s">
        <v>776</v>
      </c>
      <c r="I2446">
        <v>10</v>
      </c>
      <c r="J2446">
        <v>166</v>
      </c>
      <c r="K2446">
        <v>166</v>
      </c>
    </row>
    <row r="2447" spans="1:11" x14ac:dyDescent="0.3">
      <c r="A2447" t="s">
        <v>11</v>
      </c>
      <c r="B2447" t="s">
        <v>36</v>
      </c>
      <c r="C2447" t="s">
        <v>232</v>
      </c>
      <c r="D2447" t="s">
        <v>627</v>
      </c>
      <c r="E2447" s="5">
        <v>45812.958333333343</v>
      </c>
      <c r="F2447">
        <v>28.569230000000001</v>
      </c>
      <c r="G2447">
        <v>77.393848000000006</v>
      </c>
      <c r="H2447" t="s">
        <v>771</v>
      </c>
      <c r="I2447">
        <v>84</v>
      </c>
      <c r="J2447">
        <v>400</v>
      </c>
      <c r="K2447">
        <v>154</v>
      </c>
    </row>
    <row r="2448" spans="1:11" x14ac:dyDescent="0.3">
      <c r="A2448" t="s">
        <v>11</v>
      </c>
      <c r="B2448" t="s">
        <v>36</v>
      </c>
      <c r="C2448" t="s">
        <v>232</v>
      </c>
      <c r="D2448" t="s">
        <v>627</v>
      </c>
      <c r="E2448" s="5">
        <v>45812.958333333343</v>
      </c>
      <c r="F2448">
        <v>28.569230000000001</v>
      </c>
      <c r="G2448">
        <v>77.393848000000006</v>
      </c>
      <c r="H2448" t="s">
        <v>773</v>
      </c>
      <c r="I2448">
        <v>7</v>
      </c>
      <c r="J2448">
        <v>19</v>
      </c>
      <c r="K2448">
        <v>11</v>
      </c>
    </row>
    <row r="2449" spans="1:11" x14ac:dyDescent="0.3">
      <c r="A2449" t="s">
        <v>11</v>
      </c>
      <c r="B2449" t="s">
        <v>36</v>
      </c>
      <c r="C2449" t="s">
        <v>233</v>
      </c>
      <c r="D2449" t="s">
        <v>628</v>
      </c>
      <c r="E2449" s="5">
        <v>45812.958333333343</v>
      </c>
      <c r="F2449">
        <v>25.425602000000001</v>
      </c>
      <c r="G2449">
        <v>81.917152000000002</v>
      </c>
      <c r="H2449" t="s">
        <v>772</v>
      </c>
      <c r="I2449">
        <v>6</v>
      </c>
      <c r="J2449">
        <v>6</v>
      </c>
      <c r="K2449">
        <v>6</v>
      </c>
    </row>
    <row r="2450" spans="1:11" x14ac:dyDescent="0.3">
      <c r="A2450" t="s">
        <v>11</v>
      </c>
      <c r="B2450" t="s">
        <v>36</v>
      </c>
      <c r="C2450" t="s">
        <v>233</v>
      </c>
      <c r="D2450" t="s">
        <v>628</v>
      </c>
      <c r="E2450" s="5">
        <v>45812.958333333343</v>
      </c>
      <c r="F2450">
        <v>25.425602000000001</v>
      </c>
      <c r="G2450">
        <v>81.917152000000002</v>
      </c>
      <c r="H2450" t="s">
        <v>776</v>
      </c>
      <c r="I2450">
        <v>2</v>
      </c>
      <c r="J2450">
        <v>104</v>
      </c>
      <c r="K2450">
        <v>35</v>
      </c>
    </row>
    <row r="2451" spans="1:11" x14ac:dyDescent="0.3">
      <c r="A2451" t="s">
        <v>11</v>
      </c>
      <c r="B2451" t="s">
        <v>36</v>
      </c>
      <c r="C2451" t="s">
        <v>231</v>
      </c>
      <c r="D2451" t="s">
        <v>626</v>
      </c>
      <c r="E2451" s="5">
        <v>45812.958333333343</v>
      </c>
      <c r="F2451">
        <v>28.802624999999999</v>
      </c>
      <c r="G2451">
        <v>78.753727999999995</v>
      </c>
      <c r="H2451" t="s">
        <v>775</v>
      </c>
      <c r="I2451">
        <v>20</v>
      </c>
      <c r="J2451">
        <v>252</v>
      </c>
      <c r="K2451">
        <v>68</v>
      </c>
    </row>
    <row r="2452" spans="1:11" x14ac:dyDescent="0.3">
      <c r="A2452" t="s">
        <v>11</v>
      </c>
      <c r="B2452" t="s">
        <v>36</v>
      </c>
      <c r="C2452" t="s">
        <v>287</v>
      </c>
      <c r="D2452" t="s">
        <v>750</v>
      </c>
      <c r="E2452" s="5">
        <v>45812.958333333343</v>
      </c>
      <c r="F2452">
        <v>29.472350800000001</v>
      </c>
      <c r="G2452">
        <v>77.719403099999994</v>
      </c>
      <c r="H2452" t="s">
        <v>771</v>
      </c>
      <c r="I2452">
        <v>60</v>
      </c>
      <c r="J2452">
        <v>194</v>
      </c>
      <c r="K2452">
        <v>106</v>
      </c>
    </row>
    <row r="2453" spans="1:11" x14ac:dyDescent="0.3">
      <c r="A2453" t="s">
        <v>11</v>
      </c>
      <c r="B2453" t="s">
        <v>36</v>
      </c>
      <c r="C2453" t="s">
        <v>287</v>
      </c>
      <c r="D2453" t="s">
        <v>750</v>
      </c>
      <c r="E2453" s="5">
        <v>45812.958333333343</v>
      </c>
      <c r="F2453">
        <v>29.472350800000001</v>
      </c>
      <c r="G2453">
        <v>77.719403099999994</v>
      </c>
      <c r="H2453" t="s">
        <v>772</v>
      </c>
      <c r="I2453">
        <v>18</v>
      </c>
      <c r="J2453">
        <v>167</v>
      </c>
      <c r="K2453">
        <v>41</v>
      </c>
    </row>
    <row r="2454" spans="1:11" x14ac:dyDescent="0.3">
      <c r="A2454" t="s">
        <v>11</v>
      </c>
      <c r="B2454" t="s">
        <v>36</v>
      </c>
      <c r="C2454" t="s">
        <v>234</v>
      </c>
      <c r="D2454" t="s">
        <v>641</v>
      </c>
      <c r="E2454" s="5">
        <v>45812.958333333343</v>
      </c>
      <c r="F2454">
        <v>25.301777999999999</v>
      </c>
      <c r="G2454">
        <v>82.996789000000007</v>
      </c>
      <c r="H2454" t="s">
        <v>771</v>
      </c>
      <c r="I2454">
        <v>42</v>
      </c>
      <c r="J2454">
        <v>195</v>
      </c>
      <c r="K2454">
        <v>115</v>
      </c>
    </row>
    <row r="2455" spans="1:11" x14ac:dyDescent="0.3">
      <c r="A2455" t="s">
        <v>11</v>
      </c>
      <c r="B2455" t="s">
        <v>36</v>
      </c>
      <c r="C2455" t="s">
        <v>234</v>
      </c>
      <c r="D2455" t="s">
        <v>641</v>
      </c>
      <c r="E2455" s="5">
        <v>45812.958333333343</v>
      </c>
      <c r="F2455">
        <v>25.301777999999999</v>
      </c>
      <c r="G2455">
        <v>82.996789000000007</v>
      </c>
      <c r="H2455" t="s">
        <v>774</v>
      </c>
      <c r="I2455">
        <v>31</v>
      </c>
      <c r="J2455">
        <v>35</v>
      </c>
      <c r="K2455">
        <v>34</v>
      </c>
    </row>
    <row r="2456" spans="1:11" x14ac:dyDescent="0.3">
      <c r="A2456" t="s">
        <v>11</v>
      </c>
      <c r="B2456" t="s">
        <v>36</v>
      </c>
      <c r="C2456" t="s">
        <v>234</v>
      </c>
      <c r="D2456" t="s">
        <v>642</v>
      </c>
      <c r="E2456" s="5">
        <v>45812.958333333343</v>
      </c>
      <c r="F2456">
        <v>25.262326000000002</v>
      </c>
      <c r="G2456">
        <v>82.995407999999998</v>
      </c>
      <c r="H2456" t="s">
        <v>773</v>
      </c>
      <c r="I2456">
        <v>3</v>
      </c>
      <c r="J2456">
        <v>11</v>
      </c>
      <c r="K2456">
        <v>7</v>
      </c>
    </row>
    <row r="2457" spans="1:11" x14ac:dyDescent="0.3">
      <c r="A2457" t="s">
        <v>11</v>
      </c>
      <c r="B2457" t="s">
        <v>36</v>
      </c>
      <c r="C2457" t="s">
        <v>233</v>
      </c>
      <c r="D2457" t="s">
        <v>747</v>
      </c>
      <c r="E2457" s="5">
        <v>45812.958333333343</v>
      </c>
      <c r="F2457">
        <v>25.449199159999999</v>
      </c>
      <c r="G2457">
        <v>81.827359860000001</v>
      </c>
      <c r="H2457" t="s">
        <v>776</v>
      </c>
      <c r="I2457">
        <v>4</v>
      </c>
      <c r="J2457">
        <v>111</v>
      </c>
      <c r="K2457">
        <v>33</v>
      </c>
    </row>
    <row r="2458" spans="1:11" x14ac:dyDescent="0.3">
      <c r="A2458" t="s">
        <v>11</v>
      </c>
      <c r="B2458" t="s">
        <v>36</v>
      </c>
      <c r="C2458" t="s">
        <v>234</v>
      </c>
      <c r="D2458" t="s">
        <v>644</v>
      </c>
      <c r="E2458" s="5">
        <v>45812.958333333343</v>
      </c>
      <c r="F2458">
        <v>25.350598600000001</v>
      </c>
      <c r="G2458">
        <v>82.908307399999998</v>
      </c>
      <c r="H2458" t="s">
        <v>775</v>
      </c>
      <c r="I2458">
        <v>15</v>
      </c>
      <c r="J2458">
        <v>213</v>
      </c>
      <c r="K2458">
        <v>111</v>
      </c>
    </row>
    <row r="2459" spans="1:11" x14ac:dyDescent="0.3">
      <c r="A2459" t="s">
        <v>11</v>
      </c>
      <c r="B2459" t="s">
        <v>36</v>
      </c>
      <c r="C2459" t="s">
        <v>230</v>
      </c>
      <c r="D2459" t="s">
        <v>623</v>
      </c>
      <c r="E2459" s="5">
        <v>45812.958333333343</v>
      </c>
      <c r="F2459">
        <v>29.063510000000001</v>
      </c>
      <c r="G2459">
        <v>77.709722999999997</v>
      </c>
      <c r="H2459" t="s">
        <v>775</v>
      </c>
      <c r="I2459">
        <v>42</v>
      </c>
      <c r="J2459">
        <v>295</v>
      </c>
      <c r="K2459">
        <v>136</v>
      </c>
    </row>
    <row r="2460" spans="1:11" x14ac:dyDescent="0.3">
      <c r="A2460" t="s">
        <v>11</v>
      </c>
      <c r="B2460" t="s">
        <v>36</v>
      </c>
      <c r="C2460" t="s">
        <v>230</v>
      </c>
      <c r="D2460" t="s">
        <v>623</v>
      </c>
      <c r="E2460" s="5">
        <v>45812.958333333343</v>
      </c>
      <c r="F2460">
        <v>29.063510000000001</v>
      </c>
      <c r="G2460">
        <v>77.709722999999997</v>
      </c>
      <c r="H2460" t="s">
        <v>776</v>
      </c>
      <c r="I2460">
        <v>21</v>
      </c>
      <c r="J2460">
        <v>124</v>
      </c>
      <c r="K2460">
        <v>87</v>
      </c>
    </row>
    <row r="2461" spans="1:11" x14ac:dyDescent="0.3">
      <c r="A2461" t="s">
        <v>11</v>
      </c>
      <c r="B2461" t="s">
        <v>36</v>
      </c>
      <c r="C2461" t="s">
        <v>234</v>
      </c>
      <c r="D2461" t="s">
        <v>644</v>
      </c>
      <c r="E2461" s="5">
        <v>45812.958333333343</v>
      </c>
      <c r="F2461">
        <v>25.350598600000001</v>
      </c>
      <c r="G2461">
        <v>82.908307399999998</v>
      </c>
      <c r="H2461" t="s">
        <v>771</v>
      </c>
      <c r="I2461">
        <v>17</v>
      </c>
      <c r="J2461">
        <v>149</v>
      </c>
      <c r="K2461">
        <v>89</v>
      </c>
    </row>
    <row r="2462" spans="1:11" x14ac:dyDescent="0.3">
      <c r="A2462" t="s">
        <v>11</v>
      </c>
      <c r="B2462" t="s">
        <v>36</v>
      </c>
      <c r="C2462" t="s">
        <v>234</v>
      </c>
      <c r="D2462" t="s">
        <v>644</v>
      </c>
      <c r="E2462" s="5">
        <v>45812.958333333343</v>
      </c>
      <c r="F2462">
        <v>25.350598600000001</v>
      </c>
      <c r="G2462">
        <v>82.908307399999998</v>
      </c>
      <c r="H2462" t="s">
        <v>770</v>
      </c>
      <c r="I2462">
        <v>26</v>
      </c>
      <c r="J2462">
        <v>32</v>
      </c>
      <c r="K2462">
        <v>27</v>
      </c>
    </row>
    <row r="2463" spans="1:11" x14ac:dyDescent="0.3">
      <c r="A2463" t="s">
        <v>11</v>
      </c>
      <c r="B2463" t="s">
        <v>36</v>
      </c>
      <c r="C2463" t="s">
        <v>232</v>
      </c>
      <c r="D2463" t="s">
        <v>751</v>
      </c>
      <c r="E2463" s="5">
        <v>45812.958333333343</v>
      </c>
      <c r="F2463">
        <v>28.5898</v>
      </c>
      <c r="G2463">
        <v>77.310100000000006</v>
      </c>
      <c r="H2463" t="s">
        <v>775</v>
      </c>
      <c r="I2463">
        <v>22</v>
      </c>
      <c r="J2463">
        <v>164</v>
      </c>
      <c r="K2463">
        <v>69</v>
      </c>
    </row>
    <row r="2464" spans="1:11" x14ac:dyDescent="0.3">
      <c r="A2464" t="s">
        <v>11</v>
      </c>
      <c r="B2464" t="s">
        <v>36</v>
      </c>
      <c r="C2464" t="s">
        <v>232</v>
      </c>
      <c r="D2464" t="s">
        <v>751</v>
      </c>
      <c r="E2464" s="5">
        <v>45812.958333333343</v>
      </c>
      <c r="F2464">
        <v>28.5898</v>
      </c>
      <c r="G2464">
        <v>77.310100000000006</v>
      </c>
      <c r="H2464" t="s">
        <v>772</v>
      </c>
      <c r="I2464">
        <v>8</v>
      </c>
      <c r="J2464">
        <v>96</v>
      </c>
      <c r="K2464">
        <v>48</v>
      </c>
    </row>
    <row r="2465" spans="1:11" x14ac:dyDescent="0.3">
      <c r="A2465" t="s">
        <v>11</v>
      </c>
      <c r="B2465" t="s">
        <v>38</v>
      </c>
      <c r="C2465" t="s">
        <v>241</v>
      </c>
      <c r="D2465" t="s">
        <v>636</v>
      </c>
      <c r="E2465" s="5">
        <v>45812.958333333343</v>
      </c>
      <c r="F2465">
        <v>23.697935999999999</v>
      </c>
      <c r="G2465">
        <v>86.944395</v>
      </c>
      <c r="H2465" t="s">
        <v>772</v>
      </c>
      <c r="I2465">
        <v>16</v>
      </c>
      <c r="J2465">
        <v>61</v>
      </c>
      <c r="K2465">
        <v>36</v>
      </c>
    </row>
    <row r="2466" spans="1:11" x14ac:dyDescent="0.3">
      <c r="A2466" t="s">
        <v>11</v>
      </c>
      <c r="B2466" t="s">
        <v>38</v>
      </c>
      <c r="C2466" t="s">
        <v>241</v>
      </c>
      <c r="D2466" t="s">
        <v>636</v>
      </c>
      <c r="E2466" s="5">
        <v>45812.958333333343</v>
      </c>
      <c r="F2466">
        <v>23.697935999999999</v>
      </c>
      <c r="G2466">
        <v>86.944395</v>
      </c>
      <c r="H2466" t="s">
        <v>773</v>
      </c>
      <c r="I2466">
        <v>4</v>
      </c>
      <c r="J2466">
        <v>6</v>
      </c>
      <c r="K2466">
        <v>5</v>
      </c>
    </row>
    <row r="2467" spans="1:11" x14ac:dyDescent="0.3">
      <c r="A2467" t="s">
        <v>11</v>
      </c>
      <c r="B2467" t="s">
        <v>38</v>
      </c>
      <c r="C2467" t="s">
        <v>241</v>
      </c>
      <c r="D2467" t="s">
        <v>753</v>
      </c>
      <c r="E2467" s="5">
        <v>45812.958333333343</v>
      </c>
      <c r="F2467">
        <v>23.616515</v>
      </c>
      <c r="G2467">
        <v>87.119133000000005</v>
      </c>
      <c r="H2467" t="s">
        <v>775</v>
      </c>
      <c r="I2467">
        <v>39</v>
      </c>
      <c r="J2467">
        <v>151</v>
      </c>
      <c r="K2467">
        <v>103</v>
      </c>
    </row>
    <row r="2468" spans="1:11" x14ac:dyDescent="0.3">
      <c r="A2468" t="s">
        <v>11</v>
      </c>
      <c r="B2468" t="s">
        <v>38</v>
      </c>
      <c r="C2468" t="s">
        <v>241</v>
      </c>
      <c r="D2468" t="s">
        <v>753</v>
      </c>
      <c r="E2468" s="5">
        <v>45812.958333333343</v>
      </c>
      <c r="F2468">
        <v>23.616515</v>
      </c>
      <c r="G2468">
        <v>87.119133000000005</v>
      </c>
      <c r="H2468" t="s">
        <v>771</v>
      </c>
      <c r="I2468">
        <v>87</v>
      </c>
      <c r="J2468">
        <v>175</v>
      </c>
      <c r="K2468">
        <v>129</v>
      </c>
    </row>
    <row r="2469" spans="1:11" x14ac:dyDescent="0.3">
      <c r="A2469" t="s">
        <v>11</v>
      </c>
      <c r="B2469" t="s">
        <v>38</v>
      </c>
      <c r="C2469" t="s">
        <v>241</v>
      </c>
      <c r="D2469" t="s">
        <v>753</v>
      </c>
      <c r="E2469" s="5">
        <v>45812.958333333343</v>
      </c>
      <c r="F2469">
        <v>23.616515</v>
      </c>
      <c r="G2469">
        <v>87.119133000000005</v>
      </c>
      <c r="H2469" t="s">
        <v>772</v>
      </c>
      <c r="I2469">
        <v>10</v>
      </c>
      <c r="J2469">
        <v>41</v>
      </c>
      <c r="K2469">
        <v>19</v>
      </c>
    </row>
    <row r="2470" spans="1:11" x14ac:dyDescent="0.3">
      <c r="A2470" t="s">
        <v>11</v>
      </c>
      <c r="B2470" t="s">
        <v>38</v>
      </c>
      <c r="C2470" t="s">
        <v>242</v>
      </c>
      <c r="D2470" t="s">
        <v>637</v>
      </c>
      <c r="E2470" s="5">
        <v>45812.958333333343</v>
      </c>
      <c r="F2470">
        <v>22.760558100000001</v>
      </c>
      <c r="G2470">
        <v>88.361758899999998</v>
      </c>
      <c r="H2470" t="s">
        <v>774</v>
      </c>
      <c r="I2470">
        <v>14</v>
      </c>
      <c r="J2470">
        <v>24</v>
      </c>
      <c r="K2470">
        <v>18</v>
      </c>
    </row>
    <row r="2471" spans="1:11" x14ac:dyDescent="0.3">
      <c r="A2471" t="s">
        <v>11</v>
      </c>
      <c r="B2471" t="s">
        <v>37</v>
      </c>
      <c r="C2471" t="s">
        <v>237</v>
      </c>
      <c r="D2471" t="s">
        <v>632</v>
      </c>
      <c r="E2471" s="5">
        <v>45812.958333333343</v>
      </c>
      <c r="F2471">
        <v>29.212411400000001</v>
      </c>
      <c r="G2471">
        <v>78.961175299999994</v>
      </c>
      <c r="H2471" t="s">
        <v>774</v>
      </c>
      <c r="I2471">
        <v>3</v>
      </c>
      <c r="J2471">
        <v>10</v>
      </c>
      <c r="K2471">
        <v>8</v>
      </c>
    </row>
    <row r="2472" spans="1:11" x14ac:dyDescent="0.3">
      <c r="A2472" t="s">
        <v>11</v>
      </c>
      <c r="B2472" t="s">
        <v>37</v>
      </c>
      <c r="C2472" t="s">
        <v>237</v>
      </c>
      <c r="D2472" t="s">
        <v>632</v>
      </c>
      <c r="E2472" s="5">
        <v>45812.958333333343</v>
      </c>
      <c r="F2472">
        <v>29.212411400000001</v>
      </c>
      <c r="G2472">
        <v>78.961175299999994</v>
      </c>
      <c r="H2472" t="s">
        <v>770</v>
      </c>
      <c r="I2472">
        <v>16</v>
      </c>
      <c r="J2472">
        <v>89</v>
      </c>
      <c r="K2472">
        <v>56</v>
      </c>
    </row>
    <row r="2473" spans="1:11" x14ac:dyDescent="0.3">
      <c r="A2473" t="s">
        <v>11</v>
      </c>
      <c r="B2473" t="s">
        <v>37</v>
      </c>
      <c r="C2473" t="s">
        <v>288</v>
      </c>
      <c r="D2473" t="s">
        <v>756</v>
      </c>
      <c r="E2473" s="5">
        <v>45812.958333333343</v>
      </c>
      <c r="F2473">
        <v>30.075911000000001</v>
      </c>
      <c r="G2473">
        <v>78.285954700000005</v>
      </c>
      <c r="H2473" t="s">
        <v>775</v>
      </c>
      <c r="I2473">
        <v>42</v>
      </c>
      <c r="J2473">
        <v>107</v>
      </c>
      <c r="K2473">
        <v>71</v>
      </c>
    </row>
    <row r="2474" spans="1:11" x14ac:dyDescent="0.3">
      <c r="A2474" t="s">
        <v>11</v>
      </c>
      <c r="B2474" t="s">
        <v>37</v>
      </c>
      <c r="C2474" t="s">
        <v>288</v>
      </c>
      <c r="D2474" t="s">
        <v>756</v>
      </c>
      <c r="E2474" s="5">
        <v>45812.958333333343</v>
      </c>
      <c r="F2474">
        <v>30.075911000000001</v>
      </c>
      <c r="G2474">
        <v>78.285954700000005</v>
      </c>
      <c r="H2474" t="s">
        <v>772</v>
      </c>
      <c r="I2474">
        <v>10</v>
      </c>
      <c r="J2474">
        <v>17</v>
      </c>
      <c r="K2474">
        <v>13</v>
      </c>
    </row>
    <row r="2475" spans="1:11" x14ac:dyDescent="0.3">
      <c r="A2475" t="s">
        <v>11</v>
      </c>
      <c r="B2475" t="s">
        <v>38</v>
      </c>
      <c r="C2475" t="s">
        <v>239</v>
      </c>
      <c r="D2475" t="s">
        <v>634</v>
      </c>
      <c r="E2475" s="5">
        <v>45812.958333333343</v>
      </c>
      <c r="F2475">
        <v>22.060469999999999</v>
      </c>
      <c r="G2475">
        <v>88.109736999999996</v>
      </c>
      <c r="H2475" t="s">
        <v>771</v>
      </c>
      <c r="I2475">
        <v>18</v>
      </c>
      <c r="J2475">
        <v>69</v>
      </c>
      <c r="K2475">
        <v>49</v>
      </c>
    </row>
    <row r="2476" spans="1:11" x14ac:dyDescent="0.3">
      <c r="A2476" t="s">
        <v>11</v>
      </c>
      <c r="B2476" t="s">
        <v>38</v>
      </c>
      <c r="C2476" t="s">
        <v>239</v>
      </c>
      <c r="D2476" t="s">
        <v>634</v>
      </c>
      <c r="E2476" s="5">
        <v>45812.958333333343</v>
      </c>
      <c r="F2476">
        <v>22.060469999999999</v>
      </c>
      <c r="G2476">
        <v>88.109736999999996</v>
      </c>
      <c r="H2476" t="s">
        <v>773</v>
      </c>
      <c r="I2476">
        <v>4</v>
      </c>
      <c r="J2476">
        <v>5</v>
      </c>
      <c r="K2476">
        <v>4</v>
      </c>
    </row>
    <row r="2477" spans="1:11" x14ac:dyDescent="0.3">
      <c r="A2477" t="s">
        <v>11</v>
      </c>
      <c r="B2477" t="s">
        <v>38</v>
      </c>
      <c r="C2477" t="s">
        <v>240</v>
      </c>
      <c r="D2477" t="s">
        <v>635</v>
      </c>
      <c r="E2477" s="5">
        <v>45812.958333333343</v>
      </c>
      <c r="F2477">
        <v>22.629801</v>
      </c>
      <c r="G2477">
        <v>88.352017000000004</v>
      </c>
      <c r="H2477" t="s">
        <v>775</v>
      </c>
      <c r="I2477">
        <v>23</v>
      </c>
      <c r="J2477">
        <v>62</v>
      </c>
      <c r="K2477">
        <v>41</v>
      </c>
    </row>
    <row r="2478" spans="1:11" x14ac:dyDescent="0.3">
      <c r="A2478" t="s">
        <v>11</v>
      </c>
      <c r="B2478" t="s">
        <v>38</v>
      </c>
      <c r="C2478" t="s">
        <v>243</v>
      </c>
      <c r="D2478" t="s">
        <v>648</v>
      </c>
      <c r="E2478" s="5">
        <v>45812.958333333343</v>
      </c>
      <c r="F2478">
        <v>22.627846999999999</v>
      </c>
      <c r="G2478">
        <v>88.380668999999997</v>
      </c>
      <c r="H2478" t="s">
        <v>772</v>
      </c>
      <c r="I2478">
        <v>17</v>
      </c>
      <c r="J2478">
        <v>25</v>
      </c>
      <c r="K2478">
        <v>21</v>
      </c>
    </row>
    <row r="2479" spans="1:11" x14ac:dyDescent="0.3">
      <c r="A2479" t="s">
        <v>11</v>
      </c>
      <c r="B2479" t="s">
        <v>38</v>
      </c>
      <c r="C2479" t="s">
        <v>243</v>
      </c>
      <c r="D2479" t="s">
        <v>648</v>
      </c>
      <c r="E2479" s="5">
        <v>45812.958333333343</v>
      </c>
      <c r="F2479">
        <v>22.627846999999999</v>
      </c>
      <c r="G2479">
        <v>88.380668999999997</v>
      </c>
      <c r="H2479" t="s">
        <v>770</v>
      </c>
      <c r="I2479">
        <v>32</v>
      </c>
      <c r="J2479">
        <v>62</v>
      </c>
      <c r="K2479">
        <v>47</v>
      </c>
    </row>
    <row r="2480" spans="1:11" x14ac:dyDescent="0.3">
      <c r="A2480" t="s">
        <v>11</v>
      </c>
      <c r="B2480" t="s">
        <v>38</v>
      </c>
      <c r="C2480" t="s">
        <v>243</v>
      </c>
      <c r="D2480" t="s">
        <v>649</v>
      </c>
      <c r="E2480" s="5">
        <v>45812.958333333343</v>
      </c>
      <c r="F2480">
        <v>22.511060000000001</v>
      </c>
      <c r="G2480">
        <v>88.351420000000005</v>
      </c>
      <c r="H2480" t="s">
        <v>771</v>
      </c>
      <c r="I2480">
        <v>42</v>
      </c>
      <c r="J2480">
        <v>68</v>
      </c>
      <c r="K2480">
        <v>52</v>
      </c>
    </row>
    <row r="2481" spans="1:11" x14ac:dyDescent="0.3">
      <c r="A2481" t="s">
        <v>11</v>
      </c>
      <c r="B2481" t="s">
        <v>38</v>
      </c>
      <c r="C2481" t="s">
        <v>243</v>
      </c>
      <c r="D2481" t="s">
        <v>645</v>
      </c>
      <c r="E2481" s="5">
        <v>45812.958333333343</v>
      </c>
      <c r="F2481">
        <v>22.536750699999999</v>
      </c>
      <c r="G2481">
        <v>88.363802199999995</v>
      </c>
      <c r="H2481" t="s">
        <v>776</v>
      </c>
      <c r="I2481">
        <v>20</v>
      </c>
      <c r="J2481">
        <v>32</v>
      </c>
      <c r="K2481">
        <v>22</v>
      </c>
    </row>
    <row r="2482" spans="1:11" x14ac:dyDescent="0.3">
      <c r="A2482" t="s">
        <v>11</v>
      </c>
      <c r="B2482" t="s">
        <v>38</v>
      </c>
      <c r="C2482" t="s">
        <v>243</v>
      </c>
      <c r="D2482" t="s">
        <v>646</v>
      </c>
      <c r="E2482" s="5">
        <v>45812.958333333343</v>
      </c>
      <c r="F2482">
        <v>22.58157048</v>
      </c>
      <c r="G2482">
        <v>88.410024570000004</v>
      </c>
      <c r="H2482" t="s">
        <v>772</v>
      </c>
      <c r="I2482">
        <v>14</v>
      </c>
      <c r="J2482">
        <v>19</v>
      </c>
      <c r="K2482">
        <v>15</v>
      </c>
    </row>
    <row r="2483" spans="1:11" x14ac:dyDescent="0.3">
      <c r="A2483" t="s">
        <v>11</v>
      </c>
      <c r="B2483" t="s">
        <v>38</v>
      </c>
      <c r="C2483" t="s">
        <v>243</v>
      </c>
      <c r="D2483" t="s">
        <v>646</v>
      </c>
      <c r="E2483" s="5">
        <v>45812.958333333343</v>
      </c>
      <c r="F2483">
        <v>22.58157048</v>
      </c>
      <c r="G2483">
        <v>88.410024570000004</v>
      </c>
      <c r="H2483" t="s">
        <v>773</v>
      </c>
      <c r="I2483">
        <v>7</v>
      </c>
      <c r="J2483">
        <v>13</v>
      </c>
      <c r="K2483">
        <v>8</v>
      </c>
    </row>
    <row r="2484" spans="1:11" x14ac:dyDescent="0.3">
      <c r="A2484" t="s">
        <v>11</v>
      </c>
      <c r="B2484" t="s">
        <v>38</v>
      </c>
      <c r="C2484" t="s">
        <v>240</v>
      </c>
      <c r="D2484" t="s">
        <v>639</v>
      </c>
      <c r="E2484" s="5">
        <v>45812.958333333343</v>
      </c>
      <c r="F2484">
        <v>22.554953999999999</v>
      </c>
      <c r="G2484">
        <v>88.292568000000003</v>
      </c>
      <c r="H2484" t="s">
        <v>773</v>
      </c>
      <c r="I2484">
        <v>1</v>
      </c>
      <c r="J2484">
        <v>3</v>
      </c>
      <c r="K2484">
        <v>2</v>
      </c>
    </row>
    <row r="2485" spans="1:11" x14ac:dyDescent="0.3">
      <c r="A2485" t="s">
        <v>11</v>
      </c>
      <c r="B2485" t="s">
        <v>38</v>
      </c>
      <c r="C2485" t="s">
        <v>240</v>
      </c>
      <c r="D2485" t="s">
        <v>640</v>
      </c>
      <c r="E2485" s="5">
        <v>45812.958333333343</v>
      </c>
      <c r="F2485">
        <v>22.602557099999999</v>
      </c>
      <c r="G2485">
        <v>88.310566399999999</v>
      </c>
      <c r="H2485" t="s">
        <v>773</v>
      </c>
      <c r="I2485">
        <v>2</v>
      </c>
      <c r="J2485">
        <v>3</v>
      </c>
      <c r="K2485">
        <v>2</v>
      </c>
    </row>
    <row r="2486" spans="1:11" x14ac:dyDescent="0.3">
      <c r="A2486" t="s">
        <v>11</v>
      </c>
      <c r="B2486" t="s">
        <v>38</v>
      </c>
      <c r="C2486" t="s">
        <v>240</v>
      </c>
      <c r="D2486" t="s">
        <v>640</v>
      </c>
      <c r="E2486" s="5">
        <v>45812.958333333343</v>
      </c>
      <c r="F2486">
        <v>22.602557099999999</v>
      </c>
      <c r="G2486">
        <v>88.310566399999999</v>
      </c>
      <c r="H2486" t="s">
        <v>770</v>
      </c>
      <c r="I2486">
        <v>48</v>
      </c>
      <c r="J2486">
        <v>157</v>
      </c>
      <c r="K2486">
        <v>95</v>
      </c>
    </row>
    <row r="2487" spans="1:11" x14ac:dyDescent="0.3">
      <c r="A2487" t="s">
        <v>11</v>
      </c>
      <c r="B2487" t="s">
        <v>38</v>
      </c>
      <c r="C2487" t="s">
        <v>240</v>
      </c>
      <c r="D2487" t="s">
        <v>754</v>
      </c>
      <c r="E2487" s="5">
        <v>45812.958333333343</v>
      </c>
      <c r="F2487">
        <v>22.611968000000001</v>
      </c>
      <c r="G2487">
        <v>88.347421999999995</v>
      </c>
      <c r="H2487" t="s">
        <v>776</v>
      </c>
      <c r="I2487">
        <v>2</v>
      </c>
      <c r="J2487">
        <v>8</v>
      </c>
      <c r="K2487">
        <v>2</v>
      </c>
    </row>
    <row r="2488" spans="1:11" x14ac:dyDescent="0.3">
      <c r="A2488" t="s">
        <v>11</v>
      </c>
      <c r="B2488" t="s">
        <v>38</v>
      </c>
      <c r="C2488" t="s">
        <v>240</v>
      </c>
      <c r="D2488" t="s">
        <v>755</v>
      </c>
      <c r="E2488" s="5">
        <v>45812.958333333343</v>
      </c>
      <c r="F2488">
        <v>22.5687319</v>
      </c>
      <c r="G2488">
        <v>88.279727600000001</v>
      </c>
      <c r="H2488" t="s">
        <v>776</v>
      </c>
      <c r="I2488">
        <v>13</v>
      </c>
      <c r="J2488">
        <v>74</v>
      </c>
      <c r="K2488">
        <v>29</v>
      </c>
    </row>
    <row r="2489" spans="1:11" x14ac:dyDescent="0.3">
      <c r="A2489" t="s">
        <v>11</v>
      </c>
      <c r="B2489" t="s">
        <v>38</v>
      </c>
      <c r="C2489" t="s">
        <v>241</v>
      </c>
      <c r="D2489" t="s">
        <v>643</v>
      </c>
      <c r="E2489" s="5">
        <v>45812.958333333343</v>
      </c>
      <c r="F2489">
        <v>23.685296999999998</v>
      </c>
      <c r="G2489">
        <v>86.945967999999993</v>
      </c>
      <c r="H2489" t="s">
        <v>774</v>
      </c>
      <c r="I2489">
        <v>6</v>
      </c>
      <c r="J2489">
        <v>89</v>
      </c>
      <c r="K2489">
        <v>37</v>
      </c>
    </row>
    <row r="2490" spans="1:11" x14ac:dyDescent="0.3">
      <c r="A2490" t="s">
        <v>11</v>
      </c>
      <c r="B2490" t="s">
        <v>38</v>
      </c>
      <c r="C2490" t="s">
        <v>243</v>
      </c>
      <c r="D2490" t="s">
        <v>650</v>
      </c>
      <c r="E2490" s="5">
        <v>45812.958333333343</v>
      </c>
      <c r="F2490">
        <v>22.544808199999999</v>
      </c>
      <c r="G2490">
        <v>88.340369100000004</v>
      </c>
      <c r="H2490" t="s">
        <v>770</v>
      </c>
      <c r="I2490">
        <v>22</v>
      </c>
      <c r="J2490">
        <v>103</v>
      </c>
      <c r="K2490">
        <v>54</v>
      </c>
    </row>
    <row r="2491" spans="1:11" x14ac:dyDescent="0.3">
      <c r="A2491" t="s">
        <v>11</v>
      </c>
      <c r="B2491" t="s">
        <v>14</v>
      </c>
      <c r="C2491" t="s">
        <v>55</v>
      </c>
      <c r="D2491" t="s">
        <v>305</v>
      </c>
      <c r="E2491" s="5">
        <v>45812.958333333343</v>
      </c>
      <c r="F2491">
        <v>14.675886</v>
      </c>
      <c r="G2491">
        <v>77.593027000000006</v>
      </c>
      <c r="H2491" t="s">
        <v>772</v>
      </c>
      <c r="I2491">
        <v>28</v>
      </c>
      <c r="J2491">
        <v>56</v>
      </c>
      <c r="K2491">
        <v>38</v>
      </c>
    </row>
    <row r="2492" spans="1:11" x14ac:dyDescent="0.3">
      <c r="A2492" t="s">
        <v>11</v>
      </c>
      <c r="B2492" t="s">
        <v>14</v>
      </c>
      <c r="C2492" t="s">
        <v>55</v>
      </c>
      <c r="D2492" t="s">
        <v>305</v>
      </c>
      <c r="E2492" s="5">
        <v>45812.958333333343</v>
      </c>
      <c r="F2492">
        <v>14.675886</v>
      </c>
      <c r="G2492">
        <v>77.593027000000006</v>
      </c>
      <c r="H2492" t="s">
        <v>776</v>
      </c>
      <c r="I2492">
        <v>10</v>
      </c>
      <c r="J2492">
        <v>16</v>
      </c>
      <c r="K2492">
        <v>15</v>
      </c>
    </row>
    <row r="2493" spans="1:11" x14ac:dyDescent="0.3">
      <c r="A2493" t="s">
        <v>11</v>
      </c>
      <c r="B2493" t="s">
        <v>14</v>
      </c>
      <c r="C2493" t="s">
        <v>56</v>
      </c>
      <c r="D2493" t="s">
        <v>306</v>
      </c>
      <c r="E2493" s="5">
        <v>45812.958333333343</v>
      </c>
      <c r="F2493">
        <v>13.204879999999999</v>
      </c>
      <c r="G2493">
        <v>79.097888999999995</v>
      </c>
      <c r="H2493" t="s">
        <v>775</v>
      </c>
      <c r="I2493">
        <v>37</v>
      </c>
      <c r="J2493">
        <v>102</v>
      </c>
      <c r="K2493">
        <v>62</v>
      </c>
    </row>
    <row r="2494" spans="1:11" x14ac:dyDescent="0.3">
      <c r="A2494" t="s">
        <v>11</v>
      </c>
      <c r="B2494" t="s">
        <v>14</v>
      </c>
      <c r="C2494" t="s">
        <v>56</v>
      </c>
      <c r="D2494" t="s">
        <v>306</v>
      </c>
      <c r="E2494" s="5">
        <v>45812.958333333343</v>
      </c>
      <c r="F2494">
        <v>13.204879999999999</v>
      </c>
      <c r="G2494">
        <v>79.097888999999995</v>
      </c>
      <c r="H2494" t="s">
        <v>773</v>
      </c>
      <c r="I2494">
        <v>3</v>
      </c>
      <c r="J2494">
        <v>9</v>
      </c>
      <c r="K2494">
        <v>6</v>
      </c>
    </row>
    <row r="2495" spans="1:11" x14ac:dyDescent="0.3">
      <c r="A2495" t="s">
        <v>11</v>
      </c>
      <c r="B2495" t="s">
        <v>14</v>
      </c>
      <c r="C2495" t="s">
        <v>56</v>
      </c>
      <c r="D2495" t="s">
        <v>306</v>
      </c>
      <c r="E2495" s="5">
        <v>45812.958333333343</v>
      </c>
      <c r="F2495">
        <v>13.204879999999999</v>
      </c>
      <c r="G2495">
        <v>79.097888999999995</v>
      </c>
      <c r="H2495" t="s">
        <v>770</v>
      </c>
      <c r="I2495">
        <v>30</v>
      </c>
      <c r="J2495">
        <v>49</v>
      </c>
      <c r="K2495">
        <v>37</v>
      </c>
    </row>
    <row r="2496" spans="1:11" x14ac:dyDescent="0.3">
      <c r="A2496" t="s">
        <v>11</v>
      </c>
      <c r="B2496" t="s">
        <v>14</v>
      </c>
      <c r="C2496" t="s">
        <v>247</v>
      </c>
      <c r="D2496" t="s">
        <v>655</v>
      </c>
      <c r="E2496" s="5">
        <v>45812.958333333343</v>
      </c>
      <c r="F2496">
        <v>14.465052</v>
      </c>
      <c r="G2496">
        <v>78.824186999999995</v>
      </c>
      <c r="H2496" t="s">
        <v>775</v>
      </c>
      <c r="I2496">
        <v>48</v>
      </c>
      <c r="J2496">
        <v>64</v>
      </c>
      <c r="K2496">
        <v>54</v>
      </c>
    </row>
    <row r="2497" spans="1:11" x14ac:dyDescent="0.3">
      <c r="A2497" t="s">
        <v>11</v>
      </c>
      <c r="B2497" t="s">
        <v>14</v>
      </c>
      <c r="C2497" t="s">
        <v>247</v>
      </c>
      <c r="D2497" t="s">
        <v>655</v>
      </c>
      <c r="E2497" s="5">
        <v>45812.958333333343</v>
      </c>
      <c r="F2497">
        <v>14.465052</v>
      </c>
      <c r="G2497">
        <v>78.824186999999995</v>
      </c>
      <c r="H2497" t="s">
        <v>774</v>
      </c>
      <c r="I2497">
        <v>14</v>
      </c>
      <c r="J2497">
        <v>16</v>
      </c>
      <c r="K2497">
        <v>15</v>
      </c>
    </row>
    <row r="2498" spans="1:11" x14ac:dyDescent="0.3">
      <c r="A2498" t="s">
        <v>11</v>
      </c>
      <c r="B2498" t="s">
        <v>14</v>
      </c>
      <c r="C2498" t="s">
        <v>245</v>
      </c>
      <c r="D2498" t="s">
        <v>652</v>
      </c>
      <c r="E2498" s="5">
        <v>45812.958333333343</v>
      </c>
      <c r="F2498">
        <v>16.987286699999999</v>
      </c>
      <c r="G2498">
        <v>81.736317600000007</v>
      </c>
      <c r="H2498" t="s">
        <v>775</v>
      </c>
      <c r="I2498">
        <v>18</v>
      </c>
      <c r="J2498">
        <v>73</v>
      </c>
      <c r="K2498">
        <v>40</v>
      </c>
    </row>
    <row r="2499" spans="1:11" x14ac:dyDescent="0.3">
      <c r="A2499" t="s">
        <v>11</v>
      </c>
      <c r="B2499" t="s">
        <v>13</v>
      </c>
      <c r="C2499" t="s">
        <v>48</v>
      </c>
      <c r="D2499" t="s">
        <v>297</v>
      </c>
      <c r="E2499" s="5">
        <v>45812.958333333343</v>
      </c>
      <c r="F2499">
        <v>25.562609500000001</v>
      </c>
      <c r="G2499">
        <v>84.663263999999998</v>
      </c>
      <c r="H2499" t="s">
        <v>776</v>
      </c>
    </row>
    <row r="2500" spans="1:11" x14ac:dyDescent="0.3">
      <c r="A2500" t="s">
        <v>11</v>
      </c>
      <c r="B2500" t="s">
        <v>13</v>
      </c>
      <c r="C2500" t="s">
        <v>48</v>
      </c>
      <c r="D2500" t="s">
        <v>297</v>
      </c>
      <c r="E2500" s="5">
        <v>45812.958333333343</v>
      </c>
      <c r="F2500">
        <v>25.562609500000001</v>
      </c>
      <c r="G2500">
        <v>84.663263999999998</v>
      </c>
      <c r="H2500" t="s">
        <v>770</v>
      </c>
    </row>
    <row r="2501" spans="1:11" x14ac:dyDescent="0.3">
      <c r="A2501" t="s">
        <v>11</v>
      </c>
      <c r="B2501" t="s">
        <v>13</v>
      </c>
      <c r="C2501" t="s">
        <v>49</v>
      </c>
      <c r="D2501" t="s">
        <v>298</v>
      </c>
      <c r="E2501" s="5">
        <v>45812.958333333343</v>
      </c>
      <c r="F2501">
        <v>24.757459999999998</v>
      </c>
      <c r="G2501">
        <v>84.366208</v>
      </c>
      <c r="H2501" t="s">
        <v>776</v>
      </c>
      <c r="I2501">
        <v>24</v>
      </c>
      <c r="J2501">
        <v>37</v>
      </c>
      <c r="K2501">
        <v>26</v>
      </c>
    </row>
    <row r="2502" spans="1:11" x14ac:dyDescent="0.3">
      <c r="A2502" t="s">
        <v>11</v>
      </c>
      <c r="B2502" t="s">
        <v>13</v>
      </c>
      <c r="C2502" t="s">
        <v>246</v>
      </c>
      <c r="D2502" t="s">
        <v>654</v>
      </c>
      <c r="E2502" s="5">
        <v>45812.958333333343</v>
      </c>
      <c r="F2502">
        <v>25.427420229999999</v>
      </c>
      <c r="G2502">
        <v>86.138860789999995</v>
      </c>
      <c r="H2502" t="s">
        <v>774</v>
      </c>
      <c r="I2502">
        <v>2</v>
      </c>
      <c r="J2502">
        <v>24</v>
      </c>
      <c r="K2502">
        <v>8</v>
      </c>
    </row>
    <row r="2503" spans="1:11" x14ac:dyDescent="0.3">
      <c r="A2503" t="s">
        <v>11</v>
      </c>
      <c r="B2503" t="s">
        <v>13</v>
      </c>
      <c r="C2503" t="s">
        <v>246</v>
      </c>
      <c r="D2503" t="s">
        <v>654</v>
      </c>
      <c r="E2503" s="5">
        <v>45812.958333333343</v>
      </c>
      <c r="F2503">
        <v>25.427420229999999</v>
      </c>
      <c r="G2503">
        <v>86.138860789999995</v>
      </c>
      <c r="H2503" t="s">
        <v>776</v>
      </c>
    </row>
    <row r="2504" spans="1:11" x14ac:dyDescent="0.3">
      <c r="A2504" t="s">
        <v>11</v>
      </c>
      <c r="B2504" t="s">
        <v>13</v>
      </c>
      <c r="C2504" t="s">
        <v>246</v>
      </c>
      <c r="D2504" t="s">
        <v>654</v>
      </c>
      <c r="E2504" s="5">
        <v>45812.958333333343</v>
      </c>
      <c r="F2504">
        <v>25.427420229999999</v>
      </c>
      <c r="G2504">
        <v>86.138860789999995</v>
      </c>
      <c r="H2504" t="s">
        <v>770</v>
      </c>
      <c r="I2504">
        <v>2</v>
      </c>
      <c r="J2504">
        <v>18</v>
      </c>
      <c r="K2504">
        <v>6</v>
      </c>
    </row>
    <row r="2505" spans="1:11" x14ac:dyDescent="0.3">
      <c r="A2505" t="s">
        <v>11</v>
      </c>
      <c r="B2505" t="s">
        <v>13</v>
      </c>
      <c r="C2505" t="s">
        <v>57</v>
      </c>
      <c r="D2505" t="s">
        <v>307</v>
      </c>
      <c r="E2505" s="5">
        <v>45812.958333333343</v>
      </c>
      <c r="F2505">
        <v>26.803650000000001</v>
      </c>
      <c r="G2505">
        <v>84.519540000000006</v>
      </c>
      <c r="H2505" t="s">
        <v>776</v>
      </c>
      <c r="I2505">
        <v>32</v>
      </c>
      <c r="J2505">
        <v>108</v>
      </c>
      <c r="K2505">
        <v>72</v>
      </c>
    </row>
    <row r="2506" spans="1:11" x14ac:dyDescent="0.3">
      <c r="A2506" t="s">
        <v>11</v>
      </c>
      <c r="B2506" t="s">
        <v>14</v>
      </c>
      <c r="C2506" t="s">
        <v>245</v>
      </c>
      <c r="D2506" t="s">
        <v>652</v>
      </c>
      <c r="E2506" s="5">
        <v>45812.958333333343</v>
      </c>
      <c r="F2506">
        <v>16.987286699999999</v>
      </c>
      <c r="G2506">
        <v>81.736317600000007</v>
      </c>
      <c r="H2506" t="s">
        <v>776</v>
      </c>
      <c r="I2506">
        <v>4</v>
      </c>
      <c r="J2506">
        <v>105</v>
      </c>
      <c r="K2506">
        <v>40</v>
      </c>
    </row>
    <row r="2507" spans="1:11" x14ac:dyDescent="0.3">
      <c r="A2507" t="s">
        <v>11</v>
      </c>
      <c r="B2507" t="s">
        <v>14</v>
      </c>
      <c r="C2507" t="s">
        <v>53</v>
      </c>
      <c r="D2507" t="s">
        <v>302</v>
      </c>
      <c r="E2507" s="5">
        <v>45812.958333333343</v>
      </c>
      <c r="F2507">
        <v>13.67</v>
      </c>
      <c r="G2507">
        <v>79.349999999999994</v>
      </c>
      <c r="H2507" t="s">
        <v>773</v>
      </c>
      <c r="I2507">
        <v>1</v>
      </c>
      <c r="J2507">
        <v>1</v>
      </c>
      <c r="K2507">
        <v>1</v>
      </c>
    </row>
    <row r="2508" spans="1:11" x14ac:dyDescent="0.3">
      <c r="A2508" t="s">
        <v>11</v>
      </c>
      <c r="B2508" t="s">
        <v>14</v>
      </c>
      <c r="C2508" t="s">
        <v>53</v>
      </c>
      <c r="D2508" t="s">
        <v>302</v>
      </c>
      <c r="E2508" s="5">
        <v>45812.958333333343</v>
      </c>
      <c r="F2508">
        <v>13.67</v>
      </c>
      <c r="G2508">
        <v>79.349999999999994</v>
      </c>
      <c r="H2508" t="s">
        <v>770</v>
      </c>
      <c r="I2508">
        <v>16</v>
      </c>
      <c r="J2508">
        <v>39</v>
      </c>
      <c r="K2508">
        <v>32</v>
      </c>
    </row>
    <row r="2509" spans="1:11" x14ac:dyDescent="0.3">
      <c r="A2509" t="s">
        <v>11</v>
      </c>
      <c r="B2509" t="s">
        <v>14</v>
      </c>
      <c r="C2509" t="s">
        <v>50</v>
      </c>
      <c r="D2509" t="s">
        <v>653</v>
      </c>
      <c r="E2509" s="5">
        <v>45812.958333333343</v>
      </c>
      <c r="F2509">
        <v>16.536107000000001</v>
      </c>
      <c r="G2509">
        <v>80.594233000000003</v>
      </c>
      <c r="H2509" t="s">
        <v>773</v>
      </c>
      <c r="I2509">
        <v>4</v>
      </c>
      <c r="J2509">
        <v>5</v>
      </c>
      <c r="K2509">
        <v>4</v>
      </c>
    </row>
    <row r="2510" spans="1:11" x14ac:dyDescent="0.3">
      <c r="A2510" t="s">
        <v>11</v>
      </c>
      <c r="B2510" t="s">
        <v>14</v>
      </c>
      <c r="C2510" t="s">
        <v>50</v>
      </c>
      <c r="D2510" t="s">
        <v>653</v>
      </c>
      <c r="E2510" s="5">
        <v>45812.958333333343</v>
      </c>
      <c r="F2510">
        <v>16.536107000000001</v>
      </c>
      <c r="G2510">
        <v>80.594233000000003</v>
      </c>
      <c r="H2510" t="s">
        <v>776</v>
      </c>
      <c r="I2510">
        <v>11</v>
      </c>
      <c r="J2510">
        <v>25</v>
      </c>
      <c r="K2510">
        <v>14</v>
      </c>
    </row>
    <row r="2511" spans="1:11" x14ac:dyDescent="0.3">
      <c r="A2511" t="s">
        <v>11</v>
      </c>
      <c r="B2511" t="s">
        <v>12</v>
      </c>
      <c r="C2511" t="s">
        <v>59</v>
      </c>
      <c r="D2511" t="s">
        <v>309</v>
      </c>
      <c r="E2511" s="5">
        <v>45812.958333333343</v>
      </c>
      <c r="F2511">
        <v>26.202863600000001</v>
      </c>
      <c r="G2511">
        <v>91.700464359999998</v>
      </c>
      <c r="H2511" t="s">
        <v>770</v>
      </c>
      <c r="I2511">
        <v>3</v>
      </c>
      <c r="J2511">
        <v>58</v>
      </c>
      <c r="K2511">
        <v>43</v>
      </c>
    </row>
    <row r="2512" spans="1:11" x14ac:dyDescent="0.3">
      <c r="A2512" t="s">
        <v>11</v>
      </c>
      <c r="B2512" t="s">
        <v>12</v>
      </c>
      <c r="C2512" t="s">
        <v>59</v>
      </c>
      <c r="D2512" t="s">
        <v>310</v>
      </c>
      <c r="E2512" s="5">
        <v>45812.958333333343</v>
      </c>
      <c r="F2512">
        <v>26.10887</v>
      </c>
      <c r="G2512">
        <v>91.589544000000004</v>
      </c>
      <c r="H2512" t="s">
        <v>776</v>
      </c>
      <c r="I2512">
        <v>10</v>
      </c>
      <c r="J2512">
        <v>57</v>
      </c>
      <c r="K2512">
        <v>26</v>
      </c>
    </row>
    <row r="2513" spans="1:11" x14ac:dyDescent="0.3">
      <c r="A2513" t="s">
        <v>11</v>
      </c>
      <c r="B2513" t="s">
        <v>12</v>
      </c>
      <c r="C2513" t="s">
        <v>59</v>
      </c>
      <c r="D2513" t="s">
        <v>311</v>
      </c>
      <c r="E2513" s="5">
        <v>45812.958333333343</v>
      </c>
      <c r="F2513">
        <v>26.1875</v>
      </c>
      <c r="G2513">
        <v>91.744193999999993</v>
      </c>
      <c r="H2513" t="s">
        <v>775</v>
      </c>
      <c r="I2513">
        <v>65</v>
      </c>
      <c r="J2513">
        <v>195</v>
      </c>
      <c r="K2513">
        <v>125</v>
      </c>
    </row>
    <row r="2514" spans="1:11" x14ac:dyDescent="0.3">
      <c r="A2514" t="s">
        <v>11</v>
      </c>
      <c r="B2514" t="s">
        <v>12</v>
      </c>
      <c r="C2514" t="s">
        <v>59</v>
      </c>
      <c r="D2514" t="s">
        <v>757</v>
      </c>
      <c r="E2514" s="5">
        <v>45812.958333333343</v>
      </c>
      <c r="F2514">
        <v>26.181742</v>
      </c>
      <c r="G2514">
        <v>91.780630000000002</v>
      </c>
      <c r="H2514" t="s">
        <v>775</v>
      </c>
      <c r="I2514">
        <v>88</v>
      </c>
      <c r="J2514">
        <v>260</v>
      </c>
      <c r="K2514">
        <v>144</v>
      </c>
    </row>
    <row r="2515" spans="1:11" x14ac:dyDescent="0.3">
      <c r="A2515" t="s">
        <v>11</v>
      </c>
      <c r="B2515" t="s">
        <v>12</v>
      </c>
      <c r="C2515" t="s">
        <v>59</v>
      </c>
      <c r="D2515" t="s">
        <v>757</v>
      </c>
      <c r="E2515" s="5">
        <v>45812.958333333343</v>
      </c>
      <c r="F2515">
        <v>26.181742</v>
      </c>
      <c r="G2515">
        <v>91.780630000000002</v>
      </c>
      <c r="H2515" t="s">
        <v>772</v>
      </c>
      <c r="I2515">
        <v>3</v>
      </c>
      <c r="J2515">
        <v>4</v>
      </c>
      <c r="K2515">
        <v>3</v>
      </c>
    </row>
    <row r="2516" spans="1:11" x14ac:dyDescent="0.3">
      <c r="A2516" t="s">
        <v>11</v>
      </c>
      <c r="B2516" t="s">
        <v>12</v>
      </c>
      <c r="C2516" t="s">
        <v>59</v>
      </c>
      <c r="D2516" t="s">
        <v>757</v>
      </c>
      <c r="E2516" s="5">
        <v>45812.958333333343</v>
      </c>
      <c r="F2516">
        <v>26.181742</v>
      </c>
      <c r="G2516">
        <v>91.780630000000002</v>
      </c>
      <c r="H2516" t="s">
        <v>774</v>
      </c>
      <c r="I2516">
        <v>19</v>
      </c>
      <c r="J2516">
        <v>20</v>
      </c>
      <c r="K2516">
        <v>19</v>
      </c>
    </row>
    <row r="2517" spans="1:11" x14ac:dyDescent="0.3">
      <c r="A2517" t="s">
        <v>11</v>
      </c>
      <c r="B2517" t="s">
        <v>14</v>
      </c>
      <c r="C2517" t="s">
        <v>50</v>
      </c>
      <c r="D2517" t="s">
        <v>299</v>
      </c>
      <c r="E2517" s="5">
        <v>45812.958333333343</v>
      </c>
      <c r="F2517">
        <v>16.554731</v>
      </c>
      <c r="G2517">
        <v>80.649109999999993</v>
      </c>
      <c r="H2517" t="s">
        <v>774</v>
      </c>
      <c r="I2517">
        <v>1</v>
      </c>
      <c r="J2517">
        <v>19</v>
      </c>
      <c r="K2517">
        <v>11</v>
      </c>
    </row>
    <row r="2518" spans="1:11" x14ac:dyDescent="0.3">
      <c r="A2518" t="s">
        <v>11</v>
      </c>
      <c r="B2518" t="s">
        <v>12</v>
      </c>
      <c r="C2518" t="s">
        <v>52</v>
      </c>
      <c r="D2518" t="s">
        <v>301</v>
      </c>
      <c r="E2518" s="5">
        <v>45812.958333333343</v>
      </c>
      <c r="F2518">
        <v>26.071318000000002</v>
      </c>
      <c r="G2518">
        <v>91.874880000000005</v>
      </c>
      <c r="H2518" t="s">
        <v>771</v>
      </c>
    </row>
    <row r="2519" spans="1:11" x14ac:dyDescent="0.3">
      <c r="A2519" t="s">
        <v>11</v>
      </c>
      <c r="B2519" t="s">
        <v>12</v>
      </c>
      <c r="C2519" t="s">
        <v>52</v>
      </c>
      <c r="D2519" t="s">
        <v>301</v>
      </c>
      <c r="E2519" s="5">
        <v>45812.958333333343</v>
      </c>
      <c r="F2519">
        <v>26.071318000000002</v>
      </c>
      <c r="G2519">
        <v>91.874880000000005</v>
      </c>
      <c r="H2519" t="s">
        <v>772</v>
      </c>
    </row>
    <row r="2520" spans="1:11" x14ac:dyDescent="0.3">
      <c r="A2520" t="s">
        <v>11</v>
      </c>
      <c r="B2520" t="s">
        <v>12</v>
      </c>
      <c r="C2520" t="s">
        <v>52</v>
      </c>
      <c r="D2520" t="s">
        <v>301</v>
      </c>
      <c r="E2520" s="5">
        <v>45812.958333333343</v>
      </c>
      <c r="F2520">
        <v>26.071318000000002</v>
      </c>
      <c r="G2520">
        <v>91.874880000000005</v>
      </c>
      <c r="H2520" t="s">
        <v>773</v>
      </c>
    </row>
    <row r="2521" spans="1:11" x14ac:dyDescent="0.3">
      <c r="A2521" t="s">
        <v>11</v>
      </c>
      <c r="B2521" t="s">
        <v>12</v>
      </c>
      <c r="C2521" t="s">
        <v>52</v>
      </c>
      <c r="D2521" t="s">
        <v>301</v>
      </c>
      <c r="E2521" s="5">
        <v>45812.958333333343</v>
      </c>
      <c r="F2521">
        <v>26.071318000000002</v>
      </c>
      <c r="G2521">
        <v>91.874880000000005</v>
      </c>
      <c r="H2521" t="s">
        <v>770</v>
      </c>
      <c r="I2521">
        <v>23</v>
      </c>
      <c r="J2521">
        <v>41</v>
      </c>
      <c r="K2521">
        <v>30</v>
      </c>
    </row>
    <row r="2522" spans="1:11" x14ac:dyDescent="0.3">
      <c r="A2522" t="s">
        <v>11</v>
      </c>
      <c r="B2522" t="s">
        <v>12</v>
      </c>
      <c r="C2522" t="s">
        <v>46</v>
      </c>
      <c r="D2522" t="s">
        <v>295</v>
      </c>
      <c r="E2522" s="5">
        <v>45812.958333333343</v>
      </c>
      <c r="F2522">
        <v>26.987634</v>
      </c>
      <c r="G2522">
        <v>94.636573999999996</v>
      </c>
      <c r="H2522" t="s">
        <v>774</v>
      </c>
      <c r="I2522">
        <v>4</v>
      </c>
      <c r="J2522">
        <v>11</v>
      </c>
      <c r="K2522">
        <v>8</v>
      </c>
    </row>
    <row r="2523" spans="1:11" x14ac:dyDescent="0.3">
      <c r="A2523" t="s">
        <v>11</v>
      </c>
      <c r="B2523" t="s">
        <v>12</v>
      </c>
      <c r="C2523" t="s">
        <v>46</v>
      </c>
      <c r="D2523" t="s">
        <v>295</v>
      </c>
      <c r="E2523" s="5">
        <v>45812.958333333343</v>
      </c>
      <c r="F2523">
        <v>26.987634</v>
      </c>
      <c r="G2523">
        <v>94.636573999999996</v>
      </c>
      <c r="H2523" t="s">
        <v>770</v>
      </c>
      <c r="I2523">
        <v>2</v>
      </c>
      <c r="J2523">
        <v>12</v>
      </c>
      <c r="K2523">
        <v>5</v>
      </c>
    </row>
    <row r="2524" spans="1:11" x14ac:dyDescent="0.3">
      <c r="A2524" t="s">
        <v>11</v>
      </c>
      <c r="B2524" t="s">
        <v>13</v>
      </c>
      <c r="C2524" t="s">
        <v>47</v>
      </c>
      <c r="D2524" t="s">
        <v>296</v>
      </c>
      <c r="E2524" s="5">
        <v>45812.958333333343</v>
      </c>
      <c r="F2524">
        <v>26.146529000000001</v>
      </c>
      <c r="G2524">
        <v>87.454183999999998</v>
      </c>
      <c r="H2524" t="s">
        <v>774</v>
      </c>
      <c r="I2524">
        <v>22</v>
      </c>
      <c r="J2524">
        <v>38</v>
      </c>
      <c r="K2524">
        <v>30</v>
      </c>
    </row>
    <row r="2525" spans="1:11" x14ac:dyDescent="0.3">
      <c r="A2525" t="s">
        <v>11</v>
      </c>
      <c r="B2525" t="s">
        <v>13</v>
      </c>
      <c r="C2525" t="s">
        <v>48</v>
      </c>
      <c r="D2525" t="s">
        <v>297</v>
      </c>
      <c r="E2525" s="5">
        <v>45812.958333333343</v>
      </c>
      <c r="F2525">
        <v>25.562609500000001</v>
      </c>
      <c r="G2525">
        <v>84.663263999999998</v>
      </c>
      <c r="H2525" t="s">
        <v>773</v>
      </c>
    </row>
    <row r="2526" spans="1:11" x14ac:dyDescent="0.3">
      <c r="A2526" t="s">
        <v>11</v>
      </c>
      <c r="B2526" t="s">
        <v>12</v>
      </c>
      <c r="C2526" t="s">
        <v>43</v>
      </c>
      <c r="D2526" t="s">
        <v>292</v>
      </c>
      <c r="E2526" s="5">
        <v>45812.958333333343</v>
      </c>
      <c r="F2526">
        <v>26.349081999999999</v>
      </c>
      <c r="G2526">
        <v>92.684489999999997</v>
      </c>
      <c r="H2526" t="s">
        <v>775</v>
      </c>
    </row>
    <row r="2527" spans="1:11" x14ac:dyDescent="0.3">
      <c r="A2527" t="s">
        <v>11</v>
      </c>
      <c r="B2527" t="s">
        <v>12</v>
      </c>
      <c r="C2527" t="s">
        <v>43</v>
      </c>
      <c r="D2527" t="s">
        <v>292</v>
      </c>
      <c r="E2527" s="5">
        <v>45812.958333333343</v>
      </c>
      <c r="F2527">
        <v>26.349081999999999</v>
      </c>
      <c r="G2527">
        <v>92.684489999999997</v>
      </c>
      <c r="H2527" t="s">
        <v>771</v>
      </c>
    </row>
    <row r="2528" spans="1:11" x14ac:dyDescent="0.3">
      <c r="A2528" t="s">
        <v>11</v>
      </c>
      <c r="B2528" t="s">
        <v>12</v>
      </c>
      <c r="C2528" t="s">
        <v>43</v>
      </c>
      <c r="D2528" t="s">
        <v>292</v>
      </c>
      <c r="E2528" s="5">
        <v>45812.958333333343</v>
      </c>
      <c r="F2528">
        <v>26.349081999999999</v>
      </c>
      <c r="G2528">
        <v>92.684489999999997</v>
      </c>
      <c r="H2528" t="s">
        <v>773</v>
      </c>
      <c r="I2528">
        <v>4</v>
      </c>
      <c r="J2528">
        <v>4</v>
      </c>
      <c r="K2528">
        <v>4</v>
      </c>
    </row>
    <row r="2529" spans="1:11" x14ac:dyDescent="0.3">
      <c r="A2529" t="s">
        <v>11</v>
      </c>
      <c r="B2529" t="s">
        <v>12</v>
      </c>
      <c r="C2529" t="s">
        <v>44</v>
      </c>
      <c r="D2529" t="s">
        <v>293</v>
      </c>
      <c r="E2529" s="5">
        <v>45812.958333333343</v>
      </c>
      <c r="F2529">
        <v>26.446912000000001</v>
      </c>
      <c r="G2529">
        <v>91.439057000000005</v>
      </c>
      <c r="H2529" t="s">
        <v>775</v>
      </c>
      <c r="I2529">
        <v>77</v>
      </c>
      <c r="J2529">
        <v>280</v>
      </c>
      <c r="K2529">
        <v>132</v>
      </c>
    </row>
    <row r="2530" spans="1:11" x14ac:dyDescent="0.3">
      <c r="A2530" t="s">
        <v>11</v>
      </c>
      <c r="B2530" t="s">
        <v>13</v>
      </c>
      <c r="C2530" t="s">
        <v>58</v>
      </c>
      <c r="D2530" t="s">
        <v>657</v>
      </c>
      <c r="E2530" s="5">
        <v>45812.958333333343</v>
      </c>
      <c r="F2530">
        <v>25.251013</v>
      </c>
      <c r="G2530">
        <v>86.989001000000002</v>
      </c>
      <c r="H2530" t="s">
        <v>772</v>
      </c>
      <c r="I2530">
        <v>16</v>
      </c>
      <c r="J2530">
        <v>27</v>
      </c>
      <c r="K2530">
        <v>20</v>
      </c>
    </row>
    <row r="2531" spans="1:11" x14ac:dyDescent="0.3">
      <c r="A2531" t="s">
        <v>11</v>
      </c>
      <c r="B2531" t="s">
        <v>13</v>
      </c>
      <c r="C2531" t="s">
        <v>58</v>
      </c>
      <c r="D2531" t="s">
        <v>657</v>
      </c>
      <c r="E2531" s="5">
        <v>45812.958333333343</v>
      </c>
      <c r="F2531">
        <v>25.251013</v>
      </c>
      <c r="G2531">
        <v>86.989001000000002</v>
      </c>
      <c r="H2531" t="s">
        <v>773</v>
      </c>
      <c r="I2531">
        <v>2</v>
      </c>
      <c r="J2531">
        <v>4</v>
      </c>
      <c r="K2531">
        <v>2</v>
      </c>
    </row>
    <row r="2532" spans="1:11" x14ac:dyDescent="0.3">
      <c r="A2532" t="s">
        <v>11</v>
      </c>
      <c r="B2532" t="s">
        <v>13</v>
      </c>
      <c r="C2532" t="s">
        <v>58</v>
      </c>
      <c r="D2532" t="s">
        <v>657</v>
      </c>
      <c r="E2532" s="5">
        <v>45812.958333333343</v>
      </c>
      <c r="F2532">
        <v>25.251013</v>
      </c>
      <c r="G2532">
        <v>86.989001000000002</v>
      </c>
      <c r="H2532" t="s">
        <v>776</v>
      </c>
      <c r="I2532">
        <v>11</v>
      </c>
      <c r="J2532">
        <v>17</v>
      </c>
      <c r="K2532">
        <v>14</v>
      </c>
    </row>
    <row r="2533" spans="1:11" x14ac:dyDescent="0.3">
      <c r="A2533" t="s">
        <v>11</v>
      </c>
      <c r="B2533" t="s">
        <v>13</v>
      </c>
      <c r="C2533" t="s">
        <v>58</v>
      </c>
      <c r="D2533" t="s">
        <v>657</v>
      </c>
      <c r="E2533" s="5">
        <v>45812.958333333343</v>
      </c>
      <c r="F2533">
        <v>25.251013</v>
      </c>
      <c r="G2533">
        <v>86.989001000000002</v>
      </c>
      <c r="H2533" t="s">
        <v>770</v>
      </c>
      <c r="I2533">
        <v>10</v>
      </c>
      <c r="J2533">
        <v>25</v>
      </c>
      <c r="K2533">
        <v>15</v>
      </c>
    </row>
    <row r="2534" spans="1:11" x14ac:dyDescent="0.3">
      <c r="A2534" t="s">
        <v>11</v>
      </c>
      <c r="B2534" t="s">
        <v>14</v>
      </c>
      <c r="C2534" t="s">
        <v>50</v>
      </c>
      <c r="D2534" t="s">
        <v>299</v>
      </c>
      <c r="E2534" s="5">
        <v>45812.958333333343</v>
      </c>
      <c r="F2534">
        <v>16.554731</v>
      </c>
      <c r="G2534">
        <v>80.649109999999993</v>
      </c>
      <c r="H2534" t="s">
        <v>771</v>
      </c>
      <c r="I2534">
        <v>39</v>
      </c>
      <c r="J2534">
        <v>76</v>
      </c>
      <c r="K2534">
        <v>56</v>
      </c>
    </row>
    <row r="2535" spans="1:11" x14ac:dyDescent="0.3">
      <c r="A2535" t="s">
        <v>11</v>
      </c>
      <c r="B2535" t="s">
        <v>12</v>
      </c>
      <c r="C2535" t="s">
        <v>44</v>
      </c>
      <c r="D2535" t="s">
        <v>293</v>
      </c>
      <c r="E2535" s="5">
        <v>45812.958333333343</v>
      </c>
      <c r="F2535">
        <v>26.446912000000001</v>
      </c>
      <c r="G2535">
        <v>91.439057000000005</v>
      </c>
      <c r="H2535" t="s">
        <v>770</v>
      </c>
      <c r="I2535">
        <v>12</v>
      </c>
      <c r="J2535">
        <v>17</v>
      </c>
      <c r="K2535">
        <v>14</v>
      </c>
    </row>
    <row r="2536" spans="1:11" x14ac:dyDescent="0.3">
      <c r="A2536" t="s">
        <v>11</v>
      </c>
      <c r="B2536" t="s">
        <v>13</v>
      </c>
      <c r="C2536" t="s">
        <v>61</v>
      </c>
      <c r="D2536" t="s">
        <v>661</v>
      </c>
      <c r="E2536" s="5">
        <v>45812.958333333343</v>
      </c>
      <c r="F2536">
        <v>25.610368999999999</v>
      </c>
      <c r="G2536">
        <v>85.132568000000006</v>
      </c>
      <c r="H2536" t="s">
        <v>772</v>
      </c>
      <c r="I2536">
        <v>13</v>
      </c>
      <c r="J2536">
        <v>13</v>
      </c>
      <c r="K2536">
        <v>13</v>
      </c>
    </row>
    <row r="2537" spans="1:11" x14ac:dyDescent="0.3">
      <c r="A2537" t="s">
        <v>11</v>
      </c>
      <c r="B2537" t="s">
        <v>13</v>
      </c>
      <c r="C2537" t="s">
        <v>61</v>
      </c>
      <c r="D2537" t="s">
        <v>661</v>
      </c>
      <c r="E2537" s="5">
        <v>45812.958333333343</v>
      </c>
      <c r="F2537">
        <v>25.610368999999999</v>
      </c>
      <c r="G2537">
        <v>85.132568000000006</v>
      </c>
      <c r="H2537" t="s">
        <v>774</v>
      </c>
      <c r="I2537">
        <v>25</v>
      </c>
      <c r="J2537">
        <v>31</v>
      </c>
      <c r="K2537">
        <v>28</v>
      </c>
    </row>
    <row r="2538" spans="1:11" x14ac:dyDescent="0.3">
      <c r="A2538" t="s">
        <v>11</v>
      </c>
      <c r="B2538" t="s">
        <v>13</v>
      </c>
      <c r="C2538" t="s">
        <v>61</v>
      </c>
      <c r="D2538" t="s">
        <v>322</v>
      </c>
      <c r="E2538" s="5">
        <v>45812.958333333343</v>
      </c>
      <c r="F2538">
        <v>25.619651000000001</v>
      </c>
      <c r="G2538">
        <v>85.147381999999993</v>
      </c>
      <c r="H2538" t="s">
        <v>775</v>
      </c>
      <c r="I2538">
        <v>96</v>
      </c>
      <c r="J2538">
        <v>328</v>
      </c>
      <c r="K2538">
        <v>231</v>
      </c>
    </row>
    <row r="2539" spans="1:11" x14ac:dyDescent="0.3">
      <c r="A2539" t="s">
        <v>11</v>
      </c>
      <c r="B2539" t="s">
        <v>13</v>
      </c>
      <c r="C2539" t="s">
        <v>61</v>
      </c>
      <c r="D2539" t="s">
        <v>323</v>
      </c>
      <c r="E2539" s="5">
        <v>45812.958333333343</v>
      </c>
      <c r="F2539">
        <v>25.599485999999999</v>
      </c>
      <c r="G2539">
        <v>85.113665999999995</v>
      </c>
      <c r="H2539" t="s">
        <v>775</v>
      </c>
      <c r="I2539">
        <v>68</v>
      </c>
      <c r="J2539">
        <v>198</v>
      </c>
      <c r="K2539">
        <v>117</v>
      </c>
    </row>
    <row r="2540" spans="1:11" x14ac:dyDescent="0.3">
      <c r="A2540" t="s">
        <v>11</v>
      </c>
      <c r="B2540" t="s">
        <v>13</v>
      </c>
      <c r="C2540" t="s">
        <v>61</v>
      </c>
      <c r="D2540" t="s">
        <v>323</v>
      </c>
      <c r="E2540" s="5">
        <v>45812.958333333343</v>
      </c>
      <c r="F2540">
        <v>25.599485999999999</v>
      </c>
      <c r="G2540">
        <v>85.113665999999995</v>
      </c>
      <c r="H2540" t="s">
        <v>776</v>
      </c>
      <c r="I2540">
        <v>4</v>
      </c>
      <c r="J2540">
        <v>101</v>
      </c>
      <c r="K2540">
        <v>26</v>
      </c>
    </row>
    <row r="2541" spans="1:11" x14ac:dyDescent="0.3">
      <c r="A2541" t="s">
        <v>11</v>
      </c>
      <c r="B2541" t="s">
        <v>13</v>
      </c>
      <c r="C2541" t="s">
        <v>63</v>
      </c>
      <c r="D2541" t="s">
        <v>315</v>
      </c>
      <c r="E2541" s="5">
        <v>45812.958333333343</v>
      </c>
      <c r="F2541">
        <v>25.032800000000002</v>
      </c>
      <c r="G2541">
        <v>85.419479999999993</v>
      </c>
      <c r="H2541" t="s">
        <v>773</v>
      </c>
      <c r="I2541">
        <v>2</v>
      </c>
      <c r="J2541">
        <v>3</v>
      </c>
      <c r="K2541">
        <v>2</v>
      </c>
    </row>
    <row r="2542" spans="1:11" x14ac:dyDescent="0.3">
      <c r="A2542" t="s">
        <v>11</v>
      </c>
      <c r="B2542" t="s">
        <v>13</v>
      </c>
      <c r="C2542" t="s">
        <v>63</v>
      </c>
      <c r="D2542" t="s">
        <v>315</v>
      </c>
      <c r="E2542" s="5">
        <v>45812.958333333343</v>
      </c>
      <c r="F2542">
        <v>25.032800000000002</v>
      </c>
      <c r="G2542">
        <v>85.419479999999993</v>
      </c>
      <c r="H2542" t="s">
        <v>776</v>
      </c>
    </row>
    <row r="2543" spans="1:11" x14ac:dyDescent="0.3">
      <c r="A2543" t="s">
        <v>11</v>
      </c>
      <c r="B2543" t="s">
        <v>13</v>
      </c>
      <c r="C2543" t="s">
        <v>63</v>
      </c>
      <c r="D2543" t="s">
        <v>315</v>
      </c>
      <c r="E2543" s="5">
        <v>45812.958333333343</v>
      </c>
      <c r="F2543">
        <v>25.032800000000002</v>
      </c>
      <c r="G2543">
        <v>85.419479999999993</v>
      </c>
      <c r="H2543" t="s">
        <v>770</v>
      </c>
      <c r="I2543">
        <v>29</v>
      </c>
      <c r="J2543">
        <v>39</v>
      </c>
      <c r="K2543">
        <v>34</v>
      </c>
    </row>
    <row r="2544" spans="1:11" x14ac:dyDescent="0.3">
      <c r="A2544" t="s">
        <v>11</v>
      </c>
      <c r="B2544" t="s">
        <v>13</v>
      </c>
      <c r="C2544" t="s">
        <v>74</v>
      </c>
      <c r="D2544" t="s">
        <v>330</v>
      </c>
      <c r="E2544" s="5">
        <v>45812.958333333343</v>
      </c>
      <c r="F2544">
        <v>25.859655</v>
      </c>
      <c r="G2544">
        <v>85.779439999999994</v>
      </c>
      <c r="H2544" t="s">
        <v>775</v>
      </c>
      <c r="I2544">
        <v>33</v>
      </c>
      <c r="J2544">
        <v>147</v>
      </c>
      <c r="K2544">
        <v>80</v>
      </c>
    </row>
    <row r="2545" spans="1:11" x14ac:dyDescent="0.3">
      <c r="A2545" t="s">
        <v>11</v>
      </c>
      <c r="B2545" t="s">
        <v>13</v>
      </c>
      <c r="C2545" t="s">
        <v>74</v>
      </c>
      <c r="D2545" t="s">
        <v>330</v>
      </c>
      <c r="E2545" s="5">
        <v>45812.958333333343</v>
      </c>
      <c r="F2545">
        <v>25.859655</v>
      </c>
      <c r="G2545">
        <v>85.779439999999994</v>
      </c>
      <c r="H2545" t="s">
        <v>776</v>
      </c>
      <c r="I2545">
        <v>7</v>
      </c>
      <c r="J2545">
        <v>112</v>
      </c>
      <c r="K2545">
        <v>19</v>
      </c>
    </row>
    <row r="2546" spans="1:11" x14ac:dyDescent="0.3">
      <c r="A2546" t="s">
        <v>11</v>
      </c>
      <c r="B2546" t="s">
        <v>13</v>
      </c>
      <c r="C2546" t="s">
        <v>67</v>
      </c>
      <c r="D2546" t="s">
        <v>319</v>
      </c>
      <c r="E2546" s="5">
        <v>45812.958333333343</v>
      </c>
      <c r="F2546">
        <v>25.376776</v>
      </c>
      <c r="G2546">
        <v>86.471523000000005</v>
      </c>
      <c r="H2546" t="s">
        <v>771</v>
      </c>
      <c r="I2546">
        <v>113</v>
      </c>
      <c r="J2546">
        <v>191</v>
      </c>
      <c r="K2546">
        <v>137</v>
      </c>
    </row>
    <row r="2547" spans="1:11" x14ac:dyDescent="0.3">
      <c r="A2547" t="s">
        <v>11</v>
      </c>
      <c r="B2547" t="s">
        <v>13</v>
      </c>
      <c r="C2547" t="s">
        <v>67</v>
      </c>
      <c r="D2547" t="s">
        <v>319</v>
      </c>
      <c r="E2547" s="5">
        <v>45812.958333333343</v>
      </c>
      <c r="F2547">
        <v>25.376776</v>
      </c>
      <c r="G2547">
        <v>86.471523000000005</v>
      </c>
      <c r="H2547" t="s">
        <v>772</v>
      </c>
      <c r="I2547">
        <v>22</v>
      </c>
      <c r="J2547">
        <v>24</v>
      </c>
      <c r="K2547">
        <v>23</v>
      </c>
    </row>
    <row r="2548" spans="1:11" x14ac:dyDescent="0.3">
      <c r="A2548" t="s">
        <v>11</v>
      </c>
      <c r="B2548" t="s">
        <v>13</v>
      </c>
      <c r="C2548" t="s">
        <v>71</v>
      </c>
      <c r="D2548" t="s">
        <v>325</v>
      </c>
      <c r="E2548" s="5">
        <v>45812.958333333343</v>
      </c>
      <c r="F2548">
        <v>26.114419999999999</v>
      </c>
      <c r="G2548">
        <v>85.398129999999995</v>
      </c>
      <c r="H2548" t="s">
        <v>772</v>
      </c>
      <c r="I2548">
        <v>4</v>
      </c>
      <c r="J2548">
        <v>35</v>
      </c>
      <c r="K2548">
        <v>20</v>
      </c>
    </row>
    <row r="2549" spans="1:11" x14ac:dyDescent="0.3">
      <c r="A2549" t="s">
        <v>11</v>
      </c>
      <c r="B2549" t="s">
        <v>13</v>
      </c>
      <c r="C2549" t="s">
        <v>71</v>
      </c>
      <c r="D2549" t="s">
        <v>660</v>
      </c>
      <c r="E2549" s="5">
        <v>45812.958333333343</v>
      </c>
      <c r="F2549">
        <v>26.120899999999999</v>
      </c>
      <c r="G2549">
        <v>85.364699999999999</v>
      </c>
      <c r="H2549" t="s">
        <v>774</v>
      </c>
      <c r="I2549">
        <v>2</v>
      </c>
      <c r="J2549">
        <v>4</v>
      </c>
      <c r="K2549">
        <v>3</v>
      </c>
    </row>
    <row r="2550" spans="1:11" x14ac:dyDescent="0.3">
      <c r="A2550" t="s">
        <v>11</v>
      </c>
      <c r="B2550" t="s">
        <v>13</v>
      </c>
      <c r="C2550" t="s">
        <v>61</v>
      </c>
      <c r="D2550" t="s">
        <v>326</v>
      </c>
      <c r="E2550" s="5">
        <v>45812.958333333343</v>
      </c>
      <c r="F2550">
        <v>25.586562000000001</v>
      </c>
      <c r="G2550">
        <v>85.043586000000005</v>
      </c>
      <c r="H2550" t="s">
        <v>770</v>
      </c>
      <c r="I2550">
        <v>1</v>
      </c>
      <c r="J2550">
        <v>28</v>
      </c>
      <c r="K2550">
        <v>20</v>
      </c>
    </row>
    <row r="2551" spans="1:11" x14ac:dyDescent="0.3">
      <c r="A2551" t="s">
        <v>11</v>
      </c>
      <c r="B2551" t="s">
        <v>13</v>
      </c>
      <c r="C2551" t="s">
        <v>69</v>
      </c>
      <c r="D2551" t="s">
        <v>662</v>
      </c>
      <c r="E2551" s="5">
        <v>45812.958333333343</v>
      </c>
      <c r="F2551">
        <v>24.762518</v>
      </c>
      <c r="G2551">
        <v>84.982348000000002</v>
      </c>
      <c r="H2551" t="s">
        <v>770</v>
      </c>
      <c r="I2551">
        <v>11</v>
      </c>
      <c r="J2551">
        <v>66</v>
      </c>
      <c r="K2551">
        <v>55</v>
      </c>
    </row>
    <row r="2552" spans="1:11" x14ac:dyDescent="0.3">
      <c r="A2552" t="s">
        <v>11</v>
      </c>
      <c r="B2552" t="s">
        <v>13</v>
      </c>
      <c r="C2552" t="s">
        <v>73</v>
      </c>
      <c r="D2552" t="s">
        <v>328</v>
      </c>
      <c r="E2552" s="5">
        <v>45812.958333333343</v>
      </c>
      <c r="F2552">
        <v>25.560082999999999</v>
      </c>
      <c r="G2552">
        <v>87.553264999999996</v>
      </c>
      <c r="H2552" t="s">
        <v>776</v>
      </c>
    </row>
    <row r="2553" spans="1:11" x14ac:dyDescent="0.3">
      <c r="A2553" t="s">
        <v>11</v>
      </c>
      <c r="B2553" t="s">
        <v>13</v>
      </c>
      <c r="C2553" t="s">
        <v>61</v>
      </c>
      <c r="D2553" t="s">
        <v>329</v>
      </c>
      <c r="E2553" s="5">
        <v>45812.958333333343</v>
      </c>
      <c r="F2553">
        <v>25.592538999999999</v>
      </c>
      <c r="G2553">
        <v>85.227158000000003</v>
      </c>
      <c r="H2553" t="s">
        <v>772</v>
      </c>
      <c r="I2553">
        <v>4</v>
      </c>
      <c r="J2553">
        <v>23</v>
      </c>
      <c r="K2553">
        <v>10</v>
      </c>
    </row>
    <row r="2554" spans="1:11" x14ac:dyDescent="0.3">
      <c r="A2554" t="s">
        <v>11</v>
      </c>
      <c r="B2554" t="s">
        <v>13</v>
      </c>
      <c r="C2554" t="s">
        <v>61</v>
      </c>
      <c r="D2554" t="s">
        <v>329</v>
      </c>
      <c r="E2554" s="5">
        <v>45812.958333333343</v>
      </c>
      <c r="F2554">
        <v>25.592538999999999</v>
      </c>
      <c r="G2554">
        <v>85.227158000000003</v>
      </c>
      <c r="H2554" t="s">
        <v>770</v>
      </c>
      <c r="I2554">
        <v>12</v>
      </c>
      <c r="J2554">
        <v>36</v>
      </c>
      <c r="K2554">
        <v>21</v>
      </c>
    </row>
    <row r="2555" spans="1:11" x14ac:dyDescent="0.3">
      <c r="A2555" t="s">
        <v>11</v>
      </c>
      <c r="B2555" t="s">
        <v>13</v>
      </c>
      <c r="C2555" t="s">
        <v>66</v>
      </c>
      <c r="D2555" t="s">
        <v>318</v>
      </c>
      <c r="E2555" s="5">
        <v>45812.958333333343</v>
      </c>
      <c r="F2555">
        <v>27.308327999999999</v>
      </c>
      <c r="G2555">
        <v>84.531741999999994</v>
      </c>
      <c r="H2555" t="s">
        <v>775</v>
      </c>
      <c r="I2555">
        <v>50</v>
      </c>
      <c r="J2555">
        <v>345</v>
      </c>
      <c r="K2555">
        <v>159</v>
      </c>
    </row>
    <row r="2556" spans="1:11" x14ac:dyDescent="0.3">
      <c r="A2556" t="s">
        <v>11</v>
      </c>
      <c r="B2556" t="s">
        <v>13</v>
      </c>
      <c r="C2556" t="s">
        <v>68</v>
      </c>
      <c r="D2556" t="s">
        <v>320</v>
      </c>
      <c r="E2556" s="5">
        <v>45812.958333333343</v>
      </c>
      <c r="F2556">
        <v>25.780825700000001</v>
      </c>
      <c r="G2556">
        <v>84.744676799999993</v>
      </c>
      <c r="H2556" t="s">
        <v>773</v>
      </c>
      <c r="I2556">
        <v>4</v>
      </c>
      <c r="J2556">
        <v>11</v>
      </c>
      <c r="K2556">
        <v>6</v>
      </c>
    </row>
    <row r="2557" spans="1:11" x14ac:dyDescent="0.3">
      <c r="A2557" t="s">
        <v>11</v>
      </c>
      <c r="B2557" t="s">
        <v>13</v>
      </c>
      <c r="C2557" t="s">
        <v>58</v>
      </c>
      <c r="D2557" t="s">
        <v>308</v>
      </c>
      <c r="E2557" s="5">
        <v>45812.958333333343</v>
      </c>
      <c r="F2557">
        <v>25.265194000000001</v>
      </c>
      <c r="G2557">
        <v>87.012946999999997</v>
      </c>
      <c r="H2557" t="s">
        <v>772</v>
      </c>
      <c r="I2557">
        <v>9</v>
      </c>
      <c r="J2557">
        <v>15</v>
      </c>
      <c r="K2557">
        <v>10</v>
      </c>
    </row>
    <row r="2558" spans="1:11" x14ac:dyDescent="0.3">
      <c r="A2558" t="s">
        <v>11</v>
      </c>
      <c r="B2558" t="s">
        <v>18</v>
      </c>
      <c r="C2558" t="s">
        <v>18</v>
      </c>
      <c r="D2558" t="s">
        <v>670</v>
      </c>
      <c r="E2558" s="5">
        <v>45812.958333333343</v>
      </c>
      <c r="F2558">
        <v>28.725650399999999</v>
      </c>
      <c r="G2558">
        <v>77.201157300000006</v>
      </c>
      <c r="H2558" t="s">
        <v>776</v>
      </c>
      <c r="I2558">
        <v>28</v>
      </c>
      <c r="J2558">
        <v>44</v>
      </c>
      <c r="K2558">
        <v>30</v>
      </c>
    </row>
    <row r="2559" spans="1:11" x14ac:dyDescent="0.3">
      <c r="A2559" t="s">
        <v>11</v>
      </c>
      <c r="B2559" t="s">
        <v>18</v>
      </c>
      <c r="C2559" t="s">
        <v>18</v>
      </c>
      <c r="D2559" t="s">
        <v>670</v>
      </c>
      <c r="E2559" s="5">
        <v>45812.958333333343</v>
      </c>
      <c r="F2559">
        <v>28.725650399999999</v>
      </c>
      <c r="G2559">
        <v>77.201157300000006</v>
      </c>
      <c r="H2559" t="s">
        <v>770</v>
      </c>
      <c r="I2559">
        <v>9</v>
      </c>
      <c r="J2559">
        <v>86</v>
      </c>
      <c r="K2559">
        <v>42</v>
      </c>
    </row>
    <row r="2560" spans="1:11" x14ac:dyDescent="0.3">
      <c r="A2560" t="s">
        <v>11</v>
      </c>
      <c r="B2560" t="s">
        <v>18</v>
      </c>
      <c r="C2560" t="s">
        <v>18</v>
      </c>
      <c r="D2560" t="s">
        <v>342</v>
      </c>
      <c r="E2560" s="5">
        <v>45812.958333333343</v>
      </c>
      <c r="F2560">
        <v>28.5512005</v>
      </c>
      <c r="G2560">
        <v>77.2735737</v>
      </c>
      <c r="H2560" t="s">
        <v>772</v>
      </c>
      <c r="I2560">
        <v>10</v>
      </c>
      <c r="J2560">
        <v>178</v>
      </c>
      <c r="K2560">
        <v>104</v>
      </c>
    </row>
    <row r="2561" spans="1:11" x14ac:dyDescent="0.3">
      <c r="A2561" t="s">
        <v>11</v>
      </c>
      <c r="B2561" t="s">
        <v>18</v>
      </c>
      <c r="C2561" t="s">
        <v>18</v>
      </c>
      <c r="D2561" t="s">
        <v>343</v>
      </c>
      <c r="E2561" s="5">
        <v>45812.958333333343</v>
      </c>
      <c r="F2561">
        <v>28.656756000000001</v>
      </c>
      <c r="G2561">
        <v>77.227233999999996</v>
      </c>
      <c r="H2561" t="s">
        <v>774</v>
      </c>
      <c r="I2561">
        <v>17</v>
      </c>
      <c r="J2561">
        <v>58</v>
      </c>
      <c r="K2561">
        <v>31</v>
      </c>
    </row>
    <row r="2562" spans="1:11" x14ac:dyDescent="0.3">
      <c r="A2562" t="s">
        <v>11</v>
      </c>
      <c r="B2562" t="s">
        <v>18</v>
      </c>
      <c r="C2562" t="s">
        <v>18</v>
      </c>
      <c r="D2562" t="s">
        <v>343</v>
      </c>
      <c r="E2562" s="5">
        <v>45812.958333333343</v>
      </c>
      <c r="F2562">
        <v>28.656756000000001</v>
      </c>
      <c r="G2562">
        <v>77.227233999999996</v>
      </c>
      <c r="H2562" t="s">
        <v>776</v>
      </c>
      <c r="I2562">
        <v>108</v>
      </c>
      <c r="J2562">
        <v>170</v>
      </c>
      <c r="K2562">
        <v>170</v>
      </c>
    </row>
    <row r="2563" spans="1:11" x14ac:dyDescent="0.3">
      <c r="A2563" t="s">
        <v>11</v>
      </c>
      <c r="B2563" t="s">
        <v>18</v>
      </c>
      <c r="C2563" t="s">
        <v>18</v>
      </c>
      <c r="D2563" t="s">
        <v>671</v>
      </c>
      <c r="E2563" s="5">
        <v>45812.958333333343</v>
      </c>
      <c r="F2563">
        <v>28.7500499</v>
      </c>
      <c r="G2563">
        <v>77.111261499999998</v>
      </c>
      <c r="H2563" t="s">
        <v>775</v>
      </c>
      <c r="I2563">
        <v>29</v>
      </c>
      <c r="J2563">
        <v>304</v>
      </c>
      <c r="K2563">
        <v>116</v>
      </c>
    </row>
    <row r="2564" spans="1:11" x14ac:dyDescent="0.3">
      <c r="A2564" t="s">
        <v>11</v>
      </c>
      <c r="B2564" t="s">
        <v>18</v>
      </c>
      <c r="C2564" t="s">
        <v>18</v>
      </c>
      <c r="D2564" t="s">
        <v>671</v>
      </c>
      <c r="E2564" s="5">
        <v>45812.958333333343</v>
      </c>
      <c r="F2564">
        <v>28.7500499</v>
      </c>
      <c r="G2564">
        <v>77.111261499999998</v>
      </c>
      <c r="H2564" t="s">
        <v>774</v>
      </c>
      <c r="I2564">
        <v>65</v>
      </c>
      <c r="J2564">
        <v>77</v>
      </c>
      <c r="K2564">
        <v>70</v>
      </c>
    </row>
    <row r="2565" spans="1:11" x14ac:dyDescent="0.3">
      <c r="A2565" t="s">
        <v>11</v>
      </c>
      <c r="B2565" t="s">
        <v>18</v>
      </c>
      <c r="C2565" t="s">
        <v>18</v>
      </c>
      <c r="D2565" t="s">
        <v>671</v>
      </c>
      <c r="E2565" s="5">
        <v>45812.958333333343</v>
      </c>
      <c r="F2565">
        <v>28.7500499</v>
      </c>
      <c r="G2565">
        <v>77.111261499999998</v>
      </c>
      <c r="H2565" t="s">
        <v>770</v>
      </c>
      <c r="I2565">
        <v>25</v>
      </c>
      <c r="J2565">
        <v>28</v>
      </c>
      <c r="K2565">
        <v>27</v>
      </c>
    </row>
    <row r="2566" spans="1:11" x14ac:dyDescent="0.3">
      <c r="A2566" t="s">
        <v>11</v>
      </c>
      <c r="B2566" t="s">
        <v>18</v>
      </c>
      <c r="C2566" t="s">
        <v>18</v>
      </c>
      <c r="D2566" t="s">
        <v>344</v>
      </c>
      <c r="E2566" s="5">
        <v>45812.958333333343</v>
      </c>
      <c r="F2566">
        <v>28.498570999999998</v>
      </c>
      <c r="G2566">
        <v>77.264840000000007</v>
      </c>
      <c r="H2566" t="s">
        <v>771</v>
      </c>
      <c r="I2566">
        <v>86</v>
      </c>
      <c r="J2566">
        <v>309</v>
      </c>
      <c r="K2566">
        <v>161</v>
      </c>
    </row>
    <row r="2567" spans="1:11" x14ac:dyDescent="0.3">
      <c r="A2567" t="s">
        <v>11</v>
      </c>
      <c r="B2567" t="s">
        <v>18</v>
      </c>
      <c r="C2567" t="s">
        <v>18</v>
      </c>
      <c r="D2567" t="s">
        <v>672</v>
      </c>
      <c r="E2567" s="5">
        <v>45812.958333333343</v>
      </c>
      <c r="F2567">
        <v>28.571027399999998</v>
      </c>
      <c r="G2567">
        <v>77.071900600000006</v>
      </c>
      <c r="H2567" t="s">
        <v>771</v>
      </c>
      <c r="I2567">
        <v>86</v>
      </c>
      <c r="J2567">
        <v>500</v>
      </c>
      <c r="K2567">
        <v>211</v>
      </c>
    </row>
    <row r="2568" spans="1:11" x14ac:dyDescent="0.3">
      <c r="A2568" t="s">
        <v>11</v>
      </c>
      <c r="B2568" t="s">
        <v>17</v>
      </c>
      <c r="C2568" t="s">
        <v>17</v>
      </c>
      <c r="D2568" t="s">
        <v>338</v>
      </c>
      <c r="E2568" s="5">
        <v>45812.958333333343</v>
      </c>
      <c r="F2568">
        <v>30.735567</v>
      </c>
      <c r="G2568">
        <v>76.775713999999994</v>
      </c>
      <c r="H2568" t="s">
        <v>776</v>
      </c>
      <c r="I2568">
        <v>36</v>
      </c>
      <c r="J2568">
        <v>101</v>
      </c>
      <c r="K2568">
        <v>56</v>
      </c>
    </row>
    <row r="2569" spans="1:11" x14ac:dyDescent="0.3">
      <c r="A2569" t="s">
        <v>11</v>
      </c>
      <c r="B2569" t="s">
        <v>17</v>
      </c>
      <c r="C2569" t="s">
        <v>17</v>
      </c>
      <c r="D2569" t="s">
        <v>667</v>
      </c>
      <c r="E2569" s="5">
        <v>45812.958333333343</v>
      </c>
      <c r="F2569">
        <v>30.751462</v>
      </c>
      <c r="G2569">
        <v>76.762878999999998</v>
      </c>
      <c r="H2569" t="s">
        <v>771</v>
      </c>
      <c r="I2569">
        <v>48</v>
      </c>
      <c r="J2569">
        <v>118</v>
      </c>
      <c r="K2569">
        <v>90</v>
      </c>
    </row>
    <row r="2570" spans="1:11" x14ac:dyDescent="0.3">
      <c r="A2570" t="s">
        <v>11</v>
      </c>
      <c r="B2570" t="s">
        <v>17</v>
      </c>
      <c r="C2570" t="s">
        <v>17</v>
      </c>
      <c r="D2570" t="s">
        <v>667</v>
      </c>
      <c r="E2570" s="5">
        <v>45812.958333333343</v>
      </c>
      <c r="F2570">
        <v>30.751462</v>
      </c>
      <c r="G2570">
        <v>76.762878999999998</v>
      </c>
      <c r="H2570" t="s">
        <v>772</v>
      </c>
      <c r="I2570">
        <v>14</v>
      </c>
      <c r="J2570">
        <v>63</v>
      </c>
      <c r="K2570">
        <v>31</v>
      </c>
    </row>
    <row r="2571" spans="1:11" x14ac:dyDescent="0.3">
      <c r="A2571" t="s">
        <v>11</v>
      </c>
      <c r="B2571" t="s">
        <v>17</v>
      </c>
      <c r="C2571" t="s">
        <v>17</v>
      </c>
      <c r="D2571" t="s">
        <v>345</v>
      </c>
      <c r="E2571" s="5">
        <v>45812.958333333343</v>
      </c>
      <c r="F2571">
        <v>30.719859</v>
      </c>
      <c r="G2571">
        <v>76.738636999999997</v>
      </c>
      <c r="H2571" t="s">
        <v>771</v>
      </c>
    </row>
    <row r="2572" spans="1:11" x14ac:dyDescent="0.3">
      <c r="A2572" t="s">
        <v>11</v>
      </c>
      <c r="B2572" t="s">
        <v>17</v>
      </c>
      <c r="C2572" t="s">
        <v>17</v>
      </c>
      <c r="D2572" t="s">
        <v>345</v>
      </c>
      <c r="E2572" s="5">
        <v>45812.958333333343</v>
      </c>
      <c r="F2572">
        <v>30.719859</v>
      </c>
      <c r="G2572">
        <v>76.738636999999997</v>
      </c>
      <c r="H2572" t="s">
        <v>773</v>
      </c>
    </row>
    <row r="2573" spans="1:11" x14ac:dyDescent="0.3">
      <c r="A2573" t="s">
        <v>11</v>
      </c>
      <c r="B2573" t="s">
        <v>17</v>
      </c>
      <c r="C2573" t="s">
        <v>17</v>
      </c>
      <c r="D2573" t="s">
        <v>345</v>
      </c>
      <c r="E2573" s="5">
        <v>45812.958333333343</v>
      </c>
      <c r="F2573">
        <v>30.719859</v>
      </c>
      <c r="G2573">
        <v>76.738636999999997</v>
      </c>
      <c r="H2573" t="s">
        <v>776</v>
      </c>
      <c r="I2573">
        <v>32</v>
      </c>
      <c r="J2573">
        <v>109</v>
      </c>
      <c r="K2573">
        <v>59</v>
      </c>
    </row>
    <row r="2574" spans="1:11" x14ac:dyDescent="0.3">
      <c r="A2574" t="s">
        <v>11</v>
      </c>
      <c r="B2574" t="s">
        <v>17</v>
      </c>
      <c r="C2574" t="s">
        <v>17</v>
      </c>
      <c r="D2574" t="s">
        <v>345</v>
      </c>
      <c r="E2574" s="5">
        <v>45812.958333333343</v>
      </c>
      <c r="F2574">
        <v>30.719859</v>
      </c>
      <c r="G2574">
        <v>76.738636999999997</v>
      </c>
      <c r="H2574" t="s">
        <v>770</v>
      </c>
      <c r="I2574">
        <v>4</v>
      </c>
      <c r="J2574">
        <v>110</v>
      </c>
      <c r="K2574">
        <v>64</v>
      </c>
    </row>
    <row r="2575" spans="1:11" x14ac:dyDescent="0.3">
      <c r="A2575" t="s">
        <v>11</v>
      </c>
      <c r="B2575" t="s">
        <v>16</v>
      </c>
      <c r="C2575" t="s">
        <v>75</v>
      </c>
      <c r="D2575" t="s">
        <v>668</v>
      </c>
      <c r="E2575" s="5">
        <v>45812.958333333343</v>
      </c>
      <c r="F2575">
        <v>21.194814999999998</v>
      </c>
      <c r="G2575">
        <v>81.314769999999996</v>
      </c>
      <c r="H2575" t="s">
        <v>772</v>
      </c>
      <c r="I2575">
        <v>7</v>
      </c>
      <c r="J2575">
        <v>60</v>
      </c>
      <c r="K2575">
        <v>19</v>
      </c>
    </row>
    <row r="2576" spans="1:11" x14ac:dyDescent="0.3">
      <c r="A2576" t="s">
        <v>11</v>
      </c>
      <c r="B2576" t="s">
        <v>16</v>
      </c>
      <c r="C2576" t="s">
        <v>75</v>
      </c>
      <c r="D2576" t="s">
        <v>668</v>
      </c>
      <c r="E2576" s="5">
        <v>45812.958333333343</v>
      </c>
      <c r="F2576">
        <v>21.194814999999998</v>
      </c>
      <c r="G2576">
        <v>81.314769999999996</v>
      </c>
      <c r="H2576" t="s">
        <v>774</v>
      </c>
      <c r="I2576">
        <v>14</v>
      </c>
      <c r="J2576">
        <v>41</v>
      </c>
      <c r="K2576">
        <v>19</v>
      </c>
    </row>
    <row r="2577" spans="1:11" x14ac:dyDescent="0.3">
      <c r="A2577" t="s">
        <v>11</v>
      </c>
      <c r="B2577" t="s">
        <v>16</v>
      </c>
      <c r="C2577" t="s">
        <v>75</v>
      </c>
      <c r="D2577" t="s">
        <v>668</v>
      </c>
      <c r="E2577" s="5">
        <v>45812.958333333343</v>
      </c>
      <c r="F2577">
        <v>21.194814999999998</v>
      </c>
      <c r="G2577">
        <v>81.314769999999996</v>
      </c>
      <c r="H2577" t="s">
        <v>776</v>
      </c>
      <c r="I2577">
        <v>10</v>
      </c>
      <c r="J2577">
        <v>63</v>
      </c>
      <c r="K2577">
        <v>23</v>
      </c>
    </row>
    <row r="2578" spans="1:11" x14ac:dyDescent="0.3">
      <c r="A2578" t="s">
        <v>11</v>
      </c>
      <c r="B2578" t="s">
        <v>16</v>
      </c>
      <c r="C2578" t="s">
        <v>75</v>
      </c>
      <c r="D2578" t="s">
        <v>346</v>
      </c>
      <c r="E2578" s="5">
        <v>45812.958333333343</v>
      </c>
      <c r="F2578">
        <v>21.185570999999999</v>
      </c>
      <c r="G2578">
        <v>81.343175000000002</v>
      </c>
      <c r="H2578" t="s">
        <v>771</v>
      </c>
      <c r="I2578">
        <v>32</v>
      </c>
      <c r="J2578">
        <v>79</v>
      </c>
      <c r="K2578">
        <v>49</v>
      </c>
    </row>
    <row r="2579" spans="1:11" x14ac:dyDescent="0.3">
      <c r="A2579" t="s">
        <v>11</v>
      </c>
      <c r="B2579" t="s">
        <v>18</v>
      </c>
      <c r="C2579" t="s">
        <v>18</v>
      </c>
      <c r="D2579" t="s">
        <v>339</v>
      </c>
      <c r="E2579" s="5">
        <v>45812.958333333343</v>
      </c>
      <c r="F2579">
        <v>28.815328999999998</v>
      </c>
      <c r="G2579">
        <v>77.153009999999995</v>
      </c>
      <c r="H2579" t="s">
        <v>773</v>
      </c>
      <c r="I2579">
        <v>10</v>
      </c>
      <c r="J2579">
        <v>13</v>
      </c>
      <c r="K2579">
        <v>12</v>
      </c>
    </row>
    <row r="2580" spans="1:11" x14ac:dyDescent="0.3">
      <c r="A2580" t="s">
        <v>11</v>
      </c>
      <c r="B2580" t="s">
        <v>18</v>
      </c>
      <c r="C2580" t="s">
        <v>18</v>
      </c>
      <c r="D2580" t="s">
        <v>339</v>
      </c>
      <c r="E2580" s="5">
        <v>45812.958333333343</v>
      </c>
      <c r="F2580">
        <v>28.815328999999998</v>
      </c>
      <c r="G2580">
        <v>77.153009999999995</v>
      </c>
      <c r="H2580" t="s">
        <v>776</v>
      </c>
      <c r="I2580">
        <v>2</v>
      </c>
      <c r="J2580">
        <v>58</v>
      </c>
      <c r="K2580">
        <v>15</v>
      </c>
    </row>
    <row r="2581" spans="1:11" x14ac:dyDescent="0.3">
      <c r="A2581" t="s">
        <v>11</v>
      </c>
      <c r="B2581" t="s">
        <v>18</v>
      </c>
      <c r="C2581" t="s">
        <v>18</v>
      </c>
      <c r="D2581" t="s">
        <v>664</v>
      </c>
      <c r="E2581" s="5">
        <v>45812.958333333343</v>
      </c>
      <c r="F2581">
        <v>28.647621999999998</v>
      </c>
      <c r="G2581">
        <v>77.315809000000002</v>
      </c>
      <c r="H2581" t="s">
        <v>774</v>
      </c>
      <c r="I2581">
        <v>1</v>
      </c>
      <c r="J2581">
        <v>35</v>
      </c>
      <c r="K2581">
        <v>15</v>
      </c>
    </row>
    <row r="2582" spans="1:11" x14ac:dyDescent="0.3">
      <c r="A2582" t="s">
        <v>11</v>
      </c>
      <c r="B2582" t="s">
        <v>18</v>
      </c>
      <c r="C2582" t="s">
        <v>18</v>
      </c>
      <c r="D2582" t="s">
        <v>664</v>
      </c>
      <c r="E2582" s="5">
        <v>45812.958333333343</v>
      </c>
      <c r="F2582">
        <v>28.647621999999998</v>
      </c>
      <c r="G2582">
        <v>77.315809000000002</v>
      </c>
      <c r="H2582" t="s">
        <v>776</v>
      </c>
      <c r="I2582">
        <v>82</v>
      </c>
      <c r="J2582">
        <v>174</v>
      </c>
      <c r="K2582">
        <v>170</v>
      </c>
    </row>
    <row r="2583" spans="1:11" x14ac:dyDescent="0.3">
      <c r="A2583" t="s">
        <v>11</v>
      </c>
      <c r="B2583" t="s">
        <v>18</v>
      </c>
      <c r="C2583" t="s">
        <v>18</v>
      </c>
      <c r="D2583" t="s">
        <v>341</v>
      </c>
      <c r="E2583" s="5">
        <v>45812.958333333343</v>
      </c>
      <c r="F2583">
        <v>28.776199999999999</v>
      </c>
      <c r="G2583">
        <v>77.051074</v>
      </c>
      <c r="H2583" t="s">
        <v>775</v>
      </c>
      <c r="I2583">
        <v>53</v>
      </c>
      <c r="J2583">
        <v>435</v>
      </c>
      <c r="K2583">
        <v>260</v>
      </c>
    </row>
    <row r="2584" spans="1:11" x14ac:dyDescent="0.3">
      <c r="A2584" t="s">
        <v>11</v>
      </c>
      <c r="B2584" t="s">
        <v>18</v>
      </c>
      <c r="C2584" t="s">
        <v>18</v>
      </c>
      <c r="D2584" t="s">
        <v>341</v>
      </c>
      <c r="E2584" s="5">
        <v>45812.958333333343</v>
      </c>
      <c r="F2584">
        <v>28.776199999999999</v>
      </c>
      <c r="G2584">
        <v>77.051074</v>
      </c>
      <c r="H2584" t="s">
        <v>776</v>
      </c>
      <c r="I2584">
        <v>15</v>
      </c>
      <c r="J2584">
        <v>109</v>
      </c>
      <c r="K2584">
        <v>40</v>
      </c>
    </row>
    <row r="2585" spans="1:11" x14ac:dyDescent="0.3">
      <c r="A2585" t="s">
        <v>11</v>
      </c>
      <c r="B2585" t="s">
        <v>18</v>
      </c>
      <c r="C2585" t="s">
        <v>18</v>
      </c>
      <c r="D2585" t="s">
        <v>670</v>
      </c>
      <c r="E2585" s="5">
        <v>45812.958333333343</v>
      </c>
      <c r="F2585">
        <v>28.725650399999999</v>
      </c>
      <c r="G2585">
        <v>77.201157300000006</v>
      </c>
      <c r="H2585" t="s">
        <v>771</v>
      </c>
      <c r="I2585">
        <v>62</v>
      </c>
      <c r="J2585">
        <v>333</v>
      </c>
      <c r="K2585">
        <v>170</v>
      </c>
    </row>
    <row r="2586" spans="1:11" x14ac:dyDescent="0.3">
      <c r="A2586" t="s">
        <v>11</v>
      </c>
      <c r="B2586" t="s">
        <v>16</v>
      </c>
      <c r="C2586" t="s">
        <v>75</v>
      </c>
      <c r="D2586" t="s">
        <v>346</v>
      </c>
      <c r="E2586" s="5">
        <v>45812.958333333343</v>
      </c>
      <c r="F2586">
        <v>21.185570999999999</v>
      </c>
      <c r="G2586">
        <v>81.343175000000002</v>
      </c>
      <c r="H2586" t="s">
        <v>773</v>
      </c>
      <c r="I2586">
        <v>2</v>
      </c>
      <c r="J2586">
        <v>2</v>
      </c>
      <c r="K2586">
        <v>2</v>
      </c>
    </row>
    <row r="2587" spans="1:11" x14ac:dyDescent="0.3">
      <c r="A2587" t="s">
        <v>11</v>
      </c>
      <c r="B2587" t="s">
        <v>16</v>
      </c>
      <c r="C2587" t="s">
        <v>75</v>
      </c>
      <c r="D2587" t="s">
        <v>331</v>
      </c>
      <c r="E2587" s="5">
        <v>45812.958333333343</v>
      </c>
      <c r="F2587">
        <v>21.224231</v>
      </c>
      <c r="G2587">
        <v>81.408349999999999</v>
      </c>
      <c r="H2587" t="s">
        <v>775</v>
      </c>
      <c r="I2587">
        <v>32</v>
      </c>
      <c r="J2587">
        <v>139</v>
      </c>
      <c r="K2587">
        <v>56</v>
      </c>
    </row>
    <row r="2588" spans="1:11" x14ac:dyDescent="0.3">
      <c r="A2588" t="s">
        <v>11</v>
      </c>
      <c r="B2588" t="s">
        <v>16</v>
      </c>
      <c r="C2588" t="s">
        <v>75</v>
      </c>
      <c r="D2588" t="s">
        <v>331</v>
      </c>
      <c r="E2588" s="5">
        <v>45812.958333333343</v>
      </c>
      <c r="F2588">
        <v>21.224231</v>
      </c>
      <c r="G2588">
        <v>81.408349999999999</v>
      </c>
      <c r="H2588" t="s">
        <v>771</v>
      </c>
      <c r="I2588">
        <v>37</v>
      </c>
      <c r="J2588">
        <v>136</v>
      </c>
      <c r="K2588">
        <v>70</v>
      </c>
    </row>
    <row r="2589" spans="1:11" x14ac:dyDescent="0.3">
      <c r="A2589" t="s">
        <v>11</v>
      </c>
      <c r="B2589" t="s">
        <v>16</v>
      </c>
      <c r="C2589" t="s">
        <v>76</v>
      </c>
      <c r="D2589" t="s">
        <v>332</v>
      </c>
      <c r="E2589" s="5">
        <v>45812.958333333343</v>
      </c>
      <c r="F2589">
        <v>22.088149999999999</v>
      </c>
      <c r="G2589">
        <v>82.137370000000004</v>
      </c>
      <c r="H2589" t="s">
        <v>775</v>
      </c>
    </row>
    <row r="2590" spans="1:11" x14ac:dyDescent="0.3">
      <c r="A2590" t="s">
        <v>11</v>
      </c>
      <c r="B2590" t="s">
        <v>16</v>
      </c>
      <c r="C2590" t="s">
        <v>77</v>
      </c>
      <c r="D2590" t="s">
        <v>333</v>
      </c>
      <c r="E2590" s="5">
        <v>45812.958333333343</v>
      </c>
      <c r="F2590">
        <v>22.118124999999999</v>
      </c>
      <c r="G2590">
        <v>83.140608</v>
      </c>
      <c r="H2590" t="s">
        <v>771</v>
      </c>
      <c r="I2590">
        <v>56</v>
      </c>
      <c r="J2590">
        <v>167</v>
      </c>
      <c r="K2590">
        <v>93</v>
      </c>
    </row>
    <row r="2591" spans="1:11" x14ac:dyDescent="0.3">
      <c r="A2591" t="s">
        <v>11</v>
      </c>
      <c r="B2591" t="s">
        <v>13</v>
      </c>
      <c r="C2591" t="s">
        <v>79</v>
      </c>
      <c r="D2591" t="s">
        <v>336</v>
      </c>
      <c r="E2591" s="5">
        <v>45812.958333333343</v>
      </c>
      <c r="F2591">
        <v>24.952822000000001</v>
      </c>
      <c r="G2591">
        <v>84.002396000000005</v>
      </c>
      <c r="H2591" t="s">
        <v>772</v>
      </c>
      <c r="I2591">
        <v>2</v>
      </c>
      <c r="J2591">
        <v>3</v>
      </c>
      <c r="K2591">
        <v>2</v>
      </c>
    </row>
    <row r="2592" spans="1:11" x14ac:dyDescent="0.3">
      <c r="A2592" t="s">
        <v>11</v>
      </c>
      <c r="B2592" t="s">
        <v>13</v>
      </c>
      <c r="C2592" t="s">
        <v>80</v>
      </c>
      <c r="D2592" t="s">
        <v>337</v>
      </c>
      <c r="E2592" s="5">
        <v>45812.958333333343</v>
      </c>
      <c r="F2592">
        <v>26.227166499999999</v>
      </c>
      <c r="G2592">
        <v>84.357042699999994</v>
      </c>
      <c r="H2592" t="s">
        <v>772</v>
      </c>
    </row>
    <row r="2593" spans="1:11" x14ac:dyDescent="0.3">
      <c r="A2593" t="s">
        <v>11</v>
      </c>
      <c r="B2593" t="s">
        <v>17</v>
      </c>
      <c r="C2593" t="s">
        <v>17</v>
      </c>
      <c r="D2593" t="s">
        <v>338</v>
      </c>
      <c r="E2593" s="5">
        <v>45812.958333333343</v>
      </c>
      <c r="F2593">
        <v>30.735567</v>
      </c>
      <c r="G2593">
        <v>76.775713999999994</v>
      </c>
      <c r="H2593" t="s">
        <v>771</v>
      </c>
      <c r="I2593">
        <v>33</v>
      </c>
      <c r="J2593">
        <v>153</v>
      </c>
      <c r="K2593">
        <v>94</v>
      </c>
    </row>
    <row r="2594" spans="1:11" x14ac:dyDescent="0.3">
      <c r="A2594" t="s">
        <v>11</v>
      </c>
      <c r="B2594" t="s">
        <v>17</v>
      </c>
      <c r="C2594" t="s">
        <v>17</v>
      </c>
      <c r="D2594" t="s">
        <v>338</v>
      </c>
      <c r="E2594" s="5">
        <v>45812.958333333343</v>
      </c>
      <c r="F2594">
        <v>30.735567</v>
      </c>
      <c r="G2594">
        <v>76.775713999999994</v>
      </c>
      <c r="H2594" t="s">
        <v>773</v>
      </c>
      <c r="I2594">
        <v>13</v>
      </c>
      <c r="J2594">
        <v>20</v>
      </c>
      <c r="K2594">
        <v>17</v>
      </c>
    </row>
    <row r="2595" spans="1:11" x14ac:dyDescent="0.3">
      <c r="A2595" t="s">
        <v>11</v>
      </c>
      <c r="B2595" t="s">
        <v>17</v>
      </c>
      <c r="C2595" t="s">
        <v>17</v>
      </c>
      <c r="D2595" t="s">
        <v>338</v>
      </c>
      <c r="E2595" s="5">
        <v>45812.958333333343</v>
      </c>
      <c r="F2595">
        <v>30.735567</v>
      </c>
      <c r="G2595">
        <v>76.775713999999994</v>
      </c>
      <c r="H2595" t="s">
        <v>774</v>
      </c>
      <c r="I2595">
        <v>11</v>
      </c>
      <c r="J2595">
        <v>42</v>
      </c>
      <c r="K2595">
        <v>25</v>
      </c>
    </row>
    <row r="2596" spans="1:11" x14ac:dyDescent="0.3">
      <c r="A2596" t="s">
        <v>11</v>
      </c>
      <c r="B2596" t="s">
        <v>16</v>
      </c>
      <c r="C2596" t="s">
        <v>78</v>
      </c>
      <c r="D2596" t="s">
        <v>334</v>
      </c>
      <c r="E2596" s="5">
        <v>45812.958333333343</v>
      </c>
      <c r="F2596">
        <v>22.368195</v>
      </c>
      <c r="G2596">
        <v>82.746431000000001</v>
      </c>
      <c r="H2596" t="s">
        <v>771</v>
      </c>
    </row>
    <row r="2597" spans="1:11" x14ac:dyDescent="0.3">
      <c r="A2597" t="s">
        <v>11</v>
      </c>
      <c r="B2597" t="s">
        <v>16</v>
      </c>
      <c r="C2597" t="s">
        <v>78</v>
      </c>
      <c r="D2597" t="s">
        <v>334</v>
      </c>
      <c r="E2597" s="5">
        <v>45812.958333333343</v>
      </c>
      <c r="F2597">
        <v>22.368195</v>
      </c>
      <c r="G2597">
        <v>82.746431000000001</v>
      </c>
      <c r="H2597" t="s">
        <v>772</v>
      </c>
    </row>
    <row r="2598" spans="1:11" x14ac:dyDescent="0.3">
      <c r="A2598" t="s">
        <v>11</v>
      </c>
      <c r="B2598" t="s">
        <v>16</v>
      </c>
      <c r="C2598" t="s">
        <v>78</v>
      </c>
      <c r="D2598" t="s">
        <v>335</v>
      </c>
      <c r="E2598" s="5">
        <v>45812.958333333343</v>
      </c>
      <c r="F2598">
        <v>22.348441000000001</v>
      </c>
      <c r="G2598">
        <v>82.549610999999999</v>
      </c>
      <c r="H2598" t="s">
        <v>772</v>
      </c>
      <c r="I2598">
        <v>66</v>
      </c>
      <c r="J2598">
        <v>97</v>
      </c>
      <c r="K2598">
        <v>83</v>
      </c>
    </row>
    <row r="2599" spans="1:11" x14ac:dyDescent="0.3">
      <c r="A2599" t="s">
        <v>11</v>
      </c>
      <c r="B2599" t="s">
        <v>16</v>
      </c>
      <c r="C2599" t="s">
        <v>78</v>
      </c>
      <c r="D2599" t="s">
        <v>335</v>
      </c>
      <c r="E2599" s="5">
        <v>45812.958333333343</v>
      </c>
      <c r="F2599">
        <v>22.348441000000001</v>
      </c>
      <c r="G2599">
        <v>82.549610999999999</v>
      </c>
      <c r="H2599" t="s">
        <v>770</v>
      </c>
      <c r="I2599">
        <v>35</v>
      </c>
      <c r="J2599">
        <v>36</v>
      </c>
      <c r="K2599">
        <v>35</v>
      </c>
    </row>
    <row r="2600" spans="1:11" x14ac:dyDescent="0.3">
      <c r="A2600" t="s">
        <v>11</v>
      </c>
      <c r="B2600" t="s">
        <v>16</v>
      </c>
      <c r="C2600" t="s">
        <v>250</v>
      </c>
      <c r="D2600" t="s">
        <v>665</v>
      </c>
      <c r="E2600" s="5">
        <v>45812.958333333343</v>
      </c>
      <c r="F2600">
        <v>22.126650000000001</v>
      </c>
      <c r="G2600">
        <v>83.483211999999995</v>
      </c>
      <c r="H2600" t="s">
        <v>772</v>
      </c>
      <c r="I2600">
        <v>34</v>
      </c>
      <c r="J2600">
        <v>48</v>
      </c>
      <c r="K2600">
        <v>39</v>
      </c>
    </row>
    <row r="2601" spans="1:11" x14ac:dyDescent="0.3">
      <c r="A2601" t="s">
        <v>11</v>
      </c>
      <c r="B2601" t="s">
        <v>16</v>
      </c>
      <c r="C2601" t="s">
        <v>250</v>
      </c>
      <c r="D2601" t="s">
        <v>665</v>
      </c>
      <c r="E2601" s="5">
        <v>45812.958333333343</v>
      </c>
      <c r="F2601">
        <v>22.126650000000001</v>
      </c>
      <c r="G2601">
        <v>83.483211999999995</v>
      </c>
      <c r="H2601" t="s">
        <v>773</v>
      </c>
      <c r="I2601">
        <v>2</v>
      </c>
      <c r="J2601">
        <v>2</v>
      </c>
      <c r="K2601">
        <v>2</v>
      </c>
    </row>
    <row r="2602" spans="1:11" x14ac:dyDescent="0.3">
      <c r="A2602" t="s">
        <v>11</v>
      </c>
      <c r="B2602" t="s">
        <v>16</v>
      </c>
      <c r="C2602" t="s">
        <v>81</v>
      </c>
      <c r="D2602" t="s">
        <v>350</v>
      </c>
      <c r="E2602" s="5">
        <v>45812.958333333343</v>
      </c>
      <c r="F2602">
        <v>21.371751</v>
      </c>
      <c r="G2602">
        <v>81.664929000000001</v>
      </c>
      <c r="H2602" t="s">
        <v>774</v>
      </c>
      <c r="I2602">
        <v>13</v>
      </c>
      <c r="J2602">
        <v>85</v>
      </c>
      <c r="K2602">
        <v>32</v>
      </c>
    </row>
    <row r="2603" spans="1:11" x14ac:dyDescent="0.3">
      <c r="A2603" t="s">
        <v>11</v>
      </c>
      <c r="B2603" t="s">
        <v>16</v>
      </c>
      <c r="C2603" t="s">
        <v>252</v>
      </c>
      <c r="D2603" t="s">
        <v>669</v>
      </c>
      <c r="E2603" s="5">
        <v>45812.958333333343</v>
      </c>
      <c r="F2603">
        <v>22.06631475</v>
      </c>
      <c r="G2603">
        <v>83.33820077</v>
      </c>
      <c r="H2603" t="s">
        <v>776</v>
      </c>
      <c r="I2603">
        <v>18</v>
      </c>
      <c r="J2603">
        <v>52</v>
      </c>
      <c r="K2603">
        <v>23</v>
      </c>
    </row>
    <row r="2604" spans="1:11" x14ac:dyDescent="0.3">
      <c r="A2604" t="s">
        <v>11</v>
      </c>
      <c r="B2604" t="s">
        <v>16</v>
      </c>
      <c r="C2604" t="s">
        <v>81</v>
      </c>
      <c r="D2604" t="s">
        <v>348</v>
      </c>
      <c r="E2604" s="5">
        <v>45812.958333333343</v>
      </c>
      <c r="F2604">
        <v>21.219664999999999</v>
      </c>
      <c r="G2604">
        <v>81.630094</v>
      </c>
      <c r="H2604" t="s">
        <v>771</v>
      </c>
      <c r="I2604">
        <v>50</v>
      </c>
      <c r="J2604">
        <v>102</v>
      </c>
      <c r="K2604">
        <v>68</v>
      </c>
    </row>
    <row r="2605" spans="1:11" x14ac:dyDescent="0.3">
      <c r="A2605" t="s">
        <v>11</v>
      </c>
      <c r="B2605" t="s">
        <v>16</v>
      </c>
      <c r="C2605" t="s">
        <v>81</v>
      </c>
      <c r="D2605" t="s">
        <v>350</v>
      </c>
      <c r="E2605" s="5">
        <v>45812.958333333343</v>
      </c>
      <c r="F2605">
        <v>21.371751</v>
      </c>
      <c r="G2605">
        <v>81.664929000000001</v>
      </c>
      <c r="H2605" t="s">
        <v>772</v>
      </c>
      <c r="I2605">
        <v>23</v>
      </c>
      <c r="J2605">
        <v>60</v>
      </c>
      <c r="K2605">
        <v>40</v>
      </c>
    </row>
    <row r="2606" spans="1:11" x14ac:dyDescent="0.3">
      <c r="A2606" t="s">
        <v>11</v>
      </c>
      <c r="B2606" t="s">
        <v>18</v>
      </c>
      <c r="C2606" t="s">
        <v>18</v>
      </c>
      <c r="D2606" t="s">
        <v>366</v>
      </c>
      <c r="E2606" s="5">
        <v>45812.958333333343</v>
      </c>
      <c r="F2606">
        <v>28.657381399999998</v>
      </c>
      <c r="G2606">
        <v>77.158544699999993</v>
      </c>
      <c r="H2606" t="s">
        <v>775</v>
      </c>
      <c r="I2606">
        <v>31</v>
      </c>
      <c r="J2606">
        <v>358</v>
      </c>
      <c r="K2606">
        <v>150</v>
      </c>
    </row>
    <row r="2607" spans="1:11" x14ac:dyDescent="0.3">
      <c r="A2607" t="s">
        <v>11</v>
      </c>
      <c r="B2607" t="s">
        <v>18</v>
      </c>
      <c r="C2607" t="s">
        <v>18</v>
      </c>
      <c r="D2607" t="s">
        <v>366</v>
      </c>
      <c r="E2607" s="5">
        <v>45812.958333333343</v>
      </c>
      <c r="F2607">
        <v>28.657381399999998</v>
      </c>
      <c r="G2607">
        <v>77.158544699999993</v>
      </c>
      <c r="H2607" t="s">
        <v>770</v>
      </c>
      <c r="I2607">
        <v>7</v>
      </c>
      <c r="J2607">
        <v>205</v>
      </c>
      <c r="K2607">
        <v>98</v>
      </c>
    </row>
    <row r="2608" spans="1:11" x14ac:dyDescent="0.3">
      <c r="A2608" t="s">
        <v>11</v>
      </c>
      <c r="B2608" t="s">
        <v>18</v>
      </c>
      <c r="C2608" t="s">
        <v>18</v>
      </c>
      <c r="D2608" t="s">
        <v>759</v>
      </c>
      <c r="E2608" s="5">
        <v>45812.958333333343</v>
      </c>
      <c r="F2608">
        <v>28.530785000000002</v>
      </c>
      <c r="G2608">
        <v>77.271254999999996</v>
      </c>
      <c r="H2608" t="s">
        <v>775</v>
      </c>
      <c r="I2608">
        <v>58</v>
      </c>
      <c r="J2608">
        <v>340</v>
      </c>
      <c r="K2608">
        <v>177</v>
      </c>
    </row>
    <row r="2609" spans="1:11" x14ac:dyDescent="0.3">
      <c r="A2609" t="s">
        <v>11</v>
      </c>
      <c r="B2609" t="s">
        <v>18</v>
      </c>
      <c r="C2609" t="s">
        <v>18</v>
      </c>
      <c r="D2609" t="s">
        <v>759</v>
      </c>
      <c r="E2609" s="5">
        <v>45812.958333333343</v>
      </c>
      <c r="F2609">
        <v>28.530785000000002</v>
      </c>
      <c r="G2609">
        <v>77.271254999999996</v>
      </c>
      <c r="H2609" t="s">
        <v>771</v>
      </c>
      <c r="I2609">
        <v>95</v>
      </c>
      <c r="J2609">
        <v>483</v>
      </c>
      <c r="K2609">
        <v>209</v>
      </c>
    </row>
    <row r="2610" spans="1:11" x14ac:dyDescent="0.3">
      <c r="A2610" t="s">
        <v>11</v>
      </c>
      <c r="B2610" t="s">
        <v>18</v>
      </c>
      <c r="C2610" t="s">
        <v>18</v>
      </c>
      <c r="D2610" t="s">
        <v>759</v>
      </c>
      <c r="E2610" s="5">
        <v>45812.958333333343</v>
      </c>
      <c r="F2610">
        <v>28.530785000000002</v>
      </c>
      <c r="G2610">
        <v>77.271254999999996</v>
      </c>
      <c r="H2610" t="s">
        <v>772</v>
      </c>
      <c r="I2610">
        <v>29</v>
      </c>
      <c r="J2610">
        <v>140</v>
      </c>
      <c r="K2610">
        <v>80</v>
      </c>
    </row>
    <row r="2611" spans="1:11" x14ac:dyDescent="0.3">
      <c r="A2611" t="s">
        <v>11</v>
      </c>
      <c r="B2611" t="s">
        <v>18</v>
      </c>
      <c r="C2611" t="s">
        <v>18</v>
      </c>
      <c r="D2611" t="s">
        <v>759</v>
      </c>
      <c r="E2611" s="5">
        <v>45812.958333333343</v>
      </c>
      <c r="F2611">
        <v>28.530785000000002</v>
      </c>
      <c r="G2611">
        <v>77.271254999999996</v>
      </c>
      <c r="H2611" t="s">
        <v>776</v>
      </c>
      <c r="I2611">
        <v>57</v>
      </c>
      <c r="J2611">
        <v>132</v>
      </c>
      <c r="K2611">
        <v>76</v>
      </c>
    </row>
    <row r="2612" spans="1:11" x14ac:dyDescent="0.3">
      <c r="A2612" t="s">
        <v>11</v>
      </c>
      <c r="B2612" t="s">
        <v>18</v>
      </c>
      <c r="C2612" t="s">
        <v>18</v>
      </c>
      <c r="D2612" t="s">
        <v>351</v>
      </c>
      <c r="E2612" s="5">
        <v>45812.958333333343</v>
      </c>
      <c r="F2612">
        <v>28.623763</v>
      </c>
      <c r="G2612">
        <v>77.287209000000004</v>
      </c>
      <c r="H2612" t="s">
        <v>770</v>
      </c>
      <c r="I2612">
        <v>1</v>
      </c>
      <c r="J2612">
        <v>257</v>
      </c>
      <c r="K2612">
        <v>128</v>
      </c>
    </row>
    <row r="2613" spans="1:11" x14ac:dyDescent="0.3">
      <c r="A2613" t="s">
        <v>11</v>
      </c>
      <c r="B2613" t="s">
        <v>18</v>
      </c>
      <c r="C2613" t="s">
        <v>18</v>
      </c>
      <c r="D2613" t="s">
        <v>352</v>
      </c>
      <c r="E2613" s="5">
        <v>45812.958333333343</v>
      </c>
      <c r="F2613">
        <v>28.674045</v>
      </c>
      <c r="G2613">
        <v>77.131022999999999</v>
      </c>
      <c r="H2613" t="s">
        <v>771</v>
      </c>
      <c r="I2613">
        <v>89</v>
      </c>
      <c r="J2613">
        <v>312</v>
      </c>
      <c r="K2613">
        <v>188</v>
      </c>
    </row>
    <row r="2614" spans="1:11" x14ac:dyDescent="0.3">
      <c r="A2614" t="s">
        <v>11</v>
      </c>
      <c r="B2614" t="s">
        <v>18</v>
      </c>
      <c r="C2614" t="s">
        <v>18</v>
      </c>
      <c r="D2614" t="s">
        <v>352</v>
      </c>
      <c r="E2614" s="5">
        <v>45812.958333333343</v>
      </c>
      <c r="F2614">
        <v>28.674045</v>
      </c>
      <c r="G2614">
        <v>77.131022999999999</v>
      </c>
      <c r="H2614" t="s">
        <v>772</v>
      </c>
      <c r="I2614">
        <v>35</v>
      </c>
      <c r="J2614">
        <v>98</v>
      </c>
      <c r="K2614">
        <v>65</v>
      </c>
    </row>
    <row r="2615" spans="1:11" x14ac:dyDescent="0.3">
      <c r="A2615" t="s">
        <v>11</v>
      </c>
      <c r="B2615" t="s">
        <v>18</v>
      </c>
      <c r="C2615" t="s">
        <v>18</v>
      </c>
      <c r="D2615" t="s">
        <v>353</v>
      </c>
      <c r="E2615" s="5">
        <v>45812.958333333343</v>
      </c>
      <c r="F2615">
        <v>28.639652000000002</v>
      </c>
      <c r="G2615">
        <v>77.146275000000003</v>
      </c>
      <c r="H2615" t="s">
        <v>775</v>
      </c>
      <c r="I2615">
        <v>37</v>
      </c>
      <c r="J2615">
        <v>305</v>
      </c>
      <c r="K2615">
        <v>126</v>
      </c>
    </row>
    <row r="2616" spans="1:11" x14ac:dyDescent="0.3">
      <c r="A2616" t="s">
        <v>11</v>
      </c>
      <c r="B2616" t="s">
        <v>18</v>
      </c>
      <c r="C2616" t="s">
        <v>18</v>
      </c>
      <c r="D2616" t="s">
        <v>358</v>
      </c>
      <c r="E2616" s="5">
        <v>45812.958333333343</v>
      </c>
      <c r="F2616">
        <v>28.562776299999999</v>
      </c>
      <c r="G2616">
        <v>77.118005299999993</v>
      </c>
      <c r="H2616" t="s">
        <v>771</v>
      </c>
      <c r="I2616">
        <v>73</v>
      </c>
      <c r="J2616">
        <v>276</v>
      </c>
      <c r="K2616">
        <v>154</v>
      </c>
    </row>
    <row r="2617" spans="1:11" x14ac:dyDescent="0.3">
      <c r="A2617" t="s">
        <v>11</v>
      </c>
      <c r="B2617" t="s">
        <v>18</v>
      </c>
      <c r="C2617" t="s">
        <v>18</v>
      </c>
      <c r="D2617" t="s">
        <v>359</v>
      </c>
      <c r="E2617" s="5">
        <v>45812.958333333343</v>
      </c>
      <c r="F2617">
        <v>28.681173600000001</v>
      </c>
      <c r="G2617">
        <v>77.302523399999998</v>
      </c>
      <c r="H2617" t="s">
        <v>775</v>
      </c>
      <c r="I2617">
        <v>65</v>
      </c>
      <c r="J2617">
        <v>294</v>
      </c>
      <c r="K2617">
        <v>149</v>
      </c>
    </row>
    <row r="2618" spans="1:11" x14ac:dyDescent="0.3">
      <c r="A2618" t="s">
        <v>11</v>
      </c>
      <c r="B2618" t="s">
        <v>18</v>
      </c>
      <c r="C2618" t="s">
        <v>18</v>
      </c>
      <c r="D2618" t="s">
        <v>359</v>
      </c>
      <c r="E2618" s="5">
        <v>45812.958333333343</v>
      </c>
      <c r="F2618">
        <v>28.681173600000001</v>
      </c>
      <c r="G2618">
        <v>77.302523399999998</v>
      </c>
      <c r="H2618" t="s">
        <v>771</v>
      </c>
      <c r="I2618">
        <v>92</v>
      </c>
      <c r="J2618">
        <v>189</v>
      </c>
      <c r="K2618">
        <v>135</v>
      </c>
    </row>
    <row r="2619" spans="1:11" x14ac:dyDescent="0.3">
      <c r="A2619" t="s">
        <v>11</v>
      </c>
      <c r="B2619" t="s">
        <v>18</v>
      </c>
      <c r="C2619" t="s">
        <v>18</v>
      </c>
      <c r="D2619" t="s">
        <v>359</v>
      </c>
      <c r="E2619" s="5">
        <v>45812.958333333343</v>
      </c>
      <c r="F2619">
        <v>28.681173600000001</v>
      </c>
      <c r="G2619">
        <v>77.302523399999998</v>
      </c>
      <c r="H2619" t="s">
        <v>772</v>
      </c>
      <c r="I2619">
        <v>12</v>
      </c>
      <c r="J2619">
        <v>73</v>
      </c>
      <c r="K2619">
        <v>27</v>
      </c>
    </row>
    <row r="2620" spans="1:11" x14ac:dyDescent="0.3">
      <c r="A2620" t="s">
        <v>11</v>
      </c>
      <c r="B2620" t="s">
        <v>18</v>
      </c>
      <c r="C2620" t="s">
        <v>18</v>
      </c>
      <c r="D2620" t="s">
        <v>359</v>
      </c>
      <c r="E2620" s="5">
        <v>45812.958333333343</v>
      </c>
      <c r="F2620">
        <v>28.681173600000001</v>
      </c>
      <c r="G2620">
        <v>77.302523399999998</v>
      </c>
      <c r="H2620" t="s">
        <v>776</v>
      </c>
      <c r="I2620">
        <v>30</v>
      </c>
      <c r="J2620">
        <v>118</v>
      </c>
      <c r="K2620">
        <v>49</v>
      </c>
    </row>
    <row r="2621" spans="1:11" x14ac:dyDescent="0.3">
      <c r="A2621" t="s">
        <v>11</v>
      </c>
      <c r="B2621" t="s">
        <v>18</v>
      </c>
      <c r="C2621" t="s">
        <v>18</v>
      </c>
      <c r="D2621" t="s">
        <v>676</v>
      </c>
      <c r="E2621" s="5">
        <v>45812.958333333343</v>
      </c>
      <c r="F2621">
        <v>28.628623999999999</v>
      </c>
      <c r="G2621">
        <v>77.241060000000004</v>
      </c>
      <c r="H2621" t="s">
        <v>772</v>
      </c>
      <c r="I2621">
        <v>9</v>
      </c>
      <c r="J2621">
        <v>306</v>
      </c>
      <c r="K2621">
        <v>47</v>
      </c>
    </row>
    <row r="2622" spans="1:11" x14ac:dyDescent="0.3">
      <c r="A2622" t="s">
        <v>11</v>
      </c>
      <c r="B2622" t="s">
        <v>18</v>
      </c>
      <c r="C2622" t="s">
        <v>18</v>
      </c>
      <c r="D2622" t="s">
        <v>676</v>
      </c>
      <c r="E2622" s="5">
        <v>45812.958333333343</v>
      </c>
      <c r="F2622">
        <v>28.628623999999999</v>
      </c>
      <c r="G2622">
        <v>77.241060000000004</v>
      </c>
      <c r="H2622" t="s">
        <v>773</v>
      </c>
      <c r="I2622">
        <v>6</v>
      </c>
      <c r="J2622">
        <v>17</v>
      </c>
      <c r="K2622">
        <v>9</v>
      </c>
    </row>
    <row r="2623" spans="1:11" x14ac:dyDescent="0.3">
      <c r="A2623" t="s">
        <v>11</v>
      </c>
      <c r="B2623" t="s">
        <v>18</v>
      </c>
      <c r="C2623" t="s">
        <v>18</v>
      </c>
      <c r="D2623" t="s">
        <v>360</v>
      </c>
      <c r="E2623" s="5">
        <v>45812.958333333343</v>
      </c>
      <c r="F2623">
        <v>28.73282</v>
      </c>
      <c r="G2623">
        <v>77.170632999999995</v>
      </c>
      <c r="H2623" t="s">
        <v>772</v>
      </c>
      <c r="I2623">
        <v>50</v>
      </c>
      <c r="J2623">
        <v>271</v>
      </c>
      <c r="K2623">
        <v>112</v>
      </c>
    </row>
    <row r="2624" spans="1:11" x14ac:dyDescent="0.3">
      <c r="A2624" t="s">
        <v>11</v>
      </c>
      <c r="B2624" t="s">
        <v>18</v>
      </c>
      <c r="C2624" t="s">
        <v>18</v>
      </c>
      <c r="D2624" t="s">
        <v>360</v>
      </c>
      <c r="E2624" s="5">
        <v>45812.958333333343</v>
      </c>
      <c r="F2624">
        <v>28.73282</v>
      </c>
      <c r="G2624">
        <v>77.170632999999995</v>
      </c>
      <c r="H2624" t="s">
        <v>773</v>
      </c>
      <c r="I2624">
        <v>6</v>
      </c>
      <c r="J2624">
        <v>12</v>
      </c>
      <c r="K2624">
        <v>9</v>
      </c>
    </row>
    <row r="2625" spans="1:11" x14ac:dyDescent="0.3">
      <c r="A2625" t="s">
        <v>11</v>
      </c>
      <c r="B2625" t="s">
        <v>18</v>
      </c>
      <c r="C2625" t="s">
        <v>18</v>
      </c>
      <c r="D2625" t="s">
        <v>360</v>
      </c>
      <c r="E2625" s="5">
        <v>45812.958333333343</v>
      </c>
      <c r="F2625">
        <v>28.73282</v>
      </c>
      <c r="G2625">
        <v>77.170632999999995</v>
      </c>
      <c r="H2625" t="s">
        <v>770</v>
      </c>
      <c r="I2625">
        <v>1</v>
      </c>
      <c r="J2625">
        <v>241</v>
      </c>
      <c r="K2625">
        <v>98</v>
      </c>
    </row>
    <row r="2626" spans="1:11" x14ac:dyDescent="0.3">
      <c r="A2626" t="s">
        <v>11</v>
      </c>
      <c r="B2626" t="s">
        <v>18</v>
      </c>
      <c r="C2626" t="s">
        <v>18</v>
      </c>
      <c r="D2626" t="s">
        <v>361</v>
      </c>
      <c r="E2626" s="5">
        <v>45812.958333333343</v>
      </c>
      <c r="F2626">
        <v>28.684678000000002</v>
      </c>
      <c r="G2626">
        <v>77.076573999999994</v>
      </c>
      <c r="H2626" t="s">
        <v>774</v>
      </c>
      <c r="I2626">
        <v>13</v>
      </c>
      <c r="J2626">
        <v>111</v>
      </c>
      <c r="K2626">
        <v>50</v>
      </c>
    </row>
    <row r="2627" spans="1:11" x14ac:dyDescent="0.3">
      <c r="A2627" t="s">
        <v>11</v>
      </c>
      <c r="B2627" t="s">
        <v>18</v>
      </c>
      <c r="C2627" t="s">
        <v>18</v>
      </c>
      <c r="D2627" t="s">
        <v>362</v>
      </c>
      <c r="E2627" s="5">
        <v>45812.958333333343</v>
      </c>
      <c r="F2627">
        <v>28.609089999999998</v>
      </c>
      <c r="G2627">
        <v>77.032541300000005</v>
      </c>
      <c r="H2627" t="s">
        <v>776</v>
      </c>
      <c r="I2627">
        <v>30</v>
      </c>
      <c r="J2627">
        <v>102</v>
      </c>
      <c r="K2627">
        <v>70</v>
      </c>
    </row>
    <row r="2628" spans="1:11" x14ac:dyDescent="0.3">
      <c r="A2628" t="s">
        <v>11</v>
      </c>
      <c r="B2628" t="s">
        <v>18</v>
      </c>
      <c r="C2628" t="s">
        <v>18</v>
      </c>
      <c r="D2628" t="s">
        <v>362</v>
      </c>
      <c r="E2628" s="5">
        <v>45812.958333333343</v>
      </c>
      <c r="F2628">
        <v>28.609089999999998</v>
      </c>
      <c r="G2628">
        <v>77.032541300000005</v>
      </c>
      <c r="H2628" t="s">
        <v>770</v>
      </c>
      <c r="I2628">
        <v>14</v>
      </c>
      <c r="J2628">
        <v>56</v>
      </c>
      <c r="K2628">
        <v>36</v>
      </c>
    </row>
    <row r="2629" spans="1:11" x14ac:dyDescent="0.3">
      <c r="A2629" t="s">
        <v>11</v>
      </c>
      <c r="B2629" t="s">
        <v>18</v>
      </c>
      <c r="C2629" t="s">
        <v>18</v>
      </c>
      <c r="D2629" t="s">
        <v>363</v>
      </c>
      <c r="E2629" s="5">
        <v>45812.958333333343</v>
      </c>
      <c r="F2629">
        <v>28.570173</v>
      </c>
      <c r="G2629">
        <v>76.933762000000002</v>
      </c>
      <c r="H2629" t="s">
        <v>775</v>
      </c>
      <c r="I2629">
        <v>27</v>
      </c>
      <c r="J2629">
        <v>348</v>
      </c>
      <c r="K2629">
        <v>134</v>
      </c>
    </row>
    <row r="2630" spans="1:11" x14ac:dyDescent="0.3">
      <c r="A2630" t="s">
        <v>11</v>
      </c>
      <c r="B2630" t="s">
        <v>18</v>
      </c>
      <c r="C2630" t="s">
        <v>18</v>
      </c>
      <c r="D2630" t="s">
        <v>363</v>
      </c>
      <c r="E2630" s="5">
        <v>45812.958333333343</v>
      </c>
      <c r="F2630">
        <v>28.570173</v>
      </c>
      <c r="G2630">
        <v>76.933762000000002</v>
      </c>
      <c r="H2630" t="s">
        <v>771</v>
      </c>
      <c r="I2630">
        <v>63</v>
      </c>
      <c r="J2630">
        <v>274</v>
      </c>
      <c r="K2630">
        <v>154</v>
      </c>
    </row>
    <row r="2631" spans="1:11" x14ac:dyDescent="0.3">
      <c r="A2631" t="s">
        <v>11</v>
      </c>
      <c r="B2631" t="s">
        <v>18</v>
      </c>
      <c r="C2631" t="s">
        <v>18</v>
      </c>
      <c r="D2631" t="s">
        <v>363</v>
      </c>
      <c r="E2631" s="5">
        <v>45812.958333333343</v>
      </c>
      <c r="F2631">
        <v>28.570173</v>
      </c>
      <c r="G2631">
        <v>76.933762000000002</v>
      </c>
      <c r="H2631" t="s">
        <v>774</v>
      </c>
      <c r="I2631">
        <v>7</v>
      </c>
      <c r="J2631">
        <v>34</v>
      </c>
      <c r="K2631">
        <v>16</v>
      </c>
    </row>
    <row r="2632" spans="1:11" x14ac:dyDescent="0.3">
      <c r="A2632" t="s">
        <v>11</v>
      </c>
      <c r="B2632" t="s">
        <v>18</v>
      </c>
      <c r="C2632" t="s">
        <v>18</v>
      </c>
      <c r="D2632" t="s">
        <v>364</v>
      </c>
      <c r="E2632" s="5">
        <v>45812.958333333343</v>
      </c>
      <c r="F2632">
        <v>28.822835999999999</v>
      </c>
      <c r="G2632">
        <v>77.101980999999995</v>
      </c>
      <c r="H2632" t="s">
        <v>771</v>
      </c>
      <c r="I2632">
        <v>94</v>
      </c>
      <c r="J2632">
        <v>412</v>
      </c>
      <c r="K2632">
        <v>228</v>
      </c>
    </row>
    <row r="2633" spans="1:11" x14ac:dyDescent="0.3">
      <c r="A2633" t="s">
        <v>11</v>
      </c>
      <c r="B2633" t="s">
        <v>18</v>
      </c>
      <c r="C2633" t="s">
        <v>18</v>
      </c>
      <c r="D2633" t="s">
        <v>365</v>
      </c>
      <c r="E2633" s="5">
        <v>45812.958333333343</v>
      </c>
      <c r="F2633">
        <v>28.567889999999998</v>
      </c>
      <c r="G2633">
        <v>77.250514999999993</v>
      </c>
      <c r="H2633" t="s">
        <v>773</v>
      </c>
      <c r="I2633">
        <v>5</v>
      </c>
      <c r="J2633">
        <v>7</v>
      </c>
      <c r="K2633">
        <v>6</v>
      </c>
    </row>
    <row r="2634" spans="1:11" x14ac:dyDescent="0.3">
      <c r="A2634" t="s">
        <v>11</v>
      </c>
      <c r="B2634" t="s">
        <v>18</v>
      </c>
      <c r="C2634" t="s">
        <v>18</v>
      </c>
      <c r="D2634" t="s">
        <v>673</v>
      </c>
      <c r="E2634" s="5">
        <v>45812.958333333343</v>
      </c>
      <c r="F2634">
        <v>28.591824500000001</v>
      </c>
      <c r="G2634">
        <v>77.227307400000001</v>
      </c>
      <c r="H2634" t="s">
        <v>772</v>
      </c>
    </row>
    <row r="2635" spans="1:11" x14ac:dyDescent="0.3">
      <c r="A2635" t="s">
        <v>11</v>
      </c>
      <c r="B2635" t="s">
        <v>18</v>
      </c>
      <c r="C2635" t="s">
        <v>18</v>
      </c>
      <c r="D2635" t="s">
        <v>674</v>
      </c>
      <c r="E2635" s="5">
        <v>45812.958333333343</v>
      </c>
      <c r="F2635">
        <v>28.611281000000002</v>
      </c>
      <c r="G2635">
        <v>77.237737999999993</v>
      </c>
      <c r="H2635" t="s">
        <v>770</v>
      </c>
      <c r="I2635">
        <v>3</v>
      </c>
      <c r="J2635">
        <v>276</v>
      </c>
      <c r="K2635">
        <v>119</v>
      </c>
    </row>
    <row r="2636" spans="1:11" x14ac:dyDescent="0.3">
      <c r="A2636" t="s">
        <v>11</v>
      </c>
      <c r="B2636" t="s">
        <v>18</v>
      </c>
      <c r="C2636" t="s">
        <v>18</v>
      </c>
      <c r="D2636" t="s">
        <v>675</v>
      </c>
      <c r="E2636" s="5">
        <v>45812.958333333343</v>
      </c>
      <c r="F2636">
        <v>28.636429</v>
      </c>
      <c r="G2636">
        <v>77.201066999999995</v>
      </c>
      <c r="H2636" t="s">
        <v>773</v>
      </c>
      <c r="I2636">
        <v>8</v>
      </c>
      <c r="J2636">
        <v>13</v>
      </c>
      <c r="K2636">
        <v>10</v>
      </c>
    </row>
    <row r="2637" spans="1:11" x14ac:dyDescent="0.3">
      <c r="A2637" t="s">
        <v>11</v>
      </c>
      <c r="B2637" t="s">
        <v>18</v>
      </c>
      <c r="C2637" t="s">
        <v>18</v>
      </c>
      <c r="D2637" t="s">
        <v>361</v>
      </c>
      <c r="E2637" s="5">
        <v>45812.958333333343</v>
      </c>
      <c r="F2637">
        <v>28.684678000000002</v>
      </c>
      <c r="G2637">
        <v>77.076573999999994</v>
      </c>
      <c r="H2637" t="s">
        <v>775</v>
      </c>
      <c r="I2637">
        <v>28</v>
      </c>
      <c r="J2637">
        <v>390</v>
      </c>
      <c r="K2637">
        <v>234</v>
      </c>
    </row>
    <row r="2638" spans="1:11" x14ac:dyDescent="0.3">
      <c r="A2638" t="s">
        <v>11</v>
      </c>
      <c r="B2638" t="s">
        <v>18</v>
      </c>
      <c r="C2638" t="s">
        <v>18</v>
      </c>
      <c r="D2638" t="s">
        <v>361</v>
      </c>
      <c r="E2638" s="5">
        <v>45812.958333333343</v>
      </c>
      <c r="F2638">
        <v>28.684678000000002</v>
      </c>
      <c r="G2638">
        <v>77.076573999999994</v>
      </c>
      <c r="H2638" t="s">
        <v>771</v>
      </c>
      <c r="I2638">
        <v>90</v>
      </c>
      <c r="J2638">
        <v>443</v>
      </c>
      <c r="K2638">
        <v>274</v>
      </c>
    </row>
    <row r="2639" spans="1:11" x14ac:dyDescent="0.3">
      <c r="A2639" t="s">
        <v>11</v>
      </c>
      <c r="B2639" t="s">
        <v>18</v>
      </c>
      <c r="C2639" t="s">
        <v>18</v>
      </c>
      <c r="D2639" t="s">
        <v>354</v>
      </c>
      <c r="E2639" s="5">
        <v>45812.958333333343</v>
      </c>
      <c r="F2639">
        <v>28.563262000000002</v>
      </c>
      <c r="G2639">
        <v>77.186937</v>
      </c>
      <c r="H2639" t="s">
        <v>771</v>
      </c>
      <c r="I2639">
        <v>88</v>
      </c>
      <c r="J2639">
        <v>444</v>
      </c>
      <c r="K2639">
        <v>208</v>
      </c>
    </row>
    <row r="2640" spans="1:11" x14ac:dyDescent="0.3">
      <c r="A2640" t="s">
        <v>11</v>
      </c>
      <c r="B2640" t="s">
        <v>18</v>
      </c>
      <c r="C2640" t="s">
        <v>18</v>
      </c>
      <c r="D2640" t="s">
        <v>355</v>
      </c>
      <c r="E2640" s="5">
        <v>45812.958333333343</v>
      </c>
      <c r="F2640">
        <v>28.732527999999999</v>
      </c>
      <c r="G2640">
        <v>77.119919999999993</v>
      </c>
      <c r="H2640" t="s">
        <v>775</v>
      </c>
      <c r="I2640">
        <v>33</v>
      </c>
      <c r="J2640">
        <v>430</v>
      </c>
      <c r="K2640">
        <v>260</v>
      </c>
    </row>
    <row r="2641" spans="1:11" x14ac:dyDescent="0.3">
      <c r="A2641" t="s">
        <v>11</v>
      </c>
      <c r="B2641" t="s">
        <v>18</v>
      </c>
      <c r="C2641" t="s">
        <v>18</v>
      </c>
      <c r="D2641" t="s">
        <v>357</v>
      </c>
      <c r="E2641" s="5">
        <v>45812.958333333343</v>
      </c>
      <c r="F2641">
        <v>28.550424899999999</v>
      </c>
      <c r="G2641">
        <v>77.215937699999998</v>
      </c>
      <c r="H2641" t="s">
        <v>775</v>
      </c>
      <c r="I2641">
        <v>70</v>
      </c>
      <c r="J2641">
        <v>344</v>
      </c>
      <c r="K2641">
        <v>217</v>
      </c>
    </row>
    <row r="2642" spans="1:11" x14ac:dyDescent="0.3">
      <c r="A2642" t="s">
        <v>11</v>
      </c>
      <c r="B2642" t="s">
        <v>18</v>
      </c>
      <c r="C2642" t="s">
        <v>18</v>
      </c>
      <c r="D2642" t="s">
        <v>369</v>
      </c>
      <c r="E2642" s="5">
        <v>45812.958333333343</v>
      </c>
      <c r="F2642">
        <v>28.672342</v>
      </c>
      <c r="G2642">
        <v>77.315259999999995</v>
      </c>
      <c r="H2642" t="s">
        <v>774</v>
      </c>
      <c r="I2642">
        <v>9</v>
      </c>
      <c r="J2642">
        <v>44</v>
      </c>
      <c r="K2642">
        <v>18</v>
      </c>
    </row>
    <row r="2643" spans="1:11" x14ac:dyDescent="0.3">
      <c r="A2643" t="s">
        <v>11</v>
      </c>
      <c r="B2643" t="s">
        <v>18</v>
      </c>
      <c r="C2643" t="s">
        <v>18</v>
      </c>
      <c r="D2643" t="s">
        <v>370</v>
      </c>
      <c r="E2643" s="5">
        <v>45812.958333333343</v>
      </c>
      <c r="F2643">
        <v>28.699793</v>
      </c>
      <c r="G2643">
        <v>77.165452999999999</v>
      </c>
      <c r="H2643" t="s">
        <v>772</v>
      </c>
      <c r="I2643">
        <v>50</v>
      </c>
      <c r="J2643">
        <v>266</v>
      </c>
      <c r="K2643">
        <v>133</v>
      </c>
    </row>
    <row r="2644" spans="1:11" x14ac:dyDescent="0.3">
      <c r="A2644" t="s">
        <v>11</v>
      </c>
      <c r="B2644" t="s">
        <v>18</v>
      </c>
      <c r="C2644" t="s">
        <v>18</v>
      </c>
      <c r="D2644" t="s">
        <v>677</v>
      </c>
      <c r="E2644" s="5">
        <v>45812.958333333343</v>
      </c>
      <c r="F2644">
        <v>28.580279999999998</v>
      </c>
      <c r="G2644">
        <v>77.233829</v>
      </c>
      <c r="H2644" t="s">
        <v>771</v>
      </c>
      <c r="I2644">
        <v>78</v>
      </c>
      <c r="J2644">
        <v>395</v>
      </c>
      <c r="K2644">
        <v>164</v>
      </c>
    </row>
    <row r="2645" spans="1:11" x14ac:dyDescent="0.3">
      <c r="A2645" t="s">
        <v>11</v>
      </c>
      <c r="B2645" t="s">
        <v>18</v>
      </c>
      <c r="C2645" t="s">
        <v>18</v>
      </c>
      <c r="D2645" t="s">
        <v>677</v>
      </c>
      <c r="E2645" s="5">
        <v>45812.958333333343</v>
      </c>
      <c r="F2645">
        <v>28.580279999999998</v>
      </c>
      <c r="G2645">
        <v>77.233829</v>
      </c>
      <c r="H2645" t="s">
        <v>773</v>
      </c>
      <c r="I2645">
        <v>15</v>
      </c>
      <c r="J2645">
        <v>29</v>
      </c>
      <c r="K2645">
        <v>19</v>
      </c>
    </row>
    <row r="2646" spans="1:11" x14ac:dyDescent="0.3">
      <c r="A2646" t="s">
        <v>11</v>
      </c>
      <c r="B2646" t="s">
        <v>19</v>
      </c>
      <c r="C2646" t="s">
        <v>82</v>
      </c>
      <c r="D2646" t="s">
        <v>373</v>
      </c>
      <c r="E2646" s="5">
        <v>45812.958333333343</v>
      </c>
      <c r="F2646">
        <v>23.002656999999999</v>
      </c>
      <c r="G2646">
        <v>72.591911999999994</v>
      </c>
      <c r="H2646" t="s">
        <v>774</v>
      </c>
      <c r="I2646">
        <v>26</v>
      </c>
      <c r="J2646">
        <v>53</v>
      </c>
      <c r="K2646">
        <v>37</v>
      </c>
    </row>
    <row r="2647" spans="1:11" x14ac:dyDescent="0.3">
      <c r="A2647" t="s">
        <v>11</v>
      </c>
      <c r="B2647" t="s">
        <v>18</v>
      </c>
      <c r="C2647" t="s">
        <v>18</v>
      </c>
      <c r="D2647" t="s">
        <v>371</v>
      </c>
      <c r="E2647" s="5">
        <v>45812.958333333343</v>
      </c>
      <c r="F2647">
        <v>28.710508000000001</v>
      </c>
      <c r="G2647">
        <v>77.249485000000007</v>
      </c>
      <c r="H2647" t="s">
        <v>770</v>
      </c>
      <c r="I2647">
        <v>2</v>
      </c>
      <c r="J2647">
        <v>202</v>
      </c>
      <c r="K2647">
        <v>105</v>
      </c>
    </row>
    <row r="2648" spans="1:11" x14ac:dyDescent="0.3">
      <c r="A2648" t="s">
        <v>11</v>
      </c>
      <c r="B2648" t="s">
        <v>22</v>
      </c>
      <c r="C2648" t="s">
        <v>86</v>
      </c>
      <c r="D2648" t="s">
        <v>402</v>
      </c>
      <c r="E2648" s="5">
        <v>45812.958333333343</v>
      </c>
      <c r="F2648">
        <v>12.917348</v>
      </c>
      <c r="G2648">
        <v>77.622812999999994</v>
      </c>
      <c r="H2648" t="s">
        <v>773</v>
      </c>
      <c r="I2648">
        <v>3</v>
      </c>
      <c r="J2648">
        <v>4</v>
      </c>
      <c r="K2648">
        <v>4</v>
      </c>
    </row>
    <row r="2649" spans="1:11" x14ac:dyDescent="0.3">
      <c r="A2649" t="s">
        <v>11</v>
      </c>
      <c r="B2649" t="s">
        <v>22</v>
      </c>
      <c r="C2649" t="s">
        <v>86</v>
      </c>
      <c r="D2649" t="s">
        <v>402</v>
      </c>
      <c r="E2649" s="5">
        <v>45812.958333333343</v>
      </c>
      <c r="F2649">
        <v>12.917348</v>
      </c>
      <c r="G2649">
        <v>77.622812999999994</v>
      </c>
      <c r="H2649" t="s">
        <v>770</v>
      </c>
      <c r="I2649">
        <v>4</v>
      </c>
      <c r="J2649">
        <v>85</v>
      </c>
      <c r="K2649">
        <v>37</v>
      </c>
    </row>
    <row r="2650" spans="1:11" x14ac:dyDescent="0.3">
      <c r="A2650" t="s">
        <v>11</v>
      </c>
      <c r="B2650" t="s">
        <v>22</v>
      </c>
      <c r="C2650" t="s">
        <v>102</v>
      </c>
      <c r="D2650" t="s">
        <v>403</v>
      </c>
      <c r="E2650" s="5">
        <v>45812.958333333343</v>
      </c>
      <c r="F2650">
        <v>11.55358</v>
      </c>
      <c r="G2650">
        <v>76.555210000000002</v>
      </c>
      <c r="H2650" t="s">
        <v>774</v>
      </c>
      <c r="I2650">
        <v>2</v>
      </c>
      <c r="J2650">
        <v>7</v>
      </c>
      <c r="K2650">
        <v>4</v>
      </c>
    </row>
    <row r="2651" spans="1:11" x14ac:dyDescent="0.3">
      <c r="A2651" t="s">
        <v>11</v>
      </c>
      <c r="B2651" t="s">
        <v>22</v>
      </c>
      <c r="C2651" t="s">
        <v>96</v>
      </c>
      <c r="D2651" t="s">
        <v>395</v>
      </c>
      <c r="E2651" s="5">
        <v>45812.958333333343</v>
      </c>
      <c r="F2651">
        <v>13.428827999999999</v>
      </c>
      <c r="G2651">
        <v>77.731418000000005</v>
      </c>
      <c r="H2651" t="s">
        <v>775</v>
      </c>
      <c r="I2651">
        <v>21</v>
      </c>
      <c r="J2651">
        <v>62</v>
      </c>
      <c r="K2651">
        <v>39</v>
      </c>
    </row>
    <row r="2652" spans="1:11" x14ac:dyDescent="0.3">
      <c r="A2652" t="s">
        <v>11</v>
      </c>
      <c r="B2652" t="s">
        <v>22</v>
      </c>
      <c r="C2652" t="s">
        <v>96</v>
      </c>
      <c r="D2652" t="s">
        <v>395</v>
      </c>
      <c r="E2652" s="5">
        <v>45812.958333333343</v>
      </c>
      <c r="F2652">
        <v>13.428827999999999</v>
      </c>
      <c r="G2652">
        <v>77.731418000000005</v>
      </c>
      <c r="H2652" t="s">
        <v>772</v>
      </c>
      <c r="I2652">
        <v>15</v>
      </c>
      <c r="J2652">
        <v>41</v>
      </c>
      <c r="K2652">
        <v>26</v>
      </c>
    </row>
    <row r="2653" spans="1:11" x14ac:dyDescent="0.3">
      <c r="A2653" t="s">
        <v>11</v>
      </c>
      <c r="B2653" t="s">
        <v>22</v>
      </c>
      <c r="C2653" t="s">
        <v>97</v>
      </c>
      <c r="D2653" t="s">
        <v>396</v>
      </c>
      <c r="E2653" s="5">
        <v>45812.958333333343</v>
      </c>
      <c r="F2653">
        <v>13.328028</v>
      </c>
      <c r="G2653">
        <v>75.797055999999998</v>
      </c>
      <c r="H2653" t="s">
        <v>773</v>
      </c>
    </row>
    <row r="2654" spans="1:11" x14ac:dyDescent="0.3">
      <c r="A2654" t="s">
        <v>11</v>
      </c>
      <c r="B2654" t="s">
        <v>22</v>
      </c>
      <c r="C2654" t="s">
        <v>97</v>
      </c>
      <c r="D2654" t="s">
        <v>396</v>
      </c>
      <c r="E2654" s="5">
        <v>45812.958333333343</v>
      </c>
      <c r="F2654">
        <v>13.328028</v>
      </c>
      <c r="G2654">
        <v>75.797055999999998</v>
      </c>
      <c r="H2654" t="s">
        <v>774</v>
      </c>
    </row>
    <row r="2655" spans="1:11" x14ac:dyDescent="0.3">
      <c r="A2655" t="s">
        <v>11</v>
      </c>
      <c r="B2655" t="s">
        <v>22</v>
      </c>
      <c r="C2655" t="s">
        <v>97</v>
      </c>
      <c r="D2655" t="s">
        <v>396</v>
      </c>
      <c r="E2655" s="5">
        <v>45812.958333333343</v>
      </c>
      <c r="F2655">
        <v>13.328028</v>
      </c>
      <c r="G2655">
        <v>75.797055999999998</v>
      </c>
      <c r="H2655" t="s">
        <v>776</v>
      </c>
      <c r="I2655">
        <v>11</v>
      </c>
      <c r="J2655">
        <v>20</v>
      </c>
      <c r="K2655">
        <v>14</v>
      </c>
    </row>
    <row r="2656" spans="1:11" x14ac:dyDescent="0.3">
      <c r="A2656" t="s">
        <v>11</v>
      </c>
      <c r="B2656" t="s">
        <v>22</v>
      </c>
      <c r="C2656" t="s">
        <v>255</v>
      </c>
      <c r="D2656" t="s">
        <v>680</v>
      </c>
      <c r="E2656" s="5">
        <v>45812.958333333343</v>
      </c>
      <c r="F2656">
        <v>15.888653</v>
      </c>
      <c r="G2656">
        <v>74.541751000000005</v>
      </c>
      <c r="H2656" t="s">
        <v>773</v>
      </c>
      <c r="I2656">
        <v>2</v>
      </c>
      <c r="J2656">
        <v>3</v>
      </c>
      <c r="K2656">
        <v>2</v>
      </c>
    </row>
    <row r="2657" spans="1:11" x14ac:dyDescent="0.3">
      <c r="A2657" t="s">
        <v>11</v>
      </c>
      <c r="B2657" t="s">
        <v>22</v>
      </c>
      <c r="C2657" t="s">
        <v>255</v>
      </c>
      <c r="D2657" t="s">
        <v>680</v>
      </c>
      <c r="E2657" s="5">
        <v>45812.958333333343</v>
      </c>
      <c r="F2657">
        <v>15.888653</v>
      </c>
      <c r="G2657">
        <v>74.541751000000005</v>
      </c>
      <c r="H2657" t="s">
        <v>774</v>
      </c>
      <c r="I2657">
        <v>14</v>
      </c>
      <c r="J2657">
        <v>15</v>
      </c>
      <c r="K2657">
        <v>15</v>
      </c>
    </row>
    <row r="2658" spans="1:11" x14ac:dyDescent="0.3">
      <c r="A2658" t="s">
        <v>11</v>
      </c>
      <c r="B2658" t="s">
        <v>22</v>
      </c>
      <c r="C2658" t="s">
        <v>86</v>
      </c>
      <c r="D2658" t="s">
        <v>380</v>
      </c>
      <c r="E2658" s="5">
        <v>45812.958333333343</v>
      </c>
      <c r="F2658">
        <v>12.9135218</v>
      </c>
      <c r="G2658">
        <v>77.595080400000001</v>
      </c>
      <c r="H2658" t="s">
        <v>771</v>
      </c>
      <c r="I2658">
        <v>32</v>
      </c>
      <c r="J2658">
        <v>210</v>
      </c>
      <c r="K2658">
        <v>81</v>
      </c>
    </row>
    <row r="2659" spans="1:11" x14ac:dyDescent="0.3">
      <c r="A2659" t="s">
        <v>11</v>
      </c>
      <c r="B2659" t="s">
        <v>22</v>
      </c>
      <c r="C2659" t="s">
        <v>86</v>
      </c>
      <c r="D2659" t="s">
        <v>381</v>
      </c>
      <c r="E2659" s="5">
        <v>45812.958333333343</v>
      </c>
      <c r="F2659">
        <v>12.951912999999999</v>
      </c>
      <c r="G2659">
        <v>77.539783999999997</v>
      </c>
      <c r="H2659" t="s">
        <v>773</v>
      </c>
      <c r="I2659">
        <v>1</v>
      </c>
      <c r="J2659">
        <v>2</v>
      </c>
      <c r="K2659">
        <v>1</v>
      </c>
    </row>
    <row r="2660" spans="1:11" x14ac:dyDescent="0.3">
      <c r="A2660" t="s">
        <v>11</v>
      </c>
      <c r="B2660" t="s">
        <v>22</v>
      </c>
      <c r="C2660" t="s">
        <v>86</v>
      </c>
      <c r="D2660" t="s">
        <v>382</v>
      </c>
      <c r="E2660" s="5">
        <v>45812.958333333343</v>
      </c>
      <c r="F2660">
        <v>12.975684299999999</v>
      </c>
      <c r="G2660">
        <v>77.566074900000004</v>
      </c>
      <c r="H2660" t="s">
        <v>774</v>
      </c>
      <c r="I2660">
        <v>8</v>
      </c>
      <c r="J2660">
        <v>16</v>
      </c>
      <c r="K2660">
        <v>12</v>
      </c>
    </row>
    <row r="2661" spans="1:11" x14ac:dyDescent="0.3">
      <c r="A2661" t="s">
        <v>11</v>
      </c>
      <c r="B2661" t="s">
        <v>22</v>
      </c>
      <c r="C2661" t="s">
        <v>86</v>
      </c>
      <c r="D2661" t="s">
        <v>681</v>
      </c>
      <c r="E2661" s="5">
        <v>45812.958333333343</v>
      </c>
      <c r="F2661">
        <v>13.029152</v>
      </c>
      <c r="G2661">
        <v>77.585901000000007</v>
      </c>
      <c r="H2661" t="s">
        <v>771</v>
      </c>
      <c r="I2661">
        <v>28</v>
      </c>
      <c r="J2661">
        <v>104</v>
      </c>
      <c r="K2661">
        <v>53</v>
      </c>
    </row>
    <row r="2662" spans="1:11" x14ac:dyDescent="0.3">
      <c r="A2662" t="s">
        <v>11</v>
      </c>
      <c r="B2662" t="s">
        <v>19</v>
      </c>
      <c r="C2662" t="s">
        <v>253</v>
      </c>
      <c r="D2662" t="s">
        <v>678</v>
      </c>
      <c r="E2662" s="5">
        <v>45812.958333333343</v>
      </c>
      <c r="F2662">
        <v>20.362421000000001</v>
      </c>
      <c r="G2662">
        <v>72.918013000000002</v>
      </c>
      <c r="H2662" t="s">
        <v>773</v>
      </c>
      <c r="I2662">
        <v>10</v>
      </c>
      <c r="J2662">
        <v>10</v>
      </c>
      <c r="K2662">
        <v>10</v>
      </c>
    </row>
    <row r="2663" spans="1:11" x14ac:dyDescent="0.3">
      <c r="A2663" t="s">
        <v>11</v>
      </c>
      <c r="B2663" t="s">
        <v>19</v>
      </c>
      <c r="C2663" t="s">
        <v>253</v>
      </c>
      <c r="D2663" t="s">
        <v>678</v>
      </c>
      <c r="E2663" s="5">
        <v>45812.958333333343</v>
      </c>
      <c r="F2663">
        <v>20.362421000000001</v>
      </c>
      <c r="G2663">
        <v>72.918013000000002</v>
      </c>
      <c r="H2663" t="s">
        <v>770</v>
      </c>
      <c r="I2663">
        <v>2</v>
      </c>
      <c r="J2663">
        <v>2</v>
      </c>
      <c r="K2663">
        <v>2</v>
      </c>
    </row>
    <row r="2664" spans="1:11" x14ac:dyDescent="0.3">
      <c r="A2664" t="s">
        <v>11</v>
      </c>
      <c r="B2664" t="s">
        <v>19</v>
      </c>
      <c r="C2664" t="s">
        <v>254</v>
      </c>
      <c r="D2664" t="s">
        <v>679</v>
      </c>
      <c r="E2664" s="5">
        <v>45812.958333333343</v>
      </c>
      <c r="F2664">
        <v>22.969611</v>
      </c>
      <c r="G2664">
        <v>72.643500000000003</v>
      </c>
      <c r="H2664" t="s">
        <v>772</v>
      </c>
      <c r="I2664">
        <v>33</v>
      </c>
      <c r="J2664">
        <v>59</v>
      </c>
      <c r="K2664">
        <v>43</v>
      </c>
    </row>
    <row r="2665" spans="1:11" x14ac:dyDescent="0.3">
      <c r="A2665" t="s">
        <v>11</v>
      </c>
      <c r="B2665" t="s">
        <v>19</v>
      </c>
      <c r="C2665" t="s">
        <v>254</v>
      </c>
      <c r="D2665" t="s">
        <v>679</v>
      </c>
      <c r="E2665" s="5">
        <v>45812.958333333343</v>
      </c>
      <c r="F2665">
        <v>22.969611</v>
      </c>
      <c r="G2665">
        <v>72.643500000000003</v>
      </c>
      <c r="H2665" t="s">
        <v>773</v>
      </c>
      <c r="I2665">
        <v>1</v>
      </c>
      <c r="J2665">
        <v>9</v>
      </c>
      <c r="K2665">
        <v>4</v>
      </c>
    </row>
    <row r="2666" spans="1:11" x14ac:dyDescent="0.3">
      <c r="A2666" t="s">
        <v>11</v>
      </c>
      <c r="B2666" t="s">
        <v>23</v>
      </c>
      <c r="C2666" t="s">
        <v>88</v>
      </c>
      <c r="D2666" t="s">
        <v>384</v>
      </c>
      <c r="E2666" s="5">
        <v>45812.958333333343</v>
      </c>
      <c r="F2666">
        <v>28.315300000000001</v>
      </c>
      <c r="G2666">
        <v>76.914299999999997</v>
      </c>
      <c r="H2666" t="s">
        <v>774</v>
      </c>
      <c r="I2666">
        <v>8</v>
      </c>
      <c r="J2666">
        <v>44</v>
      </c>
      <c r="K2666">
        <v>23</v>
      </c>
    </row>
    <row r="2667" spans="1:11" x14ac:dyDescent="0.3">
      <c r="A2667" t="s">
        <v>11</v>
      </c>
      <c r="B2667" t="s">
        <v>23</v>
      </c>
      <c r="C2667" t="s">
        <v>88</v>
      </c>
      <c r="D2667" t="s">
        <v>384</v>
      </c>
      <c r="E2667" s="5">
        <v>45812.958333333343</v>
      </c>
      <c r="F2667">
        <v>28.315300000000001</v>
      </c>
      <c r="G2667">
        <v>76.914299999999997</v>
      </c>
      <c r="H2667" t="s">
        <v>776</v>
      </c>
      <c r="I2667">
        <v>1</v>
      </c>
      <c r="J2667">
        <v>73</v>
      </c>
      <c r="K2667">
        <v>5</v>
      </c>
    </row>
    <row r="2668" spans="1:11" x14ac:dyDescent="0.3">
      <c r="A2668" t="s">
        <v>11</v>
      </c>
      <c r="B2668" t="s">
        <v>19</v>
      </c>
      <c r="C2668" t="s">
        <v>90</v>
      </c>
      <c r="D2668" t="s">
        <v>767</v>
      </c>
      <c r="E2668" s="5">
        <v>45812.958333333343</v>
      </c>
      <c r="F2668">
        <v>23.163798</v>
      </c>
      <c r="G2668">
        <v>72.677768</v>
      </c>
      <c r="H2668" t="s">
        <v>770</v>
      </c>
      <c r="I2668">
        <v>2</v>
      </c>
      <c r="J2668">
        <v>54</v>
      </c>
      <c r="K2668">
        <v>30</v>
      </c>
    </row>
    <row r="2669" spans="1:11" x14ac:dyDescent="0.3">
      <c r="A2669" t="s">
        <v>11</v>
      </c>
      <c r="B2669" t="s">
        <v>19</v>
      </c>
      <c r="C2669" t="s">
        <v>90</v>
      </c>
      <c r="D2669" t="s">
        <v>683</v>
      </c>
      <c r="E2669" s="5">
        <v>45812.958333333343</v>
      </c>
      <c r="F2669">
        <v>23.243639000000002</v>
      </c>
      <c r="G2669">
        <v>72.689940000000007</v>
      </c>
      <c r="H2669" t="s">
        <v>773</v>
      </c>
      <c r="I2669">
        <v>2</v>
      </c>
      <c r="J2669">
        <v>19</v>
      </c>
      <c r="K2669">
        <v>6</v>
      </c>
    </row>
    <row r="2670" spans="1:11" x14ac:dyDescent="0.3">
      <c r="A2670" t="s">
        <v>11</v>
      </c>
      <c r="B2670" t="s">
        <v>19</v>
      </c>
      <c r="C2670" t="s">
        <v>90</v>
      </c>
      <c r="D2670" t="s">
        <v>683</v>
      </c>
      <c r="E2670" s="5">
        <v>45812.958333333343</v>
      </c>
      <c r="F2670">
        <v>23.243639000000002</v>
      </c>
      <c r="G2670">
        <v>72.689940000000007</v>
      </c>
      <c r="H2670" t="s">
        <v>774</v>
      </c>
      <c r="I2670">
        <v>5</v>
      </c>
      <c r="J2670">
        <v>29</v>
      </c>
      <c r="K2670">
        <v>11</v>
      </c>
    </row>
    <row r="2671" spans="1:11" x14ac:dyDescent="0.3">
      <c r="A2671" t="s">
        <v>11</v>
      </c>
      <c r="B2671" t="s">
        <v>19</v>
      </c>
      <c r="C2671" t="s">
        <v>90</v>
      </c>
      <c r="D2671" t="s">
        <v>387</v>
      </c>
      <c r="E2671" s="5">
        <v>45812.958333333343</v>
      </c>
      <c r="F2671">
        <v>23.221713999999999</v>
      </c>
      <c r="G2671">
        <v>72.654328000000007</v>
      </c>
      <c r="H2671" t="s">
        <v>771</v>
      </c>
      <c r="I2671">
        <v>28</v>
      </c>
      <c r="J2671">
        <v>134</v>
      </c>
      <c r="K2671">
        <v>66</v>
      </c>
    </row>
    <row r="2672" spans="1:11" x14ac:dyDescent="0.3">
      <c r="A2672" t="s">
        <v>11</v>
      </c>
      <c r="B2672" t="s">
        <v>19</v>
      </c>
      <c r="C2672" t="s">
        <v>91</v>
      </c>
      <c r="D2672" t="s">
        <v>388</v>
      </c>
      <c r="E2672" s="5">
        <v>45812.958333333343</v>
      </c>
      <c r="F2672">
        <v>21.170045999999999</v>
      </c>
      <c r="G2672">
        <v>72.795405000000002</v>
      </c>
      <c r="H2672" t="s">
        <v>771</v>
      </c>
    </row>
    <row r="2673" spans="1:11" x14ac:dyDescent="0.3">
      <c r="A2673" t="s">
        <v>11</v>
      </c>
      <c r="B2673" t="s">
        <v>19</v>
      </c>
      <c r="C2673" t="s">
        <v>82</v>
      </c>
      <c r="D2673" t="s">
        <v>385</v>
      </c>
      <c r="E2673" s="5">
        <v>45812.958333333343</v>
      </c>
      <c r="F2673">
        <v>23.04307</v>
      </c>
      <c r="G2673">
        <v>72.562967999999998</v>
      </c>
      <c r="H2673" t="s">
        <v>773</v>
      </c>
      <c r="I2673">
        <v>3</v>
      </c>
      <c r="J2673">
        <v>31</v>
      </c>
      <c r="K2673">
        <v>9</v>
      </c>
    </row>
    <row r="2674" spans="1:11" x14ac:dyDescent="0.3">
      <c r="A2674" t="s">
        <v>11</v>
      </c>
      <c r="B2674" t="s">
        <v>19</v>
      </c>
      <c r="C2674" t="s">
        <v>82</v>
      </c>
      <c r="D2674" t="s">
        <v>385</v>
      </c>
      <c r="E2674" s="5">
        <v>45812.958333333343</v>
      </c>
      <c r="F2674">
        <v>23.04307</v>
      </c>
      <c r="G2674">
        <v>72.562967999999998</v>
      </c>
      <c r="H2674" t="s">
        <v>776</v>
      </c>
      <c r="I2674">
        <v>9</v>
      </c>
      <c r="J2674">
        <v>146</v>
      </c>
      <c r="K2674">
        <v>53</v>
      </c>
    </row>
    <row r="2675" spans="1:11" x14ac:dyDescent="0.3">
      <c r="A2675" t="s">
        <v>11</v>
      </c>
      <c r="B2675" t="s">
        <v>19</v>
      </c>
      <c r="C2675" t="s">
        <v>89</v>
      </c>
      <c r="D2675" t="s">
        <v>386</v>
      </c>
      <c r="E2675" s="5">
        <v>45812.958333333343</v>
      </c>
      <c r="F2675">
        <v>21.613267</v>
      </c>
      <c r="G2675">
        <v>73.010554999999997</v>
      </c>
      <c r="H2675" t="s">
        <v>770</v>
      </c>
      <c r="I2675">
        <v>31</v>
      </c>
      <c r="J2675">
        <v>40</v>
      </c>
      <c r="K2675">
        <v>33</v>
      </c>
    </row>
    <row r="2676" spans="1:11" x14ac:dyDescent="0.3">
      <c r="A2676" t="s">
        <v>11</v>
      </c>
      <c r="B2676" t="s">
        <v>19</v>
      </c>
      <c r="C2676" t="s">
        <v>90</v>
      </c>
      <c r="D2676" t="s">
        <v>767</v>
      </c>
      <c r="E2676" s="5">
        <v>45812.958333333343</v>
      </c>
      <c r="F2676">
        <v>23.163798</v>
      </c>
      <c r="G2676">
        <v>72.677768</v>
      </c>
      <c r="H2676" t="s">
        <v>775</v>
      </c>
      <c r="I2676">
        <v>50</v>
      </c>
      <c r="J2676">
        <v>379</v>
      </c>
      <c r="K2676">
        <v>116</v>
      </c>
    </row>
    <row r="2677" spans="1:11" x14ac:dyDescent="0.3">
      <c r="A2677" t="s">
        <v>11</v>
      </c>
      <c r="B2677" t="s">
        <v>19</v>
      </c>
      <c r="C2677" t="s">
        <v>90</v>
      </c>
      <c r="D2677" t="s">
        <v>767</v>
      </c>
      <c r="E2677" s="5">
        <v>45812.958333333343</v>
      </c>
      <c r="F2677">
        <v>23.163798</v>
      </c>
      <c r="G2677">
        <v>72.677768</v>
      </c>
      <c r="H2677" t="s">
        <v>771</v>
      </c>
      <c r="I2677">
        <v>54</v>
      </c>
      <c r="J2677">
        <v>304</v>
      </c>
      <c r="K2677">
        <v>94</v>
      </c>
    </row>
    <row r="2678" spans="1:11" x14ac:dyDescent="0.3">
      <c r="A2678" t="s">
        <v>11</v>
      </c>
      <c r="B2678" t="s">
        <v>22</v>
      </c>
      <c r="C2678" t="s">
        <v>86</v>
      </c>
      <c r="D2678" t="s">
        <v>688</v>
      </c>
      <c r="E2678" s="5">
        <v>45812.958333333343</v>
      </c>
      <c r="F2678">
        <v>13.003871999999999</v>
      </c>
      <c r="G2678">
        <v>77.664216999999994</v>
      </c>
      <c r="H2678" t="s">
        <v>774</v>
      </c>
      <c r="I2678">
        <v>8</v>
      </c>
      <c r="J2678">
        <v>9</v>
      </c>
      <c r="K2678">
        <v>9</v>
      </c>
    </row>
    <row r="2679" spans="1:11" x14ac:dyDescent="0.3">
      <c r="A2679" t="s">
        <v>11</v>
      </c>
      <c r="B2679" t="s">
        <v>22</v>
      </c>
      <c r="C2679" t="s">
        <v>86</v>
      </c>
      <c r="D2679" t="s">
        <v>404</v>
      </c>
      <c r="E2679" s="5">
        <v>45812.958333333343</v>
      </c>
      <c r="F2679">
        <v>13.027019900000001</v>
      </c>
      <c r="G2679">
        <v>77.494094000000004</v>
      </c>
      <c r="H2679" t="s">
        <v>774</v>
      </c>
      <c r="I2679">
        <v>4</v>
      </c>
      <c r="J2679">
        <v>16</v>
      </c>
      <c r="K2679">
        <v>8</v>
      </c>
    </row>
    <row r="2680" spans="1:11" x14ac:dyDescent="0.3">
      <c r="A2680" t="s">
        <v>11</v>
      </c>
      <c r="B2680" t="s">
        <v>22</v>
      </c>
      <c r="C2680" t="s">
        <v>86</v>
      </c>
      <c r="D2680" t="s">
        <v>404</v>
      </c>
      <c r="E2680" s="5">
        <v>45812.958333333343</v>
      </c>
      <c r="F2680">
        <v>13.027019900000001</v>
      </c>
      <c r="G2680">
        <v>77.494094000000004</v>
      </c>
      <c r="H2680" t="s">
        <v>770</v>
      </c>
      <c r="I2680">
        <v>40</v>
      </c>
      <c r="J2680">
        <v>40</v>
      </c>
      <c r="K2680">
        <v>40</v>
      </c>
    </row>
    <row r="2681" spans="1:11" x14ac:dyDescent="0.3">
      <c r="A2681" t="s">
        <v>11</v>
      </c>
      <c r="B2681" t="s">
        <v>22</v>
      </c>
      <c r="C2681" t="s">
        <v>86</v>
      </c>
      <c r="D2681" t="s">
        <v>405</v>
      </c>
      <c r="E2681" s="5">
        <v>45812.958333333343</v>
      </c>
      <c r="F2681">
        <v>12.921417999999999</v>
      </c>
      <c r="G2681">
        <v>77.502465999999998</v>
      </c>
      <c r="H2681" t="s">
        <v>775</v>
      </c>
      <c r="I2681">
        <v>56</v>
      </c>
      <c r="J2681">
        <v>57</v>
      </c>
      <c r="K2681">
        <v>56</v>
      </c>
    </row>
    <row r="2682" spans="1:11" x14ac:dyDescent="0.3">
      <c r="A2682" t="s">
        <v>11</v>
      </c>
      <c r="B2682" t="s">
        <v>22</v>
      </c>
      <c r="C2682" t="s">
        <v>86</v>
      </c>
      <c r="D2682" t="s">
        <v>760</v>
      </c>
      <c r="E2682" s="5">
        <v>45812.958333333343</v>
      </c>
      <c r="F2682">
        <v>12.990328</v>
      </c>
      <c r="G2682">
        <v>77.543138499999998</v>
      </c>
      <c r="H2682" t="s">
        <v>774</v>
      </c>
      <c r="I2682">
        <v>6</v>
      </c>
      <c r="J2682">
        <v>9</v>
      </c>
      <c r="K2682">
        <v>7</v>
      </c>
    </row>
    <row r="2683" spans="1:11" x14ac:dyDescent="0.3">
      <c r="A2683" t="s">
        <v>11</v>
      </c>
      <c r="B2683" t="s">
        <v>19</v>
      </c>
      <c r="C2683" t="s">
        <v>82</v>
      </c>
      <c r="D2683" t="s">
        <v>373</v>
      </c>
      <c r="E2683" s="5">
        <v>45812.958333333343</v>
      </c>
      <c r="F2683">
        <v>23.002656999999999</v>
      </c>
      <c r="G2683">
        <v>72.591911999999994</v>
      </c>
      <c r="H2683" t="s">
        <v>770</v>
      </c>
      <c r="I2683">
        <v>3</v>
      </c>
      <c r="J2683">
        <v>45</v>
      </c>
      <c r="K2683">
        <v>19</v>
      </c>
    </row>
    <row r="2684" spans="1:11" x14ac:dyDescent="0.3">
      <c r="A2684" t="s">
        <v>11</v>
      </c>
      <c r="B2684" t="s">
        <v>19</v>
      </c>
      <c r="C2684" t="s">
        <v>82</v>
      </c>
      <c r="D2684" t="s">
        <v>685</v>
      </c>
      <c r="E2684" s="5">
        <v>45812.958333333343</v>
      </c>
      <c r="F2684">
        <v>23.016833999999999</v>
      </c>
      <c r="G2684">
        <v>72.625775000000004</v>
      </c>
      <c r="H2684" t="s">
        <v>774</v>
      </c>
      <c r="I2684">
        <v>3</v>
      </c>
      <c r="J2684">
        <v>112</v>
      </c>
      <c r="K2684">
        <v>54</v>
      </c>
    </row>
    <row r="2685" spans="1:11" x14ac:dyDescent="0.3">
      <c r="A2685" t="s">
        <v>11</v>
      </c>
      <c r="B2685" t="s">
        <v>19</v>
      </c>
      <c r="C2685" t="s">
        <v>82</v>
      </c>
      <c r="D2685" t="s">
        <v>685</v>
      </c>
      <c r="E2685" s="5">
        <v>45812.958333333343</v>
      </c>
      <c r="F2685">
        <v>23.016833999999999</v>
      </c>
      <c r="G2685">
        <v>72.625775000000004</v>
      </c>
      <c r="H2685" t="s">
        <v>770</v>
      </c>
      <c r="I2685">
        <v>2</v>
      </c>
      <c r="J2685">
        <v>92</v>
      </c>
      <c r="K2685">
        <v>40</v>
      </c>
    </row>
    <row r="2686" spans="1:11" x14ac:dyDescent="0.3">
      <c r="A2686" t="s">
        <v>11</v>
      </c>
      <c r="B2686" t="s">
        <v>19</v>
      </c>
      <c r="C2686" t="s">
        <v>82</v>
      </c>
      <c r="D2686" t="s">
        <v>378</v>
      </c>
      <c r="E2686" s="5">
        <v>45812.958333333343</v>
      </c>
      <c r="F2686">
        <v>23.041136999999999</v>
      </c>
      <c r="G2686">
        <v>72.456691000000006</v>
      </c>
      <c r="H2686" t="s">
        <v>775</v>
      </c>
      <c r="I2686">
        <v>39</v>
      </c>
      <c r="J2686">
        <v>250</v>
      </c>
      <c r="K2686">
        <v>95</v>
      </c>
    </row>
    <row r="2687" spans="1:11" x14ac:dyDescent="0.3">
      <c r="A2687" t="s">
        <v>11</v>
      </c>
      <c r="B2687" t="s">
        <v>22</v>
      </c>
      <c r="C2687" t="s">
        <v>86</v>
      </c>
      <c r="D2687" t="s">
        <v>690</v>
      </c>
      <c r="E2687" s="5">
        <v>45812.958333333343</v>
      </c>
      <c r="F2687">
        <v>12.920984000000001</v>
      </c>
      <c r="G2687">
        <v>77.584907999999999</v>
      </c>
      <c r="H2687" t="s">
        <v>775</v>
      </c>
      <c r="I2687">
        <v>16</v>
      </c>
      <c r="J2687">
        <v>55</v>
      </c>
      <c r="K2687">
        <v>36</v>
      </c>
    </row>
    <row r="2688" spans="1:11" x14ac:dyDescent="0.3">
      <c r="A2688" t="s">
        <v>11</v>
      </c>
      <c r="B2688" t="s">
        <v>22</v>
      </c>
      <c r="C2688" t="s">
        <v>86</v>
      </c>
      <c r="D2688" t="s">
        <v>690</v>
      </c>
      <c r="E2688" s="5">
        <v>45812.958333333343</v>
      </c>
      <c r="F2688">
        <v>12.920984000000001</v>
      </c>
      <c r="G2688">
        <v>77.584907999999999</v>
      </c>
      <c r="H2688" t="s">
        <v>771</v>
      </c>
      <c r="I2688">
        <v>23</v>
      </c>
      <c r="J2688">
        <v>90</v>
      </c>
      <c r="K2688">
        <v>53</v>
      </c>
    </row>
    <row r="2689" spans="1:11" x14ac:dyDescent="0.3">
      <c r="A2689" t="s">
        <v>11</v>
      </c>
      <c r="B2689" t="s">
        <v>22</v>
      </c>
      <c r="C2689" t="s">
        <v>85</v>
      </c>
      <c r="D2689" t="s">
        <v>377</v>
      </c>
      <c r="E2689" s="5">
        <v>45812.958333333343</v>
      </c>
      <c r="F2689">
        <v>16.172806000000001</v>
      </c>
      <c r="G2689">
        <v>75.659694000000002</v>
      </c>
      <c r="H2689" t="s">
        <v>776</v>
      </c>
      <c r="I2689">
        <v>11</v>
      </c>
      <c r="J2689">
        <v>37</v>
      </c>
      <c r="K2689">
        <v>25</v>
      </c>
    </row>
    <row r="2690" spans="1:11" x14ac:dyDescent="0.3">
      <c r="A2690" t="s">
        <v>11</v>
      </c>
      <c r="B2690" t="s">
        <v>25</v>
      </c>
      <c r="C2690" t="s">
        <v>115</v>
      </c>
      <c r="D2690" t="s">
        <v>423</v>
      </c>
      <c r="E2690" s="5">
        <v>45812.958333333343</v>
      </c>
      <c r="F2690">
        <v>23.817486779999999</v>
      </c>
      <c r="G2690">
        <v>79.446246000000002</v>
      </c>
      <c r="H2690" t="s">
        <v>774</v>
      </c>
      <c r="I2690">
        <v>18</v>
      </c>
      <c r="J2690">
        <v>23</v>
      </c>
      <c r="K2690">
        <v>20</v>
      </c>
    </row>
    <row r="2691" spans="1:11" x14ac:dyDescent="0.3">
      <c r="A2691" t="s">
        <v>11</v>
      </c>
      <c r="B2691" t="s">
        <v>25</v>
      </c>
      <c r="C2691" t="s">
        <v>263</v>
      </c>
      <c r="D2691" t="s">
        <v>695</v>
      </c>
      <c r="E2691" s="5">
        <v>45812.958333333343</v>
      </c>
      <c r="F2691">
        <v>22.968259100000001</v>
      </c>
      <c r="G2691">
        <v>76.064117999999993</v>
      </c>
      <c r="H2691" t="s">
        <v>775</v>
      </c>
      <c r="I2691">
        <v>43</v>
      </c>
      <c r="J2691">
        <v>358</v>
      </c>
      <c r="K2691">
        <v>171</v>
      </c>
    </row>
    <row r="2692" spans="1:11" x14ac:dyDescent="0.3">
      <c r="A2692" t="s">
        <v>11</v>
      </c>
      <c r="B2692" t="s">
        <v>25</v>
      </c>
      <c r="C2692" t="s">
        <v>263</v>
      </c>
      <c r="D2692" t="s">
        <v>695</v>
      </c>
      <c r="E2692" s="5">
        <v>45812.958333333343</v>
      </c>
      <c r="F2692">
        <v>22.968259100000001</v>
      </c>
      <c r="G2692">
        <v>76.064117999999993</v>
      </c>
      <c r="H2692" t="s">
        <v>771</v>
      </c>
      <c r="I2692">
        <v>101</v>
      </c>
      <c r="J2692">
        <v>279</v>
      </c>
      <c r="K2692">
        <v>161</v>
      </c>
    </row>
    <row r="2693" spans="1:11" x14ac:dyDescent="0.3">
      <c r="A2693" t="s">
        <v>11</v>
      </c>
      <c r="B2693" t="s">
        <v>25</v>
      </c>
      <c r="C2693" t="s">
        <v>263</v>
      </c>
      <c r="D2693" t="s">
        <v>695</v>
      </c>
      <c r="E2693" s="5">
        <v>45812.958333333343</v>
      </c>
      <c r="F2693">
        <v>22.968259100000001</v>
      </c>
      <c r="G2693">
        <v>76.064117999999993</v>
      </c>
      <c r="H2693" t="s">
        <v>774</v>
      </c>
      <c r="I2693">
        <v>61</v>
      </c>
      <c r="J2693">
        <v>82</v>
      </c>
      <c r="K2693">
        <v>68</v>
      </c>
    </row>
    <row r="2694" spans="1:11" x14ac:dyDescent="0.3">
      <c r="A2694" t="s">
        <v>11</v>
      </c>
      <c r="B2694" t="s">
        <v>25</v>
      </c>
      <c r="C2694" t="s">
        <v>116</v>
      </c>
      <c r="D2694" t="s">
        <v>424</v>
      </c>
      <c r="E2694" s="5">
        <v>45812.958333333343</v>
      </c>
      <c r="F2694">
        <v>26.203441999999999</v>
      </c>
      <c r="G2694">
        <v>78.193251000000004</v>
      </c>
      <c r="H2694" t="s">
        <v>776</v>
      </c>
      <c r="I2694">
        <v>38</v>
      </c>
      <c r="J2694">
        <v>131</v>
      </c>
      <c r="K2694">
        <v>77</v>
      </c>
    </row>
    <row r="2695" spans="1:11" x14ac:dyDescent="0.3">
      <c r="A2695" t="s">
        <v>11</v>
      </c>
      <c r="B2695" t="s">
        <v>25</v>
      </c>
      <c r="C2695" t="s">
        <v>116</v>
      </c>
      <c r="D2695" t="s">
        <v>425</v>
      </c>
      <c r="E2695" s="5">
        <v>45812.958333333343</v>
      </c>
      <c r="F2695">
        <v>26.259242</v>
      </c>
      <c r="G2695">
        <v>78.216431999999998</v>
      </c>
      <c r="H2695" t="s">
        <v>775</v>
      </c>
      <c r="I2695">
        <v>72</v>
      </c>
      <c r="J2695">
        <v>392</v>
      </c>
      <c r="K2695">
        <v>231</v>
      </c>
    </row>
    <row r="2696" spans="1:11" x14ac:dyDescent="0.3">
      <c r="A2696" t="s">
        <v>11</v>
      </c>
      <c r="B2696" t="s">
        <v>25</v>
      </c>
      <c r="C2696" t="s">
        <v>116</v>
      </c>
      <c r="D2696" t="s">
        <v>425</v>
      </c>
      <c r="E2696" s="5">
        <v>45812.958333333343</v>
      </c>
      <c r="F2696">
        <v>26.259242</v>
      </c>
      <c r="G2696">
        <v>78.216431999999998</v>
      </c>
      <c r="H2696" t="s">
        <v>771</v>
      </c>
      <c r="I2696">
        <v>75</v>
      </c>
      <c r="J2696">
        <v>382</v>
      </c>
      <c r="K2696">
        <v>180</v>
      </c>
    </row>
    <row r="2697" spans="1:11" x14ac:dyDescent="0.3">
      <c r="A2697" t="s">
        <v>11</v>
      </c>
      <c r="B2697" t="s">
        <v>25</v>
      </c>
      <c r="C2697" t="s">
        <v>114</v>
      </c>
      <c r="D2697" t="s">
        <v>427</v>
      </c>
      <c r="E2697" s="5">
        <v>45812.958333333343</v>
      </c>
      <c r="F2697">
        <v>22.728899999999999</v>
      </c>
      <c r="G2697">
        <v>75.807599999999994</v>
      </c>
      <c r="H2697" t="s">
        <v>775</v>
      </c>
      <c r="I2697">
        <v>36</v>
      </c>
      <c r="J2697">
        <v>167</v>
      </c>
      <c r="K2697">
        <v>67</v>
      </c>
    </row>
    <row r="2698" spans="1:11" x14ac:dyDescent="0.3">
      <c r="A2698" t="s">
        <v>11</v>
      </c>
      <c r="B2698" t="s">
        <v>24</v>
      </c>
      <c r="C2698" t="s">
        <v>106</v>
      </c>
      <c r="D2698" t="s">
        <v>409</v>
      </c>
      <c r="E2698" s="5">
        <v>45812.958333333343</v>
      </c>
      <c r="F2698">
        <v>8.5149092999999993</v>
      </c>
      <c r="G2698">
        <v>76.943587899999997</v>
      </c>
      <c r="H2698" t="s">
        <v>771</v>
      </c>
      <c r="I2698">
        <v>3</v>
      </c>
      <c r="J2698">
        <v>70</v>
      </c>
      <c r="K2698">
        <v>28</v>
      </c>
    </row>
    <row r="2699" spans="1:11" x14ac:dyDescent="0.3">
      <c r="A2699" t="s">
        <v>11</v>
      </c>
      <c r="B2699" t="s">
        <v>24</v>
      </c>
      <c r="C2699" t="s">
        <v>107</v>
      </c>
      <c r="D2699" t="s">
        <v>410</v>
      </c>
      <c r="E2699" s="5">
        <v>45812.958333333343</v>
      </c>
      <c r="F2699">
        <v>10.532400000000001</v>
      </c>
      <c r="G2699">
        <v>76.215900000000005</v>
      </c>
      <c r="H2699" t="s">
        <v>770</v>
      </c>
      <c r="I2699">
        <v>27</v>
      </c>
      <c r="J2699">
        <v>28</v>
      </c>
      <c r="K2699">
        <v>28</v>
      </c>
    </row>
    <row r="2700" spans="1:11" x14ac:dyDescent="0.3">
      <c r="A2700" t="s">
        <v>11</v>
      </c>
      <c r="B2700" t="s">
        <v>25</v>
      </c>
      <c r="C2700" t="s">
        <v>108</v>
      </c>
      <c r="D2700" t="s">
        <v>411</v>
      </c>
      <c r="E2700" s="5">
        <v>45812.958333333343</v>
      </c>
      <c r="F2700">
        <v>23.264759000000002</v>
      </c>
      <c r="G2700">
        <v>77.381568000000001</v>
      </c>
      <c r="H2700" t="s">
        <v>774</v>
      </c>
      <c r="I2700">
        <v>6</v>
      </c>
      <c r="J2700">
        <v>8</v>
      </c>
      <c r="K2700">
        <v>7</v>
      </c>
    </row>
    <row r="2701" spans="1:11" x14ac:dyDescent="0.3">
      <c r="A2701" t="s">
        <v>11</v>
      </c>
      <c r="B2701" t="s">
        <v>25</v>
      </c>
      <c r="C2701" t="s">
        <v>108</v>
      </c>
      <c r="D2701" t="s">
        <v>411</v>
      </c>
      <c r="E2701" s="5">
        <v>45812.958333333343</v>
      </c>
      <c r="F2701">
        <v>23.264759000000002</v>
      </c>
      <c r="G2701">
        <v>77.381568000000001</v>
      </c>
      <c r="H2701" t="s">
        <v>776</v>
      </c>
      <c r="I2701">
        <v>14</v>
      </c>
      <c r="J2701">
        <v>78</v>
      </c>
      <c r="K2701">
        <v>27</v>
      </c>
    </row>
    <row r="2702" spans="1:11" x14ac:dyDescent="0.3">
      <c r="A2702" t="s">
        <v>11</v>
      </c>
      <c r="B2702" t="s">
        <v>25</v>
      </c>
      <c r="C2702" t="s">
        <v>108</v>
      </c>
      <c r="D2702" t="s">
        <v>693</v>
      </c>
      <c r="E2702" s="5">
        <v>45812.958333333343</v>
      </c>
      <c r="F2702">
        <v>23.210494000000001</v>
      </c>
      <c r="G2702">
        <v>77.425409000000002</v>
      </c>
      <c r="H2702" t="s">
        <v>771</v>
      </c>
      <c r="I2702">
        <v>60</v>
      </c>
      <c r="J2702">
        <v>203</v>
      </c>
      <c r="K2702">
        <v>103</v>
      </c>
    </row>
    <row r="2703" spans="1:11" x14ac:dyDescent="0.3">
      <c r="A2703" t="s">
        <v>11</v>
      </c>
      <c r="B2703" t="s">
        <v>25</v>
      </c>
      <c r="C2703" t="s">
        <v>108</v>
      </c>
      <c r="D2703" t="s">
        <v>693</v>
      </c>
      <c r="E2703" s="5">
        <v>45812.958333333343</v>
      </c>
      <c r="F2703">
        <v>23.210494000000001</v>
      </c>
      <c r="G2703">
        <v>77.425409000000002</v>
      </c>
      <c r="H2703" t="s">
        <v>773</v>
      </c>
      <c r="I2703">
        <v>2</v>
      </c>
      <c r="J2703">
        <v>36</v>
      </c>
      <c r="K2703">
        <v>7</v>
      </c>
    </row>
    <row r="2704" spans="1:11" x14ac:dyDescent="0.3">
      <c r="A2704" t="s">
        <v>11</v>
      </c>
      <c r="B2704" t="s">
        <v>25</v>
      </c>
      <c r="C2704" t="s">
        <v>108</v>
      </c>
      <c r="D2704" t="s">
        <v>412</v>
      </c>
      <c r="E2704" s="5">
        <v>45812.958333333343</v>
      </c>
      <c r="F2704">
        <v>23.233584</v>
      </c>
      <c r="G2704">
        <v>77.400574000000006</v>
      </c>
      <c r="H2704" t="s">
        <v>770</v>
      </c>
      <c r="I2704">
        <v>6</v>
      </c>
      <c r="J2704">
        <v>191</v>
      </c>
      <c r="K2704">
        <v>88</v>
      </c>
    </row>
    <row r="2705" spans="1:11" x14ac:dyDescent="0.3">
      <c r="A2705" t="s">
        <v>11</v>
      </c>
      <c r="B2705" t="s">
        <v>22</v>
      </c>
      <c r="C2705" t="s">
        <v>98</v>
      </c>
      <c r="D2705" t="s">
        <v>397</v>
      </c>
      <c r="E2705" s="5">
        <v>45812.958333333343</v>
      </c>
      <c r="F2705">
        <v>14.4758</v>
      </c>
      <c r="G2705">
        <v>75.905199999999994</v>
      </c>
      <c r="H2705" t="s">
        <v>772</v>
      </c>
      <c r="I2705">
        <v>10</v>
      </c>
      <c r="J2705">
        <v>16</v>
      </c>
      <c r="K2705">
        <v>12</v>
      </c>
    </row>
    <row r="2706" spans="1:11" x14ac:dyDescent="0.3">
      <c r="A2706" t="s">
        <v>11</v>
      </c>
      <c r="B2706" t="s">
        <v>22</v>
      </c>
      <c r="C2706" t="s">
        <v>98</v>
      </c>
      <c r="D2706" t="s">
        <v>397</v>
      </c>
      <c r="E2706" s="5">
        <v>45812.958333333343</v>
      </c>
      <c r="F2706">
        <v>14.4758</v>
      </c>
      <c r="G2706">
        <v>75.905199999999994</v>
      </c>
      <c r="H2706" t="s">
        <v>774</v>
      </c>
      <c r="I2706">
        <v>5</v>
      </c>
      <c r="J2706">
        <v>20</v>
      </c>
      <c r="K2706">
        <v>8</v>
      </c>
    </row>
    <row r="2707" spans="1:11" x14ac:dyDescent="0.3">
      <c r="A2707" t="s">
        <v>11</v>
      </c>
      <c r="B2707" t="s">
        <v>22</v>
      </c>
      <c r="C2707" t="s">
        <v>98</v>
      </c>
      <c r="D2707" t="s">
        <v>397</v>
      </c>
      <c r="E2707" s="5">
        <v>45812.958333333343</v>
      </c>
      <c r="F2707">
        <v>14.4758</v>
      </c>
      <c r="G2707">
        <v>75.905199999999994</v>
      </c>
      <c r="H2707" t="s">
        <v>776</v>
      </c>
      <c r="I2707">
        <v>8</v>
      </c>
      <c r="J2707">
        <v>40</v>
      </c>
      <c r="K2707">
        <v>37</v>
      </c>
    </row>
    <row r="2708" spans="1:11" x14ac:dyDescent="0.3">
      <c r="A2708" t="s">
        <v>11</v>
      </c>
      <c r="B2708" t="s">
        <v>22</v>
      </c>
      <c r="C2708" t="s">
        <v>99</v>
      </c>
      <c r="D2708" t="s">
        <v>398</v>
      </c>
      <c r="E2708" s="5">
        <v>45812.958333333343</v>
      </c>
      <c r="F2708">
        <v>15.459706000000001</v>
      </c>
      <c r="G2708">
        <v>75.008381</v>
      </c>
      <c r="H2708" t="s">
        <v>772</v>
      </c>
      <c r="I2708">
        <v>20</v>
      </c>
      <c r="J2708">
        <v>20</v>
      </c>
      <c r="K2708">
        <v>20</v>
      </c>
    </row>
    <row r="2709" spans="1:11" x14ac:dyDescent="0.3">
      <c r="A2709" t="s">
        <v>11</v>
      </c>
      <c r="B2709" t="s">
        <v>22</v>
      </c>
      <c r="C2709" t="s">
        <v>99</v>
      </c>
      <c r="D2709" t="s">
        <v>398</v>
      </c>
      <c r="E2709" s="5">
        <v>45812.958333333343</v>
      </c>
      <c r="F2709">
        <v>15.459706000000001</v>
      </c>
      <c r="G2709">
        <v>75.008381</v>
      </c>
      <c r="H2709" t="s">
        <v>776</v>
      </c>
      <c r="I2709">
        <v>49</v>
      </c>
      <c r="J2709">
        <v>103</v>
      </c>
      <c r="K2709">
        <v>80</v>
      </c>
    </row>
    <row r="2710" spans="1:11" x14ac:dyDescent="0.3">
      <c r="A2710" t="s">
        <v>11</v>
      </c>
      <c r="B2710" t="s">
        <v>22</v>
      </c>
      <c r="C2710" t="s">
        <v>99</v>
      </c>
      <c r="D2710" t="s">
        <v>398</v>
      </c>
      <c r="E2710" s="5">
        <v>45812.958333333343</v>
      </c>
      <c r="F2710">
        <v>15.459706000000001</v>
      </c>
      <c r="G2710">
        <v>75.008381</v>
      </c>
      <c r="H2710" t="s">
        <v>770</v>
      </c>
      <c r="I2710">
        <v>6</v>
      </c>
      <c r="J2710">
        <v>44</v>
      </c>
      <c r="K2710">
        <v>29</v>
      </c>
    </row>
    <row r="2711" spans="1:11" x14ac:dyDescent="0.3">
      <c r="A2711" t="s">
        <v>11</v>
      </c>
      <c r="B2711" t="s">
        <v>22</v>
      </c>
      <c r="C2711" t="s">
        <v>92</v>
      </c>
      <c r="D2711" t="s">
        <v>391</v>
      </c>
      <c r="E2711" s="5">
        <v>45812.958333333343</v>
      </c>
      <c r="F2711">
        <v>15.411455999999999</v>
      </c>
      <c r="G2711">
        <v>75.638132999999996</v>
      </c>
      <c r="H2711" t="s">
        <v>773</v>
      </c>
      <c r="I2711">
        <v>1</v>
      </c>
      <c r="J2711">
        <v>3</v>
      </c>
      <c r="K2711">
        <v>2</v>
      </c>
    </row>
    <row r="2712" spans="1:11" x14ac:dyDescent="0.3">
      <c r="A2712" t="s">
        <v>11</v>
      </c>
      <c r="B2712" t="s">
        <v>22</v>
      </c>
      <c r="C2712" t="s">
        <v>93</v>
      </c>
      <c r="D2712" t="s">
        <v>392</v>
      </c>
      <c r="E2712" s="5">
        <v>45812.958333333343</v>
      </c>
      <c r="F2712">
        <v>14.7918</v>
      </c>
      <c r="G2712">
        <v>75.389600000000002</v>
      </c>
      <c r="H2712" t="s">
        <v>775</v>
      </c>
    </row>
    <row r="2713" spans="1:11" x14ac:dyDescent="0.3">
      <c r="A2713" t="s">
        <v>11</v>
      </c>
      <c r="B2713" t="s">
        <v>22</v>
      </c>
      <c r="C2713" t="s">
        <v>93</v>
      </c>
      <c r="D2713" t="s">
        <v>392</v>
      </c>
      <c r="E2713" s="5">
        <v>45812.958333333343</v>
      </c>
      <c r="F2713">
        <v>14.7918</v>
      </c>
      <c r="G2713">
        <v>75.389600000000002</v>
      </c>
      <c r="H2713" t="s">
        <v>773</v>
      </c>
    </row>
    <row r="2714" spans="1:11" x14ac:dyDescent="0.3">
      <c r="A2714" t="s">
        <v>11</v>
      </c>
      <c r="B2714" t="s">
        <v>22</v>
      </c>
      <c r="C2714" t="s">
        <v>93</v>
      </c>
      <c r="D2714" t="s">
        <v>392</v>
      </c>
      <c r="E2714" s="5">
        <v>45812.958333333343</v>
      </c>
      <c r="F2714">
        <v>14.7918</v>
      </c>
      <c r="G2714">
        <v>75.389600000000002</v>
      </c>
      <c r="H2714" t="s">
        <v>776</v>
      </c>
    </row>
    <row r="2715" spans="1:11" x14ac:dyDescent="0.3">
      <c r="A2715" t="s">
        <v>11</v>
      </c>
      <c r="B2715" t="s">
        <v>22</v>
      </c>
      <c r="C2715" t="s">
        <v>94</v>
      </c>
      <c r="D2715" t="s">
        <v>393</v>
      </c>
      <c r="E2715" s="5">
        <v>45812.958333333343</v>
      </c>
      <c r="F2715">
        <v>15.3714823</v>
      </c>
      <c r="G2715">
        <v>75.116016799999997</v>
      </c>
      <c r="H2715" t="s">
        <v>775</v>
      </c>
      <c r="I2715">
        <v>36</v>
      </c>
      <c r="J2715">
        <v>36</v>
      </c>
      <c r="K2715">
        <v>36</v>
      </c>
    </row>
    <row r="2716" spans="1:11" x14ac:dyDescent="0.3">
      <c r="A2716" t="s">
        <v>11</v>
      </c>
      <c r="B2716" t="s">
        <v>22</v>
      </c>
      <c r="C2716" t="s">
        <v>94</v>
      </c>
      <c r="D2716" t="s">
        <v>393</v>
      </c>
      <c r="E2716" s="5">
        <v>45812.958333333343</v>
      </c>
      <c r="F2716">
        <v>15.3714823</v>
      </c>
      <c r="G2716">
        <v>75.116016799999997</v>
      </c>
      <c r="H2716" t="s">
        <v>773</v>
      </c>
      <c r="I2716">
        <v>2</v>
      </c>
      <c r="J2716">
        <v>2</v>
      </c>
      <c r="K2716">
        <v>2</v>
      </c>
    </row>
    <row r="2717" spans="1:11" x14ac:dyDescent="0.3">
      <c r="A2717" t="s">
        <v>11</v>
      </c>
      <c r="B2717" t="s">
        <v>22</v>
      </c>
      <c r="C2717" t="s">
        <v>94</v>
      </c>
      <c r="D2717" t="s">
        <v>393</v>
      </c>
      <c r="E2717" s="5">
        <v>45812.958333333343</v>
      </c>
      <c r="F2717">
        <v>15.3714823</v>
      </c>
      <c r="G2717">
        <v>75.116016799999997</v>
      </c>
      <c r="H2717" t="s">
        <v>774</v>
      </c>
      <c r="I2717">
        <v>2</v>
      </c>
      <c r="J2717">
        <v>3</v>
      </c>
      <c r="K2717">
        <v>3</v>
      </c>
    </row>
    <row r="2718" spans="1:11" x14ac:dyDescent="0.3">
      <c r="A2718" t="s">
        <v>11</v>
      </c>
      <c r="B2718" t="s">
        <v>22</v>
      </c>
      <c r="C2718" t="s">
        <v>95</v>
      </c>
      <c r="D2718" t="s">
        <v>394</v>
      </c>
      <c r="E2718" s="5">
        <v>45812.958333333343</v>
      </c>
      <c r="F2718">
        <v>17.321992999999999</v>
      </c>
      <c r="G2718">
        <v>76.822627999999995</v>
      </c>
      <c r="H2718" t="s">
        <v>774</v>
      </c>
      <c r="I2718">
        <v>33</v>
      </c>
      <c r="J2718">
        <v>35</v>
      </c>
      <c r="K2718">
        <v>34</v>
      </c>
    </row>
    <row r="2719" spans="1:11" x14ac:dyDescent="0.3">
      <c r="A2719" t="s">
        <v>11</v>
      </c>
      <c r="B2719" t="s">
        <v>22</v>
      </c>
      <c r="C2719" t="s">
        <v>95</v>
      </c>
      <c r="D2719" t="s">
        <v>686</v>
      </c>
      <c r="E2719" s="5">
        <v>45812.958333333343</v>
      </c>
      <c r="F2719">
        <v>17.336317999999999</v>
      </c>
      <c r="G2719">
        <v>76.847397000000001</v>
      </c>
      <c r="H2719" t="s">
        <v>771</v>
      </c>
      <c r="I2719">
        <v>19</v>
      </c>
      <c r="J2719">
        <v>60</v>
      </c>
      <c r="K2719">
        <v>32</v>
      </c>
    </row>
    <row r="2720" spans="1:11" x14ac:dyDescent="0.3">
      <c r="A2720" t="s">
        <v>11</v>
      </c>
      <c r="B2720" t="s">
        <v>22</v>
      </c>
      <c r="C2720" t="s">
        <v>95</v>
      </c>
      <c r="D2720" t="s">
        <v>686</v>
      </c>
      <c r="E2720" s="5">
        <v>45812.958333333343</v>
      </c>
      <c r="F2720">
        <v>17.336317999999999</v>
      </c>
      <c r="G2720">
        <v>76.847397000000001</v>
      </c>
      <c r="H2720" t="s">
        <v>774</v>
      </c>
      <c r="I2720">
        <v>3</v>
      </c>
      <c r="J2720">
        <v>7</v>
      </c>
      <c r="K2720">
        <v>4</v>
      </c>
    </row>
    <row r="2721" spans="1:11" x14ac:dyDescent="0.3">
      <c r="A2721" t="s">
        <v>11</v>
      </c>
      <c r="B2721" t="s">
        <v>24</v>
      </c>
      <c r="C2721" t="s">
        <v>101</v>
      </c>
      <c r="D2721" t="s">
        <v>400</v>
      </c>
      <c r="E2721" s="5">
        <v>45812.958333333343</v>
      </c>
      <c r="F2721">
        <v>10.073232000000001</v>
      </c>
      <c r="G2721">
        <v>76.302764999999994</v>
      </c>
      <c r="H2721" t="s">
        <v>774</v>
      </c>
    </row>
    <row r="2722" spans="1:11" x14ac:dyDescent="0.3">
      <c r="A2722" t="s">
        <v>11</v>
      </c>
      <c r="B2722" t="s">
        <v>24</v>
      </c>
      <c r="C2722" t="s">
        <v>101</v>
      </c>
      <c r="D2722" t="s">
        <v>400</v>
      </c>
      <c r="E2722" s="5">
        <v>45812.958333333343</v>
      </c>
      <c r="F2722">
        <v>10.073232000000001</v>
      </c>
      <c r="G2722">
        <v>76.302764999999994</v>
      </c>
      <c r="H2722" t="s">
        <v>770</v>
      </c>
    </row>
    <row r="2723" spans="1:11" x14ac:dyDescent="0.3">
      <c r="A2723" t="s">
        <v>11</v>
      </c>
      <c r="B2723" t="s">
        <v>24</v>
      </c>
      <c r="C2723" t="s">
        <v>262</v>
      </c>
      <c r="D2723" t="s">
        <v>694</v>
      </c>
      <c r="E2723" s="5">
        <v>45812.958333333343</v>
      </c>
      <c r="F2723">
        <v>11.875</v>
      </c>
      <c r="G2723">
        <v>75.373199999999997</v>
      </c>
      <c r="H2723" t="s">
        <v>774</v>
      </c>
      <c r="I2723">
        <v>5</v>
      </c>
      <c r="J2723">
        <v>6</v>
      </c>
      <c r="K2723">
        <v>5</v>
      </c>
    </row>
    <row r="2724" spans="1:11" x14ac:dyDescent="0.3">
      <c r="A2724" t="s">
        <v>11</v>
      </c>
      <c r="B2724" t="s">
        <v>24</v>
      </c>
      <c r="C2724" t="s">
        <v>120</v>
      </c>
      <c r="D2724" t="s">
        <v>434</v>
      </c>
      <c r="E2724" s="5">
        <v>45812.958333333343</v>
      </c>
      <c r="F2724">
        <v>8.8787000000000003</v>
      </c>
      <c r="G2724">
        <v>76.607299999999995</v>
      </c>
      <c r="H2724" t="s">
        <v>775</v>
      </c>
      <c r="I2724">
        <v>29</v>
      </c>
      <c r="J2724">
        <v>35</v>
      </c>
      <c r="K2724">
        <v>32</v>
      </c>
    </row>
    <row r="2725" spans="1:11" x14ac:dyDescent="0.3">
      <c r="A2725" t="s">
        <v>11</v>
      </c>
      <c r="B2725" t="s">
        <v>24</v>
      </c>
      <c r="C2725" t="s">
        <v>120</v>
      </c>
      <c r="D2725" t="s">
        <v>434</v>
      </c>
      <c r="E2725" s="5">
        <v>45812.958333333343</v>
      </c>
      <c r="F2725">
        <v>8.8787000000000003</v>
      </c>
      <c r="G2725">
        <v>76.607299999999995</v>
      </c>
      <c r="H2725" t="s">
        <v>772</v>
      </c>
      <c r="I2725">
        <v>9</v>
      </c>
      <c r="J2725">
        <v>10</v>
      </c>
      <c r="K2725">
        <v>9</v>
      </c>
    </row>
    <row r="2726" spans="1:11" x14ac:dyDescent="0.3">
      <c r="A2726" t="s">
        <v>11</v>
      </c>
      <c r="B2726" t="s">
        <v>24</v>
      </c>
      <c r="C2726" t="s">
        <v>120</v>
      </c>
      <c r="D2726" t="s">
        <v>434</v>
      </c>
      <c r="E2726" s="5">
        <v>45812.958333333343</v>
      </c>
      <c r="F2726">
        <v>8.8787000000000003</v>
      </c>
      <c r="G2726">
        <v>76.607299999999995</v>
      </c>
      <c r="H2726" t="s">
        <v>773</v>
      </c>
      <c r="I2726">
        <v>1</v>
      </c>
      <c r="J2726">
        <v>1</v>
      </c>
      <c r="K2726">
        <v>1</v>
      </c>
    </row>
    <row r="2727" spans="1:11" x14ac:dyDescent="0.3">
      <c r="A2727" t="s">
        <v>11</v>
      </c>
      <c r="B2727" t="s">
        <v>24</v>
      </c>
      <c r="C2727" t="s">
        <v>120</v>
      </c>
      <c r="D2727" t="s">
        <v>434</v>
      </c>
      <c r="E2727" s="5">
        <v>45812.958333333343</v>
      </c>
      <c r="F2727">
        <v>8.8787000000000003</v>
      </c>
      <c r="G2727">
        <v>76.607299999999995</v>
      </c>
      <c r="H2727" t="s">
        <v>776</v>
      </c>
      <c r="I2727">
        <v>14</v>
      </c>
      <c r="J2727">
        <v>17</v>
      </c>
      <c r="K2727">
        <v>16</v>
      </c>
    </row>
    <row r="2728" spans="1:11" x14ac:dyDescent="0.3">
      <c r="A2728" t="s">
        <v>11</v>
      </c>
      <c r="B2728" t="s">
        <v>22</v>
      </c>
      <c r="C2728" t="s">
        <v>259</v>
      </c>
      <c r="D2728" t="s">
        <v>689</v>
      </c>
      <c r="E2728" s="5">
        <v>45812.958333333343</v>
      </c>
      <c r="F2728">
        <v>12.889250000000001</v>
      </c>
      <c r="G2728">
        <v>74.852999999999994</v>
      </c>
      <c r="H2728" t="s">
        <v>773</v>
      </c>
      <c r="I2728">
        <v>1</v>
      </c>
      <c r="J2728">
        <v>2</v>
      </c>
      <c r="K2728">
        <v>2</v>
      </c>
    </row>
    <row r="2729" spans="1:11" x14ac:dyDescent="0.3">
      <c r="A2729" t="s">
        <v>11</v>
      </c>
      <c r="B2729" t="s">
        <v>22</v>
      </c>
      <c r="C2729" t="s">
        <v>259</v>
      </c>
      <c r="D2729" t="s">
        <v>689</v>
      </c>
      <c r="E2729" s="5">
        <v>45812.958333333343</v>
      </c>
      <c r="F2729">
        <v>12.889250000000001</v>
      </c>
      <c r="G2729">
        <v>74.852999999999994</v>
      </c>
      <c r="H2729" t="s">
        <v>776</v>
      </c>
      <c r="I2729">
        <v>22</v>
      </c>
      <c r="J2729">
        <v>33</v>
      </c>
      <c r="K2729">
        <v>29</v>
      </c>
    </row>
    <row r="2730" spans="1:11" x14ac:dyDescent="0.3">
      <c r="A2730" t="s">
        <v>11</v>
      </c>
      <c r="B2730" t="s">
        <v>22</v>
      </c>
      <c r="C2730" t="s">
        <v>103</v>
      </c>
      <c r="D2730" t="s">
        <v>406</v>
      </c>
      <c r="E2730" s="5">
        <v>45812.958333333343</v>
      </c>
      <c r="F2730">
        <v>12.21041</v>
      </c>
      <c r="G2730">
        <v>76.373760000000004</v>
      </c>
      <c r="H2730" t="s">
        <v>772</v>
      </c>
      <c r="I2730">
        <v>11</v>
      </c>
      <c r="J2730">
        <v>32</v>
      </c>
      <c r="K2730">
        <v>21</v>
      </c>
    </row>
    <row r="2731" spans="1:11" x14ac:dyDescent="0.3">
      <c r="A2731" t="s">
        <v>11</v>
      </c>
      <c r="B2731" t="s">
        <v>22</v>
      </c>
      <c r="C2731" t="s">
        <v>103</v>
      </c>
      <c r="D2731" t="s">
        <v>406</v>
      </c>
      <c r="E2731" s="5">
        <v>45812.958333333343</v>
      </c>
      <c r="F2731">
        <v>12.21041</v>
      </c>
      <c r="G2731">
        <v>76.373760000000004</v>
      </c>
      <c r="H2731" t="s">
        <v>774</v>
      </c>
    </row>
    <row r="2732" spans="1:11" x14ac:dyDescent="0.3">
      <c r="A2732" t="s">
        <v>11</v>
      </c>
      <c r="B2732" t="s">
        <v>22</v>
      </c>
      <c r="C2732" t="s">
        <v>258</v>
      </c>
      <c r="D2732" t="s">
        <v>687</v>
      </c>
      <c r="E2732" s="5">
        <v>45812.958333333343</v>
      </c>
      <c r="F2732">
        <v>15.347630000000001</v>
      </c>
      <c r="G2732">
        <v>76.181766999999994</v>
      </c>
      <c r="H2732" t="s">
        <v>776</v>
      </c>
      <c r="I2732">
        <v>24</v>
      </c>
      <c r="J2732">
        <v>44</v>
      </c>
      <c r="K2732">
        <v>32</v>
      </c>
    </row>
    <row r="2733" spans="1:11" x14ac:dyDescent="0.3">
      <c r="A2733" t="s">
        <v>11</v>
      </c>
      <c r="B2733" t="s">
        <v>22</v>
      </c>
      <c r="C2733" t="s">
        <v>258</v>
      </c>
      <c r="D2733" t="s">
        <v>687</v>
      </c>
      <c r="E2733" s="5">
        <v>45812.958333333343</v>
      </c>
      <c r="F2733">
        <v>15.347630000000001</v>
      </c>
      <c r="G2733">
        <v>76.181766999999994</v>
      </c>
      <c r="H2733" t="s">
        <v>770</v>
      </c>
      <c r="I2733">
        <v>28</v>
      </c>
      <c r="J2733">
        <v>61</v>
      </c>
      <c r="K2733">
        <v>49</v>
      </c>
    </row>
    <row r="2734" spans="1:11" x14ac:dyDescent="0.3">
      <c r="A2734" t="s">
        <v>11</v>
      </c>
      <c r="B2734" t="s">
        <v>22</v>
      </c>
      <c r="C2734" t="s">
        <v>105</v>
      </c>
      <c r="D2734" t="s">
        <v>408</v>
      </c>
      <c r="E2734" s="5">
        <v>45812.958333333343</v>
      </c>
      <c r="F2734">
        <v>12.415910999999999</v>
      </c>
      <c r="G2734">
        <v>75.735050000000001</v>
      </c>
      <c r="H2734" t="s">
        <v>775</v>
      </c>
      <c r="I2734">
        <v>7</v>
      </c>
      <c r="J2734">
        <v>55</v>
      </c>
      <c r="K2734">
        <v>16</v>
      </c>
    </row>
    <row r="2735" spans="1:11" x14ac:dyDescent="0.3">
      <c r="A2735" t="s">
        <v>11</v>
      </c>
      <c r="B2735" t="s">
        <v>22</v>
      </c>
      <c r="C2735" t="s">
        <v>105</v>
      </c>
      <c r="D2735" t="s">
        <v>408</v>
      </c>
      <c r="E2735" s="5">
        <v>45812.958333333343</v>
      </c>
      <c r="F2735">
        <v>12.415910999999999</v>
      </c>
      <c r="G2735">
        <v>75.735050000000001</v>
      </c>
      <c r="H2735" t="s">
        <v>774</v>
      </c>
      <c r="I2735">
        <v>4</v>
      </c>
      <c r="J2735">
        <v>4</v>
      </c>
      <c r="K2735">
        <v>4</v>
      </c>
    </row>
    <row r="2736" spans="1:11" x14ac:dyDescent="0.3">
      <c r="A2736" t="s">
        <v>11</v>
      </c>
      <c r="B2736" t="s">
        <v>24</v>
      </c>
      <c r="C2736" t="s">
        <v>106</v>
      </c>
      <c r="D2736" t="s">
        <v>433</v>
      </c>
      <c r="E2736" s="5">
        <v>45812.958333333343</v>
      </c>
      <c r="F2736">
        <v>8.5637000000000008</v>
      </c>
      <c r="G2736">
        <v>76.886499999999998</v>
      </c>
      <c r="H2736" t="s">
        <v>772</v>
      </c>
      <c r="I2736">
        <v>6</v>
      </c>
      <c r="J2736">
        <v>7</v>
      </c>
      <c r="K2736">
        <v>7</v>
      </c>
    </row>
    <row r="2737" spans="1:11" x14ac:dyDescent="0.3">
      <c r="A2737" t="s">
        <v>11</v>
      </c>
      <c r="B2737" t="s">
        <v>24</v>
      </c>
      <c r="C2737" t="s">
        <v>106</v>
      </c>
      <c r="D2737" t="s">
        <v>433</v>
      </c>
      <c r="E2737" s="5">
        <v>45812.958333333343</v>
      </c>
      <c r="F2737">
        <v>8.5637000000000008</v>
      </c>
      <c r="G2737">
        <v>76.886499999999998</v>
      </c>
      <c r="H2737" t="s">
        <v>774</v>
      </c>
      <c r="I2737">
        <v>1</v>
      </c>
      <c r="J2737">
        <v>9</v>
      </c>
      <c r="K2737">
        <v>5</v>
      </c>
    </row>
    <row r="2738" spans="1:11" x14ac:dyDescent="0.3">
      <c r="A2738" t="s">
        <v>11</v>
      </c>
      <c r="B2738" t="s">
        <v>22</v>
      </c>
      <c r="C2738" t="s">
        <v>104</v>
      </c>
      <c r="D2738" t="s">
        <v>407</v>
      </c>
      <c r="E2738" s="5">
        <v>45812.958333333343</v>
      </c>
      <c r="F2738">
        <v>13.377516</v>
      </c>
      <c r="G2738">
        <v>77.099072000000007</v>
      </c>
      <c r="H2738" t="s">
        <v>773</v>
      </c>
      <c r="I2738">
        <v>2</v>
      </c>
      <c r="J2738">
        <v>2</v>
      </c>
      <c r="K2738">
        <v>2</v>
      </c>
    </row>
    <row r="2739" spans="1:11" x14ac:dyDescent="0.3">
      <c r="A2739" t="s">
        <v>11</v>
      </c>
      <c r="B2739" t="s">
        <v>25</v>
      </c>
      <c r="C2739" t="s">
        <v>109</v>
      </c>
      <c r="D2739" t="s">
        <v>421</v>
      </c>
      <c r="E2739" s="5">
        <v>45812.958333333343</v>
      </c>
      <c r="F2739">
        <v>23.142887999999999</v>
      </c>
      <c r="G2739">
        <v>79.916146999999995</v>
      </c>
      <c r="H2739" t="s">
        <v>774</v>
      </c>
    </row>
    <row r="2740" spans="1:11" x14ac:dyDescent="0.3">
      <c r="A2740" t="s">
        <v>11</v>
      </c>
      <c r="B2740" t="s">
        <v>25</v>
      </c>
      <c r="C2740" t="s">
        <v>109</v>
      </c>
      <c r="D2740" t="s">
        <v>422</v>
      </c>
      <c r="E2740" s="5">
        <v>45812.958333333343</v>
      </c>
      <c r="F2740">
        <v>23.168606</v>
      </c>
      <c r="G2740">
        <v>79.932247000000004</v>
      </c>
      <c r="H2740" t="s">
        <v>775</v>
      </c>
      <c r="I2740">
        <v>21</v>
      </c>
      <c r="J2740">
        <v>307</v>
      </c>
      <c r="K2740">
        <v>106</v>
      </c>
    </row>
    <row r="2741" spans="1:11" x14ac:dyDescent="0.3">
      <c r="A2741" t="s">
        <v>11</v>
      </c>
      <c r="B2741" t="s">
        <v>25</v>
      </c>
      <c r="C2741" t="s">
        <v>109</v>
      </c>
      <c r="D2741" t="s">
        <v>422</v>
      </c>
      <c r="E2741" s="5">
        <v>45812.958333333343</v>
      </c>
      <c r="F2741">
        <v>23.168606</v>
      </c>
      <c r="G2741">
        <v>79.932247000000004</v>
      </c>
      <c r="H2741" t="s">
        <v>772</v>
      </c>
      <c r="I2741">
        <v>22</v>
      </c>
      <c r="J2741">
        <v>100</v>
      </c>
      <c r="K2741">
        <v>49</v>
      </c>
    </row>
    <row r="2742" spans="1:11" x14ac:dyDescent="0.3">
      <c r="A2742" t="s">
        <v>11</v>
      </c>
      <c r="B2742" t="s">
        <v>25</v>
      </c>
      <c r="C2742" t="s">
        <v>109</v>
      </c>
      <c r="D2742" t="s">
        <v>413</v>
      </c>
      <c r="E2742" s="5">
        <v>45812.958333333343</v>
      </c>
      <c r="F2742">
        <v>23.218135</v>
      </c>
      <c r="G2742">
        <v>79.957769999999996</v>
      </c>
      <c r="H2742" t="s">
        <v>772</v>
      </c>
      <c r="I2742">
        <v>22</v>
      </c>
      <c r="J2742">
        <v>112</v>
      </c>
      <c r="K2742">
        <v>54</v>
      </c>
    </row>
    <row r="2743" spans="1:11" x14ac:dyDescent="0.3">
      <c r="A2743" t="s">
        <v>11</v>
      </c>
      <c r="B2743" t="s">
        <v>25</v>
      </c>
      <c r="C2743" t="s">
        <v>109</v>
      </c>
      <c r="D2743" t="s">
        <v>413</v>
      </c>
      <c r="E2743" s="5">
        <v>45812.958333333343</v>
      </c>
      <c r="F2743">
        <v>23.218135</v>
      </c>
      <c r="G2743">
        <v>79.957769999999996</v>
      </c>
      <c r="H2743" t="s">
        <v>773</v>
      </c>
      <c r="I2743">
        <v>2</v>
      </c>
      <c r="J2743">
        <v>13</v>
      </c>
      <c r="K2743">
        <v>3</v>
      </c>
    </row>
    <row r="2744" spans="1:11" x14ac:dyDescent="0.3">
      <c r="A2744" t="s">
        <v>11</v>
      </c>
      <c r="B2744" t="s">
        <v>25</v>
      </c>
      <c r="C2744" t="s">
        <v>109</v>
      </c>
      <c r="D2744" t="s">
        <v>413</v>
      </c>
      <c r="E2744" s="5">
        <v>45812.958333333343</v>
      </c>
      <c r="F2744">
        <v>23.218135</v>
      </c>
      <c r="G2744">
        <v>79.957769999999996</v>
      </c>
      <c r="H2744" t="s">
        <v>774</v>
      </c>
      <c r="I2744">
        <v>10</v>
      </c>
      <c r="J2744">
        <v>47</v>
      </c>
      <c r="K2744">
        <v>25</v>
      </c>
    </row>
    <row r="2745" spans="1:11" x14ac:dyDescent="0.3">
      <c r="A2745" t="s">
        <v>11</v>
      </c>
      <c r="B2745" t="s">
        <v>25</v>
      </c>
      <c r="C2745" t="s">
        <v>110</v>
      </c>
      <c r="D2745" t="s">
        <v>414</v>
      </c>
      <c r="E2745" s="5">
        <v>45812.958333333343</v>
      </c>
      <c r="F2745">
        <v>23.500160000000001</v>
      </c>
      <c r="G2745">
        <v>80.232839999999996</v>
      </c>
      <c r="H2745" t="s">
        <v>772</v>
      </c>
      <c r="I2745">
        <v>23</v>
      </c>
      <c r="J2745">
        <v>115</v>
      </c>
      <c r="K2745">
        <v>65</v>
      </c>
    </row>
    <row r="2746" spans="1:11" x14ac:dyDescent="0.3">
      <c r="A2746" t="s">
        <v>11</v>
      </c>
      <c r="B2746" t="s">
        <v>25</v>
      </c>
      <c r="C2746" t="s">
        <v>110</v>
      </c>
      <c r="D2746" t="s">
        <v>414</v>
      </c>
      <c r="E2746" s="5">
        <v>45812.958333333343</v>
      </c>
      <c r="F2746">
        <v>23.500160000000001</v>
      </c>
      <c r="G2746">
        <v>80.232839999999996</v>
      </c>
      <c r="H2746" t="s">
        <v>773</v>
      </c>
      <c r="I2746">
        <v>3</v>
      </c>
      <c r="J2746">
        <v>4</v>
      </c>
      <c r="K2746">
        <v>4</v>
      </c>
    </row>
    <row r="2747" spans="1:11" x14ac:dyDescent="0.3">
      <c r="A2747" t="s">
        <v>11</v>
      </c>
      <c r="B2747" t="s">
        <v>25</v>
      </c>
      <c r="C2747" t="s">
        <v>111</v>
      </c>
      <c r="D2747" t="s">
        <v>415</v>
      </c>
      <c r="E2747" s="5">
        <v>45812.958333333343</v>
      </c>
      <c r="F2747">
        <v>24.261300899999998</v>
      </c>
      <c r="G2747">
        <v>80.723178300000001</v>
      </c>
      <c r="H2747" t="s">
        <v>775</v>
      </c>
      <c r="I2747">
        <v>2</v>
      </c>
      <c r="J2747">
        <v>53</v>
      </c>
      <c r="K2747">
        <v>27</v>
      </c>
    </row>
    <row r="2748" spans="1:11" x14ac:dyDescent="0.3">
      <c r="A2748" t="s">
        <v>11</v>
      </c>
      <c r="B2748" t="s">
        <v>25</v>
      </c>
      <c r="C2748" t="s">
        <v>111</v>
      </c>
      <c r="D2748" t="s">
        <v>415</v>
      </c>
      <c r="E2748" s="5">
        <v>45812.958333333343</v>
      </c>
      <c r="F2748">
        <v>24.261300899999998</v>
      </c>
      <c r="G2748">
        <v>80.723178300000001</v>
      </c>
      <c r="H2748" t="s">
        <v>771</v>
      </c>
      <c r="I2748">
        <v>16</v>
      </c>
      <c r="J2748">
        <v>99</v>
      </c>
      <c r="K2748">
        <v>51</v>
      </c>
    </row>
    <row r="2749" spans="1:11" x14ac:dyDescent="0.3">
      <c r="A2749" t="s">
        <v>11</v>
      </c>
      <c r="B2749" t="s">
        <v>25</v>
      </c>
      <c r="C2749" t="s">
        <v>111</v>
      </c>
      <c r="D2749" t="s">
        <v>415</v>
      </c>
      <c r="E2749" s="5">
        <v>45812.958333333343</v>
      </c>
      <c r="F2749">
        <v>24.261300899999998</v>
      </c>
      <c r="G2749">
        <v>80.723178300000001</v>
      </c>
      <c r="H2749" t="s">
        <v>776</v>
      </c>
      <c r="I2749">
        <v>18</v>
      </c>
      <c r="J2749">
        <v>26</v>
      </c>
      <c r="K2749">
        <v>20</v>
      </c>
    </row>
    <row r="2750" spans="1:11" x14ac:dyDescent="0.3">
      <c r="A2750" t="s">
        <v>11</v>
      </c>
      <c r="B2750" t="s">
        <v>25</v>
      </c>
      <c r="C2750" t="s">
        <v>112</v>
      </c>
      <c r="D2750" t="s">
        <v>416</v>
      </c>
      <c r="E2750" s="5">
        <v>45812.958333333343</v>
      </c>
      <c r="F2750">
        <v>23.108440000000002</v>
      </c>
      <c r="G2750">
        <v>77.511427999999995</v>
      </c>
      <c r="H2750" t="s">
        <v>772</v>
      </c>
      <c r="I2750">
        <v>17</v>
      </c>
      <c r="J2750">
        <v>124</v>
      </c>
      <c r="K2750">
        <v>67</v>
      </c>
    </row>
    <row r="2751" spans="1:11" x14ac:dyDescent="0.3">
      <c r="A2751" t="s">
        <v>11</v>
      </c>
      <c r="B2751" t="s">
        <v>25</v>
      </c>
      <c r="C2751" t="s">
        <v>119</v>
      </c>
      <c r="D2751" t="s">
        <v>432</v>
      </c>
      <c r="E2751" s="5">
        <v>45812.958333333343</v>
      </c>
      <c r="F2751">
        <v>24.108969999999999</v>
      </c>
      <c r="G2751">
        <v>82.645579999999995</v>
      </c>
      <c r="H2751" t="s">
        <v>771</v>
      </c>
      <c r="I2751">
        <v>62</v>
      </c>
      <c r="J2751">
        <v>328</v>
      </c>
      <c r="K2751">
        <v>166</v>
      </c>
    </row>
    <row r="2752" spans="1:11" x14ac:dyDescent="0.3">
      <c r="A2752" t="s">
        <v>11</v>
      </c>
      <c r="B2752" t="s">
        <v>25</v>
      </c>
      <c r="C2752" t="s">
        <v>289</v>
      </c>
      <c r="D2752" t="s">
        <v>761</v>
      </c>
      <c r="E2752" s="5">
        <v>45812.958333333343</v>
      </c>
      <c r="F2752">
        <v>23.182718999999999</v>
      </c>
      <c r="G2752">
        <v>75.768218000000005</v>
      </c>
      <c r="H2752" t="s">
        <v>771</v>
      </c>
      <c r="I2752">
        <v>36</v>
      </c>
      <c r="J2752">
        <v>111</v>
      </c>
      <c r="K2752">
        <v>69</v>
      </c>
    </row>
    <row r="2753" spans="1:11" x14ac:dyDescent="0.3">
      <c r="A2753" t="s">
        <v>11</v>
      </c>
      <c r="B2753" t="s">
        <v>25</v>
      </c>
      <c r="C2753" t="s">
        <v>289</v>
      </c>
      <c r="D2753" t="s">
        <v>761</v>
      </c>
      <c r="E2753" s="5">
        <v>45812.958333333343</v>
      </c>
      <c r="F2753">
        <v>23.182718999999999</v>
      </c>
      <c r="G2753">
        <v>75.768218000000005</v>
      </c>
      <c r="H2753" t="s">
        <v>772</v>
      </c>
      <c r="I2753">
        <v>15</v>
      </c>
      <c r="J2753">
        <v>38</v>
      </c>
      <c r="K2753">
        <v>25</v>
      </c>
    </row>
    <row r="2754" spans="1:11" x14ac:dyDescent="0.3">
      <c r="A2754" t="s">
        <v>11</v>
      </c>
      <c r="B2754" t="s">
        <v>25</v>
      </c>
      <c r="C2754" t="s">
        <v>289</v>
      </c>
      <c r="D2754" t="s">
        <v>761</v>
      </c>
      <c r="E2754" s="5">
        <v>45812.958333333343</v>
      </c>
      <c r="F2754">
        <v>23.182718999999999</v>
      </c>
      <c r="G2754">
        <v>75.768218000000005</v>
      </c>
      <c r="H2754" t="s">
        <v>774</v>
      </c>
      <c r="I2754">
        <v>3</v>
      </c>
      <c r="J2754">
        <v>25</v>
      </c>
      <c r="K2754">
        <v>9</v>
      </c>
    </row>
    <row r="2755" spans="1:11" x14ac:dyDescent="0.3">
      <c r="A2755" t="s">
        <v>11</v>
      </c>
      <c r="B2755" t="s">
        <v>25</v>
      </c>
      <c r="C2755" t="s">
        <v>289</v>
      </c>
      <c r="D2755" t="s">
        <v>761</v>
      </c>
      <c r="E2755" s="5">
        <v>45812.958333333343</v>
      </c>
      <c r="F2755">
        <v>23.182718999999999</v>
      </c>
      <c r="G2755">
        <v>75.768218000000005</v>
      </c>
      <c r="H2755" t="s">
        <v>776</v>
      </c>
      <c r="I2755">
        <v>23</v>
      </c>
      <c r="J2755">
        <v>98</v>
      </c>
      <c r="K2755">
        <v>61</v>
      </c>
    </row>
    <row r="2756" spans="1:11" x14ac:dyDescent="0.3">
      <c r="A2756" t="s">
        <v>11</v>
      </c>
      <c r="B2756" t="s">
        <v>26</v>
      </c>
      <c r="C2756" t="s">
        <v>128</v>
      </c>
      <c r="D2756" t="s">
        <v>443</v>
      </c>
      <c r="E2756" s="5">
        <v>45812.958333333343</v>
      </c>
      <c r="F2756">
        <v>19.101220000000001</v>
      </c>
      <c r="G2756">
        <v>74.73339</v>
      </c>
      <c r="H2756" t="s">
        <v>774</v>
      </c>
      <c r="I2756">
        <v>3</v>
      </c>
      <c r="J2756">
        <v>10</v>
      </c>
      <c r="K2756">
        <v>5</v>
      </c>
    </row>
    <row r="2757" spans="1:11" x14ac:dyDescent="0.3">
      <c r="A2757" t="s">
        <v>11</v>
      </c>
      <c r="B2757" t="s">
        <v>26</v>
      </c>
      <c r="C2757" t="s">
        <v>128</v>
      </c>
      <c r="D2757" t="s">
        <v>443</v>
      </c>
      <c r="E2757" s="5">
        <v>45812.958333333343</v>
      </c>
      <c r="F2757">
        <v>19.101220000000001</v>
      </c>
      <c r="G2757">
        <v>74.73339</v>
      </c>
      <c r="H2757" t="s">
        <v>776</v>
      </c>
      <c r="I2757">
        <v>18</v>
      </c>
      <c r="J2757">
        <v>142</v>
      </c>
      <c r="K2757">
        <v>58</v>
      </c>
    </row>
    <row r="2758" spans="1:11" x14ac:dyDescent="0.3">
      <c r="A2758" t="s">
        <v>11</v>
      </c>
      <c r="B2758" t="s">
        <v>26</v>
      </c>
      <c r="C2758" t="s">
        <v>129</v>
      </c>
      <c r="D2758" t="s">
        <v>444</v>
      </c>
      <c r="E2758" s="5">
        <v>45812.958333333343</v>
      </c>
      <c r="F2758">
        <v>20.719515999999999</v>
      </c>
      <c r="G2758">
        <v>77.000253000000001</v>
      </c>
      <c r="H2758" t="s">
        <v>775</v>
      </c>
      <c r="I2758">
        <v>27</v>
      </c>
      <c r="J2758">
        <v>153</v>
      </c>
      <c r="K2758">
        <v>61</v>
      </c>
    </row>
    <row r="2759" spans="1:11" x14ac:dyDescent="0.3">
      <c r="A2759" t="s">
        <v>11</v>
      </c>
      <c r="B2759" t="s">
        <v>26</v>
      </c>
      <c r="C2759" t="s">
        <v>129</v>
      </c>
      <c r="D2759" t="s">
        <v>444</v>
      </c>
      <c r="E2759" s="5">
        <v>45812.958333333343</v>
      </c>
      <c r="F2759">
        <v>20.719515999999999</v>
      </c>
      <c r="G2759">
        <v>77.000253000000001</v>
      </c>
      <c r="H2759" t="s">
        <v>772</v>
      </c>
      <c r="I2759">
        <v>16</v>
      </c>
      <c r="J2759">
        <v>63</v>
      </c>
      <c r="K2759">
        <v>27</v>
      </c>
    </row>
    <row r="2760" spans="1:11" x14ac:dyDescent="0.3">
      <c r="A2760" t="s">
        <v>11</v>
      </c>
      <c r="B2760" t="s">
        <v>26</v>
      </c>
      <c r="C2760" t="s">
        <v>130</v>
      </c>
      <c r="D2760" t="s">
        <v>445</v>
      </c>
      <c r="E2760" s="5">
        <v>45812.958333333343</v>
      </c>
      <c r="F2760">
        <v>20.940235900000001</v>
      </c>
      <c r="G2760">
        <v>77.789524799999995</v>
      </c>
      <c r="H2760" t="s">
        <v>775</v>
      </c>
      <c r="I2760">
        <v>29</v>
      </c>
      <c r="J2760">
        <v>70</v>
      </c>
      <c r="K2760">
        <v>49</v>
      </c>
    </row>
    <row r="2761" spans="1:11" x14ac:dyDescent="0.3">
      <c r="A2761" t="s">
        <v>11</v>
      </c>
      <c r="B2761" t="s">
        <v>25</v>
      </c>
      <c r="C2761" t="s">
        <v>114</v>
      </c>
      <c r="D2761" t="s">
        <v>419</v>
      </c>
      <c r="E2761" s="5">
        <v>45812.958333333343</v>
      </c>
      <c r="F2761">
        <v>22.708400000000001</v>
      </c>
      <c r="G2761">
        <v>75.881500000000003</v>
      </c>
      <c r="H2761" t="s">
        <v>771</v>
      </c>
      <c r="I2761">
        <v>50</v>
      </c>
      <c r="J2761">
        <v>175</v>
      </c>
      <c r="K2761">
        <v>95</v>
      </c>
    </row>
    <row r="2762" spans="1:11" x14ac:dyDescent="0.3">
      <c r="A2762" t="s">
        <v>11</v>
      </c>
      <c r="B2762" t="s">
        <v>25</v>
      </c>
      <c r="C2762" t="s">
        <v>114</v>
      </c>
      <c r="D2762" t="s">
        <v>419</v>
      </c>
      <c r="E2762" s="5">
        <v>45812.958333333343</v>
      </c>
      <c r="F2762">
        <v>22.708400000000001</v>
      </c>
      <c r="G2762">
        <v>75.881500000000003</v>
      </c>
      <c r="H2762" t="s">
        <v>774</v>
      </c>
      <c r="I2762">
        <v>30</v>
      </c>
      <c r="J2762">
        <v>35</v>
      </c>
      <c r="K2762">
        <v>32</v>
      </c>
    </row>
    <row r="2763" spans="1:11" x14ac:dyDescent="0.3">
      <c r="A2763" t="s">
        <v>11</v>
      </c>
      <c r="B2763" t="s">
        <v>25</v>
      </c>
      <c r="C2763" t="s">
        <v>109</v>
      </c>
      <c r="D2763" t="s">
        <v>420</v>
      </c>
      <c r="E2763" s="5">
        <v>45812.958333333343</v>
      </c>
      <c r="F2763">
        <v>23.163174000000001</v>
      </c>
      <c r="G2763">
        <v>79.973061000000001</v>
      </c>
      <c r="H2763" t="s">
        <v>776</v>
      </c>
      <c r="I2763">
        <v>11</v>
      </c>
      <c r="J2763">
        <v>50</v>
      </c>
      <c r="K2763">
        <v>16</v>
      </c>
    </row>
    <row r="2764" spans="1:11" x14ac:dyDescent="0.3">
      <c r="A2764" t="s">
        <v>11</v>
      </c>
      <c r="B2764" t="s">
        <v>25</v>
      </c>
      <c r="C2764" t="s">
        <v>109</v>
      </c>
      <c r="D2764" t="s">
        <v>421</v>
      </c>
      <c r="E2764" s="5">
        <v>45812.958333333343</v>
      </c>
      <c r="F2764">
        <v>23.142887999999999</v>
      </c>
      <c r="G2764">
        <v>79.916146999999995</v>
      </c>
      <c r="H2764" t="s">
        <v>775</v>
      </c>
    </row>
    <row r="2765" spans="1:11" x14ac:dyDescent="0.3">
      <c r="A2765" t="s">
        <v>11</v>
      </c>
      <c r="B2765" t="s">
        <v>25</v>
      </c>
      <c r="C2765" t="s">
        <v>109</v>
      </c>
      <c r="D2765" t="s">
        <v>421</v>
      </c>
      <c r="E2765" s="5">
        <v>45812.958333333343</v>
      </c>
      <c r="F2765">
        <v>23.142887999999999</v>
      </c>
      <c r="G2765">
        <v>79.916146999999995</v>
      </c>
      <c r="H2765" t="s">
        <v>772</v>
      </c>
    </row>
    <row r="2766" spans="1:11" x14ac:dyDescent="0.3">
      <c r="A2766" t="s">
        <v>11</v>
      </c>
      <c r="B2766" t="s">
        <v>26</v>
      </c>
      <c r="C2766" t="s">
        <v>134</v>
      </c>
      <c r="D2766" t="s">
        <v>454</v>
      </c>
      <c r="E2766" s="5">
        <v>45812.958333333343</v>
      </c>
      <c r="F2766">
        <v>19.309073000000001</v>
      </c>
      <c r="G2766">
        <v>73.057222999999993</v>
      </c>
      <c r="H2766" t="s">
        <v>774</v>
      </c>
      <c r="I2766">
        <v>8</v>
      </c>
      <c r="J2766">
        <v>25</v>
      </c>
      <c r="K2766">
        <v>13</v>
      </c>
    </row>
    <row r="2767" spans="1:11" x14ac:dyDescent="0.3">
      <c r="A2767" t="s">
        <v>11</v>
      </c>
      <c r="B2767" t="s">
        <v>26</v>
      </c>
      <c r="C2767" t="s">
        <v>125</v>
      </c>
      <c r="D2767" t="s">
        <v>439</v>
      </c>
      <c r="E2767" s="5">
        <v>45812.958333333343</v>
      </c>
      <c r="F2767">
        <v>19.786089</v>
      </c>
      <c r="G2767">
        <v>72.757970999999998</v>
      </c>
      <c r="H2767" t="s">
        <v>772</v>
      </c>
      <c r="I2767">
        <v>14</v>
      </c>
      <c r="J2767">
        <v>40</v>
      </c>
      <c r="K2767">
        <v>26</v>
      </c>
    </row>
    <row r="2768" spans="1:11" x14ac:dyDescent="0.3">
      <c r="A2768" t="s">
        <v>11</v>
      </c>
      <c r="B2768" t="s">
        <v>26</v>
      </c>
      <c r="C2768" t="s">
        <v>125</v>
      </c>
      <c r="D2768" t="s">
        <v>439</v>
      </c>
      <c r="E2768" s="5">
        <v>45812.958333333343</v>
      </c>
      <c r="F2768">
        <v>19.786089</v>
      </c>
      <c r="G2768">
        <v>72.757970999999998</v>
      </c>
      <c r="H2768" t="s">
        <v>773</v>
      </c>
    </row>
    <row r="2769" spans="1:11" x14ac:dyDescent="0.3">
      <c r="A2769" t="s">
        <v>11</v>
      </c>
      <c r="B2769" t="s">
        <v>26</v>
      </c>
      <c r="C2769" t="s">
        <v>126</v>
      </c>
      <c r="D2769" t="s">
        <v>440</v>
      </c>
      <c r="E2769" s="5">
        <v>45812.958333333343</v>
      </c>
      <c r="F2769">
        <v>19.962900000000001</v>
      </c>
      <c r="G2769">
        <v>79.298714000000004</v>
      </c>
      <c r="H2769" t="s">
        <v>770</v>
      </c>
      <c r="I2769">
        <v>21</v>
      </c>
      <c r="J2769">
        <v>55</v>
      </c>
      <c r="K2769">
        <v>24</v>
      </c>
    </row>
    <row r="2770" spans="1:11" x14ac:dyDescent="0.3">
      <c r="A2770" t="s">
        <v>11</v>
      </c>
      <c r="B2770" t="s">
        <v>25</v>
      </c>
      <c r="C2770" t="s">
        <v>113</v>
      </c>
      <c r="D2770" t="s">
        <v>417</v>
      </c>
      <c r="E2770" s="5">
        <v>45812.958333333343</v>
      </c>
      <c r="F2770">
        <v>22.624758</v>
      </c>
      <c r="G2770">
        <v>75.675237999999993</v>
      </c>
      <c r="H2770" t="s">
        <v>773</v>
      </c>
      <c r="I2770">
        <v>3</v>
      </c>
      <c r="J2770">
        <v>5</v>
      </c>
      <c r="K2770">
        <v>4</v>
      </c>
    </row>
    <row r="2771" spans="1:11" x14ac:dyDescent="0.3">
      <c r="A2771" t="s">
        <v>11</v>
      </c>
      <c r="B2771" t="s">
        <v>25</v>
      </c>
      <c r="C2771" t="s">
        <v>117</v>
      </c>
      <c r="D2771" t="s">
        <v>429</v>
      </c>
      <c r="E2771" s="5">
        <v>45812.958333333343</v>
      </c>
      <c r="F2771">
        <v>23.838585999999999</v>
      </c>
      <c r="G2771">
        <v>78.759431000000006</v>
      </c>
      <c r="H2771" t="s">
        <v>773</v>
      </c>
      <c r="I2771">
        <v>1</v>
      </c>
      <c r="J2771">
        <v>1</v>
      </c>
      <c r="K2771">
        <v>1</v>
      </c>
    </row>
    <row r="2772" spans="1:11" x14ac:dyDescent="0.3">
      <c r="A2772" t="s">
        <v>11</v>
      </c>
      <c r="B2772" t="s">
        <v>25</v>
      </c>
      <c r="C2772" t="s">
        <v>117</v>
      </c>
      <c r="D2772" t="s">
        <v>430</v>
      </c>
      <c r="E2772" s="5">
        <v>45812.958333333343</v>
      </c>
      <c r="F2772">
        <v>23.864015800000001</v>
      </c>
      <c r="G2772">
        <v>78.802893209999993</v>
      </c>
      <c r="H2772" t="s">
        <v>774</v>
      </c>
      <c r="I2772">
        <v>20</v>
      </c>
      <c r="J2772">
        <v>21</v>
      </c>
      <c r="K2772">
        <v>21</v>
      </c>
    </row>
    <row r="2773" spans="1:11" x14ac:dyDescent="0.3">
      <c r="A2773" t="s">
        <v>11</v>
      </c>
      <c r="B2773" t="s">
        <v>26</v>
      </c>
      <c r="C2773" t="s">
        <v>49</v>
      </c>
      <c r="D2773" t="s">
        <v>451</v>
      </c>
      <c r="E2773" s="5">
        <v>45812.958333333343</v>
      </c>
      <c r="F2773">
        <v>19.863755999999999</v>
      </c>
      <c r="G2773">
        <v>75.321188000000006</v>
      </c>
      <c r="H2773" t="s">
        <v>773</v>
      </c>
      <c r="I2773">
        <v>2</v>
      </c>
      <c r="J2773">
        <v>4</v>
      </c>
      <c r="K2773">
        <v>3</v>
      </c>
    </row>
    <row r="2774" spans="1:11" x14ac:dyDescent="0.3">
      <c r="A2774" t="s">
        <v>11</v>
      </c>
      <c r="B2774" t="s">
        <v>26</v>
      </c>
      <c r="C2774" t="s">
        <v>49</v>
      </c>
      <c r="D2774" t="s">
        <v>451</v>
      </c>
      <c r="E2774" s="5">
        <v>45812.958333333343</v>
      </c>
      <c r="F2774">
        <v>19.863755999999999</v>
      </c>
      <c r="G2774">
        <v>75.321188000000006</v>
      </c>
      <c r="H2774" t="s">
        <v>776</v>
      </c>
      <c r="I2774">
        <v>2</v>
      </c>
      <c r="J2774">
        <v>79</v>
      </c>
      <c r="K2774">
        <v>16</v>
      </c>
    </row>
    <row r="2775" spans="1:11" x14ac:dyDescent="0.3">
      <c r="A2775" t="s">
        <v>11</v>
      </c>
      <c r="B2775" t="s">
        <v>26</v>
      </c>
      <c r="C2775" t="s">
        <v>266</v>
      </c>
      <c r="D2775" t="s">
        <v>700</v>
      </c>
      <c r="E2775" s="5">
        <v>45812.958333333343</v>
      </c>
      <c r="F2775">
        <v>19.164850000000001</v>
      </c>
      <c r="G2775">
        <v>73.234089999999995</v>
      </c>
      <c r="H2775" t="s">
        <v>771</v>
      </c>
      <c r="I2775">
        <v>82</v>
      </c>
      <c r="J2775">
        <v>165</v>
      </c>
      <c r="K2775">
        <v>117</v>
      </c>
    </row>
    <row r="2776" spans="1:11" x14ac:dyDescent="0.3">
      <c r="A2776" t="s">
        <v>11</v>
      </c>
      <c r="B2776" t="s">
        <v>25</v>
      </c>
      <c r="C2776" t="s">
        <v>117</v>
      </c>
      <c r="D2776" t="s">
        <v>430</v>
      </c>
      <c r="E2776" s="5">
        <v>45812.958333333343</v>
      </c>
      <c r="F2776">
        <v>23.864015800000001</v>
      </c>
      <c r="G2776">
        <v>78.802893209999993</v>
      </c>
      <c r="H2776" t="s">
        <v>776</v>
      </c>
      <c r="I2776">
        <v>38</v>
      </c>
      <c r="J2776">
        <v>50</v>
      </c>
      <c r="K2776">
        <v>41</v>
      </c>
    </row>
    <row r="2777" spans="1:11" x14ac:dyDescent="0.3">
      <c r="A2777" t="s">
        <v>11</v>
      </c>
      <c r="B2777" t="s">
        <v>25</v>
      </c>
      <c r="C2777" t="s">
        <v>118</v>
      </c>
      <c r="D2777" t="s">
        <v>431</v>
      </c>
      <c r="E2777" s="5">
        <v>45812.958333333343</v>
      </c>
      <c r="F2777">
        <v>24.584343629999999</v>
      </c>
      <c r="G2777">
        <v>80.854941400000001</v>
      </c>
      <c r="H2777" t="s">
        <v>775</v>
      </c>
      <c r="I2777">
        <v>41</v>
      </c>
      <c r="J2777">
        <v>44</v>
      </c>
      <c r="K2777">
        <v>42</v>
      </c>
    </row>
    <row r="2778" spans="1:11" x14ac:dyDescent="0.3">
      <c r="A2778" t="s">
        <v>11</v>
      </c>
      <c r="B2778" t="s">
        <v>25</v>
      </c>
      <c r="C2778" t="s">
        <v>118</v>
      </c>
      <c r="D2778" t="s">
        <v>431</v>
      </c>
      <c r="E2778" s="5">
        <v>45812.958333333343</v>
      </c>
      <c r="F2778">
        <v>24.584343629999999</v>
      </c>
      <c r="G2778">
        <v>80.854941400000001</v>
      </c>
      <c r="H2778" t="s">
        <v>776</v>
      </c>
    </row>
    <row r="2779" spans="1:11" x14ac:dyDescent="0.3">
      <c r="A2779" t="s">
        <v>11</v>
      </c>
      <c r="B2779" t="s">
        <v>26</v>
      </c>
      <c r="C2779" t="s">
        <v>130</v>
      </c>
      <c r="D2779" t="s">
        <v>446</v>
      </c>
      <c r="E2779" s="5">
        <v>45812.958333333343</v>
      </c>
      <c r="F2779">
        <v>20.939198000000001</v>
      </c>
      <c r="G2779">
        <v>77.765701000000007</v>
      </c>
      <c r="H2779" t="s">
        <v>776</v>
      </c>
      <c r="I2779">
        <v>31</v>
      </c>
      <c r="J2779">
        <v>108</v>
      </c>
      <c r="K2779">
        <v>54</v>
      </c>
    </row>
    <row r="2780" spans="1:11" x14ac:dyDescent="0.3">
      <c r="A2780" t="s">
        <v>11</v>
      </c>
      <c r="B2780" t="s">
        <v>26</v>
      </c>
      <c r="C2780" t="s">
        <v>49</v>
      </c>
      <c r="D2780" t="s">
        <v>697</v>
      </c>
      <c r="E2780" s="5">
        <v>45812.958333333343</v>
      </c>
      <c r="F2780">
        <v>19.8389439</v>
      </c>
      <c r="G2780">
        <v>75.244448000000006</v>
      </c>
      <c r="H2780" t="s">
        <v>772</v>
      </c>
      <c r="I2780">
        <v>20</v>
      </c>
      <c r="J2780">
        <v>29</v>
      </c>
      <c r="K2780">
        <v>26</v>
      </c>
    </row>
    <row r="2781" spans="1:11" x14ac:dyDescent="0.3">
      <c r="A2781" t="s">
        <v>11</v>
      </c>
      <c r="B2781" t="s">
        <v>26</v>
      </c>
      <c r="C2781" t="s">
        <v>266</v>
      </c>
      <c r="D2781" t="s">
        <v>700</v>
      </c>
      <c r="E2781" s="5">
        <v>45812.958333333343</v>
      </c>
      <c r="F2781">
        <v>19.164850000000001</v>
      </c>
      <c r="G2781">
        <v>73.234089999999995</v>
      </c>
      <c r="H2781" t="s">
        <v>774</v>
      </c>
      <c r="I2781">
        <v>8</v>
      </c>
      <c r="J2781">
        <v>24</v>
      </c>
      <c r="K2781">
        <v>14</v>
      </c>
    </row>
    <row r="2782" spans="1:11" x14ac:dyDescent="0.3">
      <c r="A2782" t="s">
        <v>11</v>
      </c>
      <c r="B2782" t="s">
        <v>26</v>
      </c>
      <c r="C2782" t="s">
        <v>266</v>
      </c>
      <c r="D2782" t="s">
        <v>700</v>
      </c>
      <c r="E2782" s="5">
        <v>45812.958333333343</v>
      </c>
      <c r="F2782">
        <v>19.164850000000001</v>
      </c>
      <c r="G2782">
        <v>73.234089999999995</v>
      </c>
      <c r="H2782" t="s">
        <v>770</v>
      </c>
      <c r="I2782">
        <v>1</v>
      </c>
      <c r="J2782">
        <v>171</v>
      </c>
      <c r="K2782">
        <v>92</v>
      </c>
    </row>
    <row r="2783" spans="1:11" x14ac:dyDescent="0.3">
      <c r="A2783" t="s">
        <v>11</v>
      </c>
      <c r="B2783" t="s">
        <v>26</v>
      </c>
      <c r="C2783" t="s">
        <v>135</v>
      </c>
      <c r="D2783" t="s">
        <v>457</v>
      </c>
      <c r="E2783" s="5">
        <v>45812.958333333343</v>
      </c>
      <c r="F2783">
        <v>19.215858999999998</v>
      </c>
      <c r="G2783">
        <v>72.831717999999995</v>
      </c>
      <c r="H2783" t="s">
        <v>775</v>
      </c>
      <c r="I2783">
        <v>24</v>
      </c>
      <c r="J2783">
        <v>75</v>
      </c>
      <c r="K2783">
        <v>43</v>
      </c>
    </row>
    <row r="2784" spans="1:11" x14ac:dyDescent="0.3">
      <c r="A2784" t="s">
        <v>11</v>
      </c>
      <c r="B2784" t="s">
        <v>26</v>
      </c>
      <c r="C2784" t="s">
        <v>135</v>
      </c>
      <c r="D2784" t="s">
        <v>457</v>
      </c>
      <c r="E2784" s="5">
        <v>45812.958333333343</v>
      </c>
      <c r="F2784">
        <v>19.215858999999998</v>
      </c>
      <c r="G2784">
        <v>72.831717999999995</v>
      </c>
      <c r="H2784" t="s">
        <v>774</v>
      </c>
      <c r="I2784">
        <v>1</v>
      </c>
      <c r="J2784">
        <v>4</v>
      </c>
      <c r="K2784">
        <v>1</v>
      </c>
    </row>
    <row r="2785" spans="1:11" x14ac:dyDescent="0.3">
      <c r="A2785" t="s">
        <v>11</v>
      </c>
      <c r="B2785" t="s">
        <v>26</v>
      </c>
      <c r="C2785" t="s">
        <v>135</v>
      </c>
      <c r="D2785" t="s">
        <v>458</v>
      </c>
      <c r="E2785" s="5">
        <v>45812.958333333343</v>
      </c>
      <c r="F2785">
        <v>19.063214299999999</v>
      </c>
      <c r="G2785">
        <v>72.8456324</v>
      </c>
      <c r="H2785" t="s">
        <v>775</v>
      </c>
      <c r="I2785">
        <v>8</v>
      </c>
      <c r="J2785">
        <v>67</v>
      </c>
      <c r="K2785">
        <v>38</v>
      </c>
    </row>
    <row r="2786" spans="1:11" x14ac:dyDescent="0.3">
      <c r="A2786" t="s">
        <v>11</v>
      </c>
      <c r="B2786" t="s">
        <v>26</v>
      </c>
      <c r="C2786" t="s">
        <v>135</v>
      </c>
      <c r="D2786" t="s">
        <v>471</v>
      </c>
      <c r="E2786" s="5">
        <v>45812.958333333343</v>
      </c>
      <c r="F2786">
        <v>19.165332299999999</v>
      </c>
      <c r="G2786">
        <v>72.922099000000003</v>
      </c>
      <c r="H2786" t="s">
        <v>775</v>
      </c>
      <c r="I2786">
        <v>20</v>
      </c>
      <c r="J2786">
        <v>116</v>
      </c>
      <c r="K2786">
        <v>50</v>
      </c>
    </row>
    <row r="2787" spans="1:11" x14ac:dyDescent="0.3">
      <c r="A2787" t="s">
        <v>11</v>
      </c>
      <c r="B2787" t="s">
        <v>26</v>
      </c>
      <c r="C2787" t="s">
        <v>135</v>
      </c>
      <c r="D2787" t="s">
        <v>471</v>
      </c>
      <c r="E2787" s="5">
        <v>45812.958333333343</v>
      </c>
      <c r="F2787">
        <v>19.165332299999999</v>
      </c>
      <c r="G2787">
        <v>72.922099000000003</v>
      </c>
      <c r="H2787" t="s">
        <v>771</v>
      </c>
      <c r="I2787">
        <v>30</v>
      </c>
      <c r="J2787">
        <v>160</v>
      </c>
      <c r="K2787">
        <v>80</v>
      </c>
    </row>
    <row r="2788" spans="1:11" x14ac:dyDescent="0.3">
      <c r="A2788" t="s">
        <v>11</v>
      </c>
      <c r="B2788" t="s">
        <v>26</v>
      </c>
      <c r="C2788" t="s">
        <v>135</v>
      </c>
      <c r="D2788" t="s">
        <v>471</v>
      </c>
      <c r="E2788" s="5">
        <v>45812.958333333343</v>
      </c>
      <c r="F2788">
        <v>19.165332299999999</v>
      </c>
      <c r="G2788">
        <v>72.922099000000003</v>
      </c>
      <c r="H2788" t="s">
        <v>776</v>
      </c>
      <c r="I2788">
        <v>2</v>
      </c>
      <c r="J2788">
        <v>16</v>
      </c>
      <c r="K2788">
        <v>3</v>
      </c>
    </row>
    <row r="2789" spans="1:11" x14ac:dyDescent="0.3">
      <c r="A2789" t="s">
        <v>11</v>
      </c>
      <c r="B2789" t="s">
        <v>26</v>
      </c>
      <c r="C2789" t="s">
        <v>135</v>
      </c>
      <c r="D2789" t="s">
        <v>461</v>
      </c>
      <c r="E2789" s="5">
        <v>45812.958333333343</v>
      </c>
      <c r="F2789">
        <v>19.065930999999999</v>
      </c>
      <c r="G2789">
        <v>72.862131000000005</v>
      </c>
      <c r="H2789" t="s">
        <v>774</v>
      </c>
      <c r="I2789">
        <v>2</v>
      </c>
      <c r="J2789">
        <v>5</v>
      </c>
      <c r="K2789">
        <v>3</v>
      </c>
    </row>
    <row r="2790" spans="1:11" x14ac:dyDescent="0.3">
      <c r="A2790" t="s">
        <v>11</v>
      </c>
      <c r="B2790" t="s">
        <v>26</v>
      </c>
      <c r="C2790" t="s">
        <v>135</v>
      </c>
      <c r="D2790" t="s">
        <v>462</v>
      </c>
      <c r="E2790" s="5">
        <v>45812.958333333343</v>
      </c>
      <c r="F2790">
        <v>19.232410000000002</v>
      </c>
      <c r="G2790">
        <v>72.868949999999998</v>
      </c>
      <c r="H2790" t="s">
        <v>775</v>
      </c>
      <c r="I2790">
        <v>49</v>
      </c>
      <c r="J2790">
        <v>137</v>
      </c>
      <c r="K2790">
        <v>76</v>
      </c>
    </row>
    <row r="2791" spans="1:11" x14ac:dyDescent="0.3">
      <c r="A2791" t="s">
        <v>11</v>
      </c>
      <c r="B2791" t="s">
        <v>26</v>
      </c>
      <c r="C2791" t="s">
        <v>135</v>
      </c>
      <c r="D2791" t="s">
        <v>762</v>
      </c>
      <c r="E2791" s="5">
        <v>45812.958333333343</v>
      </c>
      <c r="F2791">
        <v>19.224333300000001</v>
      </c>
      <c r="G2791">
        <v>72.865811300000004</v>
      </c>
      <c r="H2791" t="s">
        <v>773</v>
      </c>
      <c r="I2791">
        <v>1</v>
      </c>
      <c r="J2791">
        <v>5</v>
      </c>
      <c r="K2791">
        <v>3</v>
      </c>
    </row>
    <row r="2792" spans="1:11" x14ac:dyDescent="0.3">
      <c r="A2792" t="s">
        <v>11</v>
      </c>
      <c r="B2792" t="s">
        <v>26</v>
      </c>
      <c r="C2792" t="s">
        <v>135</v>
      </c>
      <c r="D2792" t="s">
        <v>762</v>
      </c>
      <c r="E2792" s="5">
        <v>45812.958333333343</v>
      </c>
      <c r="F2792">
        <v>19.224333300000001</v>
      </c>
      <c r="G2792">
        <v>72.865811300000004</v>
      </c>
      <c r="H2792" t="s">
        <v>776</v>
      </c>
      <c r="I2792">
        <v>4</v>
      </c>
      <c r="J2792">
        <v>18</v>
      </c>
      <c r="K2792">
        <v>17</v>
      </c>
    </row>
    <row r="2793" spans="1:11" x14ac:dyDescent="0.3">
      <c r="A2793" t="s">
        <v>11</v>
      </c>
      <c r="B2793" t="s">
        <v>26</v>
      </c>
      <c r="C2793" t="s">
        <v>135</v>
      </c>
      <c r="D2793" t="s">
        <v>699</v>
      </c>
      <c r="E2793" s="5">
        <v>45812.958333333343</v>
      </c>
      <c r="F2793">
        <v>18.976700000000001</v>
      </c>
      <c r="G2793">
        <v>72.837999999999994</v>
      </c>
      <c r="H2793" t="s">
        <v>774</v>
      </c>
      <c r="I2793">
        <v>6</v>
      </c>
      <c r="J2793">
        <v>7</v>
      </c>
      <c r="K2793">
        <v>7</v>
      </c>
    </row>
    <row r="2794" spans="1:11" x14ac:dyDescent="0.3">
      <c r="A2794" t="s">
        <v>11</v>
      </c>
      <c r="B2794" t="s">
        <v>26</v>
      </c>
      <c r="C2794" t="s">
        <v>135</v>
      </c>
      <c r="D2794" t="s">
        <v>472</v>
      </c>
      <c r="E2794" s="5">
        <v>45812.958333333343</v>
      </c>
      <c r="F2794">
        <v>18.91</v>
      </c>
      <c r="G2794">
        <v>72.819999999999993</v>
      </c>
      <c r="H2794" t="s">
        <v>773</v>
      </c>
      <c r="I2794">
        <v>3</v>
      </c>
      <c r="J2794">
        <v>3</v>
      </c>
      <c r="K2794">
        <v>3</v>
      </c>
    </row>
    <row r="2795" spans="1:11" x14ac:dyDescent="0.3">
      <c r="A2795" t="s">
        <v>11</v>
      </c>
      <c r="B2795" t="s">
        <v>26</v>
      </c>
      <c r="C2795" t="s">
        <v>135</v>
      </c>
      <c r="D2795" t="s">
        <v>472</v>
      </c>
      <c r="E2795" s="5">
        <v>45812.958333333343</v>
      </c>
      <c r="F2795">
        <v>18.91</v>
      </c>
      <c r="G2795">
        <v>72.819999999999993</v>
      </c>
      <c r="H2795" t="s">
        <v>776</v>
      </c>
      <c r="I2795">
        <v>26</v>
      </c>
      <c r="J2795">
        <v>29</v>
      </c>
      <c r="K2795">
        <v>26</v>
      </c>
    </row>
    <row r="2796" spans="1:11" x14ac:dyDescent="0.3">
      <c r="A2796" t="s">
        <v>11</v>
      </c>
      <c r="B2796" t="s">
        <v>26</v>
      </c>
      <c r="C2796" t="s">
        <v>135</v>
      </c>
      <c r="D2796" t="s">
        <v>769</v>
      </c>
      <c r="E2796" s="5">
        <v>45812.958333333343</v>
      </c>
      <c r="F2796">
        <v>19.04946</v>
      </c>
      <c r="G2796">
        <v>72.923000000000002</v>
      </c>
      <c r="H2796" t="s">
        <v>775</v>
      </c>
      <c r="I2796">
        <v>36</v>
      </c>
      <c r="J2796">
        <v>311</v>
      </c>
      <c r="K2796">
        <v>98</v>
      </c>
    </row>
    <row r="2797" spans="1:11" x14ac:dyDescent="0.3">
      <c r="A2797" t="s">
        <v>11</v>
      </c>
      <c r="B2797" t="s">
        <v>26</v>
      </c>
      <c r="C2797" t="s">
        <v>135</v>
      </c>
      <c r="D2797" t="s">
        <v>769</v>
      </c>
      <c r="E2797" s="5">
        <v>45812.958333333343</v>
      </c>
      <c r="F2797">
        <v>19.04946</v>
      </c>
      <c r="G2797">
        <v>72.923000000000002</v>
      </c>
      <c r="H2797" t="s">
        <v>772</v>
      </c>
      <c r="I2797">
        <v>14</v>
      </c>
      <c r="J2797">
        <v>62</v>
      </c>
      <c r="K2797">
        <v>34</v>
      </c>
    </row>
    <row r="2798" spans="1:11" x14ac:dyDescent="0.3">
      <c r="A2798" t="s">
        <v>11</v>
      </c>
      <c r="B2798" t="s">
        <v>26</v>
      </c>
      <c r="C2798" t="s">
        <v>135</v>
      </c>
      <c r="D2798" t="s">
        <v>455</v>
      </c>
      <c r="E2798" s="5">
        <v>45812.958333333343</v>
      </c>
      <c r="F2798">
        <v>19.083694000000001</v>
      </c>
      <c r="G2798">
        <v>72.920967000000005</v>
      </c>
      <c r="H2798" t="s">
        <v>771</v>
      </c>
      <c r="I2798">
        <v>54</v>
      </c>
      <c r="J2798">
        <v>116</v>
      </c>
      <c r="K2798">
        <v>80</v>
      </c>
    </row>
    <row r="2799" spans="1:11" x14ac:dyDescent="0.3">
      <c r="A2799" t="s">
        <v>11</v>
      </c>
      <c r="B2799" t="s">
        <v>26</v>
      </c>
      <c r="C2799" t="s">
        <v>265</v>
      </c>
      <c r="D2799" t="s">
        <v>698</v>
      </c>
      <c r="E2799" s="5">
        <v>45812.958333333343</v>
      </c>
      <c r="F2799">
        <v>18.399629999999998</v>
      </c>
      <c r="G2799">
        <v>76.574520000000007</v>
      </c>
      <c r="H2799" t="s">
        <v>773</v>
      </c>
      <c r="I2799">
        <v>5</v>
      </c>
      <c r="J2799">
        <v>74</v>
      </c>
      <c r="K2799">
        <v>25</v>
      </c>
    </row>
    <row r="2800" spans="1:11" x14ac:dyDescent="0.3">
      <c r="A2800" t="s">
        <v>11</v>
      </c>
      <c r="B2800" t="s">
        <v>26</v>
      </c>
      <c r="C2800" t="s">
        <v>122</v>
      </c>
      <c r="D2800" t="s">
        <v>436</v>
      </c>
      <c r="E2800" s="5">
        <v>45812.958333333343</v>
      </c>
      <c r="F2800">
        <v>18.1023399</v>
      </c>
      <c r="G2800">
        <v>73.478368700000004</v>
      </c>
      <c r="H2800" t="s">
        <v>772</v>
      </c>
      <c r="I2800">
        <v>8</v>
      </c>
      <c r="J2800">
        <v>92</v>
      </c>
      <c r="K2800">
        <v>27</v>
      </c>
    </row>
    <row r="2801" spans="1:11" x14ac:dyDescent="0.3">
      <c r="A2801" t="s">
        <v>11</v>
      </c>
      <c r="B2801" t="s">
        <v>26</v>
      </c>
      <c r="C2801" t="s">
        <v>123</v>
      </c>
      <c r="D2801" t="s">
        <v>437</v>
      </c>
      <c r="E2801" s="5">
        <v>45812.958333333343</v>
      </c>
      <c r="F2801">
        <v>20.555712</v>
      </c>
      <c r="G2801">
        <v>74.529235999999997</v>
      </c>
      <c r="H2801" t="s">
        <v>774</v>
      </c>
      <c r="I2801">
        <v>31</v>
      </c>
      <c r="J2801">
        <v>48</v>
      </c>
      <c r="K2801">
        <v>39</v>
      </c>
    </row>
    <row r="2802" spans="1:11" x14ac:dyDescent="0.3">
      <c r="A2802" t="s">
        <v>11</v>
      </c>
      <c r="B2802" t="s">
        <v>26</v>
      </c>
      <c r="C2802" t="s">
        <v>123</v>
      </c>
      <c r="D2802" t="s">
        <v>437</v>
      </c>
      <c r="E2802" s="5">
        <v>45812.958333333343</v>
      </c>
      <c r="F2802">
        <v>20.555712</v>
      </c>
      <c r="G2802">
        <v>74.529235999999997</v>
      </c>
      <c r="H2802" t="s">
        <v>770</v>
      </c>
      <c r="I2802">
        <v>24</v>
      </c>
      <c r="J2802">
        <v>69</v>
      </c>
      <c r="K2802">
        <v>56</v>
      </c>
    </row>
    <row r="2803" spans="1:11" x14ac:dyDescent="0.3">
      <c r="A2803" t="s">
        <v>11</v>
      </c>
      <c r="B2803" t="s">
        <v>26</v>
      </c>
      <c r="C2803" t="s">
        <v>264</v>
      </c>
      <c r="D2803" t="s">
        <v>696</v>
      </c>
      <c r="E2803" s="5">
        <v>45812.958333333343</v>
      </c>
      <c r="F2803">
        <v>21.001263999999999</v>
      </c>
      <c r="G2803">
        <v>75.565601999999998</v>
      </c>
      <c r="H2803" t="s">
        <v>772</v>
      </c>
      <c r="I2803">
        <v>15</v>
      </c>
      <c r="J2803">
        <v>109</v>
      </c>
      <c r="K2803">
        <v>38</v>
      </c>
    </row>
    <row r="2804" spans="1:11" x14ac:dyDescent="0.3">
      <c r="A2804" t="s">
        <v>11</v>
      </c>
      <c r="B2804" t="s">
        <v>26</v>
      </c>
      <c r="C2804" t="s">
        <v>132</v>
      </c>
      <c r="D2804" t="s">
        <v>448</v>
      </c>
      <c r="E2804" s="5">
        <v>45812.958333333343</v>
      </c>
      <c r="F2804">
        <v>19.25292</v>
      </c>
      <c r="G2804">
        <v>73.142019000000005</v>
      </c>
      <c r="H2804" t="s">
        <v>771</v>
      </c>
      <c r="I2804">
        <v>106</v>
      </c>
      <c r="J2804">
        <v>167</v>
      </c>
      <c r="K2804">
        <v>128</v>
      </c>
    </row>
    <row r="2805" spans="1:11" x14ac:dyDescent="0.3">
      <c r="A2805" t="s">
        <v>11</v>
      </c>
      <c r="B2805" t="s">
        <v>26</v>
      </c>
      <c r="C2805" t="s">
        <v>121</v>
      </c>
      <c r="D2805" t="s">
        <v>450</v>
      </c>
      <c r="E2805" s="5">
        <v>45812.958333333343</v>
      </c>
      <c r="F2805">
        <v>16.6870449</v>
      </c>
      <c r="G2805">
        <v>74.250587199999998</v>
      </c>
      <c r="H2805" t="s">
        <v>775</v>
      </c>
      <c r="I2805">
        <v>22</v>
      </c>
      <c r="J2805">
        <v>51</v>
      </c>
      <c r="K2805">
        <v>34</v>
      </c>
    </row>
    <row r="2806" spans="1:11" x14ac:dyDescent="0.3">
      <c r="A2806" t="s">
        <v>11</v>
      </c>
      <c r="B2806" t="s">
        <v>26</v>
      </c>
      <c r="C2806" t="s">
        <v>135</v>
      </c>
      <c r="D2806" t="s">
        <v>701</v>
      </c>
      <c r="E2806" s="5">
        <v>45812.958333333343</v>
      </c>
      <c r="F2806">
        <v>19.036458499999998</v>
      </c>
      <c r="G2806">
        <v>72.895437099999995</v>
      </c>
      <c r="H2806" t="s">
        <v>773</v>
      </c>
      <c r="I2806">
        <v>9</v>
      </c>
      <c r="J2806">
        <v>14</v>
      </c>
      <c r="K2806">
        <v>10</v>
      </c>
    </row>
    <row r="2807" spans="1:11" x14ac:dyDescent="0.3">
      <c r="A2807" t="s">
        <v>11</v>
      </c>
      <c r="B2807" t="s">
        <v>26</v>
      </c>
      <c r="C2807" t="s">
        <v>135</v>
      </c>
      <c r="D2807" t="s">
        <v>701</v>
      </c>
      <c r="E2807" s="5">
        <v>45812.958333333343</v>
      </c>
      <c r="F2807">
        <v>19.036458499999998</v>
      </c>
      <c r="G2807">
        <v>72.895437099999995</v>
      </c>
      <c r="H2807" t="s">
        <v>770</v>
      </c>
      <c r="I2807">
        <v>2</v>
      </c>
      <c r="J2807">
        <v>89</v>
      </c>
      <c r="K2807">
        <v>53</v>
      </c>
    </row>
    <row r="2808" spans="1:11" x14ac:dyDescent="0.3">
      <c r="A2808" t="s">
        <v>11</v>
      </c>
      <c r="B2808" t="s">
        <v>26</v>
      </c>
      <c r="C2808" t="s">
        <v>135</v>
      </c>
      <c r="D2808" t="s">
        <v>470</v>
      </c>
      <c r="E2808" s="5">
        <v>45812.958333333343</v>
      </c>
      <c r="F2808">
        <v>19.10078</v>
      </c>
      <c r="G2808">
        <v>72.874619999999993</v>
      </c>
      <c r="H2808" t="s">
        <v>776</v>
      </c>
      <c r="I2808">
        <v>22</v>
      </c>
      <c r="J2808">
        <v>38</v>
      </c>
      <c r="K2808">
        <v>23</v>
      </c>
    </row>
    <row r="2809" spans="1:11" x14ac:dyDescent="0.3">
      <c r="A2809" t="s">
        <v>11</v>
      </c>
      <c r="B2809" t="s">
        <v>26</v>
      </c>
      <c r="C2809" t="s">
        <v>121</v>
      </c>
      <c r="D2809" t="s">
        <v>450</v>
      </c>
      <c r="E2809" s="5">
        <v>45812.958333333343</v>
      </c>
      <c r="F2809">
        <v>16.6870449</v>
      </c>
      <c r="G2809">
        <v>74.250587199999998</v>
      </c>
      <c r="H2809" t="s">
        <v>776</v>
      </c>
      <c r="I2809">
        <v>6</v>
      </c>
      <c r="J2809">
        <v>29</v>
      </c>
      <c r="K2809">
        <v>15</v>
      </c>
    </row>
    <row r="2810" spans="1:11" x14ac:dyDescent="0.3">
      <c r="A2810" t="s">
        <v>11</v>
      </c>
      <c r="B2810" t="s">
        <v>26</v>
      </c>
      <c r="C2810" t="s">
        <v>121</v>
      </c>
      <c r="D2810" t="s">
        <v>450</v>
      </c>
      <c r="E2810" s="5">
        <v>45812.958333333343</v>
      </c>
      <c r="F2810">
        <v>16.6870449</v>
      </c>
      <c r="G2810">
        <v>74.250587199999998</v>
      </c>
      <c r="H2810" t="s">
        <v>770</v>
      </c>
      <c r="I2810">
        <v>15</v>
      </c>
      <c r="J2810">
        <v>101</v>
      </c>
      <c r="K2810">
        <v>69</v>
      </c>
    </row>
    <row r="2811" spans="1:11" x14ac:dyDescent="0.3">
      <c r="A2811" t="s">
        <v>11</v>
      </c>
      <c r="B2811" t="s">
        <v>26</v>
      </c>
      <c r="C2811" t="s">
        <v>121</v>
      </c>
      <c r="D2811" t="s">
        <v>435</v>
      </c>
      <c r="E2811" s="5">
        <v>45812.958333333343</v>
      </c>
      <c r="F2811">
        <v>16.714374500000002</v>
      </c>
      <c r="G2811">
        <v>74.242639800000006</v>
      </c>
      <c r="H2811" t="s">
        <v>772</v>
      </c>
      <c r="I2811">
        <v>7</v>
      </c>
      <c r="J2811">
        <v>33</v>
      </c>
      <c r="K2811">
        <v>14</v>
      </c>
    </row>
    <row r="2812" spans="1:11" x14ac:dyDescent="0.3">
      <c r="A2812" t="s">
        <v>11</v>
      </c>
      <c r="B2812" t="s">
        <v>26</v>
      </c>
      <c r="C2812" t="s">
        <v>135</v>
      </c>
      <c r="D2812" t="s">
        <v>704</v>
      </c>
      <c r="E2812" s="5">
        <v>45812.958333333343</v>
      </c>
      <c r="F2812">
        <v>19.086300000000001</v>
      </c>
      <c r="G2812">
        <v>72.888800000000003</v>
      </c>
      <c r="H2812" t="s">
        <v>772</v>
      </c>
    </row>
    <row r="2813" spans="1:11" x14ac:dyDescent="0.3">
      <c r="A2813" t="s">
        <v>11</v>
      </c>
      <c r="B2813" t="s">
        <v>26</v>
      </c>
      <c r="C2813" t="s">
        <v>135</v>
      </c>
      <c r="D2813" t="s">
        <v>704</v>
      </c>
      <c r="E2813" s="5">
        <v>45812.958333333343</v>
      </c>
      <c r="F2813">
        <v>19.086300000000001</v>
      </c>
      <c r="G2813">
        <v>72.888800000000003</v>
      </c>
      <c r="H2813" t="s">
        <v>774</v>
      </c>
    </row>
    <row r="2814" spans="1:11" x14ac:dyDescent="0.3">
      <c r="A2814" t="s">
        <v>11</v>
      </c>
      <c r="B2814" t="s">
        <v>26</v>
      </c>
      <c r="C2814" t="s">
        <v>135</v>
      </c>
      <c r="D2814" t="s">
        <v>468</v>
      </c>
      <c r="E2814" s="5">
        <v>45812.958333333343</v>
      </c>
      <c r="F2814">
        <v>18.967020000000002</v>
      </c>
      <c r="G2814">
        <v>72.842140000000001</v>
      </c>
      <c r="H2814" t="s">
        <v>771</v>
      </c>
      <c r="I2814">
        <v>56</v>
      </c>
      <c r="J2814">
        <v>96</v>
      </c>
      <c r="K2814">
        <v>75</v>
      </c>
    </row>
    <row r="2815" spans="1:11" x14ac:dyDescent="0.3">
      <c r="A2815" t="s">
        <v>11</v>
      </c>
      <c r="B2815" t="s">
        <v>26</v>
      </c>
      <c r="C2815" t="s">
        <v>135</v>
      </c>
      <c r="D2815" t="s">
        <v>468</v>
      </c>
      <c r="E2815" s="5">
        <v>45812.958333333343</v>
      </c>
      <c r="F2815">
        <v>18.967020000000002</v>
      </c>
      <c r="G2815">
        <v>72.842140000000001</v>
      </c>
      <c r="H2815" t="s">
        <v>770</v>
      </c>
      <c r="I2815">
        <v>8</v>
      </c>
      <c r="J2815">
        <v>72</v>
      </c>
      <c r="K2815">
        <v>53</v>
      </c>
    </row>
    <row r="2816" spans="1:11" x14ac:dyDescent="0.3">
      <c r="A2816" t="s">
        <v>11</v>
      </c>
      <c r="B2816" t="s">
        <v>26</v>
      </c>
      <c r="C2816" t="s">
        <v>135</v>
      </c>
      <c r="D2816" t="s">
        <v>465</v>
      </c>
      <c r="E2816" s="5">
        <v>45812.958333333343</v>
      </c>
      <c r="F2816">
        <v>19.1878657</v>
      </c>
      <c r="G2816">
        <v>72.8304069</v>
      </c>
      <c r="H2816" t="s">
        <v>775</v>
      </c>
      <c r="I2816">
        <v>29</v>
      </c>
      <c r="J2816">
        <v>64</v>
      </c>
      <c r="K2816">
        <v>46</v>
      </c>
    </row>
    <row r="2817" spans="1:11" x14ac:dyDescent="0.3">
      <c r="A2817" t="s">
        <v>11</v>
      </c>
      <c r="B2817" t="s">
        <v>26</v>
      </c>
      <c r="C2817" t="s">
        <v>135</v>
      </c>
      <c r="D2817" t="s">
        <v>459</v>
      </c>
      <c r="E2817" s="5">
        <v>45812.958333333343</v>
      </c>
      <c r="F2817">
        <v>19.383199999999999</v>
      </c>
      <c r="G2817">
        <v>72.820400000000006</v>
      </c>
      <c r="H2817" t="s">
        <v>773</v>
      </c>
      <c r="I2817">
        <v>5</v>
      </c>
      <c r="J2817">
        <v>8</v>
      </c>
      <c r="K2817">
        <v>6</v>
      </c>
    </row>
    <row r="2818" spans="1:11" x14ac:dyDescent="0.3">
      <c r="A2818" t="s">
        <v>11</v>
      </c>
      <c r="B2818" t="s">
        <v>26</v>
      </c>
      <c r="C2818" t="s">
        <v>135</v>
      </c>
      <c r="D2818" t="s">
        <v>702</v>
      </c>
      <c r="E2818" s="5">
        <v>45812.958333333343</v>
      </c>
      <c r="F2818">
        <v>18.993616200000002</v>
      </c>
      <c r="G2818">
        <v>72.812811300000007</v>
      </c>
      <c r="H2818" t="s">
        <v>775</v>
      </c>
      <c r="I2818">
        <v>61</v>
      </c>
      <c r="J2818">
        <v>69</v>
      </c>
      <c r="K2818">
        <v>64</v>
      </c>
    </row>
    <row r="2819" spans="1:11" x14ac:dyDescent="0.3">
      <c r="A2819" t="s">
        <v>11</v>
      </c>
      <c r="B2819" t="s">
        <v>26</v>
      </c>
      <c r="C2819" t="s">
        <v>135</v>
      </c>
      <c r="D2819" t="s">
        <v>702</v>
      </c>
      <c r="E2819" s="5">
        <v>45812.958333333343</v>
      </c>
      <c r="F2819">
        <v>18.993616200000002</v>
      </c>
      <c r="G2819">
        <v>72.812811300000007</v>
      </c>
      <c r="H2819" t="s">
        <v>772</v>
      </c>
    </row>
    <row r="2820" spans="1:11" x14ac:dyDescent="0.3">
      <c r="A2820" t="s">
        <v>11</v>
      </c>
      <c r="B2820" t="s">
        <v>26</v>
      </c>
      <c r="C2820" t="s">
        <v>135</v>
      </c>
      <c r="D2820" t="s">
        <v>702</v>
      </c>
      <c r="E2820" s="5">
        <v>45812.958333333343</v>
      </c>
      <c r="F2820">
        <v>18.993616200000002</v>
      </c>
      <c r="G2820">
        <v>72.812811300000007</v>
      </c>
      <c r="H2820" t="s">
        <v>774</v>
      </c>
      <c r="I2820">
        <v>4</v>
      </c>
      <c r="J2820">
        <v>14</v>
      </c>
      <c r="K2820">
        <v>8</v>
      </c>
    </row>
    <row r="2821" spans="1:11" x14ac:dyDescent="0.3">
      <c r="A2821" t="s">
        <v>11</v>
      </c>
      <c r="B2821" t="s">
        <v>26</v>
      </c>
      <c r="C2821" t="s">
        <v>135</v>
      </c>
      <c r="D2821" t="s">
        <v>702</v>
      </c>
      <c r="E2821" s="5">
        <v>45812.958333333343</v>
      </c>
      <c r="F2821">
        <v>18.993616200000002</v>
      </c>
      <c r="G2821">
        <v>72.812811300000007</v>
      </c>
      <c r="H2821" t="s">
        <v>776</v>
      </c>
      <c r="I2821">
        <v>4</v>
      </c>
      <c r="J2821">
        <v>24</v>
      </c>
      <c r="K2821">
        <v>11</v>
      </c>
    </row>
    <row r="2822" spans="1:11" x14ac:dyDescent="0.3">
      <c r="A2822" t="s">
        <v>11</v>
      </c>
      <c r="B2822" t="s">
        <v>26</v>
      </c>
      <c r="C2822" t="s">
        <v>138</v>
      </c>
      <c r="D2822" t="s">
        <v>703</v>
      </c>
      <c r="E2822" s="5">
        <v>45812.958333333343</v>
      </c>
      <c r="F2822">
        <v>21.152875000000002</v>
      </c>
      <c r="G2822">
        <v>79.051753099999999</v>
      </c>
      <c r="H2822" t="s">
        <v>775</v>
      </c>
      <c r="I2822">
        <v>33</v>
      </c>
      <c r="J2822">
        <v>208</v>
      </c>
      <c r="K2822">
        <v>106</v>
      </c>
    </row>
    <row r="2823" spans="1:11" x14ac:dyDescent="0.3">
      <c r="A2823" t="s">
        <v>11</v>
      </c>
      <c r="B2823" t="s">
        <v>26</v>
      </c>
      <c r="C2823" t="s">
        <v>138</v>
      </c>
      <c r="D2823" t="s">
        <v>703</v>
      </c>
      <c r="E2823" s="5">
        <v>45812.958333333343</v>
      </c>
      <c r="F2823">
        <v>21.152875000000002</v>
      </c>
      <c r="G2823">
        <v>79.051753099999999</v>
      </c>
      <c r="H2823" t="s">
        <v>771</v>
      </c>
      <c r="I2823">
        <v>69</v>
      </c>
      <c r="J2823">
        <v>156</v>
      </c>
      <c r="K2823">
        <v>114</v>
      </c>
    </row>
    <row r="2824" spans="1:11" x14ac:dyDescent="0.3">
      <c r="A2824" t="s">
        <v>11</v>
      </c>
      <c r="B2824" t="s">
        <v>26</v>
      </c>
      <c r="C2824" t="s">
        <v>137</v>
      </c>
      <c r="D2824" t="s">
        <v>709</v>
      </c>
      <c r="E2824" s="5">
        <v>45812.958333333343</v>
      </c>
      <c r="F2824">
        <v>19.090337000000002</v>
      </c>
      <c r="G2824">
        <v>73.014232000000007</v>
      </c>
      <c r="H2824" t="s">
        <v>773</v>
      </c>
      <c r="I2824">
        <v>4</v>
      </c>
      <c r="J2824">
        <v>49</v>
      </c>
      <c r="K2824">
        <v>16</v>
      </c>
    </row>
    <row r="2825" spans="1:11" x14ac:dyDescent="0.3">
      <c r="A2825" t="s">
        <v>11</v>
      </c>
      <c r="B2825" t="s">
        <v>26</v>
      </c>
      <c r="C2825" t="s">
        <v>137</v>
      </c>
      <c r="D2825" t="s">
        <v>477</v>
      </c>
      <c r="E2825" s="5">
        <v>45812.958333333343</v>
      </c>
      <c r="F2825">
        <v>19.113505100000001</v>
      </c>
      <c r="G2825">
        <v>73.008977999999999</v>
      </c>
      <c r="H2825" t="s">
        <v>773</v>
      </c>
    </row>
    <row r="2826" spans="1:11" x14ac:dyDescent="0.3">
      <c r="A2826" t="s">
        <v>11</v>
      </c>
      <c r="B2826" t="s">
        <v>26</v>
      </c>
      <c r="C2826" t="s">
        <v>137</v>
      </c>
      <c r="D2826" t="s">
        <v>478</v>
      </c>
      <c r="E2826" s="5">
        <v>45812.958333333343</v>
      </c>
      <c r="F2826">
        <v>19.057575199999999</v>
      </c>
      <c r="G2826">
        <v>73.015136699999999</v>
      </c>
      <c r="H2826" t="s">
        <v>775</v>
      </c>
      <c r="I2826">
        <v>14</v>
      </c>
      <c r="J2826">
        <v>304</v>
      </c>
      <c r="K2826">
        <v>104</v>
      </c>
    </row>
    <row r="2827" spans="1:11" x14ac:dyDescent="0.3">
      <c r="A2827" t="s">
        <v>11</v>
      </c>
      <c r="B2827" t="s">
        <v>26</v>
      </c>
      <c r="C2827" t="s">
        <v>137</v>
      </c>
      <c r="D2827" t="s">
        <v>478</v>
      </c>
      <c r="E2827" s="5">
        <v>45812.958333333343</v>
      </c>
      <c r="F2827">
        <v>19.057575199999999</v>
      </c>
      <c r="G2827">
        <v>73.015136699999999</v>
      </c>
      <c r="H2827" t="s">
        <v>771</v>
      </c>
      <c r="I2827">
        <v>51</v>
      </c>
      <c r="J2827">
        <v>260</v>
      </c>
      <c r="K2827">
        <v>110</v>
      </c>
    </row>
    <row r="2828" spans="1:11" x14ac:dyDescent="0.3">
      <c r="A2828" t="s">
        <v>11</v>
      </c>
      <c r="B2828" t="s">
        <v>26</v>
      </c>
      <c r="C2828" t="s">
        <v>137</v>
      </c>
      <c r="D2828" t="s">
        <v>479</v>
      </c>
      <c r="E2828" s="5">
        <v>45812.958333333343</v>
      </c>
      <c r="F2828">
        <v>19.025790000000001</v>
      </c>
      <c r="G2828">
        <v>73.102969999999999</v>
      </c>
      <c r="H2828" t="s">
        <v>775</v>
      </c>
      <c r="I2828">
        <v>47</v>
      </c>
      <c r="J2828">
        <v>173</v>
      </c>
      <c r="K2828">
        <v>89</v>
      </c>
    </row>
    <row r="2829" spans="1:11" x14ac:dyDescent="0.3">
      <c r="A2829" t="s">
        <v>11</v>
      </c>
      <c r="B2829" t="s">
        <v>26</v>
      </c>
      <c r="C2829" t="s">
        <v>137</v>
      </c>
      <c r="D2829" t="s">
        <v>479</v>
      </c>
      <c r="E2829" s="5">
        <v>45812.958333333343</v>
      </c>
      <c r="F2829">
        <v>19.025790000000001</v>
      </c>
      <c r="G2829">
        <v>73.102969999999999</v>
      </c>
      <c r="H2829" t="s">
        <v>773</v>
      </c>
      <c r="I2829">
        <v>4</v>
      </c>
      <c r="J2829">
        <v>11</v>
      </c>
      <c r="K2829">
        <v>6</v>
      </c>
    </row>
    <row r="2830" spans="1:11" x14ac:dyDescent="0.3">
      <c r="A2830" t="s">
        <v>11</v>
      </c>
      <c r="B2830" t="s">
        <v>26</v>
      </c>
      <c r="C2830" t="s">
        <v>138</v>
      </c>
      <c r="D2830" t="s">
        <v>482</v>
      </c>
      <c r="E2830" s="5">
        <v>45812.958333333343</v>
      </c>
      <c r="F2830">
        <v>21.143383</v>
      </c>
      <c r="G2830">
        <v>79.048912000000001</v>
      </c>
      <c r="H2830" t="s">
        <v>770</v>
      </c>
      <c r="I2830">
        <v>6</v>
      </c>
      <c r="J2830">
        <v>69</v>
      </c>
      <c r="K2830">
        <v>33</v>
      </c>
    </row>
    <row r="2831" spans="1:11" x14ac:dyDescent="0.3">
      <c r="A2831" t="s">
        <v>11</v>
      </c>
      <c r="B2831" t="s">
        <v>26</v>
      </c>
      <c r="C2831" t="s">
        <v>139</v>
      </c>
      <c r="D2831" t="s">
        <v>483</v>
      </c>
      <c r="E2831" s="5">
        <v>45812.958333333343</v>
      </c>
      <c r="F2831">
        <v>19.173852</v>
      </c>
      <c r="G2831">
        <v>77.296290999999997</v>
      </c>
      <c r="H2831" t="s">
        <v>773</v>
      </c>
      <c r="I2831">
        <v>3</v>
      </c>
      <c r="J2831">
        <v>5</v>
      </c>
      <c r="K2831">
        <v>4</v>
      </c>
    </row>
    <row r="2832" spans="1:11" x14ac:dyDescent="0.3">
      <c r="A2832" t="s">
        <v>11</v>
      </c>
      <c r="B2832" t="s">
        <v>26</v>
      </c>
      <c r="C2832" t="s">
        <v>140</v>
      </c>
      <c r="D2832" t="s">
        <v>484</v>
      </c>
      <c r="E2832" s="5">
        <v>45812.958333333343</v>
      </c>
      <c r="F2832">
        <v>20.0073285</v>
      </c>
      <c r="G2832">
        <v>73.776242699999997</v>
      </c>
      <c r="H2832" t="s">
        <v>772</v>
      </c>
      <c r="I2832">
        <v>1</v>
      </c>
      <c r="J2832">
        <v>14</v>
      </c>
      <c r="K2832">
        <v>8</v>
      </c>
    </row>
    <row r="2833" spans="1:11" x14ac:dyDescent="0.3">
      <c r="A2833" t="s">
        <v>11</v>
      </c>
      <c r="B2833" t="s">
        <v>26</v>
      </c>
      <c r="C2833" t="s">
        <v>140</v>
      </c>
      <c r="D2833" t="s">
        <v>490</v>
      </c>
      <c r="E2833" s="5">
        <v>45812.958333333343</v>
      </c>
      <c r="F2833">
        <v>20.021502999999999</v>
      </c>
      <c r="G2833">
        <v>73.813844000000003</v>
      </c>
      <c r="H2833" t="s">
        <v>775</v>
      </c>
      <c r="I2833">
        <v>49</v>
      </c>
      <c r="J2833">
        <v>102</v>
      </c>
      <c r="K2833">
        <v>77</v>
      </c>
    </row>
    <row r="2834" spans="1:11" x14ac:dyDescent="0.3">
      <c r="A2834" t="s">
        <v>11</v>
      </c>
      <c r="B2834" t="s">
        <v>26</v>
      </c>
      <c r="C2834" t="s">
        <v>140</v>
      </c>
      <c r="D2834" t="s">
        <v>491</v>
      </c>
      <c r="E2834" s="5">
        <v>45812.958333333343</v>
      </c>
      <c r="F2834">
        <v>19.950220000000002</v>
      </c>
      <c r="G2834">
        <v>73.731480000000005</v>
      </c>
      <c r="H2834" t="s">
        <v>775</v>
      </c>
      <c r="I2834">
        <v>44</v>
      </c>
      <c r="J2834">
        <v>140</v>
      </c>
      <c r="K2834">
        <v>71</v>
      </c>
    </row>
    <row r="2835" spans="1:11" x14ac:dyDescent="0.3">
      <c r="A2835" t="s">
        <v>11</v>
      </c>
      <c r="B2835" t="s">
        <v>26</v>
      </c>
      <c r="C2835" t="s">
        <v>135</v>
      </c>
      <c r="D2835" t="s">
        <v>464</v>
      </c>
      <c r="E2835" s="5">
        <v>45812.958333333343</v>
      </c>
      <c r="F2835">
        <v>19.060497999999999</v>
      </c>
      <c r="G2835">
        <v>72.923355999999998</v>
      </c>
      <c r="H2835" t="s">
        <v>773</v>
      </c>
      <c r="I2835">
        <v>1</v>
      </c>
      <c r="J2835">
        <v>3</v>
      </c>
      <c r="K2835">
        <v>1</v>
      </c>
    </row>
    <row r="2836" spans="1:11" x14ac:dyDescent="0.3">
      <c r="A2836" t="s">
        <v>11</v>
      </c>
      <c r="B2836" t="s">
        <v>26</v>
      </c>
      <c r="C2836" t="s">
        <v>135</v>
      </c>
      <c r="D2836" t="s">
        <v>763</v>
      </c>
      <c r="E2836" s="5">
        <v>45812.958333333343</v>
      </c>
      <c r="F2836">
        <v>19.000083</v>
      </c>
      <c r="G2836">
        <v>72.813992999999996</v>
      </c>
      <c r="H2836" t="s">
        <v>775</v>
      </c>
      <c r="I2836">
        <v>9</v>
      </c>
      <c r="J2836">
        <v>67</v>
      </c>
      <c r="K2836">
        <v>28</v>
      </c>
    </row>
    <row r="2837" spans="1:11" x14ac:dyDescent="0.3">
      <c r="A2837" t="s">
        <v>11</v>
      </c>
      <c r="B2837" t="s">
        <v>26</v>
      </c>
      <c r="C2837" t="s">
        <v>135</v>
      </c>
      <c r="D2837" t="s">
        <v>763</v>
      </c>
      <c r="E2837" s="5">
        <v>45812.958333333343</v>
      </c>
      <c r="F2837">
        <v>19.000083</v>
      </c>
      <c r="G2837">
        <v>72.813992999999996</v>
      </c>
      <c r="H2837" t="s">
        <v>770</v>
      </c>
      <c r="I2837">
        <v>8</v>
      </c>
      <c r="J2837">
        <v>79</v>
      </c>
      <c r="K2837">
        <v>70</v>
      </c>
    </row>
    <row r="2838" spans="1:11" x14ac:dyDescent="0.3">
      <c r="A2838" t="s">
        <v>11</v>
      </c>
      <c r="B2838" t="s">
        <v>26</v>
      </c>
      <c r="C2838" t="s">
        <v>135</v>
      </c>
      <c r="D2838" t="s">
        <v>465</v>
      </c>
      <c r="E2838" s="5">
        <v>45812.958333333343</v>
      </c>
      <c r="F2838">
        <v>19.1878657</v>
      </c>
      <c r="G2838">
        <v>72.8304069</v>
      </c>
      <c r="H2838" t="s">
        <v>776</v>
      </c>
      <c r="I2838">
        <v>12</v>
      </c>
      <c r="J2838">
        <v>36</v>
      </c>
      <c r="K2838">
        <v>16</v>
      </c>
    </row>
    <row r="2839" spans="1:11" x14ac:dyDescent="0.3">
      <c r="A2839" t="s">
        <v>11</v>
      </c>
      <c r="B2839" t="s">
        <v>26</v>
      </c>
      <c r="C2839" t="s">
        <v>135</v>
      </c>
      <c r="D2839" t="s">
        <v>465</v>
      </c>
      <c r="E2839" s="5">
        <v>45812.958333333343</v>
      </c>
      <c r="F2839">
        <v>19.1878657</v>
      </c>
      <c r="G2839">
        <v>72.8304069</v>
      </c>
      <c r="H2839" t="s">
        <v>770</v>
      </c>
      <c r="I2839">
        <v>6</v>
      </c>
      <c r="J2839">
        <v>43</v>
      </c>
      <c r="K2839">
        <v>26</v>
      </c>
    </row>
    <row r="2840" spans="1:11" x14ac:dyDescent="0.3">
      <c r="A2840" t="s">
        <v>11</v>
      </c>
      <c r="B2840" t="s">
        <v>26</v>
      </c>
      <c r="C2840" t="s">
        <v>135</v>
      </c>
      <c r="D2840" t="s">
        <v>463</v>
      </c>
      <c r="E2840" s="5">
        <v>45812.958333333343</v>
      </c>
      <c r="F2840">
        <v>19.137499999999999</v>
      </c>
      <c r="G2840">
        <v>72.915056000000007</v>
      </c>
      <c r="H2840" t="s">
        <v>775</v>
      </c>
      <c r="I2840">
        <v>23</v>
      </c>
      <c r="J2840">
        <v>43</v>
      </c>
      <c r="K2840">
        <v>31</v>
      </c>
    </row>
    <row r="2841" spans="1:11" x14ac:dyDescent="0.3">
      <c r="A2841" t="s">
        <v>11</v>
      </c>
      <c r="B2841" t="s">
        <v>26</v>
      </c>
      <c r="C2841" t="s">
        <v>137</v>
      </c>
      <c r="D2841" t="s">
        <v>480</v>
      </c>
      <c r="E2841" s="5">
        <v>45812.958333333343</v>
      </c>
      <c r="F2841">
        <v>19.062999999999999</v>
      </c>
      <c r="G2841">
        <v>73.120900000000006</v>
      </c>
      <c r="H2841" t="s">
        <v>770</v>
      </c>
      <c r="I2841">
        <v>1</v>
      </c>
      <c r="J2841">
        <v>85</v>
      </c>
      <c r="K2841">
        <v>34</v>
      </c>
    </row>
    <row r="2842" spans="1:11" x14ac:dyDescent="0.3">
      <c r="A2842" t="s">
        <v>11</v>
      </c>
      <c r="B2842" t="s">
        <v>26</v>
      </c>
      <c r="C2842" t="s">
        <v>141</v>
      </c>
      <c r="D2842" t="s">
        <v>488</v>
      </c>
      <c r="E2842" s="5">
        <v>45812.958333333343</v>
      </c>
      <c r="F2842">
        <v>18.63673</v>
      </c>
      <c r="G2842">
        <v>73.824870000000004</v>
      </c>
      <c r="H2842" t="s">
        <v>775</v>
      </c>
      <c r="I2842">
        <v>63</v>
      </c>
      <c r="J2842">
        <v>156</v>
      </c>
      <c r="K2842">
        <v>99</v>
      </c>
    </row>
    <row r="2843" spans="1:11" x14ac:dyDescent="0.3">
      <c r="A2843" t="s">
        <v>11</v>
      </c>
      <c r="B2843" t="s">
        <v>26</v>
      </c>
      <c r="C2843" t="s">
        <v>141</v>
      </c>
      <c r="D2843" t="s">
        <v>488</v>
      </c>
      <c r="E2843" s="5">
        <v>45812.958333333343</v>
      </c>
      <c r="F2843">
        <v>18.63673</v>
      </c>
      <c r="G2843">
        <v>73.824870000000004</v>
      </c>
      <c r="H2843" t="s">
        <v>771</v>
      </c>
      <c r="I2843">
        <v>71</v>
      </c>
      <c r="J2843">
        <v>125</v>
      </c>
      <c r="K2843">
        <v>102</v>
      </c>
    </row>
    <row r="2844" spans="1:11" x14ac:dyDescent="0.3">
      <c r="A2844" t="s">
        <v>11</v>
      </c>
      <c r="B2844" t="s">
        <v>26</v>
      </c>
      <c r="C2844" t="s">
        <v>141</v>
      </c>
      <c r="D2844" t="s">
        <v>489</v>
      </c>
      <c r="E2844" s="5">
        <v>45812.958333333343</v>
      </c>
      <c r="F2844">
        <v>18.590509999999998</v>
      </c>
      <c r="G2844">
        <v>73.77946</v>
      </c>
      <c r="H2844" t="s">
        <v>771</v>
      </c>
    </row>
    <row r="2845" spans="1:11" x14ac:dyDescent="0.3">
      <c r="A2845" t="s">
        <v>11</v>
      </c>
      <c r="B2845" t="s">
        <v>26</v>
      </c>
      <c r="C2845" t="s">
        <v>135</v>
      </c>
      <c r="D2845" t="s">
        <v>768</v>
      </c>
      <c r="E2845" s="5">
        <v>45812.958333333343</v>
      </c>
      <c r="F2845">
        <v>19.047000000000001</v>
      </c>
      <c r="G2845">
        <v>72.874600000000001</v>
      </c>
      <c r="H2845" t="s">
        <v>774</v>
      </c>
      <c r="I2845">
        <v>7</v>
      </c>
      <c r="J2845">
        <v>16</v>
      </c>
      <c r="K2845">
        <v>11</v>
      </c>
    </row>
    <row r="2846" spans="1:11" x14ac:dyDescent="0.3">
      <c r="A2846" t="s">
        <v>11</v>
      </c>
      <c r="B2846" t="s">
        <v>26</v>
      </c>
      <c r="C2846" t="s">
        <v>135</v>
      </c>
      <c r="D2846" t="s">
        <v>768</v>
      </c>
      <c r="E2846" s="5">
        <v>45812.958333333343</v>
      </c>
      <c r="F2846">
        <v>19.047000000000001</v>
      </c>
      <c r="G2846">
        <v>72.874600000000001</v>
      </c>
      <c r="H2846" t="s">
        <v>776</v>
      </c>
      <c r="I2846">
        <v>8</v>
      </c>
      <c r="J2846">
        <v>8</v>
      </c>
      <c r="K2846">
        <v>8</v>
      </c>
    </row>
    <row r="2847" spans="1:11" x14ac:dyDescent="0.3">
      <c r="A2847" t="s">
        <v>11</v>
      </c>
      <c r="B2847" t="s">
        <v>26</v>
      </c>
      <c r="C2847" t="s">
        <v>140</v>
      </c>
      <c r="D2847" t="s">
        <v>492</v>
      </c>
      <c r="E2847" s="5">
        <v>45812.958333333343</v>
      </c>
      <c r="F2847">
        <v>19.959134599999999</v>
      </c>
      <c r="G2847">
        <v>73.778800799999999</v>
      </c>
      <c r="H2847" t="s">
        <v>770</v>
      </c>
      <c r="I2847">
        <v>16</v>
      </c>
      <c r="J2847">
        <v>82</v>
      </c>
      <c r="K2847">
        <v>70</v>
      </c>
    </row>
    <row r="2848" spans="1:11" x14ac:dyDescent="0.3">
      <c r="A2848" t="s">
        <v>11</v>
      </c>
      <c r="B2848" t="s">
        <v>40</v>
      </c>
      <c r="C2848" t="s">
        <v>271</v>
      </c>
      <c r="D2848" t="s">
        <v>714</v>
      </c>
      <c r="E2848" s="5">
        <v>45812.958333333343</v>
      </c>
      <c r="F2848">
        <v>25.663541299999999</v>
      </c>
      <c r="G2848">
        <v>94.098987800000003</v>
      </c>
      <c r="H2848" t="s">
        <v>774</v>
      </c>
      <c r="I2848">
        <v>59</v>
      </c>
      <c r="J2848">
        <v>60</v>
      </c>
      <c r="K2848">
        <v>59</v>
      </c>
    </row>
    <row r="2849" spans="1:11" x14ac:dyDescent="0.3">
      <c r="A2849" t="s">
        <v>11</v>
      </c>
      <c r="B2849" t="s">
        <v>40</v>
      </c>
      <c r="C2849" t="s">
        <v>271</v>
      </c>
      <c r="D2849" t="s">
        <v>714</v>
      </c>
      <c r="E2849" s="5">
        <v>45812.958333333343</v>
      </c>
      <c r="F2849">
        <v>25.663541299999999</v>
      </c>
      <c r="G2849">
        <v>94.098987800000003</v>
      </c>
      <c r="H2849" t="s">
        <v>770</v>
      </c>
      <c r="I2849">
        <v>8</v>
      </c>
      <c r="J2849">
        <v>25</v>
      </c>
      <c r="K2849">
        <v>16</v>
      </c>
    </row>
    <row r="2850" spans="1:11" x14ac:dyDescent="0.3">
      <c r="A2850" t="s">
        <v>11</v>
      </c>
      <c r="B2850" t="s">
        <v>27</v>
      </c>
      <c r="C2850" t="s">
        <v>272</v>
      </c>
      <c r="D2850" t="s">
        <v>715</v>
      </c>
      <c r="E2850" s="5">
        <v>45812.958333333343</v>
      </c>
      <c r="F2850">
        <v>20.832874</v>
      </c>
      <c r="G2850">
        <v>85.104082000000005</v>
      </c>
      <c r="H2850" t="s">
        <v>771</v>
      </c>
      <c r="I2850">
        <v>77</v>
      </c>
      <c r="J2850">
        <v>218</v>
      </c>
      <c r="K2850">
        <v>132</v>
      </c>
    </row>
    <row r="2851" spans="1:11" x14ac:dyDescent="0.3">
      <c r="A2851" t="s">
        <v>11</v>
      </c>
      <c r="B2851" t="s">
        <v>27</v>
      </c>
      <c r="C2851" t="s">
        <v>272</v>
      </c>
      <c r="D2851" t="s">
        <v>715</v>
      </c>
      <c r="E2851" s="5">
        <v>45812.958333333343</v>
      </c>
      <c r="F2851">
        <v>20.832874</v>
      </c>
      <c r="G2851">
        <v>85.104082000000005</v>
      </c>
      <c r="H2851" t="s">
        <v>772</v>
      </c>
      <c r="I2851">
        <v>8</v>
      </c>
      <c r="J2851">
        <v>30</v>
      </c>
      <c r="K2851">
        <v>18</v>
      </c>
    </row>
    <row r="2852" spans="1:11" x14ac:dyDescent="0.3">
      <c r="A2852" t="s">
        <v>11</v>
      </c>
      <c r="B2852" t="s">
        <v>27</v>
      </c>
      <c r="C2852" t="s">
        <v>272</v>
      </c>
      <c r="D2852" t="s">
        <v>715</v>
      </c>
      <c r="E2852" s="5">
        <v>45812.958333333343</v>
      </c>
      <c r="F2852">
        <v>20.832874</v>
      </c>
      <c r="G2852">
        <v>85.104082000000005</v>
      </c>
      <c r="H2852" t="s">
        <v>776</v>
      </c>
      <c r="I2852">
        <v>57</v>
      </c>
      <c r="J2852">
        <v>124</v>
      </c>
      <c r="K2852">
        <v>97</v>
      </c>
    </row>
    <row r="2853" spans="1:11" x14ac:dyDescent="0.3">
      <c r="A2853" t="s">
        <v>11</v>
      </c>
      <c r="B2853" t="s">
        <v>27</v>
      </c>
      <c r="C2853" t="s">
        <v>272</v>
      </c>
      <c r="D2853" t="s">
        <v>715</v>
      </c>
      <c r="E2853" s="5">
        <v>45812.958333333343</v>
      </c>
      <c r="F2853">
        <v>20.832874</v>
      </c>
      <c r="G2853">
        <v>85.104082000000005</v>
      </c>
      <c r="H2853" t="s">
        <v>770</v>
      </c>
      <c r="I2853">
        <v>12</v>
      </c>
      <c r="J2853">
        <v>78</v>
      </c>
      <c r="K2853">
        <v>55</v>
      </c>
    </row>
    <row r="2854" spans="1:11" x14ac:dyDescent="0.3">
      <c r="A2854" t="s">
        <v>11</v>
      </c>
      <c r="B2854" t="s">
        <v>27</v>
      </c>
      <c r="C2854" t="s">
        <v>149</v>
      </c>
      <c r="D2854" t="s">
        <v>500</v>
      </c>
      <c r="E2854" s="5">
        <v>45812.958333333343</v>
      </c>
      <c r="F2854">
        <v>22.116605400000001</v>
      </c>
      <c r="G2854">
        <v>85.394554600000006</v>
      </c>
      <c r="H2854" t="s">
        <v>771</v>
      </c>
      <c r="I2854">
        <v>105</v>
      </c>
      <c r="J2854">
        <v>426</v>
      </c>
      <c r="K2854">
        <v>252</v>
      </c>
    </row>
    <row r="2855" spans="1:11" x14ac:dyDescent="0.3">
      <c r="A2855" t="s">
        <v>11</v>
      </c>
      <c r="B2855" t="s">
        <v>27</v>
      </c>
      <c r="C2855" t="s">
        <v>149</v>
      </c>
      <c r="D2855" t="s">
        <v>500</v>
      </c>
      <c r="E2855" s="5">
        <v>45812.958333333343</v>
      </c>
      <c r="F2855">
        <v>22.116605400000001</v>
      </c>
      <c r="G2855">
        <v>85.394554600000006</v>
      </c>
      <c r="H2855" t="s">
        <v>770</v>
      </c>
      <c r="I2855">
        <v>17</v>
      </c>
      <c r="J2855">
        <v>72</v>
      </c>
      <c r="K2855">
        <v>71</v>
      </c>
    </row>
    <row r="2856" spans="1:11" x14ac:dyDescent="0.3">
      <c r="A2856" t="s">
        <v>11</v>
      </c>
      <c r="B2856" t="s">
        <v>27</v>
      </c>
      <c r="C2856" t="s">
        <v>150</v>
      </c>
      <c r="D2856" t="s">
        <v>501</v>
      </c>
      <c r="E2856" s="5">
        <v>45812.958333333343</v>
      </c>
      <c r="F2856">
        <v>21.941841</v>
      </c>
      <c r="G2856">
        <v>86.728318000000002</v>
      </c>
      <c r="H2856" t="s">
        <v>771</v>
      </c>
      <c r="I2856">
        <v>69</v>
      </c>
      <c r="J2856">
        <v>114</v>
      </c>
      <c r="K2856">
        <v>94</v>
      </c>
    </row>
    <row r="2857" spans="1:11" x14ac:dyDescent="0.3">
      <c r="A2857" t="s">
        <v>11</v>
      </c>
      <c r="B2857" t="s">
        <v>27</v>
      </c>
      <c r="C2857" t="s">
        <v>150</v>
      </c>
      <c r="D2857" t="s">
        <v>501</v>
      </c>
      <c r="E2857" s="5">
        <v>45812.958333333343</v>
      </c>
      <c r="F2857">
        <v>21.941841</v>
      </c>
      <c r="G2857">
        <v>86.728318000000002</v>
      </c>
      <c r="H2857" t="s">
        <v>773</v>
      </c>
      <c r="I2857">
        <v>4</v>
      </c>
      <c r="J2857">
        <v>5</v>
      </c>
      <c r="K2857">
        <v>5</v>
      </c>
    </row>
    <row r="2858" spans="1:11" x14ac:dyDescent="0.3">
      <c r="A2858" t="s">
        <v>11</v>
      </c>
      <c r="B2858" t="s">
        <v>27</v>
      </c>
      <c r="C2858" t="s">
        <v>150</v>
      </c>
      <c r="D2858" t="s">
        <v>501</v>
      </c>
      <c r="E2858" s="5">
        <v>45812.958333333343</v>
      </c>
      <c r="F2858">
        <v>21.941841</v>
      </c>
      <c r="G2858">
        <v>86.728318000000002</v>
      </c>
      <c r="H2858" t="s">
        <v>774</v>
      </c>
      <c r="I2858">
        <v>19</v>
      </c>
      <c r="J2858">
        <v>37</v>
      </c>
      <c r="K2858">
        <v>28</v>
      </c>
    </row>
    <row r="2859" spans="1:11" x14ac:dyDescent="0.3">
      <c r="A2859" t="s">
        <v>11</v>
      </c>
      <c r="B2859" t="s">
        <v>26</v>
      </c>
      <c r="C2859" t="s">
        <v>136</v>
      </c>
      <c r="D2859" t="s">
        <v>511</v>
      </c>
      <c r="E2859" s="5">
        <v>45812.958333333343</v>
      </c>
      <c r="F2859">
        <v>18.547056000000001</v>
      </c>
      <c r="G2859">
        <v>73.826908000000003</v>
      </c>
      <c r="H2859" t="s">
        <v>774</v>
      </c>
      <c r="I2859">
        <v>1</v>
      </c>
      <c r="J2859">
        <v>12</v>
      </c>
      <c r="K2859">
        <v>6</v>
      </c>
    </row>
    <row r="2860" spans="1:11" x14ac:dyDescent="0.3">
      <c r="A2860" t="s">
        <v>11</v>
      </c>
      <c r="B2860" t="s">
        <v>26</v>
      </c>
      <c r="C2860" t="s">
        <v>290</v>
      </c>
      <c r="D2860" t="s">
        <v>764</v>
      </c>
      <c r="E2860" s="5">
        <v>45812.958333333343</v>
      </c>
      <c r="F2860">
        <v>16.503799999999998</v>
      </c>
      <c r="G2860">
        <v>74.362300000000005</v>
      </c>
      <c r="H2860" t="s">
        <v>774</v>
      </c>
      <c r="I2860">
        <v>14</v>
      </c>
      <c r="J2860">
        <v>41</v>
      </c>
      <c r="K2860">
        <v>23</v>
      </c>
    </row>
    <row r="2861" spans="1:11" x14ac:dyDescent="0.3">
      <c r="A2861" t="s">
        <v>11</v>
      </c>
      <c r="B2861" t="s">
        <v>26</v>
      </c>
      <c r="C2861" t="s">
        <v>290</v>
      </c>
      <c r="D2861" t="s">
        <v>764</v>
      </c>
      <c r="E2861" s="5">
        <v>45812.958333333343</v>
      </c>
      <c r="F2861">
        <v>16.503799999999998</v>
      </c>
      <c r="G2861">
        <v>74.362300000000005</v>
      </c>
      <c r="H2861" t="s">
        <v>776</v>
      </c>
      <c r="I2861">
        <v>16</v>
      </c>
      <c r="J2861">
        <v>110</v>
      </c>
      <c r="K2861">
        <v>38</v>
      </c>
    </row>
    <row r="2862" spans="1:11" x14ac:dyDescent="0.3">
      <c r="A2862" t="s">
        <v>11</v>
      </c>
      <c r="B2862" t="s">
        <v>26</v>
      </c>
      <c r="C2862" t="s">
        <v>290</v>
      </c>
      <c r="D2862" t="s">
        <v>764</v>
      </c>
      <c r="E2862" s="5">
        <v>45812.958333333343</v>
      </c>
      <c r="F2862">
        <v>16.503799999999998</v>
      </c>
      <c r="G2862">
        <v>74.362300000000005</v>
      </c>
      <c r="H2862" t="s">
        <v>770</v>
      </c>
      <c r="I2862">
        <v>2</v>
      </c>
      <c r="J2862">
        <v>53</v>
      </c>
      <c r="K2862">
        <v>31</v>
      </c>
    </row>
    <row r="2863" spans="1:11" x14ac:dyDescent="0.3">
      <c r="A2863" t="s">
        <v>11</v>
      </c>
      <c r="B2863" t="s">
        <v>26</v>
      </c>
      <c r="C2863" t="s">
        <v>157</v>
      </c>
      <c r="D2863" t="s">
        <v>512</v>
      </c>
      <c r="E2863" s="5">
        <v>45812.958333333343</v>
      </c>
      <c r="F2863">
        <v>17.633626400000001</v>
      </c>
      <c r="G2863">
        <v>75.913249500000006</v>
      </c>
      <c r="H2863" t="s">
        <v>776</v>
      </c>
      <c r="I2863">
        <v>10</v>
      </c>
      <c r="J2863">
        <v>72</v>
      </c>
      <c r="K2863">
        <v>26</v>
      </c>
    </row>
    <row r="2864" spans="1:11" x14ac:dyDescent="0.3">
      <c r="A2864" t="s">
        <v>11</v>
      </c>
      <c r="B2864" t="s">
        <v>26</v>
      </c>
      <c r="C2864" t="s">
        <v>141</v>
      </c>
      <c r="D2864" t="s">
        <v>489</v>
      </c>
      <c r="E2864" s="5">
        <v>45812.958333333343</v>
      </c>
      <c r="F2864">
        <v>18.590509999999998</v>
      </c>
      <c r="G2864">
        <v>73.77946</v>
      </c>
      <c r="H2864" t="s">
        <v>776</v>
      </c>
      <c r="I2864">
        <v>10</v>
      </c>
      <c r="J2864">
        <v>94</v>
      </c>
      <c r="K2864">
        <v>26</v>
      </c>
    </row>
    <row r="2865" spans="1:11" x14ac:dyDescent="0.3">
      <c r="A2865" t="s">
        <v>11</v>
      </c>
      <c r="B2865" t="s">
        <v>26</v>
      </c>
      <c r="C2865" t="s">
        <v>141</v>
      </c>
      <c r="D2865" t="s">
        <v>707</v>
      </c>
      <c r="E2865" s="5">
        <v>45812.958333333343</v>
      </c>
      <c r="F2865">
        <v>18.614767000000001</v>
      </c>
      <c r="G2865">
        <v>73.799515999999997</v>
      </c>
      <c r="H2865" t="s">
        <v>775</v>
      </c>
      <c r="I2865">
        <v>32</v>
      </c>
      <c r="J2865">
        <v>181</v>
      </c>
      <c r="K2865">
        <v>112</v>
      </c>
    </row>
    <row r="2866" spans="1:11" x14ac:dyDescent="0.3">
      <c r="A2866" t="s">
        <v>11</v>
      </c>
      <c r="B2866" t="s">
        <v>26</v>
      </c>
      <c r="C2866" t="s">
        <v>141</v>
      </c>
      <c r="D2866" t="s">
        <v>707</v>
      </c>
      <c r="E2866" s="5">
        <v>45812.958333333343</v>
      </c>
      <c r="F2866">
        <v>18.614767000000001</v>
      </c>
      <c r="G2866">
        <v>73.799515999999997</v>
      </c>
      <c r="H2866" t="s">
        <v>772</v>
      </c>
      <c r="I2866">
        <v>31</v>
      </c>
      <c r="J2866">
        <v>139</v>
      </c>
      <c r="K2866">
        <v>80</v>
      </c>
    </row>
    <row r="2867" spans="1:11" x14ac:dyDescent="0.3">
      <c r="A2867" t="s">
        <v>11</v>
      </c>
      <c r="B2867" t="s">
        <v>26</v>
      </c>
      <c r="C2867" t="s">
        <v>141</v>
      </c>
      <c r="D2867" t="s">
        <v>485</v>
      </c>
      <c r="E2867" s="5">
        <v>45812.958333333343</v>
      </c>
      <c r="F2867">
        <v>18.616318</v>
      </c>
      <c r="G2867">
        <v>73.765797000000006</v>
      </c>
      <c r="H2867" t="s">
        <v>773</v>
      </c>
      <c r="I2867">
        <v>6</v>
      </c>
      <c r="J2867">
        <v>19</v>
      </c>
      <c r="K2867">
        <v>14</v>
      </c>
    </row>
    <row r="2868" spans="1:11" x14ac:dyDescent="0.3">
      <c r="A2868" t="s">
        <v>11</v>
      </c>
      <c r="B2868" t="s">
        <v>26</v>
      </c>
      <c r="C2868" t="s">
        <v>158</v>
      </c>
      <c r="D2868" t="s">
        <v>706</v>
      </c>
      <c r="E2868" s="5">
        <v>45812.958333333343</v>
      </c>
      <c r="F2868">
        <v>19.267769999999999</v>
      </c>
      <c r="G2868">
        <v>72.971819999999994</v>
      </c>
      <c r="H2868" t="s">
        <v>771</v>
      </c>
      <c r="I2868">
        <v>60</v>
      </c>
      <c r="J2868">
        <v>153</v>
      </c>
      <c r="K2868">
        <v>109</v>
      </c>
    </row>
    <row r="2869" spans="1:11" x14ac:dyDescent="0.3">
      <c r="A2869" t="s">
        <v>11</v>
      </c>
      <c r="B2869" t="s">
        <v>26</v>
      </c>
      <c r="C2869" t="s">
        <v>158</v>
      </c>
      <c r="D2869" t="s">
        <v>706</v>
      </c>
      <c r="E2869" s="5">
        <v>45812.958333333343</v>
      </c>
      <c r="F2869">
        <v>19.267769999999999</v>
      </c>
      <c r="G2869">
        <v>72.971819999999994</v>
      </c>
      <c r="H2869" t="s">
        <v>776</v>
      </c>
      <c r="I2869">
        <v>8</v>
      </c>
      <c r="J2869">
        <v>72</v>
      </c>
      <c r="K2869">
        <v>20</v>
      </c>
    </row>
    <row r="2870" spans="1:11" x14ac:dyDescent="0.3">
      <c r="A2870" t="s">
        <v>11</v>
      </c>
      <c r="B2870" t="s">
        <v>26</v>
      </c>
      <c r="C2870" t="s">
        <v>158</v>
      </c>
      <c r="D2870" t="s">
        <v>510</v>
      </c>
      <c r="E2870" s="5">
        <v>45812.958333333343</v>
      </c>
      <c r="F2870">
        <v>19.222279</v>
      </c>
      <c r="G2870">
        <v>72.957978999999995</v>
      </c>
      <c r="H2870" t="s">
        <v>771</v>
      </c>
      <c r="I2870">
        <v>51</v>
      </c>
      <c r="J2870">
        <v>114</v>
      </c>
      <c r="K2870">
        <v>81</v>
      </c>
    </row>
    <row r="2871" spans="1:11" x14ac:dyDescent="0.3">
      <c r="A2871" t="s">
        <v>11</v>
      </c>
      <c r="B2871" t="s">
        <v>26</v>
      </c>
      <c r="C2871" t="s">
        <v>158</v>
      </c>
      <c r="D2871" t="s">
        <v>510</v>
      </c>
      <c r="E2871" s="5">
        <v>45812.958333333343</v>
      </c>
      <c r="F2871">
        <v>19.222279</v>
      </c>
      <c r="G2871">
        <v>72.957978999999995</v>
      </c>
      <c r="H2871" t="s">
        <v>774</v>
      </c>
      <c r="I2871">
        <v>1</v>
      </c>
      <c r="J2871">
        <v>30</v>
      </c>
      <c r="K2871">
        <v>9</v>
      </c>
    </row>
    <row r="2872" spans="1:11" x14ac:dyDescent="0.3">
      <c r="A2872" t="s">
        <v>11</v>
      </c>
      <c r="B2872" t="s">
        <v>26</v>
      </c>
      <c r="C2872" t="s">
        <v>136</v>
      </c>
      <c r="D2872" t="s">
        <v>487</v>
      </c>
      <c r="E2872" s="5">
        <v>45812.958333333343</v>
      </c>
      <c r="F2872">
        <v>18.530085</v>
      </c>
      <c r="G2872">
        <v>73.849598</v>
      </c>
      <c r="H2872" t="s">
        <v>775</v>
      </c>
      <c r="I2872">
        <v>92</v>
      </c>
      <c r="J2872">
        <v>239</v>
      </c>
      <c r="K2872">
        <v>165</v>
      </c>
    </row>
    <row r="2873" spans="1:11" x14ac:dyDescent="0.3">
      <c r="A2873" t="s">
        <v>11</v>
      </c>
      <c r="B2873" t="s">
        <v>26</v>
      </c>
      <c r="C2873" t="s">
        <v>136</v>
      </c>
      <c r="D2873" t="s">
        <v>511</v>
      </c>
      <c r="E2873" s="5">
        <v>45812.958333333343</v>
      </c>
      <c r="F2873">
        <v>18.547056000000001</v>
      </c>
      <c r="G2873">
        <v>73.826908000000003</v>
      </c>
      <c r="H2873" t="s">
        <v>775</v>
      </c>
      <c r="I2873">
        <v>28</v>
      </c>
      <c r="J2873">
        <v>66</v>
      </c>
      <c r="K2873">
        <v>46</v>
      </c>
    </row>
    <row r="2874" spans="1:11" x14ac:dyDescent="0.3">
      <c r="A2874" t="s">
        <v>11</v>
      </c>
      <c r="B2874" t="s">
        <v>26</v>
      </c>
      <c r="C2874" t="s">
        <v>136</v>
      </c>
      <c r="D2874" t="s">
        <v>511</v>
      </c>
      <c r="E2874" s="5">
        <v>45812.958333333343</v>
      </c>
      <c r="F2874">
        <v>18.547056000000001</v>
      </c>
      <c r="G2874">
        <v>73.826908000000003</v>
      </c>
      <c r="H2874" t="s">
        <v>772</v>
      </c>
      <c r="I2874">
        <v>7</v>
      </c>
      <c r="J2874">
        <v>36</v>
      </c>
      <c r="K2874">
        <v>19</v>
      </c>
    </row>
    <row r="2875" spans="1:11" x14ac:dyDescent="0.3">
      <c r="A2875" t="s">
        <v>11</v>
      </c>
      <c r="B2875" t="s">
        <v>26</v>
      </c>
      <c r="C2875" t="s">
        <v>155</v>
      </c>
      <c r="D2875" t="s">
        <v>507</v>
      </c>
      <c r="E2875" s="5">
        <v>45812.958333333343</v>
      </c>
      <c r="F2875">
        <v>19.235581</v>
      </c>
      <c r="G2875">
        <v>73.159120999999999</v>
      </c>
      <c r="H2875" t="s">
        <v>770</v>
      </c>
      <c r="I2875">
        <v>3</v>
      </c>
      <c r="J2875">
        <v>179</v>
      </c>
      <c r="K2875">
        <v>76</v>
      </c>
    </row>
    <row r="2876" spans="1:11" x14ac:dyDescent="0.3">
      <c r="A2876" t="s">
        <v>11</v>
      </c>
      <c r="B2876" t="s">
        <v>26</v>
      </c>
      <c r="C2876" t="s">
        <v>267</v>
      </c>
      <c r="D2876" t="s">
        <v>710</v>
      </c>
      <c r="E2876" s="5">
        <v>45812.958333333343</v>
      </c>
      <c r="F2876">
        <v>19.445820999999999</v>
      </c>
      <c r="G2876">
        <v>72.798823100000007</v>
      </c>
      <c r="H2876" t="s">
        <v>775</v>
      </c>
      <c r="I2876">
        <v>27</v>
      </c>
      <c r="J2876">
        <v>73</v>
      </c>
      <c r="K2876">
        <v>42</v>
      </c>
    </row>
    <row r="2877" spans="1:11" x14ac:dyDescent="0.3">
      <c r="A2877" t="s">
        <v>11</v>
      </c>
      <c r="B2877" t="s">
        <v>26</v>
      </c>
      <c r="C2877" t="s">
        <v>267</v>
      </c>
      <c r="D2877" t="s">
        <v>710</v>
      </c>
      <c r="E2877" s="5">
        <v>45812.958333333343</v>
      </c>
      <c r="F2877">
        <v>19.445820999999999</v>
      </c>
      <c r="G2877">
        <v>72.798823100000007</v>
      </c>
      <c r="H2877" t="s">
        <v>771</v>
      </c>
      <c r="I2877">
        <v>44</v>
      </c>
      <c r="J2877">
        <v>104</v>
      </c>
      <c r="K2877">
        <v>65</v>
      </c>
    </row>
    <row r="2878" spans="1:11" x14ac:dyDescent="0.3">
      <c r="A2878" t="s">
        <v>11</v>
      </c>
      <c r="B2878" t="s">
        <v>26</v>
      </c>
      <c r="C2878" t="s">
        <v>136</v>
      </c>
      <c r="D2878" t="s">
        <v>473</v>
      </c>
      <c r="E2878" s="5">
        <v>45812.958333333343</v>
      </c>
      <c r="F2878">
        <v>18.640051</v>
      </c>
      <c r="G2878">
        <v>73.848956000000001</v>
      </c>
      <c r="H2878" t="s">
        <v>776</v>
      </c>
      <c r="I2878">
        <v>1</v>
      </c>
      <c r="J2878">
        <v>56</v>
      </c>
      <c r="K2878">
        <v>25</v>
      </c>
    </row>
    <row r="2879" spans="1:11" x14ac:dyDescent="0.3">
      <c r="A2879" t="s">
        <v>11</v>
      </c>
      <c r="B2879" t="s">
        <v>26</v>
      </c>
      <c r="C2879" t="s">
        <v>136</v>
      </c>
      <c r="D2879" t="s">
        <v>474</v>
      </c>
      <c r="E2879" s="5">
        <v>45812.958333333343</v>
      </c>
      <c r="F2879">
        <v>18.60577</v>
      </c>
      <c r="G2879">
        <v>73.749976000000004</v>
      </c>
      <c r="H2879" t="s">
        <v>775</v>
      </c>
      <c r="I2879">
        <v>62</v>
      </c>
      <c r="J2879">
        <v>127</v>
      </c>
      <c r="K2879">
        <v>91</v>
      </c>
    </row>
    <row r="2880" spans="1:11" x14ac:dyDescent="0.3">
      <c r="A2880" t="s">
        <v>11</v>
      </c>
      <c r="B2880" t="s">
        <v>26</v>
      </c>
      <c r="C2880" t="s">
        <v>136</v>
      </c>
      <c r="D2880" t="s">
        <v>475</v>
      </c>
      <c r="E2880" s="5">
        <v>45812.958333333343</v>
      </c>
      <c r="F2880">
        <v>18.501792999999999</v>
      </c>
      <c r="G2880">
        <v>73.927531999999999</v>
      </c>
      <c r="H2880" t="s">
        <v>770</v>
      </c>
      <c r="I2880">
        <v>1</v>
      </c>
      <c r="J2880">
        <v>136</v>
      </c>
      <c r="K2880">
        <v>100</v>
      </c>
    </row>
    <row r="2881" spans="1:11" x14ac:dyDescent="0.3">
      <c r="A2881" t="s">
        <v>11</v>
      </c>
      <c r="B2881" t="s">
        <v>41</v>
      </c>
      <c r="C2881" t="s">
        <v>273</v>
      </c>
      <c r="D2881" t="s">
        <v>717</v>
      </c>
      <c r="E2881" s="5">
        <v>45812.958333333343</v>
      </c>
      <c r="F2881">
        <v>25.558599999999998</v>
      </c>
      <c r="G2881">
        <v>91.898499999999999</v>
      </c>
      <c r="H2881" t="s">
        <v>775</v>
      </c>
    </row>
    <row r="2882" spans="1:11" x14ac:dyDescent="0.3">
      <c r="A2882" t="s">
        <v>11</v>
      </c>
      <c r="B2882" t="s">
        <v>40</v>
      </c>
      <c r="C2882" t="s">
        <v>271</v>
      </c>
      <c r="D2882" t="s">
        <v>714</v>
      </c>
      <c r="E2882" s="5">
        <v>45812.958333333343</v>
      </c>
      <c r="F2882">
        <v>25.663541299999999</v>
      </c>
      <c r="G2882">
        <v>94.098987800000003</v>
      </c>
      <c r="H2882" t="s">
        <v>771</v>
      </c>
      <c r="I2882">
        <v>67</v>
      </c>
      <c r="J2882">
        <v>170</v>
      </c>
      <c r="K2882">
        <v>110</v>
      </c>
    </row>
    <row r="2883" spans="1:11" x14ac:dyDescent="0.3">
      <c r="A2883" t="s">
        <v>11</v>
      </c>
      <c r="B2883" t="s">
        <v>26</v>
      </c>
      <c r="C2883" t="s">
        <v>136</v>
      </c>
      <c r="D2883" t="s">
        <v>708</v>
      </c>
      <c r="E2883" s="5">
        <v>45812.958333333343</v>
      </c>
      <c r="F2883">
        <v>18.501174299999999</v>
      </c>
      <c r="G2883">
        <v>73.816552700000003</v>
      </c>
      <c r="H2883" t="s">
        <v>770</v>
      </c>
      <c r="I2883">
        <v>13</v>
      </c>
      <c r="J2883">
        <v>13</v>
      </c>
      <c r="K2883">
        <v>13</v>
      </c>
    </row>
    <row r="2884" spans="1:11" x14ac:dyDescent="0.3">
      <c r="A2884" t="s">
        <v>11</v>
      </c>
      <c r="B2884" t="s">
        <v>26</v>
      </c>
      <c r="C2884" t="s">
        <v>136</v>
      </c>
      <c r="D2884" t="s">
        <v>476</v>
      </c>
      <c r="E2884" s="5">
        <v>45812.958333333343</v>
      </c>
      <c r="F2884">
        <v>18.454450000000001</v>
      </c>
      <c r="G2884">
        <v>73.854155000000006</v>
      </c>
      <c r="H2884" t="s">
        <v>773</v>
      </c>
      <c r="I2884">
        <v>3</v>
      </c>
      <c r="J2884">
        <v>11</v>
      </c>
      <c r="K2884">
        <v>10</v>
      </c>
    </row>
    <row r="2885" spans="1:11" x14ac:dyDescent="0.3">
      <c r="A2885" t="s">
        <v>11</v>
      </c>
      <c r="B2885" t="s">
        <v>27</v>
      </c>
      <c r="C2885" t="s">
        <v>268</v>
      </c>
      <c r="D2885" t="s">
        <v>711</v>
      </c>
      <c r="E2885" s="5">
        <v>45812.958333333343</v>
      </c>
      <c r="F2885">
        <v>21.869985</v>
      </c>
      <c r="G2885">
        <v>85.167016000000004</v>
      </c>
      <c r="H2885" t="s">
        <v>773</v>
      </c>
      <c r="I2885">
        <v>3</v>
      </c>
      <c r="J2885">
        <v>12</v>
      </c>
      <c r="K2885">
        <v>7</v>
      </c>
    </row>
    <row r="2886" spans="1:11" x14ac:dyDescent="0.3">
      <c r="A2886" t="s">
        <v>11</v>
      </c>
      <c r="B2886" t="s">
        <v>27</v>
      </c>
      <c r="C2886" t="s">
        <v>268</v>
      </c>
      <c r="D2886" t="s">
        <v>711</v>
      </c>
      <c r="E2886" s="5">
        <v>45812.958333333343</v>
      </c>
      <c r="F2886">
        <v>21.869985</v>
      </c>
      <c r="G2886">
        <v>85.167016000000004</v>
      </c>
      <c r="H2886" t="s">
        <v>774</v>
      </c>
      <c r="I2886">
        <v>28</v>
      </c>
      <c r="J2886">
        <v>34</v>
      </c>
      <c r="K2886">
        <v>30</v>
      </c>
    </row>
    <row r="2887" spans="1:11" x14ac:dyDescent="0.3">
      <c r="A2887" t="s">
        <v>11</v>
      </c>
      <c r="B2887" t="s">
        <v>32</v>
      </c>
      <c r="C2887" t="s">
        <v>32</v>
      </c>
      <c r="D2887" t="s">
        <v>523</v>
      </c>
      <c r="E2887" s="5">
        <v>45812.958333333343</v>
      </c>
      <c r="F2887">
        <v>11.930899999999999</v>
      </c>
      <c r="G2887">
        <v>79.802700000000002</v>
      </c>
      <c r="H2887" t="s">
        <v>771</v>
      </c>
      <c r="I2887">
        <v>13</v>
      </c>
      <c r="J2887">
        <v>67</v>
      </c>
      <c r="K2887">
        <v>29</v>
      </c>
    </row>
    <row r="2888" spans="1:11" x14ac:dyDescent="0.3">
      <c r="A2888" t="s">
        <v>11</v>
      </c>
      <c r="B2888" t="s">
        <v>32</v>
      </c>
      <c r="C2888" t="s">
        <v>32</v>
      </c>
      <c r="D2888" t="s">
        <v>523</v>
      </c>
      <c r="E2888" s="5">
        <v>45812.958333333343</v>
      </c>
      <c r="F2888">
        <v>11.930899999999999</v>
      </c>
      <c r="G2888">
        <v>79.802700000000002</v>
      </c>
      <c r="H2888" t="s">
        <v>774</v>
      </c>
      <c r="I2888">
        <v>6</v>
      </c>
      <c r="J2888">
        <v>12</v>
      </c>
      <c r="K2888">
        <v>8</v>
      </c>
    </row>
    <row r="2889" spans="1:11" x14ac:dyDescent="0.3">
      <c r="A2889" t="s">
        <v>11</v>
      </c>
      <c r="B2889" t="s">
        <v>30</v>
      </c>
      <c r="C2889" t="s">
        <v>269</v>
      </c>
      <c r="D2889" t="s">
        <v>712</v>
      </c>
      <c r="E2889" s="5">
        <v>45812.958333333343</v>
      </c>
      <c r="F2889">
        <v>30.233011000000001</v>
      </c>
      <c r="G2889">
        <v>74.907758000000001</v>
      </c>
      <c r="H2889" t="s">
        <v>771</v>
      </c>
      <c r="I2889">
        <v>18</v>
      </c>
      <c r="J2889">
        <v>125</v>
      </c>
      <c r="K2889">
        <v>54</v>
      </c>
    </row>
    <row r="2890" spans="1:11" x14ac:dyDescent="0.3">
      <c r="A2890" t="s">
        <v>11</v>
      </c>
      <c r="B2890" t="s">
        <v>30</v>
      </c>
      <c r="C2890" t="s">
        <v>269</v>
      </c>
      <c r="D2890" t="s">
        <v>712</v>
      </c>
      <c r="E2890" s="5">
        <v>45812.958333333343</v>
      </c>
      <c r="F2890">
        <v>30.233011000000001</v>
      </c>
      <c r="G2890">
        <v>74.907758000000001</v>
      </c>
      <c r="H2890" t="s">
        <v>772</v>
      </c>
      <c r="I2890">
        <v>21</v>
      </c>
      <c r="J2890">
        <v>24</v>
      </c>
      <c r="K2890">
        <v>23</v>
      </c>
    </row>
    <row r="2891" spans="1:11" x14ac:dyDescent="0.3">
      <c r="A2891" t="s">
        <v>11</v>
      </c>
      <c r="B2891" t="s">
        <v>30</v>
      </c>
      <c r="C2891" t="s">
        <v>269</v>
      </c>
      <c r="D2891" t="s">
        <v>712</v>
      </c>
      <c r="E2891" s="5">
        <v>45812.958333333343</v>
      </c>
      <c r="F2891">
        <v>30.233011000000001</v>
      </c>
      <c r="G2891">
        <v>74.907758000000001</v>
      </c>
      <c r="H2891" t="s">
        <v>776</v>
      </c>
      <c r="I2891">
        <v>5</v>
      </c>
      <c r="J2891">
        <v>101</v>
      </c>
      <c r="K2891">
        <v>44</v>
      </c>
    </row>
    <row r="2892" spans="1:11" x14ac:dyDescent="0.3">
      <c r="A2892" t="s">
        <v>11</v>
      </c>
      <c r="B2892" t="s">
        <v>30</v>
      </c>
      <c r="C2892" t="s">
        <v>270</v>
      </c>
      <c r="D2892" t="s">
        <v>713</v>
      </c>
      <c r="E2892" s="5">
        <v>45812.958333333343</v>
      </c>
      <c r="F2892">
        <v>31.321906999999999</v>
      </c>
      <c r="G2892">
        <v>75.578913999999997</v>
      </c>
      <c r="H2892" t="s">
        <v>775</v>
      </c>
      <c r="I2892">
        <v>47</v>
      </c>
      <c r="J2892">
        <v>238</v>
      </c>
      <c r="K2892">
        <v>131</v>
      </c>
    </row>
    <row r="2893" spans="1:11" x14ac:dyDescent="0.3">
      <c r="A2893" t="s">
        <v>11</v>
      </c>
      <c r="B2893" t="s">
        <v>30</v>
      </c>
      <c r="C2893" t="s">
        <v>270</v>
      </c>
      <c r="D2893" t="s">
        <v>713</v>
      </c>
      <c r="E2893" s="5">
        <v>45812.958333333343</v>
      </c>
      <c r="F2893">
        <v>31.321906999999999</v>
      </c>
      <c r="G2893">
        <v>75.578913999999997</v>
      </c>
      <c r="H2893" t="s">
        <v>772</v>
      </c>
      <c r="I2893">
        <v>28</v>
      </c>
      <c r="J2893">
        <v>32</v>
      </c>
      <c r="K2893">
        <v>30</v>
      </c>
    </row>
    <row r="2894" spans="1:11" x14ac:dyDescent="0.3">
      <c r="A2894" t="s">
        <v>11</v>
      </c>
      <c r="B2894" t="s">
        <v>30</v>
      </c>
      <c r="C2894" t="s">
        <v>270</v>
      </c>
      <c r="D2894" t="s">
        <v>713</v>
      </c>
      <c r="E2894" s="5">
        <v>45812.958333333343</v>
      </c>
      <c r="F2894">
        <v>31.321906999999999</v>
      </c>
      <c r="G2894">
        <v>75.578913999999997</v>
      </c>
      <c r="H2894" t="s">
        <v>774</v>
      </c>
      <c r="I2894">
        <v>18</v>
      </c>
      <c r="J2894">
        <v>20</v>
      </c>
      <c r="K2894">
        <v>19</v>
      </c>
    </row>
    <row r="2895" spans="1:11" x14ac:dyDescent="0.3">
      <c r="A2895" t="s">
        <v>11</v>
      </c>
      <c r="B2895" t="s">
        <v>30</v>
      </c>
      <c r="C2895" t="s">
        <v>270</v>
      </c>
      <c r="D2895" t="s">
        <v>713</v>
      </c>
      <c r="E2895" s="5">
        <v>45812.958333333343</v>
      </c>
      <c r="F2895">
        <v>31.321906999999999</v>
      </c>
      <c r="G2895">
        <v>75.578913999999997</v>
      </c>
      <c r="H2895" t="s">
        <v>776</v>
      </c>
      <c r="I2895">
        <v>36</v>
      </c>
      <c r="J2895">
        <v>52</v>
      </c>
      <c r="K2895">
        <v>44</v>
      </c>
    </row>
    <row r="2896" spans="1:11" x14ac:dyDescent="0.3">
      <c r="A2896" t="s">
        <v>11</v>
      </c>
      <c r="B2896" t="s">
        <v>30</v>
      </c>
      <c r="C2896" t="s">
        <v>270</v>
      </c>
      <c r="D2896" t="s">
        <v>713</v>
      </c>
      <c r="E2896" s="5">
        <v>45812.958333333343</v>
      </c>
      <c r="F2896">
        <v>31.321906999999999</v>
      </c>
      <c r="G2896">
        <v>75.578913999999997</v>
      </c>
      <c r="H2896" t="s">
        <v>770</v>
      </c>
      <c r="I2896">
        <v>10</v>
      </c>
      <c r="J2896">
        <v>43</v>
      </c>
      <c r="K2896">
        <v>26</v>
      </c>
    </row>
    <row r="2897" spans="1:11" x14ac:dyDescent="0.3">
      <c r="A2897" t="s">
        <v>11</v>
      </c>
      <c r="B2897" t="s">
        <v>27</v>
      </c>
      <c r="C2897" t="s">
        <v>146</v>
      </c>
      <c r="D2897" t="s">
        <v>497</v>
      </c>
      <c r="E2897" s="5">
        <v>45812.958333333343</v>
      </c>
      <c r="F2897">
        <v>22.265816000000001</v>
      </c>
      <c r="G2897">
        <v>86.174829000000003</v>
      </c>
      <c r="H2897" t="s">
        <v>771</v>
      </c>
    </row>
    <row r="2898" spans="1:11" x14ac:dyDescent="0.3">
      <c r="A2898" t="s">
        <v>11</v>
      </c>
      <c r="B2898" t="s">
        <v>27</v>
      </c>
      <c r="C2898" t="s">
        <v>146</v>
      </c>
      <c r="D2898" t="s">
        <v>497</v>
      </c>
      <c r="E2898" s="5">
        <v>45812.958333333343</v>
      </c>
      <c r="F2898">
        <v>22.265816000000001</v>
      </c>
      <c r="G2898">
        <v>86.174829000000003</v>
      </c>
      <c r="H2898" t="s">
        <v>776</v>
      </c>
      <c r="I2898">
        <v>16</v>
      </c>
      <c r="J2898">
        <v>44</v>
      </c>
      <c r="K2898">
        <v>44</v>
      </c>
    </row>
    <row r="2899" spans="1:11" x14ac:dyDescent="0.3">
      <c r="A2899" t="s">
        <v>11</v>
      </c>
      <c r="B2899" t="s">
        <v>27</v>
      </c>
      <c r="C2899" t="s">
        <v>146</v>
      </c>
      <c r="D2899" t="s">
        <v>497</v>
      </c>
      <c r="E2899" s="5">
        <v>45812.958333333343</v>
      </c>
      <c r="F2899">
        <v>22.265816000000001</v>
      </c>
      <c r="G2899">
        <v>86.174829000000003</v>
      </c>
      <c r="H2899" t="s">
        <v>770</v>
      </c>
      <c r="I2899">
        <v>12</v>
      </c>
      <c r="J2899">
        <v>21</v>
      </c>
      <c r="K2899">
        <v>15</v>
      </c>
    </row>
    <row r="2900" spans="1:11" x14ac:dyDescent="0.3">
      <c r="A2900" t="s">
        <v>11</v>
      </c>
      <c r="B2900" t="s">
        <v>27</v>
      </c>
      <c r="C2900" t="s">
        <v>147</v>
      </c>
      <c r="D2900" t="s">
        <v>498</v>
      </c>
      <c r="E2900" s="5">
        <v>45812.958333333343</v>
      </c>
      <c r="F2900">
        <v>22.18972222</v>
      </c>
      <c r="G2900">
        <v>84.862777780000002</v>
      </c>
      <c r="H2900" t="s">
        <v>772</v>
      </c>
    </row>
    <row r="2901" spans="1:11" x14ac:dyDescent="0.3">
      <c r="A2901" t="s">
        <v>11</v>
      </c>
      <c r="B2901" t="s">
        <v>27</v>
      </c>
      <c r="C2901" t="s">
        <v>147</v>
      </c>
      <c r="D2901" t="s">
        <v>520</v>
      </c>
      <c r="E2901" s="5">
        <v>45812.958333333343</v>
      </c>
      <c r="F2901">
        <v>22.220832999999999</v>
      </c>
      <c r="G2901">
        <v>84.809443999999999</v>
      </c>
      <c r="H2901" t="s">
        <v>776</v>
      </c>
      <c r="I2901">
        <v>46</v>
      </c>
      <c r="J2901">
        <v>104</v>
      </c>
      <c r="K2901">
        <v>74</v>
      </c>
    </row>
    <row r="2902" spans="1:11" x14ac:dyDescent="0.3">
      <c r="A2902" t="s">
        <v>11</v>
      </c>
      <c r="B2902" t="s">
        <v>27</v>
      </c>
      <c r="C2902" t="s">
        <v>166</v>
      </c>
      <c r="D2902" t="s">
        <v>521</v>
      </c>
      <c r="E2902" s="5">
        <v>45812.958333333343</v>
      </c>
      <c r="F2902">
        <v>21.606864999999999</v>
      </c>
      <c r="G2902">
        <v>85.510537999999997</v>
      </c>
      <c r="H2902" t="s">
        <v>775</v>
      </c>
      <c r="I2902">
        <v>89</v>
      </c>
      <c r="J2902">
        <v>147</v>
      </c>
      <c r="K2902">
        <v>115</v>
      </c>
    </row>
    <row r="2903" spans="1:11" x14ac:dyDescent="0.3">
      <c r="A2903" t="s">
        <v>11</v>
      </c>
      <c r="B2903" t="s">
        <v>27</v>
      </c>
      <c r="C2903" t="s">
        <v>166</v>
      </c>
      <c r="D2903" t="s">
        <v>521</v>
      </c>
      <c r="E2903" s="5">
        <v>45812.958333333343</v>
      </c>
      <c r="F2903">
        <v>21.606864999999999</v>
      </c>
      <c r="G2903">
        <v>85.510537999999997</v>
      </c>
      <c r="H2903" t="s">
        <v>773</v>
      </c>
      <c r="I2903">
        <v>4</v>
      </c>
      <c r="J2903">
        <v>4</v>
      </c>
      <c r="K2903">
        <v>4</v>
      </c>
    </row>
    <row r="2904" spans="1:11" x14ac:dyDescent="0.3">
      <c r="A2904" t="s">
        <v>11</v>
      </c>
      <c r="B2904" t="s">
        <v>27</v>
      </c>
      <c r="C2904" t="s">
        <v>167</v>
      </c>
      <c r="D2904" t="s">
        <v>522</v>
      </c>
      <c r="E2904" s="5">
        <v>45812.958333333343</v>
      </c>
      <c r="F2904">
        <v>20.936071099999999</v>
      </c>
      <c r="G2904">
        <v>85.1707021</v>
      </c>
      <c r="H2904" t="s">
        <v>774</v>
      </c>
      <c r="I2904">
        <v>8</v>
      </c>
      <c r="J2904">
        <v>13</v>
      </c>
      <c r="K2904">
        <v>10</v>
      </c>
    </row>
    <row r="2905" spans="1:11" x14ac:dyDescent="0.3">
      <c r="A2905" t="s">
        <v>11</v>
      </c>
      <c r="B2905" t="s">
        <v>27</v>
      </c>
      <c r="C2905" t="s">
        <v>167</v>
      </c>
      <c r="D2905" t="s">
        <v>522</v>
      </c>
      <c r="E2905" s="5">
        <v>45812.958333333343</v>
      </c>
      <c r="F2905">
        <v>20.936071099999999</v>
      </c>
      <c r="G2905">
        <v>85.1707021</v>
      </c>
      <c r="H2905" t="s">
        <v>770</v>
      </c>
      <c r="I2905">
        <v>1</v>
      </c>
      <c r="J2905">
        <v>7</v>
      </c>
      <c r="K2905">
        <v>2</v>
      </c>
    </row>
    <row r="2906" spans="1:11" x14ac:dyDescent="0.3">
      <c r="A2906" t="s">
        <v>11</v>
      </c>
      <c r="B2906" t="s">
        <v>27</v>
      </c>
      <c r="C2906" t="s">
        <v>152</v>
      </c>
      <c r="D2906" t="s">
        <v>504</v>
      </c>
      <c r="E2906" s="5">
        <v>45812.958333333343</v>
      </c>
      <c r="F2906">
        <v>22.061567029999999</v>
      </c>
      <c r="G2906">
        <v>85.474096130000007</v>
      </c>
      <c r="H2906" t="s">
        <v>775</v>
      </c>
      <c r="I2906">
        <v>38</v>
      </c>
      <c r="J2906">
        <v>77</v>
      </c>
      <c r="K2906">
        <v>51</v>
      </c>
    </row>
    <row r="2907" spans="1:11" x14ac:dyDescent="0.3">
      <c r="A2907" t="s">
        <v>11</v>
      </c>
      <c r="B2907" t="s">
        <v>27</v>
      </c>
      <c r="C2907" t="s">
        <v>152</v>
      </c>
      <c r="D2907" t="s">
        <v>504</v>
      </c>
      <c r="E2907" s="5">
        <v>45812.958333333343</v>
      </c>
      <c r="F2907">
        <v>22.061567029999999</v>
      </c>
      <c r="G2907">
        <v>85.474096130000007</v>
      </c>
      <c r="H2907" t="s">
        <v>771</v>
      </c>
      <c r="I2907">
        <v>43</v>
      </c>
      <c r="J2907">
        <v>158</v>
      </c>
      <c r="K2907">
        <v>92</v>
      </c>
    </row>
    <row r="2908" spans="1:11" x14ac:dyDescent="0.3">
      <c r="A2908" t="s">
        <v>11</v>
      </c>
      <c r="B2908" t="s">
        <v>27</v>
      </c>
      <c r="C2908" t="s">
        <v>152</v>
      </c>
      <c r="D2908" t="s">
        <v>504</v>
      </c>
      <c r="E2908" s="5">
        <v>45812.958333333343</v>
      </c>
      <c r="F2908">
        <v>22.061567029999999</v>
      </c>
      <c r="G2908">
        <v>85.474096130000007</v>
      </c>
      <c r="H2908" t="s">
        <v>772</v>
      </c>
      <c r="I2908">
        <v>7</v>
      </c>
      <c r="J2908">
        <v>7</v>
      </c>
      <c r="K2908">
        <v>7</v>
      </c>
    </row>
    <row r="2909" spans="1:11" x14ac:dyDescent="0.3">
      <c r="A2909" t="s">
        <v>11</v>
      </c>
      <c r="B2909" t="s">
        <v>27</v>
      </c>
      <c r="C2909" t="s">
        <v>152</v>
      </c>
      <c r="D2909" t="s">
        <v>504</v>
      </c>
      <c r="E2909" s="5">
        <v>45812.958333333343</v>
      </c>
      <c r="F2909">
        <v>22.061567029999999</v>
      </c>
      <c r="G2909">
        <v>85.474096130000007</v>
      </c>
      <c r="H2909" t="s">
        <v>770</v>
      </c>
      <c r="I2909">
        <v>19</v>
      </c>
      <c r="J2909">
        <v>48</v>
      </c>
      <c r="K2909">
        <v>35</v>
      </c>
    </row>
    <row r="2910" spans="1:11" x14ac:dyDescent="0.3">
      <c r="A2910" t="s">
        <v>11</v>
      </c>
      <c r="B2910" t="s">
        <v>27</v>
      </c>
      <c r="C2910" t="s">
        <v>153</v>
      </c>
      <c r="D2910" t="s">
        <v>505</v>
      </c>
      <c r="E2910" s="5">
        <v>45812.958333333343</v>
      </c>
      <c r="F2910">
        <v>21.800499599999998</v>
      </c>
      <c r="G2910">
        <v>83.839697700000002</v>
      </c>
      <c r="H2910" t="s">
        <v>775</v>
      </c>
      <c r="I2910">
        <v>53</v>
      </c>
      <c r="J2910">
        <v>115</v>
      </c>
      <c r="K2910">
        <v>74</v>
      </c>
    </row>
    <row r="2911" spans="1:11" x14ac:dyDescent="0.3">
      <c r="A2911" t="s">
        <v>11</v>
      </c>
      <c r="B2911" t="s">
        <v>30</v>
      </c>
      <c r="C2911" t="s">
        <v>162</v>
      </c>
      <c r="D2911" t="s">
        <v>516</v>
      </c>
      <c r="E2911" s="5">
        <v>45812.958333333343</v>
      </c>
      <c r="F2911">
        <v>30.349388000000001</v>
      </c>
      <c r="G2911">
        <v>76.366641999999999</v>
      </c>
      <c r="H2911" t="s">
        <v>776</v>
      </c>
      <c r="I2911">
        <v>25</v>
      </c>
      <c r="J2911">
        <v>104</v>
      </c>
      <c r="K2911">
        <v>74</v>
      </c>
    </row>
    <row r="2912" spans="1:11" x14ac:dyDescent="0.3">
      <c r="A2912" t="s">
        <v>11</v>
      </c>
      <c r="B2912" t="s">
        <v>31</v>
      </c>
      <c r="C2912" t="s">
        <v>164</v>
      </c>
      <c r="D2912" t="s">
        <v>518</v>
      </c>
      <c r="E2912" s="5">
        <v>45812.958333333343</v>
      </c>
      <c r="F2912">
        <v>26.470859000000001</v>
      </c>
      <c r="G2912">
        <v>74.646593999999993</v>
      </c>
      <c r="H2912" t="s">
        <v>772</v>
      </c>
      <c r="I2912">
        <v>20</v>
      </c>
      <c r="J2912">
        <v>28</v>
      </c>
      <c r="K2912">
        <v>25</v>
      </c>
    </row>
    <row r="2913" spans="1:11" x14ac:dyDescent="0.3">
      <c r="A2913" t="s">
        <v>11</v>
      </c>
      <c r="B2913" t="s">
        <v>31</v>
      </c>
      <c r="C2913" t="s">
        <v>164</v>
      </c>
      <c r="D2913" t="s">
        <v>518</v>
      </c>
      <c r="E2913" s="5">
        <v>45812.958333333343</v>
      </c>
      <c r="F2913">
        <v>26.470859000000001</v>
      </c>
      <c r="G2913">
        <v>74.646593999999993</v>
      </c>
      <c r="H2913" t="s">
        <v>774</v>
      </c>
      <c r="I2913">
        <v>10</v>
      </c>
      <c r="J2913">
        <v>17</v>
      </c>
      <c r="K2913">
        <v>13</v>
      </c>
    </row>
    <row r="2914" spans="1:11" x14ac:dyDescent="0.3">
      <c r="A2914" t="s">
        <v>11</v>
      </c>
      <c r="B2914" t="s">
        <v>31</v>
      </c>
      <c r="C2914" t="s">
        <v>165</v>
      </c>
      <c r="D2914" t="s">
        <v>519</v>
      </c>
      <c r="E2914" s="5">
        <v>45812.958333333343</v>
      </c>
      <c r="F2914">
        <v>27.554793</v>
      </c>
      <c r="G2914">
        <v>76.611536000000001</v>
      </c>
      <c r="H2914" t="s">
        <v>772</v>
      </c>
      <c r="I2914">
        <v>68</v>
      </c>
      <c r="J2914">
        <v>114</v>
      </c>
      <c r="K2914">
        <v>96</v>
      </c>
    </row>
    <row r="2915" spans="1:11" x14ac:dyDescent="0.3">
      <c r="A2915" t="s">
        <v>11</v>
      </c>
      <c r="B2915" t="s">
        <v>31</v>
      </c>
      <c r="C2915" t="s">
        <v>175</v>
      </c>
      <c r="D2915" t="s">
        <v>531</v>
      </c>
      <c r="E2915" s="5">
        <v>45812.958333333343</v>
      </c>
      <c r="F2915">
        <v>25.106006000000001</v>
      </c>
      <c r="G2915">
        <v>76.469948000000002</v>
      </c>
      <c r="H2915" t="s">
        <v>772</v>
      </c>
      <c r="I2915">
        <v>5</v>
      </c>
      <c r="J2915">
        <v>116</v>
      </c>
      <c r="K2915">
        <v>44</v>
      </c>
    </row>
    <row r="2916" spans="1:11" x14ac:dyDescent="0.3">
      <c r="A2916" t="s">
        <v>11</v>
      </c>
      <c r="B2916" t="s">
        <v>27</v>
      </c>
      <c r="C2916" t="s">
        <v>143</v>
      </c>
      <c r="D2916" t="s">
        <v>494</v>
      </c>
      <c r="E2916" s="5">
        <v>45812.958333333343</v>
      </c>
      <c r="F2916">
        <v>20.488910000000001</v>
      </c>
      <c r="G2916">
        <v>85.847679999999997</v>
      </c>
      <c r="H2916" t="s">
        <v>771</v>
      </c>
      <c r="I2916">
        <v>57</v>
      </c>
      <c r="J2916">
        <v>156</v>
      </c>
      <c r="K2916">
        <v>98</v>
      </c>
    </row>
    <row r="2917" spans="1:11" x14ac:dyDescent="0.3">
      <c r="A2917" t="s">
        <v>11</v>
      </c>
      <c r="B2917" t="s">
        <v>27</v>
      </c>
      <c r="C2917" t="s">
        <v>143</v>
      </c>
      <c r="D2917" t="s">
        <v>494</v>
      </c>
      <c r="E2917" s="5">
        <v>45812.958333333343</v>
      </c>
      <c r="F2917">
        <v>20.488910000000001</v>
      </c>
      <c r="G2917">
        <v>85.847679999999997</v>
      </c>
      <c r="H2917" t="s">
        <v>774</v>
      </c>
      <c r="I2917">
        <v>3</v>
      </c>
      <c r="J2917">
        <v>9</v>
      </c>
      <c r="K2917">
        <v>6</v>
      </c>
    </row>
    <row r="2918" spans="1:11" x14ac:dyDescent="0.3">
      <c r="A2918" t="s">
        <v>11</v>
      </c>
      <c r="B2918" t="s">
        <v>31</v>
      </c>
      <c r="C2918" t="s">
        <v>172</v>
      </c>
      <c r="D2918" t="s">
        <v>528</v>
      </c>
      <c r="E2918" s="5">
        <v>45812.958333333343</v>
      </c>
      <c r="F2918">
        <v>27.215415</v>
      </c>
      <c r="G2918">
        <v>77.50873</v>
      </c>
      <c r="H2918" t="s">
        <v>775</v>
      </c>
      <c r="I2918">
        <v>20</v>
      </c>
      <c r="J2918">
        <v>309</v>
      </c>
      <c r="K2918">
        <v>87</v>
      </c>
    </row>
    <row r="2919" spans="1:11" x14ac:dyDescent="0.3">
      <c r="A2919" t="s">
        <v>11</v>
      </c>
      <c r="B2919" t="s">
        <v>31</v>
      </c>
      <c r="C2919" t="s">
        <v>172</v>
      </c>
      <c r="D2919" t="s">
        <v>528</v>
      </c>
      <c r="E2919" s="5">
        <v>45812.958333333343</v>
      </c>
      <c r="F2919">
        <v>27.215415</v>
      </c>
      <c r="G2919">
        <v>77.50873</v>
      </c>
      <c r="H2919" t="s">
        <v>772</v>
      </c>
      <c r="I2919">
        <v>15</v>
      </c>
      <c r="J2919">
        <v>100</v>
      </c>
      <c r="K2919">
        <v>44</v>
      </c>
    </row>
    <row r="2920" spans="1:11" x14ac:dyDescent="0.3">
      <c r="A2920" t="s">
        <v>11</v>
      </c>
      <c r="B2920" t="s">
        <v>31</v>
      </c>
      <c r="C2920" t="s">
        <v>173</v>
      </c>
      <c r="D2920" t="s">
        <v>529</v>
      </c>
      <c r="E2920" s="5">
        <v>45812.958333333343</v>
      </c>
      <c r="F2920">
        <v>25.339604999999999</v>
      </c>
      <c r="G2920">
        <v>74.618882999999997</v>
      </c>
      <c r="H2920" t="s">
        <v>772</v>
      </c>
      <c r="I2920">
        <v>4</v>
      </c>
      <c r="J2920">
        <v>91</v>
      </c>
      <c r="K2920">
        <v>25</v>
      </c>
    </row>
    <row r="2921" spans="1:11" x14ac:dyDescent="0.3">
      <c r="A2921" t="s">
        <v>11</v>
      </c>
      <c r="B2921" t="s">
        <v>31</v>
      </c>
      <c r="C2921" t="s">
        <v>173</v>
      </c>
      <c r="D2921" t="s">
        <v>529</v>
      </c>
      <c r="E2921" s="5">
        <v>45812.958333333343</v>
      </c>
      <c r="F2921">
        <v>25.339604999999999</v>
      </c>
      <c r="G2921">
        <v>74.618882999999997</v>
      </c>
      <c r="H2921" t="s">
        <v>773</v>
      </c>
      <c r="I2921">
        <v>4</v>
      </c>
      <c r="J2921">
        <v>7</v>
      </c>
      <c r="K2921">
        <v>5</v>
      </c>
    </row>
    <row r="2922" spans="1:11" x14ac:dyDescent="0.3">
      <c r="A2922" t="s">
        <v>11</v>
      </c>
      <c r="B2922" t="s">
        <v>30</v>
      </c>
      <c r="C2922" t="s">
        <v>169</v>
      </c>
      <c r="D2922" t="s">
        <v>525</v>
      </c>
      <c r="E2922" s="5">
        <v>45812.958333333343</v>
      </c>
      <c r="F2922">
        <v>30.736056000000001</v>
      </c>
      <c r="G2922">
        <v>76.209693999999999</v>
      </c>
      <c r="H2922" t="s">
        <v>772</v>
      </c>
      <c r="I2922">
        <v>25</v>
      </c>
      <c r="J2922">
        <v>29</v>
      </c>
      <c r="K2922">
        <v>28</v>
      </c>
    </row>
    <row r="2923" spans="1:11" x14ac:dyDescent="0.3">
      <c r="A2923" t="s">
        <v>11</v>
      </c>
      <c r="B2923" t="s">
        <v>30</v>
      </c>
      <c r="C2923" t="s">
        <v>169</v>
      </c>
      <c r="D2923" t="s">
        <v>525</v>
      </c>
      <c r="E2923" s="5">
        <v>45812.958333333343</v>
      </c>
      <c r="F2923">
        <v>30.736056000000001</v>
      </c>
      <c r="G2923">
        <v>76.209693999999999</v>
      </c>
      <c r="H2923" t="s">
        <v>774</v>
      </c>
      <c r="I2923">
        <v>12</v>
      </c>
      <c r="J2923">
        <v>47</v>
      </c>
      <c r="K2923">
        <v>24</v>
      </c>
    </row>
    <row r="2924" spans="1:11" x14ac:dyDescent="0.3">
      <c r="A2924" t="s">
        <v>11</v>
      </c>
      <c r="B2924" t="s">
        <v>31</v>
      </c>
      <c r="C2924" t="s">
        <v>179</v>
      </c>
      <c r="D2924" t="s">
        <v>536</v>
      </c>
      <c r="E2924" s="5">
        <v>45812.958333333343</v>
      </c>
      <c r="F2924">
        <v>26.786681999999999</v>
      </c>
      <c r="G2924">
        <v>75.827928</v>
      </c>
      <c r="H2924" t="s">
        <v>773</v>
      </c>
      <c r="I2924">
        <v>1</v>
      </c>
      <c r="J2924">
        <v>4</v>
      </c>
      <c r="K2924">
        <v>3</v>
      </c>
    </row>
    <row r="2925" spans="1:11" x14ac:dyDescent="0.3">
      <c r="A2925" t="s">
        <v>11</v>
      </c>
      <c r="B2925" t="s">
        <v>31</v>
      </c>
      <c r="C2925" t="s">
        <v>179</v>
      </c>
      <c r="D2925" t="s">
        <v>536</v>
      </c>
      <c r="E2925" s="5">
        <v>45812.958333333343</v>
      </c>
      <c r="F2925">
        <v>26.786681999999999</v>
      </c>
      <c r="G2925">
        <v>75.827928</v>
      </c>
      <c r="H2925" t="s">
        <v>776</v>
      </c>
      <c r="I2925">
        <v>47</v>
      </c>
      <c r="J2925">
        <v>110</v>
      </c>
      <c r="K2925">
        <v>67</v>
      </c>
    </row>
    <row r="2926" spans="1:11" x14ac:dyDescent="0.3">
      <c r="A2926" t="s">
        <v>11</v>
      </c>
      <c r="B2926" t="s">
        <v>31</v>
      </c>
      <c r="C2926" t="s">
        <v>179</v>
      </c>
      <c r="D2926" t="s">
        <v>537</v>
      </c>
      <c r="E2926" s="5">
        <v>45812.958333333343</v>
      </c>
      <c r="F2926">
        <v>26.960668999999999</v>
      </c>
      <c r="G2926">
        <v>75.771816999999999</v>
      </c>
      <c r="H2926" t="s">
        <v>775</v>
      </c>
      <c r="I2926">
        <v>49</v>
      </c>
      <c r="J2926">
        <v>362</v>
      </c>
      <c r="K2926">
        <v>136</v>
      </c>
    </row>
    <row r="2927" spans="1:11" x14ac:dyDescent="0.3">
      <c r="A2927" t="s">
        <v>11</v>
      </c>
      <c r="B2927" t="s">
        <v>31</v>
      </c>
      <c r="C2927" t="s">
        <v>179</v>
      </c>
      <c r="D2927" t="s">
        <v>538</v>
      </c>
      <c r="E2927" s="5">
        <v>45812.958333333343</v>
      </c>
      <c r="F2927">
        <v>26.950292900000001</v>
      </c>
      <c r="G2927">
        <v>75.730942999999996</v>
      </c>
      <c r="H2927" t="s">
        <v>771</v>
      </c>
      <c r="I2927">
        <v>90</v>
      </c>
      <c r="J2927">
        <v>153</v>
      </c>
      <c r="K2927">
        <v>120</v>
      </c>
    </row>
    <row r="2928" spans="1:11" x14ac:dyDescent="0.3">
      <c r="A2928" t="s">
        <v>11</v>
      </c>
      <c r="B2928" t="s">
        <v>31</v>
      </c>
      <c r="C2928" t="s">
        <v>179</v>
      </c>
      <c r="D2928" t="s">
        <v>538</v>
      </c>
      <c r="E2928" s="5">
        <v>45812.958333333343</v>
      </c>
      <c r="F2928">
        <v>26.950292900000001</v>
      </c>
      <c r="G2928">
        <v>75.730942999999996</v>
      </c>
      <c r="H2928" t="s">
        <v>772</v>
      </c>
      <c r="I2928">
        <v>13</v>
      </c>
      <c r="J2928">
        <v>64</v>
      </c>
      <c r="K2928">
        <v>32</v>
      </c>
    </row>
    <row r="2929" spans="1:11" x14ac:dyDescent="0.3">
      <c r="A2929" t="s">
        <v>11</v>
      </c>
      <c r="B2929" t="s">
        <v>31</v>
      </c>
      <c r="C2929" t="s">
        <v>179</v>
      </c>
      <c r="D2929" t="s">
        <v>538</v>
      </c>
      <c r="E2929" s="5">
        <v>45812.958333333343</v>
      </c>
      <c r="F2929">
        <v>26.950292900000001</v>
      </c>
      <c r="G2929">
        <v>75.730942999999996</v>
      </c>
      <c r="H2929" t="s">
        <v>770</v>
      </c>
      <c r="I2929">
        <v>26</v>
      </c>
      <c r="J2929">
        <v>62</v>
      </c>
      <c r="K2929">
        <v>46</v>
      </c>
    </row>
    <row r="2930" spans="1:11" x14ac:dyDescent="0.3">
      <c r="A2930" t="s">
        <v>11</v>
      </c>
      <c r="B2930" t="s">
        <v>31</v>
      </c>
      <c r="C2930" t="s">
        <v>180</v>
      </c>
      <c r="D2930" t="s">
        <v>539</v>
      </c>
      <c r="E2930" s="5">
        <v>45812.958333333343</v>
      </c>
      <c r="F2930">
        <v>26.912329</v>
      </c>
      <c r="G2930">
        <v>70.909167999999994</v>
      </c>
      <c r="H2930" t="s">
        <v>775</v>
      </c>
      <c r="I2930">
        <v>21</v>
      </c>
      <c r="J2930">
        <v>86</v>
      </c>
      <c r="K2930">
        <v>38</v>
      </c>
    </row>
    <row r="2931" spans="1:11" x14ac:dyDescent="0.3">
      <c r="A2931" t="s">
        <v>11</v>
      </c>
      <c r="B2931" t="s">
        <v>31</v>
      </c>
      <c r="C2931" t="s">
        <v>180</v>
      </c>
      <c r="D2931" t="s">
        <v>539</v>
      </c>
      <c r="E2931" s="5">
        <v>45812.958333333343</v>
      </c>
      <c r="F2931">
        <v>26.912329</v>
      </c>
      <c r="G2931">
        <v>70.909167999999994</v>
      </c>
      <c r="H2931" t="s">
        <v>774</v>
      </c>
      <c r="I2931">
        <v>3</v>
      </c>
      <c r="J2931">
        <v>6</v>
      </c>
      <c r="K2931">
        <v>4</v>
      </c>
    </row>
    <row r="2932" spans="1:11" x14ac:dyDescent="0.3">
      <c r="A2932" t="s">
        <v>11</v>
      </c>
      <c r="B2932" t="s">
        <v>31</v>
      </c>
      <c r="C2932" t="s">
        <v>180</v>
      </c>
      <c r="D2932" t="s">
        <v>539</v>
      </c>
      <c r="E2932" s="5">
        <v>45812.958333333343</v>
      </c>
      <c r="F2932">
        <v>26.912329</v>
      </c>
      <c r="G2932">
        <v>70.909167999999994</v>
      </c>
      <c r="H2932" t="s">
        <v>776</v>
      </c>
      <c r="I2932">
        <v>8</v>
      </c>
      <c r="J2932">
        <v>82</v>
      </c>
      <c r="K2932">
        <v>36</v>
      </c>
    </row>
    <row r="2933" spans="1:11" x14ac:dyDescent="0.3">
      <c r="A2933" t="s">
        <v>11</v>
      </c>
      <c r="B2933" t="s">
        <v>31</v>
      </c>
      <c r="C2933" t="s">
        <v>181</v>
      </c>
      <c r="D2933" t="s">
        <v>540</v>
      </c>
      <c r="E2933" s="5">
        <v>45812.958333333343</v>
      </c>
      <c r="F2933">
        <v>25.344694</v>
      </c>
      <c r="G2933">
        <v>72.626208000000005</v>
      </c>
      <c r="H2933" t="s">
        <v>771</v>
      </c>
      <c r="I2933">
        <v>78</v>
      </c>
      <c r="J2933">
        <v>252</v>
      </c>
      <c r="K2933">
        <v>118</v>
      </c>
    </row>
    <row r="2934" spans="1:11" x14ac:dyDescent="0.3">
      <c r="A2934" t="s">
        <v>11</v>
      </c>
      <c r="B2934" t="s">
        <v>31</v>
      </c>
      <c r="C2934" t="s">
        <v>184</v>
      </c>
      <c r="D2934" t="s">
        <v>545</v>
      </c>
      <c r="E2934" s="5">
        <v>45812.958333333343</v>
      </c>
      <c r="F2934">
        <v>26.358805</v>
      </c>
      <c r="G2934">
        <v>73.047443999999999</v>
      </c>
      <c r="H2934" t="s">
        <v>776</v>
      </c>
      <c r="I2934">
        <v>20</v>
      </c>
      <c r="J2934">
        <v>67</v>
      </c>
      <c r="K2934">
        <v>34</v>
      </c>
    </row>
    <row r="2935" spans="1:11" x14ac:dyDescent="0.3">
      <c r="A2935" t="s">
        <v>11</v>
      </c>
      <c r="B2935" t="s">
        <v>31</v>
      </c>
      <c r="C2935" t="s">
        <v>184</v>
      </c>
      <c r="D2935" t="s">
        <v>545</v>
      </c>
      <c r="E2935" s="5">
        <v>45812.958333333343</v>
      </c>
      <c r="F2935">
        <v>26.358805</v>
      </c>
      <c r="G2935">
        <v>73.047443999999999</v>
      </c>
      <c r="H2935" t="s">
        <v>770</v>
      </c>
      <c r="I2935">
        <v>2</v>
      </c>
      <c r="J2935">
        <v>98</v>
      </c>
      <c r="K2935">
        <v>62</v>
      </c>
    </row>
    <row r="2936" spans="1:11" x14ac:dyDescent="0.3">
      <c r="A2936" t="s">
        <v>11</v>
      </c>
      <c r="B2936" t="s">
        <v>31</v>
      </c>
      <c r="C2936" t="s">
        <v>184</v>
      </c>
      <c r="D2936" t="s">
        <v>722</v>
      </c>
      <c r="E2936" s="5">
        <v>45812.958333333343</v>
      </c>
      <c r="F2936">
        <v>26.253384</v>
      </c>
      <c r="G2936">
        <v>72.976571000000007</v>
      </c>
      <c r="H2936" t="s">
        <v>775</v>
      </c>
      <c r="I2936">
        <v>14</v>
      </c>
      <c r="J2936">
        <v>307</v>
      </c>
      <c r="K2936">
        <v>94</v>
      </c>
    </row>
    <row r="2937" spans="1:11" x14ac:dyDescent="0.3">
      <c r="A2937" t="s">
        <v>11</v>
      </c>
      <c r="B2937" t="s">
        <v>31</v>
      </c>
      <c r="C2937" t="s">
        <v>184</v>
      </c>
      <c r="D2937" t="s">
        <v>722</v>
      </c>
      <c r="E2937" s="5">
        <v>45812.958333333343</v>
      </c>
      <c r="F2937">
        <v>26.253384</v>
      </c>
      <c r="G2937">
        <v>72.976571000000007</v>
      </c>
      <c r="H2937" t="s">
        <v>771</v>
      </c>
      <c r="I2937">
        <v>55</v>
      </c>
      <c r="J2937">
        <v>230</v>
      </c>
      <c r="K2937">
        <v>113</v>
      </c>
    </row>
    <row r="2938" spans="1:11" x14ac:dyDescent="0.3">
      <c r="A2938" t="s">
        <v>11</v>
      </c>
      <c r="B2938" t="s">
        <v>31</v>
      </c>
      <c r="C2938" t="s">
        <v>184</v>
      </c>
      <c r="D2938" t="s">
        <v>722</v>
      </c>
      <c r="E2938" s="5">
        <v>45812.958333333343</v>
      </c>
      <c r="F2938">
        <v>26.253384</v>
      </c>
      <c r="G2938">
        <v>72.976571000000007</v>
      </c>
      <c r="H2938" t="s">
        <v>776</v>
      </c>
      <c r="I2938">
        <v>12</v>
      </c>
      <c r="J2938">
        <v>107</v>
      </c>
      <c r="K2938">
        <v>33</v>
      </c>
    </row>
    <row r="2939" spans="1:11" x14ac:dyDescent="0.3">
      <c r="A2939" t="s">
        <v>11</v>
      </c>
      <c r="B2939" t="s">
        <v>31</v>
      </c>
      <c r="C2939" t="s">
        <v>184</v>
      </c>
      <c r="D2939" t="s">
        <v>722</v>
      </c>
      <c r="E2939" s="5">
        <v>45812.958333333343</v>
      </c>
      <c r="F2939">
        <v>26.253384</v>
      </c>
      <c r="G2939">
        <v>72.976571000000007</v>
      </c>
      <c r="H2939" t="s">
        <v>770</v>
      </c>
      <c r="I2939">
        <v>5</v>
      </c>
      <c r="J2939">
        <v>98</v>
      </c>
      <c r="K2939">
        <v>67</v>
      </c>
    </row>
    <row r="2940" spans="1:11" x14ac:dyDescent="0.3">
      <c r="A2940" t="s">
        <v>11</v>
      </c>
      <c r="B2940" t="s">
        <v>31</v>
      </c>
      <c r="C2940" t="s">
        <v>194</v>
      </c>
      <c r="D2940" t="s">
        <v>555</v>
      </c>
      <c r="E2940" s="5">
        <v>45812.958333333343</v>
      </c>
      <c r="F2940">
        <v>26.506177000000001</v>
      </c>
      <c r="G2940">
        <v>77.025988999999996</v>
      </c>
      <c r="H2940" t="s">
        <v>772</v>
      </c>
      <c r="I2940">
        <v>8</v>
      </c>
      <c r="J2940">
        <v>64</v>
      </c>
      <c r="K2940">
        <v>33</v>
      </c>
    </row>
    <row r="2941" spans="1:11" x14ac:dyDescent="0.3">
      <c r="A2941" t="s">
        <v>11</v>
      </c>
      <c r="B2941" t="s">
        <v>31</v>
      </c>
      <c r="C2941" t="s">
        <v>195</v>
      </c>
      <c r="D2941" t="s">
        <v>723</v>
      </c>
      <c r="E2941" s="5">
        <v>45812.958333333343</v>
      </c>
      <c r="F2941">
        <v>25.164090000000002</v>
      </c>
      <c r="G2941">
        <v>75.858136999999999</v>
      </c>
      <c r="H2941" t="s">
        <v>773</v>
      </c>
      <c r="I2941">
        <v>3</v>
      </c>
      <c r="J2941">
        <v>6</v>
      </c>
      <c r="K2941">
        <v>5</v>
      </c>
    </row>
    <row r="2942" spans="1:11" x14ac:dyDescent="0.3">
      <c r="A2942" t="s">
        <v>11</v>
      </c>
      <c r="B2942" t="s">
        <v>31</v>
      </c>
      <c r="C2942" t="s">
        <v>195</v>
      </c>
      <c r="D2942" t="s">
        <v>723</v>
      </c>
      <c r="E2942" s="5">
        <v>45812.958333333343</v>
      </c>
      <c r="F2942">
        <v>25.164090000000002</v>
      </c>
      <c r="G2942">
        <v>75.858136999999999</v>
      </c>
      <c r="H2942" t="s">
        <v>770</v>
      </c>
      <c r="I2942">
        <v>1</v>
      </c>
      <c r="J2942">
        <v>83</v>
      </c>
      <c r="K2942">
        <v>51</v>
      </c>
    </row>
    <row r="2943" spans="1:11" x14ac:dyDescent="0.3">
      <c r="A2943" t="s">
        <v>11</v>
      </c>
      <c r="B2943" t="s">
        <v>31</v>
      </c>
      <c r="C2943" t="s">
        <v>191</v>
      </c>
      <c r="D2943" t="s">
        <v>552</v>
      </c>
      <c r="E2943" s="5">
        <v>45812.958333333343</v>
      </c>
      <c r="F2943">
        <v>29.610749999999999</v>
      </c>
      <c r="G2943">
        <v>74.283608000000001</v>
      </c>
      <c r="H2943" t="s">
        <v>773</v>
      </c>
      <c r="I2943">
        <v>14</v>
      </c>
      <c r="J2943">
        <v>20</v>
      </c>
      <c r="K2943">
        <v>17</v>
      </c>
    </row>
    <row r="2944" spans="1:11" x14ac:dyDescent="0.3">
      <c r="A2944" t="s">
        <v>11</v>
      </c>
      <c r="B2944" t="s">
        <v>31</v>
      </c>
      <c r="C2944" t="s">
        <v>191</v>
      </c>
      <c r="D2944" t="s">
        <v>552</v>
      </c>
      <c r="E2944" s="5">
        <v>45812.958333333343</v>
      </c>
      <c r="F2944">
        <v>29.610749999999999</v>
      </c>
      <c r="G2944">
        <v>74.283608000000001</v>
      </c>
      <c r="H2944" t="s">
        <v>776</v>
      </c>
      <c r="I2944">
        <v>44</v>
      </c>
      <c r="J2944">
        <v>84</v>
      </c>
      <c r="K2944">
        <v>57</v>
      </c>
    </row>
    <row r="2945" spans="1:11" x14ac:dyDescent="0.3">
      <c r="A2945" t="s">
        <v>11</v>
      </c>
      <c r="B2945" t="s">
        <v>31</v>
      </c>
      <c r="C2945" t="s">
        <v>191</v>
      </c>
      <c r="D2945" t="s">
        <v>552</v>
      </c>
      <c r="E2945" s="5">
        <v>45812.958333333343</v>
      </c>
      <c r="F2945">
        <v>29.610749999999999</v>
      </c>
      <c r="G2945">
        <v>74.283608000000001</v>
      </c>
      <c r="H2945" t="s">
        <v>770</v>
      </c>
      <c r="I2945">
        <v>13</v>
      </c>
      <c r="J2945">
        <v>82</v>
      </c>
      <c r="K2945">
        <v>64</v>
      </c>
    </row>
    <row r="2946" spans="1:11" x14ac:dyDescent="0.3">
      <c r="A2946" t="s">
        <v>11</v>
      </c>
      <c r="B2946" t="s">
        <v>31</v>
      </c>
      <c r="C2946" t="s">
        <v>179</v>
      </c>
      <c r="D2946" t="s">
        <v>765</v>
      </c>
      <c r="E2946" s="5">
        <v>45812.958333333343</v>
      </c>
      <c r="F2946">
        <v>26.902909000000001</v>
      </c>
      <c r="G2946">
        <v>75.836858000000007</v>
      </c>
      <c r="H2946" t="s">
        <v>775</v>
      </c>
      <c r="I2946">
        <v>31</v>
      </c>
      <c r="J2946">
        <v>104</v>
      </c>
      <c r="K2946">
        <v>70</v>
      </c>
    </row>
    <row r="2947" spans="1:11" x14ac:dyDescent="0.3">
      <c r="A2947" t="s">
        <v>11</v>
      </c>
      <c r="B2947" t="s">
        <v>31</v>
      </c>
      <c r="C2947" t="s">
        <v>179</v>
      </c>
      <c r="D2947" t="s">
        <v>765</v>
      </c>
      <c r="E2947" s="5">
        <v>45812.958333333343</v>
      </c>
      <c r="F2947">
        <v>26.902909000000001</v>
      </c>
      <c r="G2947">
        <v>75.836858000000007</v>
      </c>
      <c r="H2947" t="s">
        <v>772</v>
      </c>
    </row>
    <row r="2948" spans="1:11" x14ac:dyDescent="0.3">
      <c r="A2948" t="s">
        <v>11</v>
      </c>
      <c r="B2948" t="s">
        <v>31</v>
      </c>
      <c r="C2948" t="s">
        <v>179</v>
      </c>
      <c r="D2948" t="s">
        <v>765</v>
      </c>
      <c r="E2948" s="5">
        <v>45812.958333333343</v>
      </c>
      <c r="F2948">
        <v>26.902909000000001</v>
      </c>
      <c r="G2948">
        <v>75.836858000000007</v>
      </c>
      <c r="H2948" t="s">
        <v>773</v>
      </c>
    </row>
    <row r="2949" spans="1:11" x14ac:dyDescent="0.3">
      <c r="A2949" t="s">
        <v>11</v>
      </c>
      <c r="B2949" t="s">
        <v>31</v>
      </c>
      <c r="C2949" t="s">
        <v>179</v>
      </c>
      <c r="D2949" t="s">
        <v>718</v>
      </c>
      <c r="E2949" s="5">
        <v>45812.958333333343</v>
      </c>
      <c r="F2949">
        <v>26.843698</v>
      </c>
      <c r="G2949">
        <v>75.766893999999994</v>
      </c>
      <c r="H2949" t="s">
        <v>774</v>
      </c>
      <c r="I2949">
        <v>5</v>
      </c>
      <c r="J2949">
        <v>27</v>
      </c>
      <c r="K2949">
        <v>12</v>
      </c>
    </row>
    <row r="2950" spans="1:11" x14ac:dyDescent="0.3">
      <c r="A2950" t="s">
        <v>11</v>
      </c>
      <c r="B2950" t="s">
        <v>31</v>
      </c>
      <c r="C2950" t="s">
        <v>179</v>
      </c>
      <c r="D2950" t="s">
        <v>535</v>
      </c>
      <c r="E2950" s="5">
        <v>45812.958333333343</v>
      </c>
      <c r="F2950">
        <v>26.9164092</v>
      </c>
      <c r="G2950">
        <v>75.7994901</v>
      </c>
      <c r="H2950" t="s">
        <v>776</v>
      </c>
      <c r="I2950">
        <v>8</v>
      </c>
      <c r="J2950">
        <v>84</v>
      </c>
      <c r="K2950">
        <v>43</v>
      </c>
    </row>
    <row r="2951" spans="1:11" x14ac:dyDescent="0.3">
      <c r="A2951" t="s">
        <v>11</v>
      </c>
      <c r="B2951" t="s">
        <v>31</v>
      </c>
      <c r="C2951" t="s">
        <v>181</v>
      </c>
      <c r="D2951" t="s">
        <v>540</v>
      </c>
      <c r="E2951" s="5">
        <v>45812.958333333343</v>
      </c>
      <c r="F2951">
        <v>25.344694</v>
      </c>
      <c r="G2951">
        <v>72.626208000000005</v>
      </c>
      <c r="H2951" t="s">
        <v>774</v>
      </c>
      <c r="I2951">
        <v>1</v>
      </c>
      <c r="J2951">
        <v>7</v>
      </c>
      <c r="K2951">
        <v>2</v>
      </c>
    </row>
    <row r="2952" spans="1:11" x14ac:dyDescent="0.3">
      <c r="A2952" t="s">
        <v>11</v>
      </c>
      <c r="B2952" t="s">
        <v>31</v>
      </c>
      <c r="C2952" t="s">
        <v>183</v>
      </c>
      <c r="D2952" t="s">
        <v>542</v>
      </c>
      <c r="E2952" s="5">
        <v>45812.958333333343</v>
      </c>
      <c r="F2952">
        <v>28.108988</v>
      </c>
      <c r="G2952">
        <v>75.386577000000003</v>
      </c>
      <c r="H2952" t="s">
        <v>772</v>
      </c>
      <c r="I2952">
        <v>11</v>
      </c>
      <c r="J2952">
        <v>114</v>
      </c>
      <c r="K2952">
        <v>40</v>
      </c>
    </row>
    <row r="2953" spans="1:11" x14ac:dyDescent="0.3">
      <c r="A2953" t="s">
        <v>11</v>
      </c>
      <c r="B2953" t="s">
        <v>31</v>
      </c>
      <c r="C2953" t="s">
        <v>183</v>
      </c>
      <c r="D2953" t="s">
        <v>542</v>
      </c>
      <c r="E2953" s="5">
        <v>45812.958333333343</v>
      </c>
      <c r="F2953">
        <v>28.108988</v>
      </c>
      <c r="G2953">
        <v>75.386577000000003</v>
      </c>
      <c r="H2953" t="s">
        <v>776</v>
      </c>
      <c r="I2953">
        <v>32</v>
      </c>
      <c r="J2953">
        <v>100</v>
      </c>
      <c r="K2953">
        <v>66</v>
      </c>
    </row>
    <row r="2954" spans="1:11" x14ac:dyDescent="0.3">
      <c r="A2954" t="s">
        <v>11</v>
      </c>
      <c r="B2954" t="s">
        <v>31</v>
      </c>
      <c r="C2954" t="s">
        <v>184</v>
      </c>
      <c r="D2954" t="s">
        <v>726</v>
      </c>
      <c r="E2954" s="5">
        <v>45812.958333333343</v>
      </c>
      <c r="F2954">
        <v>26.295809999999999</v>
      </c>
      <c r="G2954">
        <v>73.082283000000004</v>
      </c>
      <c r="H2954" t="s">
        <v>774</v>
      </c>
      <c r="I2954">
        <v>5</v>
      </c>
      <c r="J2954">
        <v>24</v>
      </c>
      <c r="K2954">
        <v>10</v>
      </c>
    </row>
    <row r="2955" spans="1:11" x14ac:dyDescent="0.3">
      <c r="A2955" t="s">
        <v>11</v>
      </c>
      <c r="B2955" t="s">
        <v>31</v>
      </c>
      <c r="C2955" t="s">
        <v>184</v>
      </c>
      <c r="D2955" t="s">
        <v>544</v>
      </c>
      <c r="E2955" s="5">
        <v>45812.958333333343</v>
      </c>
      <c r="F2955">
        <v>26.215415</v>
      </c>
      <c r="G2955">
        <v>73.070155999999997</v>
      </c>
      <c r="H2955" t="s">
        <v>771</v>
      </c>
      <c r="I2955">
        <v>34</v>
      </c>
      <c r="J2955">
        <v>332</v>
      </c>
      <c r="K2955">
        <v>125</v>
      </c>
    </row>
    <row r="2956" spans="1:11" x14ac:dyDescent="0.3">
      <c r="A2956" t="s">
        <v>11</v>
      </c>
      <c r="B2956" t="s">
        <v>31</v>
      </c>
      <c r="C2956" t="s">
        <v>170</v>
      </c>
      <c r="D2956" t="s">
        <v>719</v>
      </c>
      <c r="E2956" s="5">
        <v>45812.958333333343</v>
      </c>
      <c r="F2956">
        <v>28.194908999999999</v>
      </c>
      <c r="G2956">
        <v>76.862296000000001</v>
      </c>
      <c r="H2956" t="s">
        <v>774</v>
      </c>
    </row>
    <row r="2957" spans="1:11" x14ac:dyDescent="0.3">
      <c r="A2957" t="s">
        <v>11</v>
      </c>
      <c r="B2957" t="s">
        <v>31</v>
      </c>
      <c r="C2957" t="s">
        <v>170</v>
      </c>
      <c r="D2957" t="s">
        <v>526</v>
      </c>
      <c r="E2957" s="5">
        <v>45812.958333333343</v>
      </c>
      <c r="F2957">
        <v>28.207266000000001</v>
      </c>
      <c r="G2957">
        <v>76.829265000000007</v>
      </c>
      <c r="H2957" t="s">
        <v>775</v>
      </c>
      <c r="I2957">
        <v>7</v>
      </c>
      <c r="J2957">
        <v>263</v>
      </c>
      <c r="K2957">
        <v>89</v>
      </c>
    </row>
    <row r="2958" spans="1:11" x14ac:dyDescent="0.3">
      <c r="A2958" t="s">
        <v>11</v>
      </c>
      <c r="B2958" t="s">
        <v>31</v>
      </c>
      <c r="C2958" t="s">
        <v>170</v>
      </c>
      <c r="D2958" t="s">
        <v>526</v>
      </c>
      <c r="E2958" s="5">
        <v>45812.958333333343</v>
      </c>
      <c r="F2958">
        <v>28.207266000000001</v>
      </c>
      <c r="G2958">
        <v>76.829265000000007</v>
      </c>
      <c r="H2958" t="s">
        <v>776</v>
      </c>
      <c r="I2958">
        <v>10</v>
      </c>
      <c r="J2958">
        <v>86</v>
      </c>
      <c r="K2958">
        <v>26</v>
      </c>
    </row>
    <row r="2959" spans="1:11" x14ac:dyDescent="0.3">
      <c r="A2959" t="s">
        <v>11</v>
      </c>
      <c r="B2959" t="s">
        <v>31</v>
      </c>
      <c r="C2959" t="s">
        <v>171</v>
      </c>
      <c r="D2959" t="s">
        <v>527</v>
      </c>
      <c r="E2959" s="5">
        <v>45812.958333333343</v>
      </c>
      <c r="F2959">
        <v>28.018792000000001</v>
      </c>
      <c r="G2959">
        <v>73.292658000000003</v>
      </c>
      <c r="H2959" t="s">
        <v>771</v>
      </c>
      <c r="I2959">
        <v>72</v>
      </c>
      <c r="J2959">
        <v>424</v>
      </c>
      <c r="K2959">
        <v>159</v>
      </c>
    </row>
    <row r="2960" spans="1:11" x14ac:dyDescent="0.3">
      <c r="A2960" t="s">
        <v>11</v>
      </c>
      <c r="B2960" t="s">
        <v>31</v>
      </c>
      <c r="C2960" t="s">
        <v>178</v>
      </c>
      <c r="D2960" t="s">
        <v>534</v>
      </c>
      <c r="E2960" s="5">
        <v>45812.958333333343</v>
      </c>
      <c r="F2960">
        <v>25.435773999999999</v>
      </c>
      <c r="G2960">
        <v>75.644272000000001</v>
      </c>
      <c r="H2960" t="s">
        <v>776</v>
      </c>
      <c r="I2960">
        <v>11</v>
      </c>
      <c r="J2960">
        <v>103</v>
      </c>
      <c r="K2960">
        <v>34</v>
      </c>
    </row>
    <row r="2961" spans="1:11" x14ac:dyDescent="0.3">
      <c r="A2961" t="s">
        <v>11</v>
      </c>
      <c r="B2961" t="s">
        <v>31</v>
      </c>
      <c r="C2961" t="s">
        <v>177</v>
      </c>
      <c r="D2961" t="s">
        <v>533</v>
      </c>
      <c r="E2961" s="5">
        <v>45812.958333333343</v>
      </c>
      <c r="F2961">
        <v>24.892047000000002</v>
      </c>
      <c r="G2961">
        <v>74.623526999999996</v>
      </c>
      <c r="H2961" t="s">
        <v>775</v>
      </c>
      <c r="I2961">
        <v>28</v>
      </c>
      <c r="J2961">
        <v>303</v>
      </c>
      <c r="K2961">
        <v>110</v>
      </c>
    </row>
    <row r="2962" spans="1:11" x14ac:dyDescent="0.3">
      <c r="A2962" t="s">
        <v>11</v>
      </c>
      <c r="B2962" t="s">
        <v>31</v>
      </c>
      <c r="C2962" t="s">
        <v>177</v>
      </c>
      <c r="D2962" t="s">
        <v>533</v>
      </c>
      <c r="E2962" s="5">
        <v>45812.958333333343</v>
      </c>
      <c r="F2962">
        <v>24.892047000000002</v>
      </c>
      <c r="G2962">
        <v>74.623526999999996</v>
      </c>
      <c r="H2962" t="s">
        <v>773</v>
      </c>
      <c r="I2962">
        <v>3</v>
      </c>
      <c r="J2962">
        <v>8</v>
      </c>
      <c r="K2962">
        <v>5</v>
      </c>
    </row>
    <row r="2963" spans="1:11" x14ac:dyDescent="0.3">
      <c r="A2963" t="s">
        <v>11</v>
      </c>
      <c r="B2963" t="s">
        <v>31</v>
      </c>
      <c r="C2963" t="s">
        <v>177</v>
      </c>
      <c r="D2963" t="s">
        <v>533</v>
      </c>
      <c r="E2963" s="5">
        <v>45812.958333333343</v>
      </c>
      <c r="F2963">
        <v>24.892047000000002</v>
      </c>
      <c r="G2963">
        <v>74.623526999999996</v>
      </c>
      <c r="H2963" t="s">
        <v>770</v>
      </c>
      <c r="I2963">
        <v>1</v>
      </c>
      <c r="J2963">
        <v>115</v>
      </c>
      <c r="K2963">
        <v>71</v>
      </c>
    </row>
    <row r="2964" spans="1:11" x14ac:dyDescent="0.3">
      <c r="A2964" t="s">
        <v>11</v>
      </c>
      <c r="B2964" t="s">
        <v>31</v>
      </c>
      <c r="C2964" t="s">
        <v>192</v>
      </c>
      <c r="D2964" t="s">
        <v>553</v>
      </c>
      <c r="E2964" s="5">
        <v>45812.958333333343</v>
      </c>
      <c r="F2964">
        <v>26.895551999999999</v>
      </c>
      <c r="G2964">
        <v>76.334753000000006</v>
      </c>
      <c r="H2964" t="s">
        <v>770</v>
      </c>
      <c r="I2964">
        <v>4</v>
      </c>
      <c r="J2964">
        <v>166</v>
      </c>
      <c r="K2964">
        <v>122</v>
      </c>
    </row>
    <row r="2965" spans="1:11" x14ac:dyDescent="0.3">
      <c r="A2965" t="s">
        <v>11</v>
      </c>
      <c r="B2965" t="s">
        <v>31</v>
      </c>
      <c r="C2965" t="s">
        <v>193</v>
      </c>
      <c r="D2965" t="s">
        <v>554</v>
      </c>
      <c r="E2965" s="5">
        <v>45812.958333333343</v>
      </c>
      <c r="F2965">
        <v>26.699556999999999</v>
      </c>
      <c r="G2965">
        <v>77.898881000000003</v>
      </c>
      <c r="H2965" t="s">
        <v>776</v>
      </c>
      <c r="I2965">
        <v>24</v>
      </c>
      <c r="J2965">
        <v>78</v>
      </c>
      <c r="K2965">
        <v>42</v>
      </c>
    </row>
    <row r="2966" spans="1:11" x14ac:dyDescent="0.3">
      <c r="A2966" t="s">
        <v>11</v>
      </c>
      <c r="B2966" t="s">
        <v>31</v>
      </c>
      <c r="C2966" t="s">
        <v>171</v>
      </c>
      <c r="D2966" t="s">
        <v>527</v>
      </c>
      <c r="E2966" s="5">
        <v>45812.958333333343</v>
      </c>
      <c r="F2966">
        <v>28.018792000000001</v>
      </c>
      <c r="G2966">
        <v>73.292658000000003</v>
      </c>
      <c r="H2966" t="s">
        <v>774</v>
      </c>
      <c r="I2966">
        <v>1</v>
      </c>
      <c r="J2966">
        <v>40</v>
      </c>
      <c r="K2966">
        <v>9</v>
      </c>
    </row>
    <row r="2967" spans="1:11" x14ac:dyDescent="0.3">
      <c r="A2967" t="s">
        <v>11</v>
      </c>
      <c r="B2967" t="s">
        <v>31</v>
      </c>
      <c r="C2967" t="s">
        <v>171</v>
      </c>
      <c r="D2967" t="s">
        <v>527</v>
      </c>
      <c r="E2967" s="5">
        <v>45812.958333333343</v>
      </c>
      <c r="F2967">
        <v>28.018792000000001</v>
      </c>
      <c r="G2967">
        <v>73.292658000000003</v>
      </c>
      <c r="H2967" t="s">
        <v>776</v>
      </c>
      <c r="I2967">
        <v>13</v>
      </c>
      <c r="J2967">
        <v>168</v>
      </c>
      <c r="K2967">
        <v>168</v>
      </c>
    </row>
    <row r="2968" spans="1:11" x14ac:dyDescent="0.3">
      <c r="A2968" t="s">
        <v>11</v>
      </c>
      <c r="B2968" t="s">
        <v>31</v>
      </c>
      <c r="C2968" t="s">
        <v>190</v>
      </c>
      <c r="D2968" t="s">
        <v>551</v>
      </c>
      <c r="E2968" s="5">
        <v>45812.958333333343</v>
      </c>
      <c r="F2968">
        <v>23.837789000000001</v>
      </c>
      <c r="G2968">
        <v>73.714926000000006</v>
      </c>
      <c r="H2968" t="s">
        <v>775</v>
      </c>
      <c r="I2968">
        <v>17</v>
      </c>
      <c r="J2968">
        <v>74</v>
      </c>
      <c r="K2968">
        <v>38</v>
      </c>
    </row>
    <row r="2969" spans="1:11" x14ac:dyDescent="0.3">
      <c r="A2969" t="s">
        <v>11</v>
      </c>
      <c r="B2969" t="s">
        <v>31</v>
      </c>
      <c r="C2969" t="s">
        <v>195</v>
      </c>
      <c r="D2969" t="s">
        <v>556</v>
      </c>
      <c r="E2969" s="5">
        <v>45812.958333333343</v>
      </c>
      <c r="F2969">
        <v>25.196024000000001</v>
      </c>
      <c r="G2969">
        <v>75.855667999999994</v>
      </c>
      <c r="H2969" t="s">
        <v>773</v>
      </c>
      <c r="I2969">
        <v>11</v>
      </c>
      <c r="J2969">
        <v>26</v>
      </c>
      <c r="K2969">
        <v>16</v>
      </c>
    </row>
    <row r="2970" spans="1:11" x14ac:dyDescent="0.3">
      <c r="A2970" t="s">
        <v>11</v>
      </c>
      <c r="B2970" t="s">
        <v>31</v>
      </c>
      <c r="C2970" t="s">
        <v>195</v>
      </c>
      <c r="D2970" t="s">
        <v>720</v>
      </c>
      <c r="E2970" s="5">
        <v>45812.958333333343</v>
      </c>
      <c r="F2970">
        <v>25.143889999999999</v>
      </c>
      <c r="G2970">
        <v>75.821256000000005</v>
      </c>
      <c r="H2970" t="s">
        <v>772</v>
      </c>
      <c r="I2970">
        <v>13</v>
      </c>
      <c r="J2970">
        <v>20</v>
      </c>
      <c r="K2970">
        <v>14</v>
      </c>
    </row>
    <row r="2971" spans="1:11" x14ac:dyDescent="0.3">
      <c r="A2971" t="s">
        <v>11</v>
      </c>
      <c r="B2971" t="s">
        <v>31</v>
      </c>
      <c r="C2971" t="s">
        <v>274</v>
      </c>
      <c r="D2971" t="s">
        <v>721</v>
      </c>
      <c r="E2971" s="5">
        <v>45812.958333333343</v>
      </c>
      <c r="F2971">
        <v>27.213494000000001</v>
      </c>
      <c r="G2971">
        <v>73.734443999999996</v>
      </c>
      <c r="H2971" t="s">
        <v>773</v>
      </c>
      <c r="I2971">
        <v>5</v>
      </c>
      <c r="J2971">
        <v>15</v>
      </c>
      <c r="K2971">
        <v>8</v>
      </c>
    </row>
    <row r="2972" spans="1:11" x14ac:dyDescent="0.3">
      <c r="A2972" t="s">
        <v>11</v>
      </c>
      <c r="B2972" t="s">
        <v>31</v>
      </c>
      <c r="C2972" t="s">
        <v>274</v>
      </c>
      <c r="D2972" t="s">
        <v>721</v>
      </c>
      <c r="E2972" s="5">
        <v>45812.958333333343</v>
      </c>
      <c r="F2972">
        <v>27.213494000000001</v>
      </c>
      <c r="G2972">
        <v>73.734443999999996</v>
      </c>
      <c r="H2972" t="s">
        <v>774</v>
      </c>
      <c r="I2972">
        <v>4</v>
      </c>
      <c r="J2972">
        <v>72</v>
      </c>
      <c r="K2972">
        <v>14</v>
      </c>
    </row>
    <row r="2973" spans="1:11" x14ac:dyDescent="0.3">
      <c r="A2973" t="s">
        <v>11</v>
      </c>
      <c r="B2973" t="s">
        <v>31</v>
      </c>
      <c r="C2973" t="s">
        <v>274</v>
      </c>
      <c r="D2973" t="s">
        <v>721</v>
      </c>
      <c r="E2973" s="5">
        <v>45812.958333333343</v>
      </c>
      <c r="F2973">
        <v>27.213494000000001</v>
      </c>
      <c r="G2973">
        <v>73.734443999999996</v>
      </c>
      <c r="H2973" t="s">
        <v>776</v>
      </c>
      <c r="I2973">
        <v>14</v>
      </c>
      <c r="J2973">
        <v>100</v>
      </c>
      <c r="K2973">
        <v>36</v>
      </c>
    </row>
    <row r="2974" spans="1:11" x14ac:dyDescent="0.3">
      <c r="A2974" t="s">
        <v>11</v>
      </c>
      <c r="B2974" t="s">
        <v>31</v>
      </c>
      <c r="C2974" t="s">
        <v>185</v>
      </c>
      <c r="D2974" t="s">
        <v>546</v>
      </c>
      <c r="E2974" s="5">
        <v>45812.958333333343</v>
      </c>
      <c r="F2974">
        <v>25.771061</v>
      </c>
      <c r="G2974">
        <v>73.340226999999999</v>
      </c>
      <c r="H2974" t="s">
        <v>773</v>
      </c>
      <c r="I2974">
        <v>7</v>
      </c>
      <c r="J2974">
        <v>13</v>
      </c>
      <c r="K2974">
        <v>10</v>
      </c>
    </row>
    <row r="2975" spans="1:11" x14ac:dyDescent="0.3">
      <c r="A2975" t="s">
        <v>11</v>
      </c>
      <c r="B2975" t="s">
        <v>31</v>
      </c>
      <c r="C2975" t="s">
        <v>185</v>
      </c>
      <c r="D2975" t="s">
        <v>546</v>
      </c>
      <c r="E2975" s="5">
        <v>45812.958333333343</v>
      </c>
      <c r="F2975">
        <v>25.771061</v>
      </c>
      <c r="G2975">
        <v>73.340226999999999</v>
      </c>
      <c r="H2975" t="s">
        <v>774</v>
      </c>
      <c r="I2975">
        <v>10</v>
      </c>
      <c r="J2975">
        <v>13</v>
      </c>
      <c r="K2975">
        <v>11</v>
      </c>
    </row>
    <row r="2976" spans="1:11" x14ac:dyDescent="0.3">
      <c r="A2976" t="s">
        <v>11</v>
      </c>
      <c r="B2976" t="s">
        <v>31</v>
      </c>
      <c r="C2976" t="s">
        <v>186</v>
      </c>
      <c r="D2976" t="s">
        <v>547</v>
      </c>
      <c r="E2976" s="5">
        <v>45812.958333333343</v>
      </c>
      <c r="F2976">
        <v>24.041198000000001</v>
      </c>
      <c r="G2976">
        <v>74.780702000000005</v>
      </c>
      <c r="H2976" t="s">
        <v>771</v>
      </c>
      <c r="I2976">
        <v>89</v>
      </c>
      <c r="J2976">
        <v>152</v>
      </c>
      <c r="K2976">
        <v>117</v>
      </c>
    </row>
    <row r="2977" spans="1:11" x14ac:dyDescent="0.3">
      <c r="A2977" t="s">
        <v>11</v>
      </c>
      <c r="B2977" t="s">
        <v>31</v>
      </c>
      <c r="C2977" t="s">
        <v>186</v>
      </c>
      <c r="D2977" t="s">
        <v>547</v>
      </c>
      <c r="E2977" s="5">
        <v>45812.958333333343</v>
      </c>
      <c r="F2977">
        <v>24.041198000000001</v>
      </c>
      <c r="G2977">
        <v>74.780702000000005</v>
      </c>
      <c r="H2977" t="s">
        <v>772</v>
      </c>
      <c r="I2977">
        <v>12</v>
      </c>
      <c r="J2977">
        <v>56</v>
      </c>
      <c r="K2977">
        <v>29</v>
      </c>
    </row>
    <row r="2978" spans="1:11" x14ac:dyDescent="0.3">
      <c r="A2978" t="s">
        <v>11</v>
      </c>
      <c r="B2978" t="s">
        <v>33</v>
      </c>
      <c r="C2978" t="s">
        <v>197</v>
      </c>
      <c r="D2978" t="s">
        <v>559</v>
      </c>
      <c r="E2978" s="5">
        <v>45812.958333333343</v>
      </c>
      <c r="F2978">
        <v>13.1036</v>
      </c>
      <c r="G2978">
        <v>80.290899999999993</v>
      </c>
      <c r="H2978" t="s">
        <v>773</v>
      </c>
      <c r="I2978">
        <v>2</v>
      </c>
      <c r="J2978">
        <v>5</v>
      </c>
      <c r="K2978">
        <v>3</v>
      </c>
    </row>
    <row r="2979" spans="1:11" x14ac:dyDescent="0.3">
      <c r="A2979" t="s">
        <v>11</v>
      </c>
      <c r="B2979" t="s">
        <v>33</v>
      </c>
      <c r="C2979" t="s">
        <v>197</v>
      </c>
      <c r="D2979" t="s">
        <v>560</v>
      </c>
      <c r="E2979" s="5">
        <v>45812.958333333343</v>
      </c>
      <c r="F2979">
        <v>13.005218899999999</v>
      </c>
      <c r="G2979">
        <v>80.239812499999999</v>
      </c>
      <c r="H2979" t="s">
        <v>776</v>
      </c>
      <c r="I2979">
        <v>50</v>
      </c>
      <c r="J2979">
        <v>63</v>
      </c>
      <c r="K2979">
        <v>58</v>
      </c>
    </row>
    <row r="2980" spans="1:11" x14ac:dyDescent="0.3">
      <c r="A2980" t="s">
        <v>11</v>
      </c>
      <c r="B2980" t="s">
        <v>33</v>
      </c>
      <c r="C2980" t="s">
        <v>198</v>
      </c>
      <c r="D2980" t="s">
        <v>561</v>
      </c>
      <c r="E2980" s="5">
        <v>45812.958333333343</v>
      </c>
      <c r="F2980">
        <v>11.0328</v>
      </c>
      <c r="G2980">
        <v>77.034899999999993</v>
      </c>
      <c r="H2980" t="s">
        <v>771</v>
      </c>
      <c r="I2980">
        <v>14</v>
      </c>
      <c r="J2980">
        <v>42</v>
      </c>
      <c r="K2980">
        <v>30</v>
      </c>
    </row>
    <row r="2981" spans="1:11" x14ac:dyDescent="0.3">
      <c r="A2981" t="s">
        <v>11</v>
      </c>
      <c r="B2981" t="s">
        <v>33</v>
      </c>
      <c r="C2981" t="s">
        <v>198</v>
      </c>
      <c r="D2981" t="s">
        <v>561</v>
      </c>
      <c r="E2981" s="5">
        <v>45812.958333333343</v>
      </c>
      <c r="F2981">
        <v>11.0328</v>
      </c>
      <c r="G2981">
        <v>77.034899999999993</v>
      </c>
      <c r="H2981" t="s">
        <v>772</v>
      </c>
      <c r="I2981">
        <v>9</v>
      </c>
      <c r="J2981">
        <v>11</v>
      </c>
      <c r="K2981">
        <v>10</v>
      </c>
    </row>
    <row r="2982" spans="1:11" x14ac:dyDescent="0.3">
      <c r="A2982" t="s">
        <v>11</v>
      </c>
      <c r="B2982" t="s">
        <v>33</v>
      </c>
      <c r="C2982" t="s">
        <v>198</v>
      </c>
      <c r="D2982" t="s">
        <v>561</v>
      </c>
      <c r="E2982" s="5">
        <v>45812.958333333343</v>
      </c>
      <c r="F2982">
        <v>11.0328</v>
      </c>
      <c r="G2982">
        <v>77.034899999999993</v>
      </c>
      <c r="H2982" t="s">
        <v>773</v>
      </c>
      <c r="I2982">
        <v>2</v>
      </c>
      <c r="J2982">
        <v>2</v>
      </c>
      <c r="K2982">
        <v>2</v>
      </c>
    </row>
    <row r="2983" spans="1:11" x14ac:dyDescent="0.3">
      <c r="A2983" t="s">
        <v>11</v>
      </c>
      <c r="B2983" t="s">
        <v>33</v>
      </c>
      <c r="C2983" t="s">
        <v>198</v>
      </c>
      <c r="D2983" t="s">
        <v>562</v>
      </c>
      <c r="E2983" s="5">
        <v>45812.958333333343</v>
      </c>
      <c r="F2983">
        <v>10.942451</v>
      </c>
      <c r="G2983">
        <v>76.978995999999995</v>
      </c>
      <c r="H2983" t="s">
        <v>775</v>
      </c>
      <c r="I2983">
        <v>1</v>
      </c>
      <c r="J2983">
        <v>64</v>
      </c>
      <c r="K2983">
        <v>31</v>
      </c>
    </row>
    <row r="2984" spans="1:11" x14ac:dyDescent="0.3">
      <c r="A2984" t="s">
        <v>11</v>
      </c>
      <c r="B2984" t="s">
        <v>33</v>
      </c>
      <c r="C2984" t="s">
        <v>198</v>
      </c>
      <c r="D2984" t="s">
        <v>562</v>
      </c>
      <c r="E2984" s="5">
        <v>45812.958333333343</v>
      </c>
      <c r="F2984">
        <v>10.942451</v>
      </c>
      <c r="G2984">
        <v>76.978995999999995</v>
      </c>
      <c r="H2984" t="s">
        <v>772</v>
      </c>
      <c r="I2984">
        <v>6</v>
      </c>
      <c r="J2984">
        <v>16</v>
      </c>
      <c r="K2984">
        <v>10</v>
      </c>
    </row>
    <row r="2985" spans="1:11" x14ac:dyDescent="0.3">
      <c r="A2985" t="s">
        <v>11</v>
      </c>
      <c r="B2985" t="s">
        <v>33</v>
      </c>
      <c r="C2985" t="s">
        <v>198</v>
      </c>
      <c r="D2985" t="s">
        <v>562</v>
      </c>
      <c r="E2985" s="5">
        <v>45812.958333333343</v>
      </c>
      <c r="F2985">
        <v>10.942451</v>
      </c>
      <c r="G2985">
        <v>76.978995999999995</v>
      </c>
      <c r="H2985" t="s">
        <v>776</v>
      </c>
      <c r="I2985">
        <v>22</v>
      </c>
      <c r="J2985">
        <v>30</v>
      </c>
      <c r="K2985">
        <v>25</v>
      </c>
    </row>
    <row r="2986" spans="1:11" x14ac:dyDescent="0.3">
      <c r="A2986" t="s">
        <v>11</v>
      </c>
      <c r="B2986" t="s">
        <v>33</v>
      </c>
      <c r="C2986" t="s">
        <v>277</v>
      </c>
      <c r="D2986" t="s">
        <v>727</v>
      </c>
      <c r="E2986" s="5">
        <v>45812.958333333343</v>
      </c>
      <c r="F2986">
        <v>12.877731600000001</v>
      </c>
      <c r="G2986">
        <v>80.083480699999996</v>
      </c>
      <c r="H2986" t="s">
        <v>773</v>
      </c>
    </row>
    <row r="2987" spans="1:11" x14ac:dyDescent="0.3">
      <c r="A2987" t="s">
        <v>11</v>
      </c>
      <c r="B2987" t="s">
        <v>33</v>
      </c>
      <c r="C2987" t="s">
        <v>197</v>
      </c>
      <c r="D2987" t="s">
        <v>572</v>
      </c>
      <c r="E2987" s="5">
        <v>45812.958333333343</v>
      </c>
      <c r="F2987">
        <v>12.9099161</v>
      </c>
      <c r="G2987">
        <v>80.107653799999994</v>
      </c>
      <c r="H2987" t="s">
        <v>770</v>
      </c>
      <c r="I2987">
        <v>5</v>
      </c>
      <c r="J2987">
        <v>127</v>
      </c>
      <c r="K2987">
        <v>57</v>
      </c>
    </row>
    <row r="2988" spans="1:11" x14ac:dyDescent="0.3">
      <c r="A2988" t="s">
        <v>11</v>
      </c>
      <c r="B2988" t="s">
        <v>33</v>
      </c>
      <c r="C2988" t="s">
        <v>197</v>
      </c>
      <c r="D2988" t="s">
        <v>573</v>
      </c>
      <c r="E2988" s="5">
        <v>45812.958333333343</v>
      </c>
      <c r="F2988">
        <v>13.127800000000001</v>
      </c>
      <c r="G2988">
        <v>80.264200000000002</v>
      </c>
      <c r="H2988" t="s">
        <v>775</v>
      </c>
      <c r="I2988">
        <v>7</v>
      </c>
      <c r="J2988">
        <v>40</v>
      </c>
      <c r="K2988">
        <v>21</v>
      </c>
    </row>
    <row r="2989" spans="1:11" x14ac:dyDescent="0.3">
      <c r="A2989" t="s">
        <v>11</v>
      </c>
      <c r="B2989" t="s">
        <v>33</v>
      </c>
      <c r="C2989" t="s">
        <v>197</v>
      </c>
      <c r="D2989" t="s">
        <v>573</v>
      </c>
      <c r="E2989" s="5">
        <v>45812.958333333343</v>
      </c>
      <c r="F2989">
        <v>13.127800000000001</v>
      </c>
      <c r="G2989">
        <v>80.264200000000002</v>
      </c>
      <c r="H2989" t="s">
        <v>774</v>
      </c>
      <c r="I2989">
        <v>1</v>
      </c>
      <c r="J2989">
        <v>8</v>
      </c>
      <c r="K2989">
        <v>4</v>
      </c>
    </row>
    <row r="2990" spans="1:11" x14ac:dyDescent="0.3">
      <c r="A2990" t="s">
        <v>11</v>
      </c>
      <c r="B2990" t="s">
        <v>33</v>
      </c>
      <c r="C2990" t="s">
        <v>197</v>
      </c>
      <c r="D2990" t="s">
        <v>573</v>
      </c>
      <c r="E2990" s="5">
        <v>45812.958333333343</v>
      </c>
      <c r="F2990">
        <v>13.127800000000001</v>
      </c>
      <c r="G2990">
        <v>80.264200000000002</v>
      </c>
      <c r="H2990" t="s">
        <v>776</v>
      </c>
      <c r="I2990">
        <v>14</v>
      </c>
      <c r="J2990">
        <v>65</v>
      </c>
      <c r="K2990">
        <v>40</v>
      </c>
    </row>
    <row r="2991" spans="1:11" x14ac:dyDescent="0.3">
      <c r="A2991" t="s">
        <v>11</v>
      </c>
      <c r="B2991" t="s">
        <v>31</v>
      </c>
      <c r="C2991" t="s">
        <v>276</v>
      </c>
      <c r="D2991" t="s">
        <v>725</v>
      </c>
      <c r="E2991" s="5">
        <v>45812.958333333343</v>
      </c>
      <c r="F2991">
        <v>24.588616600000002</v>
      </c>
      <c r="G2991">
        <v>73.632139699999996</v>
      </c>
      <c r="H2991" t="s">
        <v>770</v>
      </c>
      <c r="I2991">
        <v>3</v>
      </c>
      <c r="J2991">
        <v>92</v>
      </c>
      <c r="K2991">
        <v>44</v>
      </c>
    </row>
    <row r="2992" spans="1:11" x14ac:dyDescent="0.3">
      <c r="A2992" t="s">
        <v>11</v>
      </c>
      <c r="B2992" t="s">
        <v>34</v>
      </c>
      <c r="C2992" t="s">
        <v>202</v>
      </c>
      <c r="D2992" t="s">
        <v>566</v>
      </c>
      <c r="E2992" s="5">
        <v>45812.958333333343</v>
      </c>
      <c r="F2992">
        <v>27.338529999999999</v>
      </c>
      <c r="G2992">
        <v>88.614098999999996</v>
      </c>
      <c r="H2992" t="s">
        <v>771</v>
      </c>
      <c r="I2992">
        <v>116</v>
      </c>
      <c r="J2992">
        <v>146</v>
      </c>
      <c r="K2992">
        <v>135</v>
      </c>
    </row>
    <row r="2993" spans="1:11" x14ac:dyDescent="0.3">
      <c r="A2993" t="s">
        <v>11</v>
      </c>
      <c r="B2993" t="s">
        <v>34</v>
      </c>
      <c r="C2993" t="s">
        <v>202</v>
      </c>
      <c r="D2993" t="s">
        <v>566</v>
      </c>
      <c r="E2993" s="5">
        <v>45812.958333333343</v>
      </c>
      <c r="F2993">
        <v>27.338529999999999</v>
      </c>
      <c r="G2993">
        <v>88.614098999999996</v>
      </c>
      <c r="H2993" t="s">
        <v>776</v>
      </c>
      <c r="I2993">
        <v>26</v>
      </c>
      <c r="J2993">
        <v>62</v>
      </c>
      <c r="K2993">
        <v>48</v>
      </c>
    </row>
    <row r="2994" spans="1:11" x14ac:dyDescent="0.3">
      <c r="A2994" t="s">
        <v>11</v>
      </c>
      <c r="B2994" t="s">
        <v>33</v>
      </c>
      <c r="C2994" t="s">
        <v>203</v>
      </c>
      <c r="D2994" t="s">
        <v>567</v>
      </c>
      <c r="E2994" s="5">
        <v>45812.958333333343</v>
      </c>
      <c r="F2994">
        <v>11.068250000000001</v>
      </c>
      <c r="G2994">
        <v>79.070329999999998</v>
      </c>
      <c r="H2994" t="s">
        <v>773</v>
      </c>
      <c r="I2994">
        <v>1</v>
      </c>
      <c r="J2994">
        <v>1</v>
      </c>
      <c r="K2994">
        <v>1</v>
      </c>
    </row>
    <row r="2995" spans="1:11" x14ac:dyDescent="0.3">
      <c r="A2995" t="s">
        <v>11</v>
      </c>
      <c r="B2995" t="s">
        <v>31</v>
      </c>
      <c r="C2995" t="s">
        <v>206</v>
      </c>
      <c r="D2995" t="s">
        <v>570</v>
      </c>
      <c r="E2995" s="5">
        <v>45812.958333333343</v>
      </c>
      <c r="F2995">
        <v>29.931623999999999</v>
      </c>
      <c r="G2995">
        <v>73.864510999999993</v>
      </c>
      <c r="H2995" t="s">
        <v>773</v>
      </c>
      <c r="I2995">
        <v>4</v>
      </c>
      <c r="J2995">
        <v>6</v>
      </c>
      <c r="K2995">
        <v>5</v>
      </c>
    </row>
    <row r="2996" spans="1:11" x14ac:dyDescent="0.3">
      <c r="A2996" t="s">
        <v>11</v>
      </c>
      <c r="B2996" t="s">
        <v>31</v>
      </c>
      <c r="C2996" t="s">
        <v>206</v>
      </c>
      <c r="D2996" t="s">
        <v>570</v>
      </c>
      <c r="E2996" s="5">
        <v>45812.958333333343</v>
      </c>
      <c r="F2996">
        <v>29.931623999999999</v>
      </c>
      <c r="G2996">
        <v>73.864510999999993</v>
      </c>
      <c r="H2996" t="s">
        <v>770</v>
      </c>
      <c r="I2996">
        <v>3</v>
      </c>
      <c r="J2996">
        <v>118</v>
      </c>
      <c r="K2996">
        <v>81</v>
      </c>
    </row>
    <row r="2997" spans="1:11" x14ac:dyDescent="0.3">
      <c r="A2997" t="s">
        <v>11</v>
      </c>
      <c r="B2997" t="s">
        <v>31</v>
      </c>
      <c r="C2997" t="s">
        <v>276</v>
      </c>
      <c r="D2997" t="s">
        <v>725</v>
      </c>
      <c r="E2997" s="5">
        <v>45812.958333333343</v>
      </c>
      <c r="F2997">
        <v>24.588616600000002</v>
      </c>
      <c r="G2997">
        <v>73.632139699999996</v>
      </c>
      <c r="H2997" t="s">
        <v>775</v>
      </c>
      <c r="I2997">
        <v>44</v>
      </c>
      <c r="J2997">
        <v>97</v>
      </c>
      <c r="K2997">
        <v>69</v>
      </c>
    </row>
    <row r="2998" spans="1:11" x14ac:dyDescent="0.3">
      <c r="A2998" t="s">
        <v>11</v>
      </c>
      <c r="B2998" t="s">
        <v>31</v>
      </c>
      <c r="C2998" t="s">
        <v>276</v>
      </c>
      <c r="D2998" t="s">
        <v>725</v>
      </c>
      <c r="E2998" s="5">
        <v>45812.958333333343</v>
      </c>
      <c r="F2998">
        <v>24.588616600000002</v>
      </c>
      <c r="G2998">
        <v>73.632139699999996</v>
      </c>
      <c r="H2998" t="s">
        <v>773</v>
      </c>
      <c r="I2998">
        <v>7</v>
      </c>
      <c r="J2998">
        <v>7</v>
      </c>
      <c r="K2998">
        <v>7</v>
      </c>
    </row>
    <row r="2999" spans="1:11" x14ac:dyDescent="0.3">
      <c r="A2999" t="s">
        <v>11</v>
      </c>
      <c r="B2999" t="s">
        <v>31</v>
      </c>
      <c r="C2999" t="s">
        <v>276</v>
      </c>
      <c r="D2999" t="s">
        <v>725</v>
      </c>
      <c r="E2999" s="5">
        <v>45812.958333333343</v>
      </c>
      <c r="F2999">
        <v>24.588616600000002</v>
      </c>
      <c r="G2999">
        <v>73.632139699999996</v>
      </c>
      <c r="H2999" t="s">
        <v>776</v>
      </c>
      <c r="I2999">
        <v>5</v>
      </c>
      <c r="J2999">
        <v>88</v>
      </c>
      <c r="K2999">
        <v>31</v>
      </c>
    </row>
    <row r="3000" spans="1:11" x14ac:dyDescent="0.3">
      <c r="A3000" t="s">
        <v>11</v>
      </c>
      <c r="B3000" t="s">
        <v>31</v>
      </c>
      <c r="C3000" t="s">
        <v>186</v>
      </c>
      <c r="D3000" t="s">
        <v>547</v>
      </c>
      <c r="E3000" s="5">
        <v>45812.958333333343</v>
      </c>
      <c r="F3000">
        <v>24.041198000000001</v>
      </c>
      <c r="G3000">
        <v>74.780702000000005</v>
      </c>
      <c r="H3000" t="s">
        <v>773</v>
      </c>
      <c r="I3000">
        <v>4</v>
      </c>
      <c r="J3000">
        <v>7</v>
      </c>
      <c r="K3000">
        <v>5</v>
      </c>
    </row>
    <row r="3001" spans="1:11" x14ac:dyDescent="0.3">
      <c r="A3001" t="s">
        <v>11</v>
      </c>
      <c r="B3001" t="s">
        <v>31</v>
      </c>
      <c r="C3001" t="s">
        <v>186</v>
      </c>
      <c r="D3001" t="s">
        <v>547</v>
      </c>
      <c r="E3001" s="5">
        <v>45812.958333333343</v>
      </c>
      <c r="F3001">
        <v>24.041198000000001</v>
      </c>
      <c r="G3001">
        <v>74.780702000000005</v>
      </c>
      <c r="H3001" t="s">
        <v>776</v>
      </c>
      <c r="I3001">
        <v>12</v>
      </c>
      <c r="J3001">
        <v>44</v>
      </c>
      <c r="K3001">
        <v>20</v>
      </c>
    </row>
    <row r="3002" spans="1:11" x14ac:dyDescent="0.3">
      <c r="A3002" t="s">
        <v>11</v>
      </c>
      <c r="B3002" t="s">
        <v>31</v>
      </c>
      <c r="C3002" t="s">
        <v>187</v>
      </c>
      <c r="D3002" t="s">
        <v>548</v>
      </c>
      <c r="E3002" s="5">
        <v>45812.958333333343</v>
      </c>
      <c r="F3002">
        <v>25.036359999999998</v>
      </c>
      <c r="G3002">
        <v>73.883501999999993</v>
      </c>
      <c r="H3002" t="s">
        <v>776</v>
      </c>
      <c r="I3002">
        <v>8</v>
      </c>
      <c r="J3002">
        <v>42</v>
      </c>
      <c r="K3002">
        <v>19</v>
      </c>
    </row>
    <row r="3003" spans="1:11" x14ac:dyDescent="0.3">
      <c r="A3003" t="s">
        <v>11</v>
      </c>
      <c r="B3003" t="s">
        <v>31</v>
      </c>
      <c r="C3003" t="s">
        <v>188</v>
      </c>
      <c r="D3003" t="s">
        <v>549</v>
      </c>
      <c r="E3003" s="5">
        <v>45812.958333333343</v>
      </c>
      <c r="F3003">
        <v>26.031442999999999</v>
      </c>
      <c r="G3003">
        <v>76.359326999999993</v>
      </c>
      <c r="H3003" t="s">
        <v>775</v>
      </c>
      <c r="I3003">
        <v>45</v>
      </c>
      <c r="J3003">
        <v>343</v>
      </c>
      <c r="K3003">
        <v>107</v>
      </c>
    </row>
    <row r="3004" spans="1:11" x14ac:dyDescent="0.3">
      <c r="A3004" t="s">
        <v>11</v>
      </c>
      <c r="B3004" t="s">
        <v>33</v>
      </c>
      <c r="C3004" t="s">
        <v>197</v>
      </c>
      <c r="D3004" t="s">
        <v>574</v>
      </c>
      <c r="E3004" s="5">
        <v>45812.958333333343</v>
      </c>
      <c r="F3004">
        <v>13.1662</v>
      </c>
      <c r="G3004">
        <v>80.258399999999995</v>
      </c>
      <c r="H3004" t="s">
        <v>774</v>
      </c>
      <c r="I3004">
        <v>18</v>
      </c>
      <c r="J3004">
        <v>23</v>
      </c>
      <c r="K3004">
        <v>21</v>
      </c>
    </row>
    <row r="3005" spans="1:11" x14ac:dyDescent="0.3">
      <c r="A3005" t="s">
        <v>11</v>
      </c>
      <c r="B3005" t="s">
        <v>33</v>
      </c>
      <c r="C3005" t="s">
        <v>197</v>
      </c>
      <c r="D3005" t="s">
        <v>575</v>
      </c>
      <c r="E3005" s="5">
        <v>45812.958333333343</v>
      </c>
      <c r="F3005">
        <v>13.164543999999999</v>
      </c>
      <c r="G3005">
        <v>80.26285</v>
      </c>
      <c r="H3005" t="s">
        <v>771</v>
      </c>
      <c r="I3005">
        <v>46</v>
      </c>
      <c r="J3005">
        <v>56</v>
      </c>
      <c r="K3005">
        <v>52</v>
      </c>
    </row>
    <row r="3006" spans="1:11" x14ac:dyDescent="0.3">
      <c r="A3006" t="s">
        <v>11</v>
      </c>
      <c r="B3006" t="s">
        <v>33</v>
      </c>
      <c r="C3006" t="s">
        <v>197</v>
      </c>
      <c r="D3006" t="s">
        <v>575</v>
      </c>
      <c r="E3006" s="5">
        <v>45812.958333333343</v>
      </c>
      <c r="F3006">
        <v>13.164543999999999</v>
      </c>
      <c r="G3006">
        <v>80.26285</v>
      </c>
      <c r="H3006" t="s">
        <v>772</v>
      </c>
      <c r="I3006">
        <v>10</v>
      </c>
      <c r="J3006">
        <v>22</v>
      </c>
      <c r="K3006">
        <v>15</v>
      </c>
    </row>
    <row r="3007" spans="1:11" x14ac:dyDescent="0.3">
      <c r="A3007" t="s">
        <v>11</v>
      </c>
      <c r="B3007" t="s">
        <v>33</v>
      </c>
      <c r="C3007" t="s">
        <v>197</v>
      </c>
      <c r="D3007" t="s">
        <v>575</v>
      </c>
      <c r="E3007" s="5">
        <v>45812.958333333343</v>
      </c>
      <c r="F3007">
        <v>13.164543999999999</v>
      </c>
      <c r="G3007">
        <v>80.26285</v>
      </c>
      <c r="H3007" t="s">
        <v>770</v>
      </c>
      <c r="I3007">
        <v>17</v>
      </c>
      <c r="J3007">
        <v>37</v>
      </c>
      <c r="K3007">
        <v>21</v>
      </c>
    </row>
    <row r="3008" spans="1:11" x14ac:dyDescent="0.3">
      <c r="A3008" t="s">
        <v>11</v>
      </c>
      <c r="B3008" t="s">
        <v>33</v>
      </c>
      <c r="C3008" t="s">
        <v>197</v>
      </c>
      <c r="D3008" t="s">
        <v>558</v>
      </c>
      <c r="E3008" s="5">
        <v>45812.958333333343</v>
      </c>
      <c r="F3008">
        <v>12.9533</v>
      </c>
      <c r="G3008">
        <v>80.235699999999994</v>
      </c>
      <c r="H3008" t="s">
        <v>775</v>
      </c>
      <c r="I3008">
        <v>14</v>
      </c>
      <c r="J3008">
        <v>55</v>
      </c>
      <c r="K3008">
        <v>28</v>
      </c>
    </row>
    <row r="3009" spans="1:11" x14ac:dyDescent="0.3">
      <c r="A3009" t="s">
        <v>11</v>
      </c>
      <c r="B3009" t="s">
        <v>33</v>
      </c>
      <c r="C3009" t="s">
        <v>197</v>
      </c>
      <c r="D3009" t="s">
        <v>574</v>
      </c>
      <c r="E3009" s="5">
        <v>45812.958333333343</v>
      </c>
      <c r="F3009">
        <v>13.1662</v>
      </c>
      <c r="G3009">
        <v>80.258399999999995</v>
      </c>
      <c r="H3009" t="s">
        <v>771</v>
      </c>
      <c r="I3009">
        <v>11</v>
      </c>
      <c r="J3009">
        <v>67</v>
      </c>
      <c r="K3009">
        <v>32</v>
      </c>
    </row>
    <row r="3010" spans="1:11" x14ac:dyDescent="0.3">
      <c r="A3010" t="s">
        <v>11</v>
      </c>
      <c r="B3010" t="s">
        <v>33</v>
      </c>
      <c r="C3010" t="s">
        <v>197</v>
      </c>
      <c r="D3010" t="s">
        <v>574</v>
      </c>
      <c r="E3010" s="5">
        <v>45812.958333333343</v>
      </c>
      <c r="F3010">
        <v>13.1662</v>
      </c>
      <c r="G3010">
        <v>80.258399999999995</v>
      </c>
      <c r="H3010" t="s">
        <v>772</v>
      </c>
      <c r="I3010">
        <v>1</v>
      </c>
      <c r="J3010">
        <v>1</v>
      </c>
      <c r="K3010">
        <v>1</v>
      </c>
    </row>
    <row r="3011" spans="1:11" x14ac:dyDescent="0.3">
      <c r="A3011" t="s">
        <v>11</v>
      </c>
      <c r="B3011" t="s">
        <v>31</v>
      </c>
      <c r="C3011" t="s">
        <v>189</v>
      </c>
      <c r="D3011" t="s">
        <v>550</v>
      </c>
      <c r="E3011" s="5">
        <v>45812.958333333343</v>
      </c>
      <c r="F3011">
        <v>27.608912</v>
      </c>
      <c r="G3011">
        <v>75.153301999999996</v>
      </c>
      <c r="H3011" t="s">
        <v>772</v>
      </c>
      <c r="I3011">
        <v>7</v>
      </c>
      <c r="J3011">
        <v>82</v>
      </c>
      <c r="K3011">
        <v>38</v>
      </c>
    </row>
    <row r="3012" spans="1:11" x14ac:dyDescent="0.3">
      <c r="A3012" t="s">
        <v>11</v>
      </c>
      <c r="B3012" t="s">
        <v>31</v>
      </c>
      <c r="C3012" t="s">
        <v>189</v>
      </c>
      <c r="D3012" t="s">
        <v>550</v>
      </c>
      <c r="E3012" s="5">
        <v>45812.958333333343</v>
      </c>
      <c r="F3012">
        <v>27.608912</v>
      </c>
      <c r="G3012">
        <v>75.153301999999996</v>
      </c>
      <c r="H3012" t="s">
        <v>774</v>
      </c>
      <c r="I3012">
        <v>1</v>
      </c>
      <c r="J3012">
        <v>11</v>
      </c>
      <c r="K3012">
        <v>4</v>
      </c>
    </row>
    <row r="3013" spans="1:11" x14ac:dyDescent="0.3">
      <c r="A3013" t="s">
        <v>11</v>
      </c>
      <c r="B3013" t="s">
        <v>33</v>
      </c>
      <c r="C3013" t="s">
        <v>199</v>
      </c>
      <c r="D3013" t="s">
        <v>563</v>
      </c>
      <c r="E3013" s="5">
        <v>45812.958333333343</v>
      </c>
      <c r="F3013">
        <v>10.96782</v>
      </c>
      <c r="G3013">
        <v>78.080882000000003</v>
      </c>
      <c r="H3013" t="s">
        <v>771</v>
      </c>
      <c r="I3013">
        <v>11</v>
      </c>
      <c r="J3013">
        <v>39</v>
      </c>
      <c r="K3013">
        <v>28</v>
      </c>
    </row>
    <row r="3014" spans="1:11" x14ac:dyDescent="0.3">
      <c r="A3014" t="s">
        <v>11</v>
      </c>
      <c r="B3014" t="s">
        <v>33</v>
      </c>
      <c r="C3014" t="s">
        <v>199</v>
      </c>
      <c r="D3014" t="s">
        <v>563</v>
      </c>
      <c r="E3014" s="5">
        <v>45812.958333333343</v>
      </c>
      <c r="F3014">
        <v>10.96782</v>
      </c>
      <c r="G3014">
        <v>78.080882000000003</v>
      </c>
      <c r="H3014" t="s">
        <v>772</v>
      </c>
      <c r="I3014">
        <v>2</v>
      </c>
      <c r="J3014">
        <v>17</v>
      </c>
      <c r="K3014">
        <v>4</v>
      </c>
    </row>
    <row r="3015" spans="1:11" x14ac:dyDescent="0.3">
      <c r="A3015" t="s">
        <v>11</v>
      </c>
      <c r="B3015" t="s">
        <v>33</v>
      </c>
      <c r="C3015" t="s">
        <v>199</v>
      </c>
      <c r="D3015" t="s">
        <v>563</v>
      </c>
      <c r="E3015" s="5">
        <v>45812.958333333343</v>
      </c>
      <c r="F3015">
        <v>10.96782</v>
      </c>
      <c r="G3015">
        <v>78.080882000000003</v>
      </c>
      <c r="H3015" t="s">
        <v>770</v>
      </c>
      <c r="I3015">
        <v>1</v>
      </c>
      <c r="J3015">
        <v>44</v>
      </c>
      <c r="K3015">
        <v>1</v>
      </c>
    </row>
    <row r="3016" spans="1:11" x14ac:dyDescent="0.3">
      <c r="A3016" t="s">
        <v>11</v>
      </c>
      <c r="B3016" t="s">
        <v>33</v>
      </c>
      <c r="C3016" t="s">
        <v>282</v>
      </c>
      <c r="D3016" t="s">
        <v>732</v>
      </c>
      <c r="E3016" s="5">
        <v>45812.958333333343</v>
      </c>
      <c r="F3016">
        <v>9.8659350000000003</v>
      </c>
      <c r="G3016">
        <v>78.022668999999993</v>
      </c>
      <c r="H3016" t="s">
        <v>775</v>
      </c>
      <c r="I3016">
        <v>7</v>
      </c>
      <c r="J3016">
        <v>25</v>
      </c>
      <c r="K3016">
        <v>17</v>
      </c>
    </row>
    <row r="3017" spans="1:11" x14ac:dyDescent="0.3">
      <c r="A3017" t="s">
        <v>11</v>
      </c>
      <c r="B3017" t="s">
        <v>33</v>
      </c>
      <c r="C3017" t="s">
        <v>282</v>
      </c>
      <c r="D3017" t="s">
        <v>732</v>
      </c>
      <c r="E3017" s="5">
        <v>45812.958333333343</v>
      </c>
      <c r="F3017">
        <v>9.8659350000000003</v>
      </c>
      <c r="G3017">
        <v>78.022668999999993</v>
      </c>
      <c r="H3017" t="s">
        <v>773</v>
      </c>
      <c r="I3017">
        <v>3</v>
      </c>
      <c r="J3017">
        <v>3</v>
      </c>
      <c r="K3017">
        <v>3</v>
      </c>
    </row>
    <row r="3018" spans="1:11" x14ac:dyDescent="0.3">
      <c r="A3018" t="s">
        <v>11</v>
      </c>
      <c r="B3018" t="s">
        <v>33</v>
      </c>
      <c r="C3018" t="s">
        <v>282</v>
      </c>
      <c r="D3018" t="s">
        <v>732</v>
      </c>
      <c r="E3018" s="5">
        <v>45812.958333333343</v>
      </c>
      <c r="F3018">
        <v>9.8659350000000003</v>
      </c>
      <c r="G3018">
        <v>78.022668999999993</v>
      </c>
      <c r="H3018" t="s">
        <v>774</v>
      </c>
      <c r="I3018">
        <v>24</v>
      </c>
      <c r="J3018">
        <v>29</v>
      </c>
      <c r="K3018">
        <v>28</v>
      </c>
    </row>
    <row r="3019" spans="1:11" x14ac:dyDescent="0.3">
      <c r="A3019" t="s">
        <v>11</v>
      </c>
      <c r="B3019" t="s">
        <v>33</v>
      </c>
      <c r="C3019" t="s">
        <v>200</v>
      </c>
      <c r="D3019" t="s">
        <v>564</v>
      </c>
      <c r="E3019" s="5">
        <v>45812.958333333343</v>
      </c>
      <c r="F3019">
        <v>10.798548</v>
      </c>
      <c r="G3019">
        <v>79.838211999999999</v>
      </c>
      <c r="H3019" t="s">
        <v>771</v>
      </c>
      <c r="I3019">
        <v>9</v>
      </c>
      <c r="J3019">
        <v>153</v>
      </c>
      <c r="K3019">
        <v>31</v>
      </c>
    </row>
    <row r="3020" spans="1:11" x14ac:dyDescent="0.3">
      <c r="A3020" t="s">
        <v>11</v>
      </c>
      <c r="B3020" t="s">
        <v>33</v>
      </c>
      <c r="C3020" t="s">
        <v>200</v>
      </c>
      <c r="D3020" t="s">
        <v>564</v>
      </c>
      <c r="E3020" s="5">
        <v>45812.958333333343</v>
      </c>
      <c r="F3020">
        <v>10.798548</v>
      </c>
      <c r="G3020">
        <v>79.838211999999999</v>
      </c>
      <c r="H3020" t="s">
        <v>770</v>
      </c>
    </row>
    <row r="3021" spans="1:11" x14ac:dyDescent="0.3">
      <c r="A3021" t="s">
        <v>11</v>
      </c>
      <c r="B3021" t="s">
        <v>33</v>
      </c>
      <c r="C3021" t="s">
        <v>201</v>
      </c>
      <c r="D3021" t="s">
        <v>565</v>
      </c>
      <c r="E3021" s="5">
        <v>45812.958333333343</v>
      </c>
      <c r="F3021">
        <v>11.273992</v>
      </c>
      <c r="G3021">
        <v>78.163544999999999</v>
      </c>
      <c r="H3021" t="s">
        <v>771</v>
      </c>
    </row>
    <row r="3022" spans="1:11" x14ac:dyDescent="0.3">
      <c r="A3022" t="s">
        <v>11</v>
      </c>
      <c r="B3022" t="s">
        <v>33</v>
      </c>
      <c r="C3022" t="s">
        <v>212</v>
      </c>
      <c r="D3022" t="s">
        <v>580</v>
      </c>
      <c r="E3022" s="5">
        <v>45812.958333333343</v>
      </c>
      <c r="F3022">
        <v>9.5593819999999994</v>
      </c>
      <c r="G3022">
        <v>77.948828000000006</v>
      </c>
      <c r="H3022" t="s">
        <v>776</v>
      </c>
      <c r="I3022">
        <v>16</v>
      </c>
      <c r="J3022">
        <v>20</v>
      </c>
      <c r="K3022">
        <v>17</v>
      </c>
    </row>
    <row r="3023" spans="1:11" x14ac:dyDescent="0.3">
      <c r="A3023" t="s">
        <v>11</v>
      </c>
      <c r="B3023" t="s">
        <v>35</v>
      </c>
      <c r="C3023" t="s">
        <v>213</v>
      </c>
      <c r="D3023" t="s">
        <v>737</v>
      </c>
      <c r="E3023" s="5">
        <v>45812.958333333343</v>
      </c>
      <c r="F3023">
        <v>17.460103</v>
      </c>
      <c r="G3023">
        <v>78.334361000000001</v>
      </c>
      <c r="H3023" t="s">
        <v>771</v>
      </c>
    </row>
    <row r="3024" spans="1:11" x14ac:dyDescent="0.3">
      <c r="A3024" t="s">
        <v>11</v>
      </c>
      <c r="B3024" t="s">
        <v>35</v>
      </c>
      <c r="C3024" t="s">
        <v>213</v>
      </c>
      <c r="D3024" t="s">
        <v>585</v>
      </c>
      <c r="E3024" s="5">
        <v>45812.958333333343</v>
      </c>
      <c r="F3024">
        <v>17.470431000000001</v>
      </c>
      <c r="G3024">
        <v>78.566958999999997</v>
      </c>
      <c r="H3024" t="s">
        <v>775</v>
      </c>
      <c r="I3024">
        <v>42</v>
      </c>
      <c r="J3024">
        <v>66</v>
      </c>
      <c r="K3024">
        <v>53</v>
      </c>
    </row>
    <row r="3025" spans="1:11" x14ac:dyDescent="0.3">
      <c r="A3025" t="s">
        <v>11</v>
      </c>
      <c r="B3025" t="s">
        <v>35</v>
      </c>
      <c r="C3025" t="s">
        <v>213</v>
      </c>
      <c r="D3025" t="s">
        <v>585</v>
      </c>
      <c r="E3025" s="5">
        <v>45812.958333333343</v>
      </c>
      <c r="F3025">
        <v>17.470431000000001</v>
      </c>
      <c r="G3025">
        <v>78.566958999999997</v>
      </c>
      <c r="H3025" t="s">
        <v>772</v>
      </c>
      <c r="I3025">
        <v>15</v>
      </c>
      <c r="J3025">
        <v>37</v>
      </c>
      <c r="K3025">
        <v>24</v>
      </c>
    </row>
    <row r="3026" spans="1:11" x14ac:dyDescent="0.3">
      <c r="A3026" t="s">
        <v>11</v>
      </c>
      <c r="B3026" t="s">
        <v>35</v>
      </c>
      <c r="C3026" t="s">
        <v>213</v>
      </c>
      <c r="D3026" t="s">
        <v>585</v>
      </c>
      <c r="E3026" s="5">
        <v>45812.958333333343</v>
      </c>
      <c r="F3026">
        <v>17.470431000000001</v>
      </c>
      <c r="G3026">
        <v>78.566958999999997</v>
      </c>
      <c r="H3026" t="s">
        <v>773</v>
      </c>
      <c r="I3026">
        <v>6</v>
      </c>
      <c r="J3026">
        <v>8</v>
      </c>
      <c r="K3026">
        <v>8</v>
      </c>
    </row>
    <row r="3027" spans="1:11" x14ac:dyDescent="0.3">
      <c r="A3027" t="s">
        <v>11</v>
      </c>
      <c r="B3027" t="s">
        <v>35</v>
      </c>
      <c r="C3027" t="s">
        <v>213</v>
      </c>
      <c r="D3027" t="s">
        <v>585</v>
      </c>
      <c r="E3027" s="5">
        <v>45812.958333333343</v>
      </c>
      <c r="F3027">
        <v>17.470431000000001</v>
      </c>
      <c r="G3027">
        <v>78.566958999999997</v>
      </c>
      <c r="H3027" t="s">
        <v>774</v>
      </c>
    </row>
    <row r="3028" spans="1:11" x14ac:dyDescent="0.3">
      <c r="A3028" t="s">
        <v>11</v>
      </c>
      <c r="B3028" t="s">
        <v>35</v>
      </c>
      <c r="C3028" t="s">
        <v>213</v>
      </c>
      <c r="D3028" t="s">
        <v>585</v>
      </c>
      <c r="E3028" s="5">
        <v>45812.958333333343</v>
      </c>
      <c r="F3028">
        <v>17.470431000000001</v>
      </c>
      <c r="G3028">
        <v>78.566958999999997</v>
      </c>
      <c r="H3028" t="s">
        <v>770</v>
      </c>
      <c r="I3028">
        <v>13</v>
      </c>
      <c r="J3028">
        <v>42</v>
      </c>
      <c r="K3028">
        <v>35</v>
      </c>
    </row>
    <row r="3029" spans="1:11" x14ac:dyDescent="0.3">
      <c r="A3029" t="s">
        <v>11</v>
      </c>
      <c r="B3029" t="s">
        <v>35</v>
      </c>
      <c r="C3029" t="s">
        <v>213</v>
      </c>
      <c r="D3029" t="s">
        <v>738</v>
      </c>
      <c r="E3029" s="5">
        <v>45812.958333333343</v>
      </c>
      <c r="F3029">
        <v>17.5184</v>
      </c>
      <c r="G3029">
        <v>78.278777000000005</v>
      </c>
      <c r="H3029" t="s">
        <v>770</v>
      </c>
      <c r="I3029">
        <v>16</v>
      </c>
      <c r="J3029">
        <v>81</v>
      </c>
      <c r="K3029">
        <v>63</v>
      </c>
    </row>
    <row r="3030" spans="1:11" x14ac:dyDescent="0.3">
      <c r="A3030" t="s">
        <v>11</v>
      </c>
      <c r="B3030" t="s">
        <v>35</v>
      </c>
      <c r="C3030" t="s">
        <v>213</v>
      </c>
      <c r="D3030" t="s">
        <v>740</v>
      </c>
      <c r="E3030" s="5">
        <v>45812.958333333343</v>
      </c>
      <c r="F3030">
        <v>17.585705000000001</v>
      </c>
      <c r="G3030">
        <v>78.126199</v>
      </c>
      <c r="H3030" t="s">
        <v>775</v>
      </c>
    </row>
    <row r="3031" spans="1:11" x14ac:dyDescent="0.3">
      <c r="A3031" t="s">
        <v>11</v>
      </c>
      <c r="B3031" t="s">
        <v>35</v>
      </c>
      <c r="C3031" t="s">
        <v>213</v>
      </c>
      <c r="D3031" t="s">
        <v>740</v>
      </c>
      <c r="E3031" s="5">
        <v>45812.958333333343</v>
      </c>
      <c r="F3031">
        <v>17.585705000000001</v>
      </c>
      <c r="G3031">
        <v>78.126199</v>
      </c>
      <c r="H3031" t="s">
        <v>771</v>
      </c>
    </row>
    <row r="3032" spans="1:11" x14ac:dyDescent="0.3">
      <c r="A3032" t="s">
        <v>11</v>
      </c>
      <c r="B3032" t="s">
        <v>35</v>
      </c>
      <c r="C3032" t="s">
        <v>213</v>
      </c>
      <c r="D3032" t="s">
        <v>740</v>
      </c>
      <c r="E3032" s="5">
        <v>45812.958333333343</v>
      </c>
      <c r="F3032">
        <v>17.585705000000001</v>
      </c>
      <c r="G3032">
        <v>78.126199</v>
      </c>
      <c r="H3032" t="s">
        <v>772</v>
      </c>
      <c r="I3032">
        <v>16</v>
      </c>
      <c r="J3032">
        <v>17</v>
      </c>
      <c r="K3032">
        <v>17</v>
      </c>
    </row>
    <row r="3033" spans="1:11" x14ac:dyDescent="0.3">
      <c r="A3033" t="s">
        <v>11</v>
      </c>
      <c r="B3033" t="s">
        <v>35</v>
      </c>
      <c r="C3033" t="s">
        <v>213</v>
      </c>
      <c r="D3033" t="s">
        <v>740</v>
      </c>
      <c r="E3033" s="5">
        <v>45812.958333333343</v>
      </c>
      <c r="F3033">
        <v>17.585705000000001</v>
      </c>
      <c r="G3033">
        <v>78.126199</v>
      </c>
      <c r="H3033" t="s">
        <v>773</v>
      </c>
      <c r="I3033">
        <v>2</v>
      </c>
      <c r="J3033">
        <v>2</v>
      </c>
      <c r="K3033">
        <v>2</v>
      </c>
    </row>
    <row r="3034" spans="1:11" x14ac:dyDescent="0.3">
      <c r="A3034" t="s">
        <v>11</v>
      </c>
      <c r="B3034" t="s">
        <v>35</v>
      </c>
      <c r="C3034" t="s">
        <v>213</v>
      </c>
      <c r="D3034" t="s">
        <v>581</v>
      </c>
      <c r="E3034" s="5">
        <v>45812.958333333343</v>
      </c>
      <c r="F3034">
        <v>17.544899000000001</v>
      </c>
      <c r="G3034">
        <v>78.486948999999996</v>
      </c>
      <c r="H3034" t="s">
        <v>775</v>
      </c>
      <c r="I3034">
        <v>57</v>
      </c>
      <c r="J3034">
        <v>60</v>
      </c>
      <c r="K3034">
        <v>59</v>
      </c>
    </row>
    <row r="3035" spans="1:11" x14ac:dyDescent="0.3">
      <c r="A3035" t="s">
        <v>11</v>
      </c>
      <c r="B3035" t="s">
        <v>35</v>
      </c>
      <c r="C3035" t="s">
        <v>213</v>
      </c>
      <c r="D3035" t="s">
        <v>581</v>
      </c>
      <c r="E3035" s="5">
        <v>45812.958333333343</v>
      </c>
      <c r="F3035">
        <v>17.544899000000001</v>
      </c>
      <c r="G3035">
        <v>78.486948999999996</v>
      </c>
      <c r="H3035" t="s">
        <v>776</v>
      </c>
      <c r="I3035">
        <v>22</v>
      </c>
      <c r="J3035">
        <v>26</v>
      </c>
      <c r="K3035">
        <v>23</v>
      </c>
    </row>
    <row r="3036" spans="1:11" x14ac:dyDescent="0.3">
      <c r="A3036" t="s">
        <v>11</v>
      </c>
      <c r="B3036" t="s">
        <v>35</v>
      </c>
      <c r="C3036" t="s">
        <v>213</v>
      </c>
      <c r="D3036" t="s">
        <v>582</v>
      </c>
      <c r="E3036" s="5">
        <v>45812.958333333343</v>
      </c>
      <c r="F3036">
        <v>17.372060000000001</v>
      </c>
      <c r="G3036">
        <v>78.50864</v>
      </c>
      <c r="H3036" t="s">
        <v>771</v>
      </c>
      <c r="I3036">
        <v>53</v>
      </c>
      <c r="J3036">
        <v>71</v>
      </c>
      <c r="K3036">
        <v>60</v>
      </c>
    </row>
    <row r="3037" spans="1:11" x14ac:dyDescent="0.3">
      <c r="A3037" t="s">
        <v>11</v>
      </c>
      <c r="B3037" t="s">
        <v>35</v>
      </c>
      <c r="C3037" t="s">
        <v>213</v>
      </c>
      <c r="D3037" t="s">
        <v>582</v>
      </c>
      <c r="E3037" s="5">
        <v>45812.958333333343</v>
      </c>
      <c r="F3037">
        <v>17.372060000000001</v>
      </c>
      <c r="G3037">
        <v>78.50864</v>
      </c>
      <c r="H3037" t="s">
        <v>772</v>
      </c>
      <c r="I3037">
        <v>18</v>
      </c>
      <c r="J3037">
        <v>18</v>
      </c>
      <c r="K3037">
        <v>18</v>
      </c>
    </row>
    <row r="3038" spans="1:11" x14ac:dyDescent="0.3">
      <c r="A3038" t="s">
        <v>11</v>
      </c>
      <c r="B3038" t="s">
        <v>33</v>
      </c>
      <c r="C3038" t="s">
        <v>214</v>
      </c>
      <c r="D3038" t="s">
        <v>587</v>
      </c>
      <c r="E3038" s="5">
        <v>45812.958333333343</v>
      </c>
      <c r="F3038">
        <v>12.952707</v>
      </c>
      <c r="G3038">
        <v>79.303939999999997</v>
      </c>
      <c r="H3038" t="s">
        <v>772</v>
      </c>
      <c r="I3038">
        <v>1</v>
      </c>
      <c r="J3038">
        <v>4</v>
      </c>
      <c r="K3038">
        <v>2</v>
      </c>
    </row>
    <row r="3039" spans="1:11" x14ac:dyDescent="0.3">
      <c r="A3039" t="s">
        <v>11</v>
      </c>
      <c r="B3039" t="s">
        <v>33</v>
      </c>
      <c r="C3039" t="s">
        <v>280</v>
      </c>
      <c r="D3039" t="s">
        <v>730</v>
      </c>
      <c r="E3039" s="5">
        <v>45812.958333333343</v>
      </c>
      <c r="F3039">
        <v>11.679111000000001</v>
      </c>
      <c r="G3039">
        <v>78.125051999999997</v>
      </c>
      <c r="H3039" t="s">
        <v>774</v>
      </c>
      <c r="I3039">
        <v>36</v>
      </c>
      <c r="J3039">
        <v>39</v>
      </c>
      <c r="K3039">
        <v>38</v>
      </c>
    </row>
    <row r="3040" spans="1:11" x14ac:dyDescent="0.3">
      <c r="A3040" t="s">
        <v>11</v>
      </c>
      <c r="B3040" t="s">
        <v>33</v>
      </c>
      <c r="C3040" t="s">
        <v>280</v>
      </c>
      <c r="D3040" t="s">
        <v>730</v>
      </c>
      <c r="E3040" s="5">
        <v>45812.958333333343</v>
      </c>
      <c r="F3040">
        <v>11.679111000000001</v>
      </c>
      <c r="G3040">
        <v>78.125051999999997</v>
      </c>
      <c r="H3040" t="s">
        <v>776</v>
      </c>
      <c r="I3040">
        <v>36</v>
      </c>
      <c r="J3040">
        <v>36</v>
      </c>
      <c r="K3040">
        <v>36</v>
      </c>
    </row>
    <row r="3041" spans="1:11" x14ac:dyDescent="0.3">
      <c r="A3041" t="s">
        <v>11</v>
      </c>
      <c r="B3041" t="s">
        <v>33</v>
      </c>
      <c r="C3041" t="s">
        <v>281</v>
      </c>
      <c r="D3041" t="s">
        <v>731</v>
      </c>
      <c r="E3041" s="5">
        <v>45812.958333333343</v>
      </c>
      <c r="F3041">
        <v>10.7654824</v>
      </c>
      <c r="G3041">
        <v>79.138996800000001</v>
      </c>
      <c r="H3041" t="s">
        <v>771</v>
      </c>
      <c r="I3041">
        <v>17</v>
      </c>
      <c r="J3041">
        <v>59</v>
      </c>
      <c r="K3041">
        <v>33</v>
      </c>
    </row>
    <row r="3042" spans="1:11" x14ac:dyDescent="0.3">
      <c r="A3042" t="s">
        <v>11</v>
      </c>
      <c r="B3042" t="s">
        <v>33</v>
      </c>
      <c r="C3042" t="s">
        <v>281</v>
      </c>
      <c r="D3042" t="s">
        <v>731</v>
      </c>
      <c r="E3042" s="5">
        <v>45812.958333333343</v>
      </c>
      <c r="F3042">
        <v>10.7654824</v>
      </c>
      <c r="G3042">
        <v>79.138996800000001</v>
      </c>
      <c r="H3042" t="s">
        <v>776</v>
      </c>
      <c r="I3042">
        <v>8</v>
      </c>
      <c r="J3042">
        <v>10</v>
      </c>
      <c r="K3042">
        <v>8</v>
      </c>
    </row>
    <row r="3043" spans="1:11" x14ac:dyDescent="0.3">
      <c r="A3043" t="s">
        <v>11</v>
      </c>
      <c r="B3043" t="s">
        <v>33</v>
      </c>
      <c r="C3043" t="s">
        <v>281</v>
      </c>
      <c r="D3043" t="s">
        <v>731</v>
      </c>
      <c r="E3043" s="5">
        <v>45812.958333333343</v>
      </c>
      <c r="F3043">
        <v>10.7654824</v>
      </c>
      <c r="G3043">
        <v>79.138996800000001</v>
      </c>
      <c r="H3043" t="s">
        <v>770</v>
      </c>
      <c r="I3043">
        <v>7</v>
      </c>
      <c r="J3043">
        <v>22</v>
      </c>
      <c r="K3043">
        <v>15</v>
      </c>
    </row>
    <row r="3044" spans="1:11" x14ac:dyDescent="0.3">
      <c r="A3044" t="s">
        <v>11</v>
      </c>
      <c r="B3044" t="s">
        <v>33</v>
      </c>
      <c r="C3044" t="s">
        <v>201</v>
      </c>
      <c r="D3044" t="s">
        <v>565</v>
      </c>
      <c r="E3044" s="5">
        <v>45812.958333333343</v>
      </c>
      <c r="F3044">
        <v>11.273992</v>
      </c>
      <c r="G3044">
        <v>78.163544999999999</v>
      </c>
      <c r="H3044" t="s">
        <v>774</v>
      </c>
      <c r="I3044">
        <v>14</v>
      </c>
      <c r="J3044">
        <v>18</v>
      </c>
      <c r="K3044">
        <v>15</v>
      </c>
    </row>
    <row r="3045" spans="1:11" x14ac:dyDescent="0.3">
      <c r="A3045" t="s">
        <v>11</v>
      </c>
      <c r="B3045" t="s">
        <v>33</v>
      </c>
      <c r="C3045" t="s">
        <v>291</v>
      </c>
      <c r="D3045" t="s">
        <v>766</v>
      </c>
      <c r="E3045" s="5">
        <v>45812.958333333343</v>
      </c>
      <c r="F3045">
        <v>11.4068288</v>
      </c>
      <c r="G3045">
        <v>76.713897299999999</v>
      </c>
      <c r="H3045" t="s">
        <v>773</v>
      </c>
      <c r="I3045">
        <v>8</v>
      </c>
      <c r="J3045">
        <v>17</v>
      </c>
      <c r="K3045">
        <v>15</v>
      </c>
    </row>
    <row r="3046" spans="1:11" x14ac:dyDescent="0.3">
      <c r="A3046" t="s">
        <v>11</v>
      </c>
      <c r="B3046" t="s">
        <v>33</v>
      </c>
      <c r="C3046" t="s">
        <v>284</v>
      </c>
      <c r="D3046" t="s">
        <v>734</v>
      </c>
      <c r="E3046" s="5">
        <v>45812.958333333343</v>
      </c>
      <c r="F3046">
        <v>10.423417000000001</v>
      </c>
      <c r="G3046">
        <v>78.784889000000007</v>
      </c>
      <c r="H3046" t="s">
        <v>773</v>
      </c>
      <c r="I3046">
        <v>2</v>
      </c>
      <c r="J3046">
        <v>3</v>
      </c>
      <c r="K3046">
        <v>2</v>
      </c>
    </row>
    <row r="3047" spans="1:11" x14ac:dyDescent="0.3">
      <c r="A3047" t="s">
        <v>11</v>
      </c>
      <c r="B3047" t="s">
        <v>33</v>
      </c>
      <c r="C3047" t="s">
        <v>217</v>
      </c>
      <c r="D3047" t="s">
        <v>592</v>
      </c>
      <c r="E3047" s="5">
        <v>45812.958333333343</v>
      </c>
      <c r="F3047">
        <v>9.3639899999999994</v>
      </c>
      <c r="G3047">
        <v>78.831976999999995</v>
      </c>
      <c r="H3047" t="s">
        <v>773</v>
      </c>
      <c r="I3047">
        <v>1</v>
      </c>
      <c r="J3047">
        <v>1</v>
      </c>
      <c r="K3047">
        <v>1</v>
      </c>
    </row>
    <row r="3048" spans="1:11" x14ac:dyDescent="0.3">
      <c r="A3048" t="s">
        <v>11</v>
      </c>
      <c r="B3048" t="s">
        <v>33</v>
      </c>
      <c r="C3048" t="s">
        <v>208</v>
      </c>
      <c r="D3048" t="s">
        <v>576</v>
      </c>
      <c r="E3048" s="5">
        <v>45812.958333333343</v>
      </c>
      <c r="F3048">
        <v>11.6829898</v>
      </c>
      <c r="G3048">
        <v>79.753209900000002</v>
      </c>
      <c r="H3048" t="s">
        <v>773</v>
      </c>
    </row>
    <row r="3049" spans="1:11" x14ac:dyDescent="0.3">
      <c r="A3049" t="s">
        <v>11</v>
      </c>
      <c r="B3049" t="s">
        <v>33</v>
      </c>
      <c r="C3049" t="s">
        <v>208</v>
      </c>
      <c r="D3049" t="s">
        <v>576</v>
      </c>
      <c r="E3049" s="5">
        <v>45812.958333333343</v>
      </c>
      <c r="F3049">
        <v>11.6829898</v>
      </c>
      <c r="G3049">
        <v>79.753209900000002</v>
      </c>
      <c r="H3049" t="s">
        <v>774</v>
      </c>
    </row>
    <row r="3050" spans="1:11" x14ac:dyDescent="0.3">
      <c r="A3050" t="s">
        <v>11</v>
      </c>
      <c r="B3050" t="s">
        <v>33</v>
      </c>
      <c r="C3050" t="s">
        <v>208</v>
      </c>
      <c r="D3050" t="s">
        <v>735</v>
      </c>
      <c r="E3050" s="5">
        <v>45812.958333333343</v>
      </c>
      <c r="F3050">
        <v>11.763768300000001</v>
      </c>
      <c r="G3050">
        <v>79.749983499999999</v>
      </c>
      <c r="H3050" t="s">
        <v>771</v>
      </c>
      <c r="I3050">
        <v>8</v>
      </c>
      <c r="J3050">
        <v>49</v>
      </c>
      <c r="K3050">
        <v>23</v>
      </c>
    </row>
    <row r="3051" spans="1:11" x14ac:dyDescent="0.3">
      <c r="A3051" t="s">
        <v>11</v>
      </c>
      <c r="B3051" t="s">
        <v>33</v>
      </c>
      <c r="C3051" t="s">
        <v>208</v>
      </c>
      <c r="D3051" t="s">
        <v>735</v>
      </c>
      <c r="E3051" s="5">
        <v>45812.958333333343</v>
      </c>
      <c r="F3051">
        <v>11.763768300000001</v>
      </c>
      <c r="G3051">
        <v>79.749983499999999</v>
      </c>
      <c r="H3051" t="s">
        <v>773</v>
      </c>
      <c r="I3051">
        <v>1</v>
      </c>
      <c r="J3051">
        <v>1</v>
      </c>
      <c r="K3051">
        <v>1</v>
      </c>
    </row>
    <row r="3052" spans="1:11" x14ac:dyDescent="0.3">
      <c r="A3052" t="s">
        <v>11</v>
      </c>
      <c r="B3052" t="s">
        <v>33</v>
      </c>
      <c r="C3052" t="s">
        <v>209</v>
      </c>
      <c r="D3052" t="s">
        <v>577</v>
      </c>
      <c r="E3052" s="5">
        <v>45812.958333333343</v>
      </c>
      <c r="F3052">
        <v>10.830158000000001</v>
      </c>
      <c r="G3052">
        <v>78.691849000000005</v>
      </c>
      <c r="H3052" t="s">
        <v>771</v>
      </c>
      <c r="I3052">
        <v>9</v>
      </c>
      <c r="J3052">
        <v>35</v>
      </c>
      <c r="K3052">
        <v>24</v>
      </c>
    </row>
    <row r="3053" spans="1:11" x14ac:dyDescent="0.3">
      <c r="A3053" t="s">
        <v>11</v>
      </c>
      <c r="B3053" t="s">
        <v>33</v>
      </c>
      <c r="C3053" t="s">
        <v>210</v>
      </c>
      <c r="D3053" t="s">
        <v>578</v>
      </c>
      <c r="E3053" s="5">
        <v>45812.958333333343</v>
      </c>
      <c r="F3053">
        <v>8.7284419999999994</v>
      </c>
      <c r="G3053">
        <v>77.696200000000005</v>
      </c>
      <c r="H3053" t="s">
        <v>772</v>
      </c>
      <c r="I3053">
        <v>4</v>
      </c>
      <c r="J3053">
        <v>11</v>
      </c>
      <c r="K3053">
        <v>7</v>
      </c>
    </row>
    <row r="3054" spans="1:11" x14ac:dyDescent="0.3">
      <c r="A3054" t="s">
        <v>11</v>
      </c>
      <c r="B3054" t="s">
        <v>33</v>
      </c>
      <c r="C3054" t="s">
        <v>278</v>
      </c>
      <c r="D3054" t="s">
        <v>728</v>
      </c>
      <c r="E3054" s="5">
        <v>45812.958333333343</v>
      </c>
      <c r="F3054">
        <v>13.412699999999999</v>
      </c>
      <c r="G3054">
        <v>80.108099999999993</v>
      </c>
      <c r="H3054" t="s">
        <v>775</v>
      </c>
      <c r="I3054">
        <v>14</v>
      </c>
      <c r="J3054">
        <v>193</v>
      </c>
      <c r="K3054">
        <v>54</v>
      </c>
    </row>
    <row r="3055" spans="1:11" x14ac:dyDescent="0.3">
      <c r="A3055" t="s">
        <v>11</v>
      </c>
      <c r="B3055" t="s">
        <v>35</v>
      </c>
      <c r="C3055" t="s">
        <v>213</v>
      </c>
      <c r="D3055" t="s">
        <v>593</v>
      </c>
      <c r="E3055" s="5">
        <v>45812.958333333343</v>
      </c>
      <c r="F3055">
        <v>17.455945799999999</v>
      </c>
      <c r="G3055">
        <v>78.433215200000006</v>
      </c>
      <c r="H3055" t="s">
        <v>772</v>
      </c>
      <c r="I3055">
        <v>17</v>
      </c>
      <c r="J3055">
        <v>32</v>
      </c>
      <c r="K3055">
        <v>26</v>
      </c>
    </row>
    <row r="3056" spans="1:11" x14ac:dyDescent="0.3">
      <c r="A3056" t="s">
        <v>11</v>
      </c>
      <c r="B3056" t="s">
        <v>36</v>
      </c>
      <c r="C3056" t="s">
        <v>220</v>
      </c>
      <c r="D3056" t="s">
        <v>599</v>
      </c>
      <c r="E3056" s="5">
        <v>45812.958333333343</v>
      </c>
      <c r="F3056">
        <v>27.159400000000002</v>
      </c>
      <c r="G3056">
        <v>78.395300000000006</v>
      </c>
      <c r="H3056" t="s">
        <v>774</v>
      </c>
      <c r="I3056">
        <v>2</v>
      </c>
      <c r="J3056">
        <v>132</v>
      </c>
      <c r="K3056">
        <v>84</v>
      </c>
    </row>
    <row r="3057" spans="1:11" x14ac:dyDescent="0.3">
      <c r="A3057" t="s">
        <v>11</v>
      </c>
      <c r="B3057" t="s">
        <v>36</v>
      </c>
      <c r="C3057" t="s">
        <v>220</v>
      </c>
      <c r="D3057" t="s">
        <v>599</v>
      </c>
      <c r="E3057" s="5">
        <v>45812.958333333343</v>
      </c>
      <c r="F3057">
        <v>27.159400000000002</v>
      </c>
      <c r="G3057">
        <v>78.395300000000006</v>
      </c>
      <c r="H3057" t="s">
        <v>776</v>
      </c>
      <c r="I3057">
        <v>5</v>
      </c>
      <c r="J3057">
        <v>30</v>
      </c>
      <c r="K3057">
        <v>13</v>
      </c>
    </row>
    <row r="3058" spans="1:11" x14ac:dyDescent="0.3">
      <c r="A3058" t="s">
        <v>11</v>
      </c>
      <c r="B3058" t="s">
        <v>36</v>
      </c>
      <c r="C3058" t="s">
        <v>220</v>
      </c>
      <c r="D3058" t="s">
        <v>599</v>
      </c>
      <c r="E3058" s="5">
        <v>45812.958333333343</v>
      </c>
      <c r="F3058">
        <v>27.159400000000002</v>
      </c>
      <c r="G3058">
        <v>78.395300000000006</v>
      </c>
      <c r="H3058" t="s">
        <v>770</v>
      </c>
      <c r="I3058">
        <v>1</v>
      </c>
      <c r="J3058">
        <v>119</v>
      </c>
      <c r="K3058">
        <v>77</v>
      </c>
    </row>
    <row r="3059" spans="1:11" x14ac:dyDescent="0.3">
      <c r="A3059" t="s">
        <v>11</v>
      </c>
      <c r="B3059" t="s">
        <v>36</v>
      </c>
      <c r="C3059" t="s">
        <v>221</v>
      </c>
      <c r="D3059" t="s">
        <v>600</v>
      </c>
      <c r="E3059" s="5">
        <v>45812.958333333343</v>
      </c>
      <c r="F3059">
        <v>28.646232999999999</v>
      </c>
      <c r="G3059">
        <v>77.358074999999999</v>
      </c>
      <c r="H3059" t="s">
        <v>772</v>
      </c>
      <c r="I3059">
        <v>16</v>
      </c>
      <c r="J3059">
        <v>378</v>
      </c>
      <c r="K3059">
        <v>90</v>
      </c>
    </row>
    <row r="3060" spans="1:11" x14ac:dyDescent="0.3">
      <c r="A3060" t="s">
        <v>11</v>
      </c>
      <c r="B3060" t="s">
        <v>36</v>
      </c>
      <c r="C3060" t="s">
        <v>221</v>
      </c>
      <c r="D3060" t="s">
        <v>600</v>
      </c>
      <c r="E3060" s="5">
        <v>45812.958333333343</v>
      </c>
      <c r="F3060">
        <v>28.646232999999999</v>
      </c>
      <c r="G3060">
        <v>77.358074999999999</v>
      </c>
      <c r="H3060" t="s">
        <v>776</v>
      </c>
      <c r="I3060">
        <v>32</v>
      </c>
      <c r="J3060">
        <v>53</v>
      </c>
      <c r="K3060">
        <v>39</v>
      </c>
    </row>
    <row r="3061" spans="1:11" x14ac:dyDescent="0.3">
      <c r="A3061" t="s">
        <v>11</v>
      </c>
      <c r="B3061" t="s">
        <v>36</v>
      </c>
      <c r="C3061" t="s">
        <v>221</v>
      </c>
      <c r="D3061" t="s">
        <v>602</v>
      </c>
      <c r="E3061" s="5">
        <v>45812.958333333343</v>
      </c>
      <c r="F3061">
        <v>28.685382000000001</v>
      </c>
      <c r="G3061">
        <v>77.453839000000002</v>
      </c>
      <c r="H3061" t="s">
        <v>774</v>
      </c>
      <c r="I3061">
        <v>17</v>
      </c>
      <c r="J3061">
        <v>84</v>
      </c>
      <c r="K3061">
        <v>39</v>
      </c>
    </row>
    <row r="3062" spans="1:11" x14ac:dyDescent="0.3">
      <c r="A3062" t="s">
        <v>11</v>
      </c>
      <c r="B3062" t="s">
        <v>36</v>
      </c>
      <c r="C3062" t="s">
        <v>221</v>
      </c>
      <c r="D3062" t="s">
        <v>603</v>
      </c>
      <c r="E3062" s="5">
        <v>45812.958333333343</v>
      </c>
      <c r="F3062">
        <v>28.660334599999999</v>
      </c>
      <c r="G3062">
        <v>77.357256300000003</v>
      </c>
      <c r="H3062" t="s">
        <v>771</v>
      </c>
      <c r="I3062">
        <v>66</v>
      </c>
      <c r="J3062">
        <v>210</v>
      </c>
      <c r="K3062">
        <v>124</v>
      </c>
    </row>
    <row r="3063" spans="1:11" x14ac:dyDescent="0.3">
      <c r="A3063" t="s">
        <v>11</v>
      </c>
      <c r="B3063" t="s">
        <v>36</v>
      </c>
      <c r="C3063" t="s">
        <v>221</v>
      </c>
      <c r="D3063" t="s">
        <v>603</v>
      </c>
      <c r="E3063" s="5">
        <v>45812.958333333343</v>
      </c>
      <c r="F3063">
        <v>28.660334599999999</v>
      </c>
      <c r="G3063">
        <v>77.357256300000003</v>
      </c>
      <c r="H3063" t="s">
        <v>773</v>
      </c>
      <c r="I3063">
        <v>5</v>
      </c>
      <c r="J3063">
        <v>14</v>
      </c>
      <c r="K3063">
        <v>10</v>
      </c>
    </row>
    <row r="3064" spans="1:11" x14ac:dyDescent="0.3">
      <c r="A3064" t="s">
        <v>11</v>
      </c>
      <c r="B3064" t="s">
        <v>36</v>
      </c>
      <c r="C3064" t="s">
        <v>216</v>
      </c>
      <c r="D3064" t="s">
        <v>591</v>
      </c>
      <c r="E3064" s="5">
        <v>45812.958333333343</v>
      </c>
      <c r="F3064">
        <v>27.198658330000001</v>
      </c>
      <c r="G3064">
        <v>78.005980559999998</v>
      </c>
      <c r="H3064" t="s">
        <v>770</v>
      </c>
      <c r="I3064">
        <v>14</v>
      </c>
      <c r="J3064">
        <v>131</v>
      </c>
      <c r="K3064">
        <v>74</v>
      </c>
    </row>
    <row r="3065" spans="1:11" x14ac:dyDescent="0.3">
      <c r="A3065" t="s">
        <v>11</v>
      </c>
      <c r="B3065" t="s">
        <v>36</v>
      </c>
      <c r="C3065" t="s">
        <v>216</v>
      </c>
      <c r="D3065" t="s">
        <v>605</v>
      </c>
      <c r="E3065" s="5">
        <v>45812.958333333343</v>
      </c>
      <c r="F3065">
        <v>27.194120000000002</v>
      </c>
      <c r="G3065">
        <v>77.962370000000007</v>
      </c>
      <c r="H3065" t="s">
        <v>774</v>
      </c>
      <c r="I3065">
        <v>20</v>
      </c>
      <c r="J3065">
        <v>27</v>
      </c>
      <c r="K3065">
        <v>21</v>
      </c>
    </row>
    <row r="3066" spans="1:11" x14ac:dyDescent="0.3">
      <c r="A3066" t="s">
        <v>11</v>
      </c>
      <c r="B3066" t="s">
        <v>36</v>
      </c>
      <c r="C3066" t="s">
        <v>216</v>
      </c>
      <c r="D3066" t="s">
        <v>605</v>
      </c>
      <c r="E3066" s="5">
        <v>45812.958333333343</v>
      </c>
      <c r="F3066">
        <v>27.194120000000002</v>
      </c>
      <c r="G3066">
        <v>77.962370000000007</v>
      </c>
      <c r="H3066" t="s">
        <v>776</v>
      </c>
      <c r="I3066">
        <v>22</v>
      </c>
      <c r="J3066">
        <v>48</v>
      </c>
      <c r="K3066">
        <v>29</v>
      </c>
    </row>
    <row r="3067" spans="1:11" x14ac:dyDescent="0.3">
      <c r="A3067" t="s">
        <v>11</v>
      </c>
      <c r="B3067" t="s">
        <v>36</v>
      </c>
      <c r="C3067" t="s">
        <v>216</v>
      </c>
      <c r="D3067" t="s">
        <v>606</v>
      </c>
      <c r="E3067" s="5">
        <v>45812.958333333343</v>
      </c>
      <c r="F3067">
        <v>27.169338</v>
      </c>
      <c r="G3067">
        <v>78.035820000000001</v>
      </c>
      <c r="H3067" t="s">
        <v>771</v>
      </c>
    </row>
    <row r="3068" spans="1:11" x14ac:dyDescent="0.3">
      <c r="A3068" t="s">
        <v>11</v>
      </c>
      <c r="B3068" t="s">
        <v>36</v>
      </c>
      <c r="C3068" t="s">
        <v>216</v>
      </c>
      <c r="D3068" t="s">
        <v>606</v>
      </c>
      <c r="E3068" s="5">
        <v>45812.958333333343</v>
      </c>
      <c r="F3068">
        <v>27.169338</v>
      </c>
      <c r="G3068">
        <v>78.035820000000001</v>
      </c>
      <c r="H3068" t="s">
        <v>773</v>
      </c>
    </row>
    <row r="3069" spans="1:11" x14ac:dyDescent="0.3">
      <c r="A3069" t="s">
        <v>11</v>
      </c>
      <c r="B3069" t="s">
        <v>36</v>
      </c>
      <c r="C3069" t="s">
        <v>216</v>
      </c>
      <c r="D3069" t="s">
        <v>739</v>
      </c>
      <c r="E3069" s="5">
        <v>45812.958333333343</v>
      </c>
      <c r="F3069">
        <v>27.198619999999998</v>
      </c>
      <c r="G3069">
        <v>77.920659999999998</v>
      </c>
      <c r="H3069" t="s">
        <v>772</v>
      </c>
      <c r="I3069">
        <v>49</v>
      </c>
      <c r="J3069">
        <v>84</v>
      </c>
      <c r="K3069">
        <v>54</v>
      </c>
    </row>
    <row r="3070" spans="1:11" x14ac:dyDescent="0.3">
      <c r="A3070" t="s">
        <v>11</v>
      </c>
      <c r="B3070" t="s">
        <v>36</v>
      </c>
      <c r="C3070" t="s">
        <v>216</v>
      </c>
      <c r="D3070" t="s">
        <v>739</v>
      </c>
      <c r="E3070" s="5">
        <v>45812.958333333343</v>
      </c>
      <c r="F3070">
        <v>27.198619999999998</v>
      </c>
      <c r="G3070">
        <v>77.920659999999998</v>
      </c>
      <c r="H3070" t="s">
        <v>774</v>
      </c>
      <c r="I3070">
        <v>15</v>
      </c>
      <c r="J3070">
        <v>24</v>
      </c>
      <c r="K3070">
        <v>18</v>
      </c>
    </row>
    <row r="3071" spans="1:11" x14ac:dyDescent="0.3">
      <c r="A3071" t="s">
        <v>11</v>
      </c>
      <c r="B3071" t="s">
        <v>36</v>
      </c>
      <c r="C3071" t="s">
        <v>216</v>
      </c>
      <c r="D3071" t="s">
        <v>739</v>
      </c>
      <c r="E3071" s="5">
        <v>45812.958333333343</v>
      </c>
      <c r="F3071">
        <v>27.198619999999998</v>
      </c>
      <c r="G3071">
        <v>77.920659999999998</v>
      </c>
      <c r="H3071" t="s">
        <v>776</v>
      </c>
      <c r="I3071">
        <v>6</v>
      </c>
      <c r="J3071">
        <v>20</v>
      </c>
      <c r="K3071">
        <v>11</v>
      </c>
    </row>
    <row r="3072" spans="1:11" x14ac:dyDescent="0.3">
      <c r="A3072" t="s">
        <v>11</v>
      </c>
      <c r="B3072" t="s">
        <v>36</v>
      </c>
      <c r="C3072" t="s">
        <v>222</v>
      </c>
      <c r="D3072" t="s">
        <v>604</v>
      </c>
      <c r="E3072" s="5">
        <v>45812.958333333343</v>
      </c>
      <c r="F3072">
        <v>26.730136000000002</v>
      </c>
      <c r="G3072">
        <v>83.433858999999998</v>
      </c>
      <c r="H3072" t="s">
        <v>772</v>
      </c>
      <c r="I3072">
        <v>11</v>
      </c>
      <c r="J3072">
        <v>11</v>
      </c>
      <c r="K3072">
        <v>11</v>
      </c>
    </row>
    <row r="3073" spans="1:11" x14ac:dyDescent="0.3">
      <c r="A3073" t="s">
        <v>11</v>
      </c>
      <c r="B3073" t="s">
        <v>36</v>
      </c>
      <c r="C3073" t="s">
        <v>222</v>
      </c>
      <c r="D3073" t="s">
        <v>604</v>
      </c>
      <c r="E3073" s="5">
        <v>45812.958333333343</v>
      </c>
      <c r="F3073">
        <v>26.730136000000002</v>
      </c>
      <c r="G3073">
        <v>83.433858999999998</v>
      </c>
      <c r="H3073" t="s">
        <v>774</v>
      </c>
      <c r="I3073">
        <v>45</v>
      </c>
      <c r="J3073">
        <v>48</v>
      </c>
      <c r="K3073">
        <v>46</v>
      </c>
    </row>
    <row r="3074" spans="1:11" x14ac:dyDescent="0.3">
      <c r="A3074" t="s">
        <v>11</v>
      </c>
      <c r="B3074" t="s">
        <v>36</v>
      </c>
      <c r="C3074" t="s">
        <v>222</v>
      </c>
      <c r="D3074" t="s">
        <v>604</v>
      </c>
      <c r="E3074" s="5">
        <v>45812.958333333343</v>
      </c>
      <c r="F3074">
        <v>26.730136000000002</v>
      </c>
      <c r="G3074">
        <v>83.433858999999998</v>
      </c>
      <c r="H3074" t="s">
        <v>770</v>
      </c>
      <c r="I3074">
        <v>8</v>
      </c>
      <c r="J3074">
        <v>28</v>
      </c>
      <c r="K3074">
        <v>17</v>
      </c>
    </row>
    <row r="3075" spans="1:11" x14ac:dyDescent="0.3">
      <c r="A3075" t="s">
        <v>11</v>
      </c>
      <c r="B3075" t="s">
        <v>36</v>
      </c>
      <c r="C3075" t="s">
        <v>223</v>
      </c>
      <c r="D3075" t="s">
        <v>745</v>
      </c>
      <c r="E3075" s="5">
        <v>45812.958333333343</v>
      </c>
      <c r="F3075">
        <v>28.472719999999999</v>
      </c>
      <c r="G3075">
        <v>77.481999999999999</v>
      </c>
      <c r="H3075" t="s">
        <v>772</v>
      </c>
      <c r="I3075">
        <v>11</v>
      </c>
      <c r="J3075">
        <v>199</v>
      </c>
      <c r="K3075">
        <v>89</v>
      </c>
    </row>
    <row r="3076" spans="1:11" x14ac:dyDescent="0.3">
      <c r="A3076" t="s">
        <v>11</v>
      </c>
      <c r="B3076" t="s">
        <v>36</v>
      </c>
      <c r="C3076" t="s">
        <v>223</v>
      </c>
      <c r="D3076" t="s">
        <v>745</v>
      </c>
      <c r="E3076" s="5">
        <v>45812.958333333343</v>
      </c>
      <c r="F3076">
        <v>28.472719999999999</v>
      </c>
      <c r="G3076">
        <v>77.481999999999999</v>
      </c>
      <c r="H3076" t="s">
        <v>774</v>
      </c>
      <c r="I3076">
        <v>15</v>
      </c>
      <c r="J3076">
        <v>37</v>
      </c>
      <c r="K3076">
        <v>22</v>
      </c>
    </row>
    <row r="3077" spans="1:11" x14ac:dyDescent="0.3">
      <c r="A3077" t="s">
        <v>11</v>
      </c>
      <c r="B3077" t="s">
        <v>36</v>
      </c>
      <c r="C3077" t="s">
        <v>223</v>
      </c>
      <c r="D3077" t="s">
        <v>607</v>
      </c>
      <c r="E3077" s="5">
        <v>45812.958333333343</v>
      </c>
      <c r="F3077">
        <v>28.557054000000001</v>
      </c>
      <c r="G3077">
        <v>77.453663000000006</v>
      </c>
      <c r="H3077" t="s">
        <v>775</v>
      </c>
    </row>
    <row r="3078" spans="1:11" x14ac:dyDescent="0.3">
      <c r="A3078" t="s">
        <v>11</v>
      </c>
      <c r="B3078" t="s">
        <v>36</v>
      </c>
      <c r="C3078" t="s">
        <v>223</v>
      </c>
      <c r="D3078" t="s">
        <v>607</v>
      </c>
      <c r="E3078" s="5">
        <v>45812.958333333343</v>
      </c>
      <c r="F3078">
        <v>28.557054000000001</v>
      </c>
      <c r="G3078">
        <v>77.453663000000006</v>
      </c>
      <c r="H3078" t="s">
        <v>770</v>
      </c>
      <c r="I3078">
        <v>1</v>
      </c>
      <c r="J3078">
        <v>217</v>
      </c>
      <c r="K3078">
        <v>97</v>
      </c>
    </row>
    <row r="3079" spans="1:11" x14ac:dyDescent="0.3">
      <c r="A3079" t="s">
        <v>11</v>
      </c>
      <c r="B3079" t="s">
        <v>36</v>
      </c>
      <c r="C3079" t="s">
        <v>218</v>
      </c>
      <c r="D3079" t="s">
        <v>595</v>
      </c>
      <c r="E3079" s="5">
        <v>45812.958333333343</v>
      </c>
      <c r="F3079">
        <v>28.359580999999999</v>
      </c>
      <c r="G3079">
        <v>79.414455000000004</v>
      </c>
      <c r="H3079" t="s">
        <v>772</v>
      </c>
      <c r="I3079">
        <v>2</v>
      </c>
      <c r="J3079">
        <v>3</v>
      </c>
      <c r="K3079">
        <v>2</v>
      </c>
    </row>
    <row r="3080" spans="1:11" x14ac:dyDescent="0.3">
      <c r="A3080" t="s">
        <v>11</v>
      </c>
      <c r="B3080" t="s">
        <v>36</v>
      </c>
      <c r="C3080" t="s">
        <v>218</v>
      </c>
      <c r="D3080" t="s">
        <v>595</v>
      </c>
      <c r="E3080" s="5">
        <v>45812.958333333343</v>
      </c>
      <c r="F3080">
        <v>28.359580999999999</v>
      </c>
      <c r="G3080">
        <v>79.414455000000004</v>
      </c>
      <c r="H3080" t="s">
        <v>774</v>
      </c>
      <c r="I3080">
        <v>56</v>
      </c>
      <c r="J3080">
        <v>96</v>
      </c>
      <c r="K3080">
        <v>66</v>
      </c>
    </row>
    <row r="3081" spans="1:11" x14ac:dyDescent="0.3">
      <c r="A3081" t="s">
        <v>11</v>
      </c>
      <c r="B3081" t="s">
        <v>36</v>
      </c>
      <c r="C3081" t="s">
        <v>220</v>
      </c>
      <c r="D3081" t="s">
        <v>598</v>
      </c>
      <c r="E3081" s="5">
        <v>45812.958333333343</v>
      </c>
      <c r="F3081">
        <v>27.168897000000001</v>
      </c>
      <c r="G3081">
        <v>78.376959999999997</v>
      </c>
      <c r="H3081" t="s">
        <v>775</v>
      </c>
      <c r="I3081">
        <v>20</v>
      </c>
      <c r="J3081">
        <v>135</v>
      </c>
      <c r="K3081">
        <v>52</v>
      </c>
    </row>
    <row r="3082" spans="1:11" x14ac:dyDescent="0.3">
      <c r="A3082" t="s">
        <v>11</v>
      </c>
      <c r="B3082" t="s">
        <v>36</v>
      </c>
      <c r="C3082" t="s">
        <v>220</v>
      </c>
      <c r="D3082" t="s">
        <v>598</v>
      </c>
      <c r="E3082" s="5">
        <v>45812.958333333343</v>
      </c>
      <c r="F3082">
        <v>27.168897000000001</v>
      </c>
      <c r="G3082">
        <v>78.376959999999997</v>
      </c>
      <c r="H3082" t="s">
        <v>774</v>
      </c>
      <c r="I3082">
        <v>26</v>
      </c>
      <c r="J3082">
        <v>39</v>
      </c>
      <c r="K3082">
        <v>30</v>
      </c>
    </row>
    <row r="3083" spans="1:11" x14ac:dyDescent="0.3">
      <c r="A3083" t="s">
        <v>11</v>
      </c>
      <c r="B3083" t="s">
        <v>42</v>
      </c>
      <c r="C3083" t="s">
        <v>286</v>
      </c>
      <c r="D3083" t="s">
        <v>742</v>
      </c>
      <c r="E3083" s="5">
        <v>45812.958333333343</v>
      </c>
      <c r="F3083">
        <v>23.817549700000001</v>
      </c>
      <c r="G3083">
        <v>91.272697399999998</v>
      </c>
      <c r="H3083" t="s">
        <v>776</v>
      </c>
      <c r="I3083">
        <v>2</v>
      </c>
      <c r="J3083">
        <v>48</v>
      </c>
      <c r="K3083">
        <v>23</v>
      </c>
    </row>
    <row r="3084" spans="1:11" x14ac:dyDescent="0.3">
      <c r="A3084" t="s">
        <v>11</v>
      </c>
      <c r="B3084" t="s">
        <v>36</v>
      </c>
      <c r="C3084" t="s">
        <v>216</v>
      </c>
      <c r="D3084" t="s">
        <v>589</v>
      </c>
      <c r="E3084" s="5">
        <v>45812.958333333343</v>
      </c>
      <c r="F3084">
        <v>27.237110000000001</v>
      </c>
      <c r="G3084">
        <v>78.019360000000006</v>
      </c>
      <c r="H3084" t="s">
        <v>775</v>
      </c>
      <c r="I3084">
        <v>21</v>
      </c>
      <c r="J3084">
        <v>168</v>
      </c>
      <c r="K3084">
        <v>66</v>
      </c>
    </row>
    <row r="3085" spans="1:11" x14ac:dyDescent="0.3">
      <c r="A3085" t="s">
        <v>11</v>
      </c>
      <c r="B3085" t="s">
        <v>36</v>
      </c>
      <c r="C3085" t="s">
        <v>216</v>
      </c>
      <c r="D3085" t="s">
        <v>589</v>
      </c>
      <c r="E3085" s="5">
        <v>45812.958333333343</v>
      </c>
      <c r="F3085">
        <v>27.237110000000001</v>
      </c>
      <c r="G3085">
        <v>78.019360000000006</v>
      </c>
      <c r="H3085" t="s">
        <v>776</v>
      </c>
      <c r="I3085">
        <v>5</v>
      </c>
      <c r="J3085">
        <v>21</v>
      </c>
      <c r="K3085">
        <v>8</v>
      </c>
    </row>
    <row r="3086" spans="1:11" x14ac:dyDescent="0.3">
      <c r="A3086" t="s">
        <v>11</v>
      </c>
      <c r="B3086" t="s">
        <v>35</v>
      </c>
      <c r="C3086" t="s">
        <v>213</v>
      </c>
      <c r="D3086" t="s">
        <v>594</v>
      </c>
      <c r="E3086" s="5">
        <v>45812.958333333343</v>
      </c>
      <c r="F3086">
        <v>17.417093999999999</v>
      </c>
      <c r="G3086">
        <v>78.457436999999999</v>
      </c>
      <c r="H3086" t="s">
        <v>776</v>
      </c>
      <c r="I3086">
        <v>34</v>
      </c>
      <c r="J3086">
        <v>74</v>
      </c>
      <c r="K3086">
        <v>46</v>
      </c>
    </row>
    <row r="3087" spans="1:11" x14ac:dyDescent="0.3">
      <c r="A3087" t="s">
        <v>11</v>
      </c>
      <c r="B3087" t="s">
        <v>42</v>
      </c>
      <c r="C3087" t="s">
        <v>286</v>
      </c>
      <c r="D3087" t="s">
        <v>742</v>
      </c>
      <c r="E3087" s="5">
        <v>45812.958333333343</v>
      </c>
      <c r="F3087">
        <v>23.817549700000001</v>
      </c>
      <c r="G3087">
        <v>91.272697399999998</v>
      </c>
      <c r="H3087" t="s">
        <v>771</v>
      </c>
      <c r="I3087">
        <v>18</v>
      </c>
      <c r="J3087">
        <v>59</v>
      </c>
      <c r="K3087">
        <v>33</v>
      </c>
    </row>
    <row r="3088" spans="1:11" x14ac:dyDescent="0.3">
      <c r="A3088" t="s">
        <v>11</v>
      </c>
      <c r="B3088" t="s">
        <v>42</v>
      </c>
      <c r="C3088" t="s">
        <v>286</v>
      </c>
      <c r="D3088" t="s">
        <v>742</v>
      </c>
      <c r="E3088" s="5">
        <v>45812.958333333343</v>
      </c>
      <c r="F3088">
        <v>23.817549700000001</v>
      </c>
      <c r="G3088">
        <v>91.272697399999998</v>
      </c>
      <c r="H3088" t="s">
        <v>772</v>
      </c>
      <c r="I3088">
        <v>5</v>
      </c>
      <c r="J3088">
        <v>46</v>
      </c>
      <c r="K3088">
        <v>16</v>
      </c>
    </row>
    <row r="3089" spans="1:11" x14ac:dyDescent="0.3">
      <c r="A3089" t="s">
        <v>11</v>
      </c>
      <c r="B3089" t="s">
        <v>42</v>
      </c>
      <c r="C3089" t="s">
        <v>286</v>
      </c>
      <c r="D3089" t="s">
        <v>742</v>
      </c>
      <c r="E3089" s="5">
        <v>45812.958333333343</v>
      </c>
      <c r="F3089">
        <v>23.817549700000001</v>
      </c>
      <c r="G3089">
        <v>91.272697399999998</v>
      </c>
      <c r="H3089" t="s">
        <v>774</v>
      </c>
      <c r="I3089">
        <v>20</v>
      </c>
      <c r="J3089">
        <v>22</v>
      </c>
      <c r="K3089">
        <v>20</v>
      </c>
    </row>
    <row r="3090" spans="1:11" x14ac:dyDescent="0.3">
      <c r="A3090" t="s">
        <v>11</v>
      </c>
      <c r="B3090" t="s">
        <v>36</v>
      </c>
      <c r="C3090" t="s">
        <v>227</v>
      </c>
      <c r="D3090" t="s">
        <v>612</v>
      </c>
      <c r="E3090" s="5">
        <v>45812.958333333343</v>
      </c>
      <c r="F3090">
        <v>28.964949000000001</v>
      </c>
      <c r="G3090">
        <v>77.278761000000003</v>
      </c>
      <c r="H3090" t="s">
        <v>776</v>
      </c>
      <c r="I3090">
        <v>8</v>
      </c>
      <c r="J3090">
        <v>130</v>
      </c>
      <c r="K3090">
        <v>36</v>
      </c>
    </row>
    <row r="3091" spans="1:11" x14ac:dyDescent="0.3">
      <c r="A3091" t="s">
        <v>11</v>
      </c>
      <c r="B3091" t="s">
        <v>36</v>
      </c>
      <c r="C3091" t="s">
        <v>216</v>
      </c>
      <c r="D3091" t="s">
        <v>590</v>
      </c>
      <c r="E3091" s="5">
        <v>45812.958333333343</v>
      </c>
      <c r="F3091">
        <v>27.106971999999999</v>
      </c>
      <c r="G3091">
        <v>78.000111000000004</v>
      </c>
      <c r="H3091" t="s">
        <v>776</v>
      </c>
      <c r="I3091">
        <v>22</v>
      </c>
      <c r="J3091">
        <v>50</v>
      </c>
      <c r="K3091">
        <v>27</v>
      </c>
    </row>
    <row r="3092" spans="1:11" x14ac:dyDescent="0.3">
      <c r="A3092" t="s">
        <v>11</v>
      </c>
      <c r="B3092" t="s">
        <v>36</v>
      </c>
      <c r="C3092" t="s">
        <v>231</v>
      </c>
      <c r="D3092" t="s">
        <v>618</v>
      </c>
      <c r="E3092" s="5">
        <v>45812.958333333343</v>
      </c>
      <c r="F3092">
        <v>28.835260000000002</v>
      </c>
      <c r="G3092">
        <v>78.744600000000005</v>
      </c>
      <c r="H3092" t="s">
        <v>773</v>
      </c>
    </row>
    <row r="3093" spans="1:11" x14ac:dyDescent="0.3">
      <c r="A3093" t="s">
        <v>11</v>
      </c>
      <c r="B3093" t="s">
        <v>36</v>
      </c>
      <c r="C3093" t="s">
        <v>231</v>
      </c>
      <c r="D3093" t="s">
        <v>619</v>
      </c>
      <c r="E3093" s="5">
        <v>45812.958333333343</v>
      </c>
      <c r="F3093">
        <v>28.840738999999999</v>
      </c>
      <c r="G3093">
        <v>78.697530999999998</v>
      </c>
      <c r="H3093" t="s">
        <v>774</v>
      </c>
      <c r="I3093">
        <v>6</v>
      </c>
      <c r="J3093">
        <v>90</v>
      </c>
      <c r="K3093">
        <v>41</v>
      </c>
    </row>
    <row r="3094" spans="1:11" x14ac:dyDescent="0.3">
      <c r="A3094" t="s">
        <v>11</v>
      </c>
      <c r="B3094" t="s">
        <v>36</v>
      </c>
      <c r="C3094" t="s">
        <v>231</v>
      </c>
      <c r="D3094" t="s">
        <v>619</v>
      </c>
      <c r="E3094" s="5">
        <v>45812.958333333343</v>
      </c>
      <c r="F3094">
        <v>28.840738999999999</v>
      </c>
      <c r="G3094">
        <v>78.697530999999998</v>
      </c>
      <c r="H3094" t="s">
        <v>770</v>
      </c>
      <c r="I3094">
        <v>7</v>
      </c>
      <c r="J3094">
        <v>139</v>
      </c>
      <c r="K3094">
        <v>80</v>
      </c>
    </row>
    <row r="3095" spans="1:11" x14ac:dyDescent="0.3">
      <c r="A3095" t="s">
        <v>11</v>
      </c>
      <c r="B3095" t="s">
        <v>36</v>
      </c>
      <c r="C3095" t="s">
        <v>231</v>
      </c>
      <c r="D3095" t="s">
        <v>748</v>
      </c>
      <c r="E3095" s="5">
        <v>45812.958333333343</v>
      </c>
      <c r="F3095">
        <v>28.885280000000002</v>
      </c>
      <c r="G3095">
        <v>78.738799999999998</v>
      </c>
      <c r="H3095" t="s">
        <v>770</v>
      </c>
      <c r="I3095">
        <v>8</v>
      </c>
      <c r="J3095">
        <v>97</v>
      </c>
      <c r="K3095">
        <v>56</v>
      </c>
    </row>
    <row r="3096" spans="1:11" x14ac:dyDescent="0.3">
      <c r="A3096" t="s">
        <v>11</v>
      </c>
      <c r="B3096" t="s">
        <v>36</v>
      </c>
      <c r="C3096" t="s">
        <v>231</v>
      </c>
      <c r="D3096" t="s">
        <v>620</v>
      </c>
      <c r="E3096" s="5">
        <v>45812.958333333343</v>
      </c>
      <c r="F3096">
        <v>28.856663999999999</v>
      </c>
      <c r="G3096">
        <v>78.772638000000001</v>
      </c>
      <c r="H3096" t="s">
        <v>775</v>
      </c>
      <c r="I3096">
        <v>22</v>
      </c>
      <c r="J3096">
        <v>91</v>
      </c>
      <c r="K3096">
        <v>57</v>
      </c>
    </row>
    <row r="3097" spans="1:11" x14ac:dyDescent="0.3">
      <c r="A3097" t="s">
        <v>11</v>
      </c>
      <c r="B3097" t="s">
        <v>36</v>
      </c>
      <c r="C3097" t="s">
        <v>231</v>
      </c>
      <c r="D3097" t="s">
        <v>620</v>
      </c>
      <c r="E3097" s="5">
        <v>45812.958333333343</v>
      </c>
      <c r="F3097">
        <v>28.856663999999999</v>
      </c>
      <c r="G3097">
        <v>78.772638000000001</v>
      </c>
      <c r="H3097" t="s">
        <v>771</v>
      </c>
      <c r="I3097">
        <v>48</v>
      </c>
      <c r="J3097">
        <v>124</v>
      </c>
      <c r="K3097">
        <v>89</v>
      </c>
    </row>
    <row r="3098" spans="1:11" x14ac:dyDescent="0.3">
      <c r="A3098" t="s">
        <v>11</v>
      </c>
      <c r="B3098" t="s">
        <v>36</v>
      </c>
      <c r="C3098" t="s">
        <v>231</v>
      </c>
      <c r="D3098" t="s">
        <v>620</v>
      </c>
      <c r="E3098" s="5">
        <v>45812.958333333343</v>
      </c>
      <c r="F3098">
        <v>28.856663999999999</v>
      </c>
      <c r="G3098">
        <v>78.772638000000001</v>
      </c>
      <c r="H3098" t="s">
        <v>773</v>
      </c>
      <c r="I3098">
        <v>6</v>
      </c>
      <c r="J3098">
        <v>7</v>
      </c>
      <c r="K3098">
        <v>6</v>
      </c>
    </row>
    <row r="3099" spans="1:11" x14ac:dyDescent="0.3">
      <c r="A3099" t="s">
        <v>11</v>
      </c>
      <c r="B3099" t="s">
        <v>36</v>
      </c>
      <c r="C3099" t="s">
        <v>231</v>
      </c>
      <c r="D3099" t="s">
        <v>749</v>
      </c>
      <c r="E3099" s="5">
        <v>45812.958333333343</v>
      </c>
      <c r="F3099">
        <v>28.849398999999998</v>
      </c>
      <c r="G3099">
        <v>78.742362</v>
      </c>
      <c r="H3099" t="s">
        <v>773</v>
      </c>
      <c r="I3099">
        <v>4</v>
      </c>
      <c r="J3099">
        <v>4</v>
      </c>
      <c r="K3099">
        <v>4</v>
      </c>
    </row>
    <row r="3100" spans="1:11" x14ac:dyDescent="0.3">
      <c r="A3100" t="s">
        <v>11</v>
      </c>
      <c r="B3100" t="s">
        <v>36</v>
      </c>
      <c r="C3100" t="s">
        <v>229</v>
      </c>
      <c r="D3100" t="s">
        <v>615</v>
      </c>
      <c r="E3100" s="5">
        <v>45812.958333333343</v>
      </c>
      <c r="F3100">
        <v>26.907229999999998</v>
      </c>
      <c r="G3100">
        <v>80.985789999999994</v>
      </c>
      <c r="H3100" t="s">
        <v>773</v>
      </c>
      <c r="I3100">
        <v>4</v>
      </c>
      <c r="J3100">
        <v>4</v>
      </c>
      <c r="K3100">
        <v>4</v>
      </c>
    </row>
    <row r="3101" spans="1:11" x14ac:dyDescent="0.3">
      <c r="A3101" t="s">
        <v>11</v>
      </c>
      <c r="B3101" t="s">
        <v>36</v>
      </c>
      <c r="C3101" t="s">
        <v>229</v>
      </c>
      <c r="D3101" t="s">
        <v>615</v>
      </c>
      <c r="E3101" s="5">
        <v>45812.958333333343</v>
      </c>
      <c r="F3101">
        <v>26.907229999999998</v>
      </c>
      <c r="G3101">
        <v>80.985789999999994</v>
      </c>
      <c r="H3101" t="s">
        <v>770</v>
      </c>
      <c r="I3101">
        <v>12</v>
      </c>
      <c r="J3101">
        <v>68</v>
      </c>
      <c r="K3101">
        <v>45</v>
      </c>
    </row>
    <row r="3102" spans="1:11" x14ac:dyDescent="0.3">
      <c r="A3102" t="s">
        <v>11</v>
      </c>
      <c r="B3102" t="s">
        <v>36</v>
      </c>
      <c r="C3102" t="s">
        <v>229</v>
      </c>
      <c r="D3102" t="s">
        <v>743</v>
      </c>
      <c r="E3102" s="5">
        <v>45812.958333333343</v>
      </c>
      <c r="F3102">
        <v>26.8458805</v>
      </c>
      <c r="G3102">
        <v>80.936554099999995</v>
      </c>
      <c r="H3102" t="s">
        <v>775</v>
      </c>
    </row>
    <row r="3103" spans="1:11" x14ac:dyDescent="0.3">
      <c r="A3103" t="s">
        <v>11</v>
      </c>
      <c r="B3103" t="s">
        <v>36</v>
      </c>
      <c r="C3103" t="s">
        <v>229</v>
      </c>
      <c r="D3103" t="s">
        <v>743</v>
      </c>
      <c r="E3103" s="5">
        <v>45812.958333333343</v>
      </c>
      <c r="F3103">
        <v>26.8458805</v>
      </c>
      <c r="G3103">
        <v>80.936554099999995</v>
      </c>
      <c r="H3103" t="s">
        <v>773</v>
      </c>
    </row>
    <row r="3104" spans="1:11" x14ac:dyDescent="0.3">
      <c r="A3104" t="s">
        <v>11</v>
      </c>
      <c r="B3104" t="s">
        <v>36</v>
      </c>
      <c r="C3104" t="s">
        <v>229</v>
      </c>
      <c r="D3104" t="s">
        <v>616</v>
      </c>
      <c r="E3104" s="5">
        <v>45812.958333333343</v>
      </c>
      <c r="F3104">
        <v>26.833997220000001</v>
      </c>
      <c r="G3104">
        <v>80.891736100000003</v>
      </c>
      <c r="H3104" t="s">
        <v>772</v>
      </c>
      <c r="I3104">
        <v>31</v>
      </c>
      <c r="J3104">
        <v>50</v>
      </c>
      <c r="K3104">
        <v>38</v>
      </c>
    </row>
    <row r="3105" spans="1:11" x14ac:dyDescent="0.3">
      <c r="A3105" t="s">
        <v>11</v>
      </c>
      <c r="B3105" t="s">
        <v>36</v>
      </c>
      <c r="C3105" t="s">
        <v>230</v>
      </c>
      <c r="D3105" t="s">
        <v>617</v>
      </c>
      <c r="E3105" s="5">
        <v>45812.958333333343</v>
      </c>
      <c r="F3105">
        <v>28.999264</v>
      </c>
      <c r="G3105">
        <v>77.759035400000002</v>
      </c>
      <c r="H3105" t="s">
        <v>771</v>
      </c>
      <c r="I3105">
        <v>109</v>
      </c>
      <c r="J3105">
        <v>351</v>
      </c>
      <c r="K3105">
        <v>183</v>
      </c>
    </row>
    <row r="3106" spans="1:11" x14ac:dyDescent="0.3">
      <c r="A3106" t="s">
        <v>11</v>
      </c>
      <c r="B3106" t="s">
        <v>36</v>
      </c>
      <c r="C3106" t="s">
        <v>230</v>
      </c>
      <c r="D3106" t="s">
        <v>624</v>
      </c>
      <c r="E3106" s="5">
        <v>45812.958333333343</v>
      </c>
      <c r="F3106">
        <v>28.953588199999999</v>
      </c>
      <c r="G3106">
        <v>77.762294100000005</v>
      </c>
      <c r="H3106" t="s">
        <v>774</v>
      </c>
      <c r="I3106">
        <v>1</v>
      </c>
      <c r="J3106">
        <v>7</v>
      </c>
      <c r="K3106">
        <v>4</v>
      </c>
    </row>
    <row r="3107" spans="1:11" x14ac:dyDescent="0.3">
      <c r="A3107" t="s">
        <v>11</v>
      </c>
      <c r="B3107" t="s">
        <v>36</v>
      </c>
      <c r="C3107" t="s">
        <v>226</v>
      </c>
      <c r="D3107" t="s">
        <v>610</v>
      </c>
      <c r="E3107" s="5">
        <v>45812.958333333343</v>
      </c>
      <c r="F3107">
        <v>26.509954</v>
      </c>
      <c r="G3107">
        <v>80.249611999999999</v>
      </c>
      <c r="H3107" t="s">
        <v>775</v>
      </c>
      <c r="I3107">
        <v>22</v>
      </c>
      <c r="J3107">
        <v>76</v>
      </c>
      <c r="K3107">
        <v>46</v>
      </c>
    </row>
    <row r="3108" spans="1:11" x14ac:dyDescent="0.3">
      <c r="A3108" t="s">
        <v>11</v>
      </c>
      <c r="B3108" t="s">
        <v>36</v>
      </c>
      <c r="C3108" t="s">
        <v>226</v>
      </c>
      <c r="D3108" t="s">
        <v>610</v>
      </c>
      <c r="E3108" s="5">
        <v>45812.958333333343</v>
      </c>
      <c r="F3108">
        <v>26.509954</v>
      </c>
      <c r="G3108">
        <v>80.249611999999999</v>
      </c>
      <c r="H3108" t="s">
        <v>771</v>
      </c>
      <c r="I3108">
        <v>42</v>
      </c>
      <c r="J3108">
        <v>106</v>
      </c>
      <c r="K3108">
        <v>78</v>
      </c>
    </row>
    <row r="3109" spans="1:11" x14ac:dyDescent="0.3">
      <c r="A3109" t="s">
        <v>11</v>
      </c>
      <c r="B3109" t="s">
        <v>36</v>
      </c>
      <c r="C3109" t="s">
        <v>226</v>
      </c>
      <c r="D3109" t="s">
        <v>610</v>
      </c>
      <c r="E3109" s="5">
        <v>45812.958333333343</v>
      </c>
      <c r="F3109">
        <v>26.509954</v>
      </c>
      <c r="G3109">
        <v>80.249611999999999</v>
      </c>
      <c r="H3109" t="s">
        <v>772</v>
      </c>
      <c r="I3109">
        <v>24</v>
      </c>
      <c r="J3109">
        <v>24</v>
      </c>
      <c r="K3109">
        <v>24</v>
      </c>
    </row>
    <row r="3110" spans="1:11" x14ac:dyDescent="0.3">
      <c r="A3110" t="s">
        <v>11</v>
      </c>
      <c r="B3110" t="s">
        <v>36</v>
      </c>
      <c r="C3110" t="s">
        <v>226</v>
      </c>
      <c r="D3110" t="s">
        <v>610</v>
      </c>
      <c r="E3110" s="5">
        <v>45812.958333333343</v>
      </c>
      <c r="F3110">
        <v>26.509954</v>
      </c>
      <c r="G3110">
        <v>80.249611999999999</v>
      </c>
      <c r="H3110" t="s">
        <v>774</v>
      </c>
      <c r="I3110">
        <v>3</v>
      </c>
      <c r="J3110">
        <v>32</v>
      </c>
      <c r="K3110">
        <v>17</v>
      </c>
    </row>
    <row r="3111" spans="1:11" x14ac:dyDescent="0.3">
      <c r="A3111" t="s">
        <v>11</v>
      </c>
      <c r="B3111" t="s">
        <v>36</v>
      </c>
      <c r="C3111" t="s">
        <v>226</v>
      </c>
      <c r="D3111" t="s">
        <v>611</v>
      </c>
      <c r="E3111" s="5">
        <v>45812.958333333343</v>
      </c>
      <c r="F3111">
        <v>26.470313600000001</v>
      </c>
      <c r="G3111">
        <v>80.322986299999997</v>
      </c>
      <c r="H3111" t="s">
        <v>775</v>
      </c>
      <c r="I3111">
        <v>28</v>
      </c>
      <c r="J3111">
        <v>338</v>
      </c>
      <c r="K3111">
        <v>113</v>
      </c>
    </row>
    <row r="3112" spans="1:11" x14ac:dyDescent="0.3">
      <c r="A3112" t="s">
        <v>11</v>
      </c>
      <c r="B3112" t="s">
        <v>36</v>
      </c>
      <c r="C3112" t="s">
        <v>226</v>
      </c>
      <c r="D3112" t="s">
        <v>611</v>
      </c>
      <c r="E3112" s="5">
        <v>45812.958333333343</v>
      </c>
      <c r="F3112">
        <v>26.470313600000001</v>
      </c>
      <c r="G3112">
        <v>80.322986299999997</v>
      </c>
      <c r="H3112" t="s">
        <v>771</v>
      </c>
      <c r="I3112">
        <v>25</v>
      </c>
      <c r="J3112">
        <v>205</v>
      </c>
      <c r="K3112">
        <v>80</v>
      </c>
    </row>
    <row r="3113" spans="1:11" x14ac:dyDescent="0.3">
      <c r="A3113" t="s">
        <v>11</v>
      </c>
      <c r="B3113" t="s">
        <v>36</v>
      </c>
      <c r="C3113" t="s">
        <v>226</v>
      </c>
      <c r="D3113" t="s">
        <v>611</v>
      </c>
      <c r="E3113" s="5">
        <v>45812.958333333343</v>
      </c>
      <c r="F3113">
        <v>26.470313600000001</v>
      </c>
      <c r="G3113">
        <v>80.322986299999997</v>
      </c>
      <c r="H3113" t="s">
        <v>774</v>
      </c>
      <c r="I3113">
        <v>6</v>
      </c>
      <c r="J3113">
        <v>130</v>
      </c>
      <c r="K3113">
        <v>30</v>
      </c>
    </row>
    <row r="3114" spans="1:11" x14ac:dyDescent="0.3">
      <c r="A3114" t="s">
        <v>11</v>
      </c>
      <c r="B3114" t="s">
        <v>36</v>
      </c>
      <c r="C3114" t="s">
        <v>226</v>
      </c>
      <c r="D3114" t="s">
        <v>611</v>
      </c>
      <c r="E3114" s="5">
        <v>45812.958333333343</v>
      </c>
      <c r="F3114">
        <v>26.470313600000001</v>
      </c>
      <c r="G3114">
        <v>80.322986299999997</v>
      </c>
      <c r="H3114" t="s">
        <v>770</v>
      </c>
      <c r="I3114">
        <v>6</v>
      </c>
      <c r="J3114">
        <v>46</v>
      </c>
      <c r="K3114">
        <v>21</v>
      </c>
    </row>
    <row r="3115" spans="1:11" x14ac:dyDescent="0.3">
      <c r="A3115" t="s">
        <v>11</v>
      </c>
      <c r="B3115" t="s">
        <v>36</v>
      </c>
      <c r="C3115" t="s">
        <v>231</v>
      </c>
      <c r="D3115" t="s">
        <v>626</v>
      </c>
      <c r="E3115" s="5">
        <v>45812.958333333343</v>
      </c>
      <c r="F3115">
        <v>28.802624999999999</v>
      </c>
      <c r="G3115">
        <v>78.753727999999995</v>
      </c>
      <c r="H3115" t="s">
        <v>771</v>
      </c>
      <c r="I3115">
        <v>37</v>
      </c>
      <c r="J3115">
        <v>124</v>
      </c>
      <c r="K3115">
        <v>81</v>
      </c>
    </row>
    <row r="3116" spans="1:11" x14ac:dyDescent="0.3">
      <c r="A3116" t="s">
        <v>11</v>
      </c>
      <c r="B3116" t="s">
        <v>36</v>
      </c>
      <c r="C3116" t="s">
        <v>231</v>
      </c>
      <c r="D3116" t="s">
        <v>626</v>
      </c>
      <c r="E3116" s="5">
        <v>45812.958333333343</v>
      </c>
      <c r="F3116">
        <v>28.802624999999999</v>
      </c>
      <c r="G3116">
        <v>78.753727999999995</v>
      </c>
      <c r="H3116" t="s">
        <v>773</v>
      </c>
      <c r="I3116">
        <v>5</v>
      </c>
      <c r="J3116">
        <v>5</v>
      </c>
      <c r="K3116">
        <v>5</v>
      </c>
    </row>
    <row r="3117" spans="1:11" x14ac:dyDescent="0.3">
      <c r="A3117" t="s">
        <v>11</v>
      </c>
      <c r="B3117" t="s">
        <v>36</v>
      </c>
      <c r="C3117" t="s">
        <v>231</v>
      </c>
      <c r="D3117" t="s">
        <v>626</v>
      </c>
      <c r="E3117" s="5">
        <v>45812.958333333343</v>
      </c>
      <c r="F3117">
        <v>28.802624999999999</v>
      </c>
      <c r="G3117">
        <v>78.753727999999995</v>
      </c>
      <c r="H3117" t="s">
        <v>774</v>
      </c>
      <c r="I3117">
        <v>24</v>
      </c>
      <c r="J3117">
        <v>68</v>
      </c>
      <c r="K3117">
        <v>41</v>
      </c>
    </row>
    <row r="3118" spans="1:11" x14ac:dyDescent="0.3">
      <c r="A3118" t="s">
        <v>11</v>
      </c>
      <c r="B3118" t="s">
        <v>36</v>
      </c>
      <c r="C3118" t="s">
        <v>287</v>
      </c>
      <c r="D3118" t="s">
        <v>750</v>
      </c>
      <c r="E3118" s="5">
        <v>45812.958333333343</v>
      </c>
      <c r="F3118">
        <v>29.472350800000001</v>
      </c>
      <c r="G3118">
        <v>77.719403099999994</v>
      </c>
      <c r="H3118" t="s">
        <v>773</v>
      </c>
      <c r="I3118">
        <v>8</v>
      </c>
      <c r="J3118">
        <v>15</v>
      </c>
      <c r="K3118">
        <v>10</v>
      </c>
    </row>
    <row r="3119" spans="1:11" x14ac:dyDescent="0.3">
      <c r="A3119" t="s">
        <v>11</v>
      </c>
      <c r="B3119" t="s">
        <v>36</v>
      </c>
      <c r="C3119" t="s">
        <v>287</v>
      </c>
      <c r="D3119" t="s">
        <v>750</v>
      </c>
      <c r="E3119" s="5">
        <v>45812.958333333343</v>
      </c>
      <c r="F3119">
        <v>29.472350800000001</v>
      </c>
      <c r="G3119">
        <v>77.719403099999994</v>
      </c>
      <c r="H3119" t="s">
        <v>770</v>
      </c>
      <c r="I3119">
        <v>17</v>
      </c>
      <c r="J3119">
        <v>170</v>
      </c>
      <c r="K3119">
        <v>124</v>
      </c>
    </row>
    <row r="3120" spans="1:11" x14ac:dyDescent="0.3">
      <c r="A3120" t="s">
        <v>11</v>
      </c>
      <c r="B3120" t="s">
        <v>36</v>
      </c>
      <c r="C3120" t="s">
        <v>232</v>
      </c>
      <c r="D3120" t="s">
        <v>625</v>
      </c>
      <c r="E3120" s="5">
        <v>45812.958333333343</v>
      </c>
      <c r="F3120">
        <v>28.544760799999999</v>
      </c>
      <c r="G3120">
        <v>77.323125700000006</v>
      </c>
      <c r="H3120" t="s">
        <v>775</v>
      </c>
      <c r="I3120">
        <v>32</v>
      </c>
      <c r="J3120">
        <v>326</v>
      </c>
      <c r="K3120">
        <v>113</v>
      </c>
    </row>
    <row r="3121" spans="1:11" x14ac:dyDescent="0.3">
      <c r="A3121" t="s">
        <v>11</v>
      </c>
      <c r="B3121" t="s">
        <v>36</v>
      </c>
      <c r="C3121" t="s">
        <v>228</v>
      </c>
      <c r="D3121" t="s">
        <v>613</v>
      </c>
      <c r="E3121" s="5">
        <v>45812.958333333343</v>
      </c>
      <c r="F3121">
        <v>28.2348927</v>
      </c>
      <c r="G3121">
        <v>77.868300199999993</v>
      </c>
      <c r="H3121" t="s">
        <v>774</v>
      </c>
      <c r="I3121">
        <v>30</v>
      </c>
      <c r="J3121">
        <v>95</v>
      </c>
      <c r="K3121">
        <v>57</v>
      </c>
    </row>
    <row r="3122" spans="1:11" x14ac:dyDescent="0.3">
      <c r="A3122" t="s">
        <v>11</v>
      </c>
      <c r="B3122" t="s">
        <v>36</v>
      </c>
      <c r="C3122" t="s">
        <v>228</v>
      </c>
      <c r="D3122" t="s">
        <v>613</v>
      </c>
      <c r="E3122" s="5">
        <v>45812.958333333343</v>
      </c>
      <c r="F3122">
        <v>28.2348927</v>
      </c>
      <c r="G3122">
        <v>77.868300199999993</v>
      </c>
      <c r="H3122" t="s">
        <v>770</v>
      </c>
      <c r="I3122">
        <v>4</v>
      </c>
      <c r="J3122">
        <v>14</v>
      </c>
      <c r="K3122">
        <v>8</v>
      </c>
    </row>
    <row r="3123" spans="1:11" x14ac:dyDescent="0.3">
      <c r="A3123" t="s">
        <v>11</v>
      </c>
      <c r="B3123" t="s">
        <v>36</v>
      </c>
      <c r="C3123" t="s">
        <v>229</v>
      </c>
      <c r="D3123" t="s">
        <v>614</v>
      </c>
      <c r="E3123" s="5">
        <v>45812.958333333343</v>
      </c>
      <c r="F3123">
        <v>26.766432999999999</v>
      </c>
      <c r="G3123">
        <v>80.927299000000005</v>
      </c>
      <c r="H3123" t="s">
        <v>775</v>
      </c>
      <c r="I3123">
        <v>28</v>
      </c>
      <c r="J3123">
        <v>275</v>
      </c>
      <c r="K3123">
        <v>74</v>
      </c>
    </row>
    <row r="3124" spans="1:11" x14ac:dyDescent="0.3">
      <c r="A3124" t="s">
        <v>11</v>
      </c>
      <c r="B3124" t="s">
        <v>36</v>
      </c>
      <c r="C3124" t="s">
        <v>229</v>
      </c>
      <c r="D3124" t="s">
        <v>621</v>
      </c>
      <c r="E3124" s="5">
        <v>45812.958333333343</v>
      </c>
      <c r="F3124">
        <v>26.868120000000001</v>
      </c>
      <c r="G3124">
        <v>81.005118999999993</v>
      </c>
      <c r="H3124" t="s">
        <v>776</v>
      </c>
      <c r="I3124">
        <v>36</v>
      </c>
      <c r="J3124">
        <v>44</v>
      </c>
      <c r="K3124">
        <v>43</v>
      </c>
    </row>
    <row r="3125" spans="1:11" x14ac:dyDescent="0.3">
      <c r="A3125" t="s">
        <v>11</v>
      </c>
      <c r="B3125" t="s">
        <v>36</v>
      </c>
      <c r="C3125" t="s">
        <v>229</v>
      </c>
      <c r="D3125" t="s">
        <v>622</v>
      </c>
      <c r="E3125" s="5">
        <v>45812.958333333343</v>
      </c>
      <c r="F3125">
        <v>26.906110999999999</v>
      </c>
      <c r="G3125">
        <v>80.948222000000001</v>
      </c>
      <c r="H3125" t="s">
        <v>772</v>
      </c>
      <c r="I3125">
        <v>36</v>
      </c>
      <c r="J3125">
        <v>52</v>
      </c>
      <c r="K3125">
        <v>43</v>
      </c>
    </row>
    <row r="3126" spans="1:11" x14ac:dyDescent="0.3">
      <c r="A3126" t="s">
        <v>11</v>
      </c>
      <c r="B3126" t="s">
        <v>36</v>
      </c>
      <c r="C3126" t="s">
        <v>224</v>
      </c>
      <c r="D3126" t="s">
        <v>608</v>
      </c>
      <c r="E3126" s="5">
        <v>45812.958333333343</v>
      </c>
      <c r="F3126">
        <v>28.725645</v>
      </c>
      <c r="G3126">
        <v>77.749674999999996</v>
      </c>
      <c r="H3126" t="s">
        <v>773</v>
      </c>
      <c r="I3126">
        <v>9</v>
      </c>
      <c r="J3126">
        <v>12</v>
      </c>
      <c r="K3126">
        <v>10</v>
      </c>
    </row>
    <row r="3127" spans="1:11" x14ac:dyDescent="0.3">
      <c r="A3127" t="s">
        <v>11</v>
      </c>
      <c r="B3127" t="s">
        <v>36</v>
      </c>
      <c r="C3127" t="s">
        <v>224</v>
      </c>
      <c r="D3127" t="s">
        <v>608</v>
      </c>
      <c r="E3127" s="5">
        <v>45812.958333333343</v>
      </c>
      <c r="F3127">
        <v>28.725645</v>
      </c>
      <c r="G3127">
        <v>77.749674999999996</v>
      </c>
      <c r="H3127" t="s">
        <v>774</v>
      </c>
      <c r="I3127">
        <v>8</v>
      </c>
      <c r="J3127">
        <v>117</v>
      </c>
      <c r="K3127">
        <v>67</v>
      </c>
    </row>
    <row r="3128" spans="1:11" x14ac:dyDescent="0.3">
      <c r="A3128" t="s">
        <v>11</v>
      </c>
      <c r="B3128" t="s">
        <v>36</v>
      </c>
      <c r="C3128" t="s">
        <v>230</v>
      </c>
      <c r="D3128" t="s">
        <v>623</v>
      </c>
      <c r="E3128" s="5">
        <v>45812.958333333343</v>
      </c>
      <c r="F3128">
        <v>29.063510000000001</v>
      </c>
      <c r="G3128">
        <v>77.709722999999997</v>
      </c>
      <c r="H3128" t="s">
        <v>770</v>
      </c>
      <c r="I3128">
        <v>1</v>
      </c>
      <c r="J3128">
        <v>93</v>
      </c>
      <c r="K3128">
        <v>53</v>
      </c>
    </row>
    <row r="3129" spans="1:11" x14ac:dyDescent="0.3">
      <c r="A3129" t="s">
        <v>11</v>
      </c>
      <c r="B3129" t="s">
        <v>36</v>
      </c>
      <c r="C3129" t="s">
        <v>229</v>
      </c>
      <c r="D3129" t="s">
        <v>622</v>
      </c>
      <c r="E3129" s="5">
        <v>45812.958333333343</v>
      </c>
      <c r="F3129">
        <v>26.906110999999999</v>
      </c>
      <c r="G3129">
        <v>80.948222000000001</v>
      </c>
      <c r="H3129" t="s">
        <v>774</v>
      </c>
      <c r="I3129">
        <v>9</v>
      </c>
      <c r="J3129">
        <v>48</v>
      </c>
      <c r="K3129">
        <v>20</v>
      </c>
    </row>
    <row r="3130" spans="1:11" x14ac:dyDescent="0.3">
      <c r="A3130" t="s">
        <v>11</v>
      </c>
      <c r="B3130" t="s">
        <v>38</v>
      </c>
      <c r="C3130" t="s">
        <v>241</v>
      </c>
      <c r="D3130" t="s">
        <v>636</v>
      </c>
      <c r="E3130" s="5">
        <v>45812.958333333343</v>
      </c>
      <c r="F3130">
        <v>23.697935999999999</v>
      </c>
      <c r="G3130">
        <v>86.944395</v>
      </c>
      <c r="H3130" t="s">
        <v>776</v>
      </c>
      <c r="I3130">
        <v>16</v>
      </c>
      <c r="J3130">
        <v>96</v>
      </c>
      <c r="K3130">
        <v>25</v>
      </c>
    </row>
    <row r="3131" spans="1:11" x14ac:dyDescent="0.3">
      <c r="A3131" t="s">
        <v>11</v>
      </c>
      <c r="B3131" t="s">
        <v>38</v>
      </c>
      <c r="C3131" t="s">
        <v>241</v>
      </c>
      <c r="D3131" t="s">
        <v>752</v>
      </c>
      <c r="E3131" s="5">
        <v>45812.958333333343</v>
      </c>
      <c r="F3131">
        <v>23.618182999999998</v>
      </c>
      <c r="G3131">
        <v>87.105717999999996</v>
      </c>
      <c r="H3131" t="s">
        <v>775</v>
      </c>
      <c r="I3131">
        <v>38</v>
      </c>
      <c r="J3131">
        <v>124</v>
      </c>
      <c r="K3131">
        <v>76</v>
      </c>
    </row>
    <row r="3132" spans="1:11" x14ac:dyDescent="0.3">
      <c r="A3132" t="s">
        <v>11</v>
      </c>
      <c r="B3132" t="s">
        <v>38</v>
      </c>
      <c r="C3132" t="s">
        <v>241</v>
      </c>
      <c r="D3132" t="s">
        <v>752</v>
      </c>
      <c r="E3132" s="5">
        <v>45812.958333333343</v>
      </c>
      <c r="F3132">
        <v>23.618182999999998</v>
      </c>
      <c r="G3132">
        <v>87.105717999999996</v>
      </c>
      <c r="H3132" t="s">
        <v>772</v>
      </c>
      <c r="I3132">
        <v>10</v>
      </c>
      <c r="J3132">
        <v>35</v>
      </c>
      <c r="K3132">
        <v>20</v>
      </c>
    </row>
    <row r="3133" spans="1:11" x14ac:dyDescent="0.3">
      <c r="A3133" t="s">
        <v>11</v>
      </c>
      <c r="B3133" t="s">
        <v>38</v>
      </c>
      <c r="C3133" t="s">
        <v>241</v>
      </c>
      <c r="D3133" t="s">
        <v>752</v>
      </c>
      <c r="E3133" s="5">
        <v>45812.958333333343</v>
      </c>
      <c r="F3133">
        <v>23.618182999999998</v>
      </c>
      <c r="G3133">
        <v>87.105717999999996</v>
      </c>
      <c r="H3133" t="s">
        <v>773</v>
      </c>
      <c r="I3133">
        <v>6</v>
      </c>
      <c r="J3133">
        <v>9</v>
      </c>
      <c r="K3133">
        <v>8</v>
      </c>
    </row>
    <row r="3134" spans="1:11" x14ac:dyDescent="0.3">
      <c r="A3134" t="s">
        <v>11</v>
      </c>
      <c r="B3134" t="s">
        <v>38</v>
      </c>
      <c r="C3134" t="s">
        <v>241</v>
      </c>
      <c r="D3134" t="s">
        <v>752</v>
      </c>
      <c r="E3134" s="5">
        <v>45812.958333333343</v>
      </c>
      <c r="F3134">
        <v>23.618182999999998</v>
      </c>
      <c r="G3134">
        <v>87.105717999999996</v>
      </c>
      <c r="H3134" t="s">
        <v>776</v>
      </c>
      <c r="I3134">
        <v>20</v>
      </c>
      <c r="J3134">
        <v>50</v>
      </c>
      <c r="K3134">
        <v>27</v>
      </c>
    </row>
    <row r="3135" spans="1:11" x14ac:dyDescent="0.3">
      <c r="A3135" t="s">
        <v>11</v>
      </c>
      <c r="B3135" t="s">
        <v>38</v>
      </c>
      <c r="C3135" t="s">
        <v>241</v>
      </c>
      <c r="D3135" t="s">
        <v>752</v>
      </c>
      <c r="E3135" s="5">
        <v>45812.958333333343</v>
      </c>
      <c r="F3135">
        <v>23.618182999999998</v>
      </c>
      <c r="G3135">
        <v>87.105717999999996</v>
      </c>
      <c r="H3135" t="s">
        <v>770</v>
      </c>
      <c r="I3135">
        <v>20</v>
      </c>
      <c r="J3135">
        <v>125</v>
      </c>
      <c r="K3135">
        <v>87</v>
      </c>
    </row>
    <row r="3136" spans="1:11" x14ac:dyDescent="0.3">
      <c r="A3136" t="s">
        <v>11</v>
      </c>
      <c r="B3136" t="s">
        <v>38</v>
      </c>
      <c r="C3136" t="s">
        <v>241</v>
      </c>
      <c r="D3136" t="s">
        <v>753</v>
      </c>
      <c r="E3136" s="5">
        <v>45812.958333333343</v>
      </c>
      <c r="F3136">
        <v>23.616515</v>
      </c>
      <c r="G3136">
        <v>87.119133000000005</v>
      </c>
      <c r="H3136" t="s">
        <v>776</v>
      </c>
      <c r="I3136">
        <v>34</v>
      </c>
      <c r="J3136">
        <v>63</v>
      </c>
      <c r="K3136">
        <v>40</v>
      </c>
    </row>
    <row r="3137" spans="1:11" x14ac:dyDescent="0.3">
      <c r="A3137" t="s">
        <v>11</v>
      </c>
      <c r="B3137" t="s">
        <v>38</v>
      </c>
      <c r="C3137" t="s">
        <v>238</v>
      </c>
      <c r="D3137" t="s">
        <v>638</v>
      </c>
      <c r="E3137" s="5">
        <v>45812.958333333343</v>
      </c>
      <c r="F3137">
        <v>23.567923</v>
      </c>
      <c r="G3137">
        <v>87.306843000000001</v>
      </c>
      <c r="H3137" t="s">
        <v>771</v>
      </c>
      <c r="I3137">
        <v>114</v>
      </c>
      <c r="J3137">
        <v>219</v>
      </c>
      <c r="K3137">
        <v>157</v>
      </c>
    </row>
    <row r="3138" spans="1:11" x14ac:dyDescent="0.3">
      <c r="A3138" t="s">
        <v>11</v>
      </c>
      <c r="B3138" t="s">
        <v>38</v>
      </c>
      <c r="C3138" t="s">
        <v>238</v>
      </c>
      <c r="D3138" t="s">
        <v>638</v>
      </c>
      <c r="E3138" s="5">
        <v>45812.958333333343</v>
      </c>
      <c r="F3138">
        <v>23.567923</v>
      </c>
      <c r="G3138">
        <v>87.306843000000001</v>
      </c>
      <c r="H3138" t="s">
        <v>770</v>
      </c>
      <c r="I3138">
        <v>13</v>
      </c>
      <c r="J3138">
        <v>105</v>
      </c>
      <c r="K3138">
        <v>67</v>
      </c>
    </row>
    <row r="3139" spans="1:11" x14ac:dyDescent="0.3">
      <c r="A3139" t="s">
        <v>11</v>
      </c>
      <c r="B3139" t="s">
        <v>36</v>
      </c>
      <c r="C3139" t="s">
        <v>234</v>
      </c>
      <c r="D3139" t="s">
        <v>629</v>
      </c>
      <c r="E3139" s="5">
        <v>45812.958333333343</v>
      </c>
      <c r="F3139">
        <v>25.323930000000001</v>
      </c>
      <c r="G3139">
        <v>82.996870000000001</v>
      </c>
      <c r="H3139" t="s">
        <v>773</v>
      </c>
      <c r="I3139">
        <v>1</v>
      </c>
      <c r="J3139">
        <v>1</v>
      </c>
      <c r="K3139">
        <v>1</v>
      </c>
    </row>
    <row r="3140" spans="1:11" x14ac:dyDescent="0.3">
      <c r="A3140" t="s">
        <v>11</v>
      </c>
      <c r="B3140" t="s">
        <v>36</v>
      </c>
      <c r="C3140" t="s">
        <v>234</v>
      </c>
      <c r="D3140" t="s">
        <v>629</v>
      </c>
      <c r="E3140" s="5">
        <v>45812.958333333343</v>
      </c>
      <c r="F3140">
        <v>25.323930000000001</v>
      </c>
      <c r="G3140">
        <v>82.996870000000001</v>
      </c>
      <c r="H3140" t="s">
        <v>776</v>
      </c>
      <c r="I3140">
        <v>16</v>
      </c>
      <c r="J3140">
        <v>129</v>
      </c>
      <c r="K3140">
        <v>44</v>
      </c>
    </row>
    <row r="3141" spans="1:11" x14ac:dyDescent="0.3">
      <c r="A3141" t="s">
        <v>11</v>
      </c>
      <c r="B3141" t="s">
        <v>36</v>
      </c>
      <c r="C3141" t="s">
        <v>235</v>
      </c>
      <c r="D3141" t="s">
        <v>630</v>
      </c>
      <c r="E3141" s="5">
        <v>45812.958333333343</v>
      </c>
      <c r="F3141">
        <v>27.571408999999999</v>
      </c>
      <c r="G3141">
        <v>77.655756999999994</v>
      </c>
      <c r="H3141" t="s">
        <v>775</v>
      </c>
      <c r="I3141">
        <v>6</v>
      </c>
      <c r="J3141">
        <v>64</v>
      </c>
      <c r="K3141">
        <v>30</v>
      </c>
    </row>
    <row r="3142" spans="1:11" x14ac:dyDescent="0.3">
      <c r="A3142" t="s">
        <v>11</v>
      </c>
      <c r="B3142" t="s">
        <v>36</v>
      </c>
      <c r="C3142" t="s">
        <v>235</v>
      </c>
      <c r="D3142" t="s">
        <v>630</v>
      </c>
      <c r="E3142" s="5">
        <v>45812.958333333343</v>
      </c>
      <c r="F3142">
        <v>27.571408999999999</v>
      </c>
      <c r="G3142">
        <v>77.655756999999994</v>
      </c>
      <c r="H3142" t="s">
        <v>770</v>
      </c>
      <c r="I3142">
        <v>10</v>
      </c>
      <c r="J3142">
        <v>12</v>
      </c>
      <c r="K3142">
        <v>11</v>
      </c>
    </row>
    <row r="3143" spans="1:11" x14ac:dyDescent="0.3">
      <c r="A3143" t="s">
        <v>11</v>
      </c>
      <c r="B3143" t="s">
        <v>37</v>
      </c>
      <c r="C3143" t="s">
        <v>236</v>
      </c>
      <c r="D3143" t="s">
        <v>631</v>
      </c>
      <c r="E3143" s="5">
        <v>45812.958333333343</v>
      </c>
      <c r="F3143">
        <v>30.269444</v>
      </c>
      <c r="G3143">
        <v>78.044167000000002</v>
      </c>
      <c r="H3143" t="s">
        <v>770</v>
      </c>
      <c r="I3143">
        <v>52</v>
      </c>
      <c r="J3143">
        <v>203</v>
      </c>
      <c r="K3143">
        <v>151</v>
      </c>
    </row>
    <row r="3144" spans="1:11" x14ac:dyDescent="0.3">
      <c r="A3144" t="s">
        <v>11</v>
      </c>
      <c r="B3144" t="s">
        <v>37</v>
      </c>
      <c r="C3144" t="s">
        <v>237</v>
      </c>
      <c r="D3144" t="s">
        <v>632</v>
      </c>
      <c r="E3144" s="5">
        <v>45812.958333333343</v>
      </c>
      <c r="F3144">
        <v>29.212411400000001</v>
      </c>
      <c r="G3144">
        <v>78.961175299999994</v>
      </c>
      <c r="H3144" t="s">
        <v>775</v>
      </c>
      <c r="I3144">
        <v>67</v>
      </c>
      <c r="J3144">
        <v>272</v>
      </c>
      <c r="K3144">
        <v>125</v>
      </c>
    </row>
    <row r="3145" spans="1:11" x14ac:dyDescent="0.3">
      <c r="A3145" t="s">
        <v>11</v>
      </c>
      <c r="B3145" t="s">
        <v>36</v>
      </c>
      <c r="C3145" t="s">
        <v>232</v>
      </c>
      <c r="D3145" t="s">
        <v>751</v>
      </c>
      <c r="E3145" s="5">
        <v>45812.958333333343</v>
      </c>
      <c r="F3145">
        <v>28.5898</v>
      </c>
      <c r="G3145">
        <v>77.310100000000006</v>
      </c>
      <c r="H3145" t="s">
        <v>770</v>
      </c>
      <c r="I3145">
        <v>1</v>
      </c>
      <c r="J3145">
        <v>180</v>
      </c>
      <c r="K3145">
        <v>89</v>
      </c>
    </row>
    <row r="3146" spans="1:11" x14ac:dyDescent="0.3">
      <c r="A3146" t="s">
        <v>11</v>
      </c>
      <c r="B3146" t="s">
        <v>36</v>
      </c>
      <c r="C3146" t="s">
        <v>232</v>
      </c>
      <c r="D3146" t="s">
        <v>627</v>
      </c>
      <c r="E3146" s="5">
        <v>45812.958333333343</v>
      </c>
      <c r="F3146">
        <v>28.569230000000001</v>
      </c>
      <c r="G3146">
        <v>77.393848000000006</v>
      </c>
      <c r="H3146" t="s">
        <v>775</v>
      </c>
      <c r="I3146">
        <v>43</v>
      </c>
      <c r="J3146">
        <v>310</v>
      </c>
      <c r="K3146">
        <v>139</v>
      </c>
    </row>
    <row r="3147" spans="1:11" x14ac:dyDescent="0.3">
      <c r="A3147" t="s">
        <v>11</v>
      </c>
      <c r="B3147" t="s">
        <v>36</v>
      </c>
      <c r="C3147" t="s">
        <v>232</v>
      </c>
      <c r="D3147" t="s">
        <v>627</v>
      </c>
      <c r="E3147" s="5">
        <v>45812.958333333343</v>
      </c>
      <c r="F3147">
        <v>28.569230000000001</v>
      </c>
      <c r="G3147">
        <v>77.393848000000006</v>
      </c>
      <c r="H3147" t="s">
        <v>770</v>
      </c>
      <c r="I3147">
        <v>2</v>
      </c>
      <c r="J3147">
        <v>177</v>
      </c>
      <c r="K3147">
        <v>75</v>
      </c>
    </row>
    <row r="3148" spans="1:11" x14ac:dyDescent="0.3">
      <c r="A3148" t="s">
        <v>11</v>
      </c>
      <c r="B3148" t="s">
        <v>36</v>
      </c>
      <c r="C3148" t="s">
        <v>233</v>
      </c>
      <c r="D3148" t="s">
        <v>628</v>
      </c>
      <c r="E3148" s="5">
        <v>45812.958333333343</v>
      </c>
      <c r="F3148">
        <v>25.425602000000001</v>
      </c>
      <c r="G3148">
        <v>81.917152000000002</v>
      </c>
      <c r="H3148" t="s">
        <v>775</v>
      </c>
      <c r="I3148">
        <v>24</v>
      </c>
      <c r="J3148">
        <v>150</v>
      </c>
      <c r="K3148">
        <v>66</v>
      </c>
    </row>
    <row r="3149" spans="1:11" x14ac:dyDescent="0.3">
      <c r="A3149" t="s">
        <v>11</v>
      </c>
      <c r="B3149" t="s">
        <v>36</v>
      </c>
      <c r="C3149" t="s">
        <v>233</v>
      </c>
      <c r="D3149" t="s">
        <v>628</v>
      </c>
      <c r="E3149" s="5">
        <v>45812.958333333343</v>
      </c>
      <c r="F3149">
        <v>25.425602000000001</v>
      </c>
      <c r="G3149">
        <v>81.917152000000002</v>
      </c>
      <c r="H3149" t="s">
        <v>771</v>
      </c>
      <c r="I3149">
        <v>35</v>
      </c>
      <c r="J3149">
        <v>413</v>
      </c>
      <c r="K3149">
        <v>134</v>
      </c>
    </row>
    <row r="3150" spans="1:11" x14ac:dyDescent="0.3">
      <c r="A3150" t="s">
        <v>11</v>
      </c>
      <c r="B3150" t="s">
        <v>36</v>
      </c>
      <c r="C3150" t="s">
        <v>233</v>
      </c>
      <c r="D3150" t="s">
        <v>628</v>
      </c>
      <c r="E3150" s="5">
        <v>45812.958333333343</v>
      </c>
      <c r="F3150">
        <v>25.425602000000001</v>
      </c>
      <c r="G3150">
        <v>81.917152000000002</v>
      </c>
      <c r="H3150" t="s">
        <v>774</v>
      </c>
      <c r="I3150">
        <v>28</v>
      </c>
      <c r="J3150">
        <v>30</v>
      </c>
      <c r="K3150">
        <v>29</v>
      </c>
    </row>
    <row r="3151" spans="1:11" x14ac:dyDescent="0.3">
      <c r="A3151" t="s">
        <v>11</v>
      </c>
      <c r="B3151" t="s">
        <v>37</v>
      </c>
      <c r="C3151" t="s">
        <v>237</v>
      </c>
      <c r="D3151" t="s">
        <v>632</v>
      </c>
      <c r="E3151" s="5">
        <v>45812.958333333343</v>
      </c>
      <c r="F3151">
        <v>29.212411400000001</v>
      </c>
      <c r="G3151">
        <v>78.961175299999994</v>
      </c>
      <c r="H3151" t="s">
        <v>773</v>
      </c>
      <c r="I3151">
        <v>3</v>
      </c>
      <c r="J3151">
        <v>13</v>
      </c>
      <c r="K3151">
        <v>7</v>
      </c>
    </row>
    <row r="3152" spans="1:11" x14ac:dyDescent="0.3">
      <c r="A3152" t="s">
        <v>11</v>
      </c>
      <c r="B3152" t="s">
        <v>37</v>
      </c>
      <c r="C3152" t="s">
        <v>237</v>
      </c>
      <c r="D3152" t="s">
        <v>632</v>
      </c>
      <c r="E3152" s="5">
        <v>45812.958333333343</v>
      </c>
      <c r="F3152">
        <v>29.212411400000001</v>
      </c>
      <c r="G3152">
        <v>78.961175299999994</v>
      </c>
      <c r="H3152" t="s">
        <v>776</v>
      </c>
      <c r="I3152">
        <v>17</v>
      </c>
      <c r="J3152">
        <v>96</v>
      </c>
      <c r="K3152">
        <v>41</v>
      </c>
    </row>
    <row r="3153" spans="1:11" x14ac:dyDescent="0.3">
      <c r="A3153" t="s">
        <v>11</v>
      </c>
      <c r="B3153" t="s">
        <v>37</v>
      </c>
      <c r="C3153" t="s">
        <v>288</v>
      </c>
      <c r="D3153" t="s">
        <v>756</v>
      </c>
      <c r="E3153" s="5">
        <v>45812.958333333343</v>
      </c>
      <c r="F3153">
        <v>30.075911000000001</v>
      </c>
      <c r="G3153">
        <v>78.285954700000005</v>
      </c>
      <c r="H3153" t="s">
        <v>774</v>
      </c>
      <c r="I3153">
        <v>4</v>
      </c>
      <c r="J3153">
        <v>5</v>
      </c>
      <c r="K3153">
        <v>4</v>
      </c>
    </row>
    <row r="3154" spans="1:11" x14ac:dyDescent="0.3">
      <c r="A3154" t="s">
        <v>11</v>
      </c>
      <c r="B3154" t="s">
        <v>37</v>
      </c>
      <c r="C3154" t="s">
        <v>288</v>
      </c>
      <c r="D3154" t="s">
        <v>756</v>
      </c>
      <c r="E3154" s="5">
        <v>45812.958333333343</v>
      </c>
      <c r="F3154">
        <v>30.075911000000001</v>
      </c>
      <c r="G3154">
        <v>78.285954700000005</v>
      </c>
      <c r="H3154" t="s">
        <v>776</v>
      </c>
      <c r="I3154">
        <v>24</v>
      </c>
      <c r="J3154">
        <v>54</v>
      </c>
      <c r="K3154">
        <v>36</v>
      </c>
    </row>
    <row r="3155" spans="1:11" x14ac:dyDescent="0.3">
      <c r="A3155" t="s">
        <v>11</v>
      </c>
      <c r="B3155" t="s">
        <v>36</v>
      </c>
      <c r="C3155" t="s">
        <v>233</v>
      </c>
      <c r="D3155" t="s">
        <v>628</v>
      </c>
      <c r="E3155" s="5">
        <v>45812.958333333343</v>
      </c>
      <c r="F3155">
        <v>25.425602000000001</v>
      </c>
      <c r="G3155">
        <v>81.917152000000002</v>
      </c>
      <c r="H3155" t="s">
        <v>770</v>
      </c>
      <c r="I3155">
        <v>5</v>
      </c>
      <c r="J3155">
        <v>79</v>
      </c>
      <c r="K3155">
        <v>49</v>
      </c>
    </row>
    <row r="3156" spans="1:11" x14ac:dyDescent="0.3">
      <c r="A3156" t="s">
        <v>11</v>
      </c>
      <c r="B3156" t="s">
        <v>36</v>
      </c>
      <c r="C3156" t="s">
        <v>233</v>
      </c>
      <c r="D3156" t="s">
        <v>746</v>
      </c>
      <c r="E3156" s="5">
        <v>45812.958333333343</v>
      </c>
      <c r="F3156">
        <v>25.494</v>
      </c>
      <c r="G3156">
        <v>81.863</v>
      </c>
      <c r="H3156" t="s">
        <v>771</v>
      </c>
      <c r="I3156">
        <v>62</v>
      </c>
      <c r="J3156">
        <v>154</v>
      </c>
      <c r="K3156">
        <v>111</v>
      </c>
    </row>
    <row r="3157" spans="1:11" x14ac:dyDescent="0.3">
      <c r="A3157" t="s">
        <v>11</v>
      </c>
      <c r="B3157" t="s">
        <v>36</v>
      </c>
      <c r="C3157" t="s">
        <v>233</v>
      </c>
      <c r="D3157" t="s">
        <v>746</v>
      </c>
      <c r="E3157" s="5">
        <v>45812.958333333343</v>
      </c>
      <c r="F3157">
        <v>25.494</v>
      </c>
      <c r="G3157">
        <v>81.863</v>
      </c>
      <c r="H3157" t="s">
        <v>773</v>
      </c>
      <c r="I3157">
        <v>3</v>
      </c>
      <c r="J3157">
        <v>6</v>
      </c>
      <c r="K3157">
        <v>5</v>
      </c>
    </row>
    <row r="3158" spans="1:11" x14ac:dyDescent="0.3">
      <c r="A3158" t="s">
        <v>11</v>
      </c>
      <c r="B3158" t="s">
        <v>36</v>
      </c>
      <c r="C3158" t="s">
        <v>234</v>
      </c>
      <c r="D3158" t="s">
        <v>641</v>
      </c>
      <c r="E3158" s="5">
        <v>45812.958333333343</v>
      </c>
      <c r="F3158">
        <v>25.301777999999999</v>
      </c>
      <c r="G3158">
        <v>82.996789000000007</v>
      </c>
      <c r="H3158" t="s">
        <v>776</v>
      </c>
      <c r="I3158">
        <v>6</v>
      </c>
      <c r="J3158">
        <v>121</v>
      </c>
      <c r="K3158">
        <v>43</v>
      </c>
    </row>
    <row r="3159" spans="1:11" x14ac:dyDescent="0.3">
      <c r="A3159" t="s">
        <v>11</v>
      </c>
      <c r="B3159" t="s">
        <v>36</v>
      </c>
      <c r="C3159" t="s">
        <v>234</v>
      </c>
      <c r="D3159" t="s">
        <v>642</v>
      </c>
      <c r="E3159" s="5">
        <v>45812.958333333343</v>
      </c>
      <c r="F3159">
        <v>25.262326000000002</v>
      </c>
      <c r="G3159">
        <v>82.995407999999998</v>
      </c>
      <c r="H3159" t="s">
        <v>772</v>
      </c>
      <c r="I3159">
        <v>2</v>
      </c>
      <c r="J3159">
        <v>2</v>
      </c>
      <c r="K3159">
        <v>2</v>
      </c>
    </row>
    <row r="3160" spans="1:11" x14ac:dyDescent="0.3">
      <c r="A3160" t="s">
        <v>11</v>
      </c>
      <c r="B3160" t="s">
        <v>38</v>
      </c>
      <c r="C3160" t="s">
        <v>241</v>
      </c>
      <c r="D3160" t="s">
        <v>643</v>
      </c>
      <c r="E3160" s="5">
        <v>45812.958333333343</v>
      </c>
      <c r="F3160">
        <v>23.685296999999998</v>
      </c>
      <c r="G3160">
        <v>86.945967999999993</v>
      </c>
      <c r="H3160" t="s">
        <v>770</v>
      </c>
      <c r="I3160">
        <v>19</v>
      </c>
      <c r="J3160">
        <v>76</v>
      </c>
      <c r="K3160">
        <v>59</v>
      </c>
    </row>
    <row r="3161" spans="1:11" x14ac:dyDescent="0.3">
      <c r="A3161" t="s">
        <v>11</v>
      </c>
      <c r="B3161" t="s">
        <v>36</v>
      </c>
      <c r="C3161" t="s">
        <v>232</v>
      </c>
      <c r="D3161" t="s">
        <v>625</v>
      </c>
      <c r="E3161" s="5">
        <v>45812.958333333343</v>
      </c>
      <c r="F3161">
        <v>28.544760799999999</v>
      </c>
      <c r="G3161">
        <v>77.323125700000006</v>
      </c>
      <c r="H3161" t="s">
        <v>773</v>
      </c>
      <c r="I3161">
        <v>13</v>
      </c>
      <c r="J3161">
        <v>21</v>
      </c>
      <c r="K3161">
        <v>17</v>
      </c>
    </row>
    <row r="3162" spans="1:11" x14ac:dyDescent="0.3">
      <c r="A3162" t="s">
        <v>11</v>
      </c>
      <c r="B3162" t="s">
        <v>36</v>
      </c>
      <c r="C3162" t="s">
        <v>232</v>
      </c>
      <c r="D3162" t="s">
        <v>751</v>
      </c>
      <c r="E3162" s="5">
        <v>45812.958333333343</v>
      </c>
      <c r="F3162">
        <v>28.5898</v>
      </c>
      <c r="G3162">
        <v>77.310100000000006</v>
      </c>
      <c r="H3162" t="s">
        <v>771</v>
      </c>
      <c r="I3162">
        <v>20</v>
      </c>
      <c r="J3162">
        <v>118</v>
      </c>
      <c r="K3162">
        <v>64</v>
      </c>
    </row>
    <row r="3163" spans="1:11" x14ac:dyDescent="0.3">
      <c r="A3163" t="s">
        <v>11</v>
      </c>
      <c r="B3163" t="s">
        <v>38</v>
      </c>
      <c r="C3163" t="s">
        <v>238</v>
      </c>
      <c r="D3163" t="s">
        <v>633</v>
      </c>
      <c r="E3163" s="5">
        <v>45812.958333333343</v>
      </c>
      <c r="F3163">
        <v>23.508763999999999</v>
      </c>
      <c r="G3163">
        <v>87.354439999999997</v>
      </c>
      <c r="H3163" t="s">
        <v>773</v>
      </c>
      <c r="I3163">
        <v>5</v>
      </c>
      <c r="J3163">
        <v>6</v>
      </c>
      <c r="K3163">
        <v>5</v>
      </c>
    </row>
    <row r="3164" spans="1:11" x14ac:dyDescent="0.3">
      <c r="A3164" t="s">
        <v>11</v>
      </c>
      <c r="B3164" t="s">
        <v>38</v>
      </c>
      <c r="C3164" t="s">
        <v>238</v>
      </c>
      <c r="D3164" t="s">
        <v>633</v>
      </c>
      <c r="E3164" s="5">
        <v>45812.958333333343</v>
      </c>
      <c r="F3164">
        <v>23.508763999999999</v>
      </c>
      <c r="G3164">
        <v>87.354439999999997</v>
      </c>
      <c r="H3164" t="s">
        <v>776</v>
      </c>
      <c r="I3164">
        <v>57</v>
      </c>
      <c r="J3164">
        <v>109</v>
      </c>
      <c r="K3164">
        <v>72</v>
      </c>
    </row>
    <row r="3165" spans="1:11" x14ac:dyDescent="0.3">
      <c r="A3165" t="s">
        <v>11</v>
      </c>
      <c r="B3165" t="s">
        <v>38</v>
      </c>
      <c r="C3165" t="s">
        <v>240</v>
      </c>
      <c r="D3165" t="s">
        <v>635</v>
      </c>
      <c r="E3165" s="5">
        <v>45812.958333333343</v>
      </c>
      <c r="F3165">
        <v>22.629801</v>
      </c>
      <c r="G3165">
        <v>88.352017000000004</v>
      </c>
      <c r="H3165" t="s">
        <v>773</v>
      </c>
      <c r="I3165">
        <v>4</v>
      </c>
      <c r="J3165">
        <v>4</v>
      </c>
      <c r="K3165">
        <v>4</v>
      </c>
    </row>
    <row r="3166" spans="1:11" x14ac:dyDescent="0.3">
      <c r="A3166" t="s">
        <v>11</v>
      </c>
      <c r="B3166" t="s">
        <v>38</v>
      </c>
      <c r="C3166" t="s">
        <v>240</v>
      </c>
      <c r="D3166" t="s">
        <v>639</v>
      </c>
      <c r="E3166" s="5">
        <v>45812.958333333343</v>
      </c>
      <c r="F3166">
        <v>22.554953999999999</v>
      </c>
      <c r="G3166">
        <v>88.292568000000003</v>
      </c>
      <c r="H3166" t="s">
        <v>772</v>
      </c>
      <c r="I3166">
        <v>7</v>
      </c>
      <c r="J3166">
        <v>18</v>
      </c>
      <c r="K3166">
        <v>12</v>
      </c>
    </row>
    <row r="3167" spans="1:11" x14ac:dyDescent="0.3">
      <c r="A3167" t="s">
        <v>11</v>
      </c>
      <c r="B3167" t="s">
        <v>38</v>
      </c>
      <c r="C3167" t="s">
        <v>240</v>
      </c>
      <c r="D3167" t="s">
        <v>639</v>
      </c>
      <c r="E3167" s="5">
        <v>45812.958333333343</v>
      </c>
      <c r="F3167">
        <v>22.554953999999999</v>
      </c>
      <c r="G3167">
        <v>88.292568000000003</v>
      </c>
      <c r="H3167" t="s">
        <v>774</v>
      </c>
      <c r="I3167">
        <v>4</v>
      </c>
      <c r="J3167">
        <v>8</v>
      </c>
      <c r="K3167">
        <v>5</v>
      </c>
    </row>
    <row r="3168" spans="1:11" x14ac:dyDescent="0.3">
      <c r="A3168" t="s">
        <v>11</v>
      </c>
      <c r="B3168" t="s">
        <v>38</v>
      </c>
      <c r="C3168" t="s">
        <v>240</v>
      </c>
      <c r="D3168" t="s">
        <v>639</v>
      </c>
      <c r="E3168" s="5">
        <v>45812.958333333343</v>
      </c>
      <c r="F3168">
        <v>22.554953999999999</v>
      </c>
      <c r="G3168">
        <v>88.292568000000003</v>
      </c>
      <c r="H3168" t="s">
        <v>770</v>
      </c>
      <c r="I3168">
        <v>8</v>
      </c>
      <c r="J3168">
        <v>60</v>
      </c>
      <c r="K3168">
        <v>31</v>
      </c>
    </row>
    <row r="3169" spans="1:11" x14ac:dyDescent="0.3">
      <c r="A3169" t="s">
        <v>11</v>
      </c>
      <c r="B3169" t="s">
        <v>38</v>
      </c>
      <c r="C3169" t="s">
        <v>240</v>
      </c>
      <c r="D3169" t="s">
        <v>754</v>
      </c>
      <c r="E3169" s="5">
        <v>45812.958333333343</v>
      </c>
      <c r="F3169">
        <v>22.611968000000001</v>
      </c>
      <c r="G3169">
        <v>88.347421999999995</v>
      </c>
      <c r="H3169" t="s">
        <v>771</v>
      </c>
      <c r="I3169">
        <v>41</v>
      </c>
      <c r="J3169">
        <v>89</v>
      </c>
      <c r="K3169">
        <v>65</v>
      </c>
    </row>
    <row r="3170" spans="1:11" x14ac:dyDescent="0.3">
      <c r="A3170" t="s">
        <v>11</v>
      </c>
      <c r="B3170" t="s">
        <v>38</v>
      </c>
      <c r="C3170" t="s">
        <v>240</v>
      </c>
      <c r="D3170" t="s">
        <v>755</v>
      </c>
      <c r="E3170" s="5">
        <v>45812.958333333343</v>
      </c>
      <c r="F3170">
        <v>22.5687319</v>
      </c>
      <c r="G3170">
        <v>88.279727600000001</v>
      </c>
      <c r="H3170" t="s">
        <v>772</v>
      </c>
      <c r="I3170">
        <v>8</v>
      </c>
      <c r="J3170">
        <v>22</v>
      </c>
      <c r="K3170">
        <v>14</v>
      </c>
    </row>
    <row r="3171" spans="1:11" x14ac:dyDescent="0.3">
      <c r="A3171" t="s">
        <v>11</v>
      </c>
      <c r="B3171" t="s">
        <v>38</v>
      </c>
      <c r="C3171" t="s">
        <v>243</v>
      </c>
      <c r="D3171" t="s">
        <v>647</v>
      </c>
      <c r="E3171" s="5">
        <v>45812.958333333343</v>
      </c>
      <c r="F3171">
        <v>22.499289999999998</v>
      </c>
      <c r="G3171">
        <v>88.369169999999997</v>
      </c>
      <c r="H3171" t="s">
        <v>774</v>
      </c>
      <c r="I3171">
        <v>5</v>
      </c>
      <c r="J3171">
        <v>34</v>
      </c>
      <c r="K3171">
        <v>11</v>
      </c>
    </row>
    <row r="3172" spans="1:11" x14ac:dyDescent="0.3">
      <c r="A3172" t="s">
        <v>11</v>
      </c>
      <c r="B3172" t="s">
        <v>38</v>
      </c>
      <c r="C3172" t="s">
        <v>244</v>
      </c>
      <c r="D3172" t="s">
        <v>651</v>
      </c>
      <c r="E3172" s="5">
        <v>45812.958333333343</v>
      </c>
      <c r="F3172">
        <v>26.6879226</v>
      </c>
      <c r="G3172">
        <v>88.415249500000002</v>
      </c>
      <c r="H3172" t="s">
        <v>772</v>
      </c>
      <c r="I3172">
        <v>19</v>
      </c>
      <c r="J3172">
        <v>34</v>
      </c>
      <c r="K3172">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BC132-4110-480B-9962-609B31635214}">
  <dimension ref="A1:B3172"/>
  <sheetViews>
    <sheetView topLeftCell="A3146" workbookViewId="0">
      <selection activeCell="A3146" sqref="A1:XFD1048576"/>
    </sheetView>
  </sheetViews>
  <sheetFormatPr defaultRowHeight="14.4" x14ac:dyDescent="0.3"/>
  <cols>
    <col min="1" max="1" width="19.21875" bestFit="1" customWidth="1"/>
    <col min="2" max="2" width="15.77734375" bestFit="1" customWidth="1"/>
  </cols>
  <sheetData>
    <row r="1" spans="1:2" x14ac:dyDescent="0.3">
      <c r="A1" s="1" t="s">
        <v>1</v>
      </c>
      <c r="B1" t="s">
        <v>782</v>
      </c>
    </row>
    <row r="2" spans="1:2" x14ac:dyDescent="0.3">
      <c r="A2" t="s">
        <v>12</v>
      </c>
      <c r="B2">
        <f>AVERAGEIF(Sheet1!B:B, A2, Sheet1!J:J)</f>
        <v>74.65384615384616</v>
      </c>
    </row>
    <row r="3" spans="1:2" x14ac:dyDescent="0.3">
      <c r="A3" t="s">
        <v>12</v>
      </c>
      <c r="B3">
        <f>AVERAGEIF(Sheet1!B:B, A3, Sheet1!J:J)</f>
        <v>74.65384615384616</v>
      </c>
    </row>
    <row r="4" spans="1:2" x14ac:dyDescent="0.3">
      <c r="A4" t="s">
        <v>12</v>
      </c>
      <c r="B4">
        <f>AVERAGEIF(Sheet1!B:B, A4, Sheet1!J:J)</f>
        <v>74.65384615384616</v>
      </c>
    </row>
    <row r="5" spans="1:2" x14ac:dyDescent="0.3">
      <c r="A5" t="s">
        <v>12</v>
      </c>
      <c r="B5">
        <f>AVERAGEIF(Sheet1!B:B, A5, Sheet1!J:J)</f>
        <v>74.65384615384616</v>
      </c>
    </row>
    <row r="6" spans="1:2" x14ac:dyDescent="0.3">
      <c r="A6" t="s">
        <v>12</v>
      </c>
      <c r="B6">
        <f>AVERAGEIF(Sheet1!B:B, A6, Sheet1!J:J)</f>
        <v>74.65384615384616</v>
      </c>
    </row>
    <row r="7" spans="1:2" x14ac:dyDescent="0.3">
      <c r="A7" t="s">
        <v>12</v>
      </c>
      <c r="B7">
        <f>AVERAGEIF(Sheet1!B:B, A7, Sheet1!J:J)</f>
        <v>74.65384615384616</v>
      </c>
    </row>
    <row r="8" spans="1:2" x14ac:dyDescent="0.3">
      <c r="A8" t="s">
        <v>12</v>
      </c>
      <c r="B8">
        <f>AVERAGEIF(Sheet1!B:B, A8, Sheet1!J:J)</f>
        <v>74.65384615384616</v>
      </c>
    </row>
    <row r="9" spans="1:2" x14ac:dyDescent="0.3">
      <c r="A9" t="s">
        <v>12</v>
      </c>
      <c r="B9">
        <f>AVERAGEIF(Sheet1!B:B, A9, Sheet1!J:J)</f>
        <v>74.65384615384616</v>
      </c>
    </row>
    <row r="10" spans="1:2" x14ac:dyDescent="0.3">
      <c r="A10" t="s">
        <v>13</v>
      </c>
      <c r="B10">
        <f>AVERAGEIF(Sheet1!B:B, A10, Sheet1!J:J)</f>
        <v>89.015706806282722</v>
      </c>
    </row>
    <row r="11" spans="1:2" x14ac:dyDescent="0.3">
      <c r="A11" t="s">
        <v>13</v>
      </c>
      <c r="B11">
        <f>AVERAGEIF(Sheet1!B:B, A11, Sheet1!J:J)</f>
        <v>89.015706806282722</v>
      </c>
    </row>
    <row r="12" spans="1:2" x14ac:dyDescent="0.3">
      <c r="A12" t="s">
        <v>13</v>
      </c>
      <c r="B12">
        <f>AVERAGEIF(Sheet1!B:B, A12, Sheet1!J:J)</f>
        <v>89.015706806282722</v>
      </c>
    </row>
    <row r="13" spans="1:2" x14ac:dyDescent="0.3">
      <c r="A13" t="s">
        <v>13</v>
      </c>
      <c r="B13">
        <f>AVERAGEIF(Sheet1!B:B, A13, Sheet1!J:J)</f>
        <v>89.015706806282722</v>
      </c>
    </row>
    <row r="14" spans="1:2" x14ac:dyDescent="0.3">
      <c r="A14" t="s">
        <v>14</v>
      </c>
      <c r="B14">
        <f>AVERAGEIF(Sheet1!B:B, A14, Sheet1!J:J)</f>
        <v>49.578313253012048</v>
      </c>
    </row>
    <row r="15" spans="1:2" x14ac:dyDescent="0.3">
      <c r="A15" t="s">
        <v>14</v>
      </c>
      <c r="B15">
        <f>AVERAGEIF(Sheet1!B:B, A15, Sheet1!J:J)</f>
        <v>49.578313253012048</v>
      </c>
    </row>
    <row r="16" spans="1:2" x14ac:dyDescent="0.3">
      <c r="A16" t="s">
        <v>14</v>
      </c>
      <c r="B16">
        <f>AVERAGEIF(Sheet1!B:B, A16, Sheet1!J:J)</f>
        <v>49.578313253012048</v>
      </c>
    </row>
    <row r="17" spans="1:2" x14ac:dyDescent="0.3">
      <c r="A17" t="s">
        <v>12</v>
      </c>
      <c r="B17">
        <f>AVERAGEIF(Sheet1!B:B, A17, Sheet1!J:J)</f>
        <v>74.65384615384616</v>
      </c>
    </row>
    <row r="18" spans="1:2" x14ac:dyDescent="0.3">
      <c r="A18" t="s">
        <v>14</v>
      </c>
      <c r="B18">
        <f>AVERAGEIF(Sheet1!B:B, A18, Sheet1!J:J)</f>
        <v>49.578313253012048</v>
      </c>
    </row>
    <row r="19" spans="1:2" x14ac:dyDescent="0.3">
      <c r="A19" t="s">
        <v>14</v>
      </c>
      <c r="B19">
        <f>AVERAGEIF(Sheet1!B:B, A19, Sheet1!J:J)</f>
        <v>49.578313253012048</v>
      </c>
    </row>
    <row r="20" spans="1:2" x14ac:dyDescent="0.3">
      <c r="A20" t="s">
        <v>14</v>
      </c>
      <c r="B20">
        <f>AVERAGEIF(Sheet1!B:B, A20, Sheet1!J:J)</f>
        <v>49.578313253012048</v>
      </c>
    </row>
    <row r="21" spans="1:2" x14ac:dyDescent="0.3">
      <c r="A21" t="s">
        <v>14</v>
      </c>
      <c r="B21">
        <f>AVERAGEIF(Sheet1!B:B, A21, Sheet1!J:J)</f>
        <v>49.578313253012048</v>
      </c>
    </row>
    <row r="22" spans="1:2" x14ac:dyDescent="0.3">
      <c r="A22" t="s">
        <v>14</v>
      </c>
      <c r="B22">
        <f>AVERAGEIF(Sheet1!B:B, A22, Sheet1!J:J)</f>
        <v>49.578313253012048</v>
      </c>
    </row>
    <row r="23" spans="1:2" x14ac:dyDescent="0.3">
      <c r="A23" t="s">
        <v>14</v>
      </c>
      <c r="B23">
        <f>AVERAGEIF(Sheet1!B:B, A23, Sheet1!J:J)</f>
        <v>49.578313253012048</v>
      </c>
    </row>
    <row r="24" spans="1:2" x14ac:dyDescent="0.3">
      <c r="A24" t="s">
        <v>14</v>
      </c>
      <c r="B24">
        <f>AVERAGEIF(Sheet1!B:B, A24, Sheet1!J:J)</f>
        <v>49.578313253012048</v>
      </c>
    </row>
    <row r="25" spans="1:2" x14ac:dyDescent="0.3">
      <c r="A25" t="s">
        <v>13</v>
      </c>
      <c r="B25">
        <f>AVERAGEIF(Sheet1!B:B, A25, Sheet1!J:J)</f>
        <v>89.015706806282722</v>
      </c>
    </row>
    <row r="26" spans="1:2" x14ac:dyDescent="0.3">
      <c r="A26" t="s">
        <v>13</v>
      </c>
      <c r="B26">
        <f>AVERAGEIF(Sheet1!B:B, A26, Sheet1!J:J)</f>
        <v>89.015706806282722</v>
      </c>
    </row>
    <row r="27" spans="1:2" x14ac:dyDescent="0.3">
      <c r="A27" t="s">
        <v>13</v>
      </c>
      <c r="B27">
        <f>AVERAGEIF(Sheet1!B:B, A27, Sheet1!J:J)</f>
        <v>89.015706806282722</v>
      </c>
    </row>
    <row r="28" spans="1:2" x14ac:dyDescent="0.3">
      <c r="A28" t="s">
        <v>13</v>
      </c>
      <c r="B28">
        <f>AVERAGEIF(Sheet1!B:B, A28, Sheet1!J:J)</f>
        <v>89.015706806282722</v>
      </c>
    </row>
    <row r="29" spans="1:2" x14ac:dyDescent="0.3">
      <c r="A29" t="s">
        <v>12</v>
      </c>
      <c r="B29">
        <f>AVERAGEIF(Sheet1!B:B, A29, Sheet1!J:J)</f>
        <v>74.65384615384616</v>
      </c>
    </row>
    <row r="30" spans="1:2" x14ac:dyDescent="0.3">
      <c r="A30" t="s">
        <v>12</v>
      </c>
      <c r="B30">
        <f>AVERAGEIF(Sheet1!B:B, A30, Sheet1!J:J)</f>
        <v>74.65384615384616</v>
      </c>
    </row>
    <row r="31" spans="1:2" x14ac:dyDescent="0.3">
      <c r="A31" t="s">
        <v>12</v>
      </c>
      <c r="B31">
        <f>AVERAGEIF(Sheet1!B:B, A31, Sheet1!J:J)</f>
        <v>74.65384615384616</v>
      </c>
    </row>
    <row r="32" spans="1:2" x14ac:dyDescent="0.3">
      <c r="A32" t="s">
        <v>15</v>
      </c>
      <c r="B32">
        <f>AVERAGEIF(Sheet1!B:B, A32, Sheet1!J:J)</f>
        <v>34.714285714285715</v>
      </c>
    </row>
    <row r="33" spans="1:2" x14ac:dyDescent="0.3">
      <c r="A33" t="s">
        <v>15</v>
      </c>
      <c r="B33">
        <f>AVERAGEIF(Sheet1!B:B, A33, Sheet1!J:J)</f>
        <v>34.714285714285715</v>
      </c>
    </row>
    <row r="34" spans="1:2" x14ac:dyDescent="0.3">
      <c r="A34" t="s">
        <v>15</v>
      </c>
      <c r="B34">
        <f>AVERAGEIF(Sheet1!B:B, A34, Sheet1!J:J)</f>
        <v>34.714285714285715</v>
      </c>
    </row>
    <row r="35" spans="1:2" x14ac:dyDescent="0.3">
      <c r="A35" t="s">
        <v>14</v>
      </c>
      <c r="B35">
        <f>AVERAGEIF(Sheet1!B:B, A35, Sheet1!J:J)</f>
        <v>49.578313253012048</v>
      </c>
    </row>
    <row r="36" spans="1:2" x14ac:dyDescent="0.3">
      <c r="A36" t="s">
        <v>14</v>
      </c>
      <c r="B36">
        <f>AVERAGEIF(Sheet1!B:B, A36, Sheet1!J:J)</f>
        <v>49.578313253012048</v>
      </c>
    </row>
    <row r="37" spans="1:2" x14ac:dyDescent="0.3">
      <c r="A37" t="s">
        <v>13</v>
      </c>
      <c r="B37">
        <f>AVERAGEIF(Sheet1!B:B, A37, Sheet1!J:J)</f>
        <v>89.015706806282722</v>
      </c>
    </row>
    <row r="38" spans="1:2" x14ac:dyDescent="0.3">
      <c r="A38" t="s">
        <v>13</v>
      </c>
      <c r="B38">
        <f>AVERAGEIF(Sheet1!B:B, A38, Sheet1!J:J)</f>
        <v>89.015706806282722</v>
      </c>
    </row>
    <row r="39" spans="1:2" x14ac:dyDescent="0.3">
      <c r="A39" t="s">
        <v>13</v>
      </c>
      <c r="B39">
        <f>AVERAGEIF(Sheet1!B:B, A39, Sheet1!J:J)</f>
        <v>89.015706806282722</v>
      </c>
    </row>
    <row r="40" spans="1:2" x14ac:dyDescent="0.3">
      <c r="A40" t="s">
        <v>13</v>
      </c>
      <c r="B40">
        <f>AVERAGEIF(Sheet1!B:B, A40, Sheet1!J:J)</f>
        <v>89.015706806282722</v>
      </c>
    </row>
    <row r="41" spans="1:2" x14ac:dyDescent="0.3">
      <c r="A41" t="s">
        <v>13</v>
      </c>
      <c r="B41">
        <f>AVERAGEIF(Sheet1!B:B, A41, Sheet1!J:J)</f>
        <v>89.015706806282722</v>
      </c>
    </row>
    <row r="42" spans="1:2" x14ac:dyDescent="0.3">
      <c r="A42" t="s">
        <v>13</v>
      </c>
      <c r="B42">
        <f>AVERAGEIF(Sheet1!B:B, A42, Sheet1!J:J)</f>
        <v>89.015706806282722</v>
      </c>
    </row>
    <row r="43" spans="1:2" x14ac:dyDescent="0.3">
      <c r="A43" t="s">
        <v>13</v>
      </c>
      <c r="B43">
        <f>AVERAGEIF(Sheet1!B:B, A43, Sheet1!J:J)</f>
        <v>89.015706806282722</v>
      </c>
    </row>
    <row r="44" spans="1:2" x14ac:dyDescent="0.3">
      <c r="A44" t="s">
        <v>13</v>
      </c>
      <c r="B44">
        <f>AVERAGEIF(Sheet1!B:B, A44, Sheet1!J:J)</f>
        <v>89.015706806282722</v>
      </c>
    </row>
    <row r="45" spans="1:2" x14ac:dyDescent="0.3">
      <c r="A45" t="s">
        <v>13</v>
      </c>
      <c r="B45">
        <f>AVERAGEIF(Sheet1!B:B, A45, Sheet1!J:J)</f>
        <v>89.015706806282722</v>
      </c>
    </row>
    <row r="46" spans="1:2" x14ac:dyDescent="0.3">
      <c r="A46" t="s">
        <v>13</v>
      </c>
      <c r="B46">
        <f>AVERAGEIF(Sheet1!B:B, A46, Sheet1!J:J)</f>
        <v>89.015706806282722</v>
      </c>
    </row>
    <row r="47" spans="1:2" x14ac:dyDescent="0.3">
      <c r="A47" t="s">
        <v>13</v>
      </c>
      <c r="B47">
        <f>AVERAGEIF(Sheet1!B:B, A47, Sheet1!J:J)</f>
        <v>89.015706806282722</v>
      </c>
    </row>
    <row r="48" spans="1:2" x14ac:dyDescent="0.3">
      <c r="A48" t="s">
        <v>13</v>
      </c>
      <c r="B48">
        <f>AVERAGEIF(Sheet1!B:B, A48, Sheet1!J:J)</f>
        <v>89.015706806282722</v>
      </c>
    </row>
    <row r="49" spans="1:2" x14ac:dyDescent="0.3">
      <c r="A49" t="s">
        <v>13</v>
      </c>
      <c r="B49">
        <f>AVERAGEIF(Sheet1!B:B, A49, Sheet1!J:J)</f>
        <v>89.015706806282722</v>
      </c>
    </row>
    <row r="50" spans="1:2" x14ac:dyDescent="0.3">
      <c r="A50" t="s">
        <v>13</v>
      </c>
      <c r="B50">
        <f>AVERAGEIF(Sheet1!B:B, A50, Sheet1!J:J)</f>
        <v>89.015706806282722</v>
      </c>
    </row>
    <row r="51" spans="1:2" x14ac:dyDescent="0.3">
      <c r="A51" t="s">
        <v>13</v>
      </c>
      <c r="B51">
        <f>AVERAGEIF(Sheet1!B:B, A51, Sheet1!J:J)</f>
        <v>89.015706806282722</v>
      </c>
    </row>
    <row r="52" spans="1:2" x14ac:dyDescent="0.3">
      <c r="A52" t="s">
        <v>13</v>
      </c>
      <c r="B52">
        <f>AVERAGEIF(Sheet1!B:B, A52, Sheet1!J:J)</f>
        <v>89.015706806282722</v>
      </c>
    </row>
    <row r="53" spans="1:2" x14ac:dyDescent="0.3">
      <c r="A53" t="s">
        <v>13</v>
      </c>
      <c r="B53">
        <f>AVERAGEIF(Sheet1!B:B, A53, Sheet1!J:J)</f>
        <v>89.015706806282722</v>
      </c>
    </row>
    <row r="54" spans="1:2" x14ac:dyDescent="0.3">
      <c r="A54" t="s">
        <v>13</v>
      </c>
      <c r="B54">
        <f>AVERAGEIF(Sheet1!B:B, A54, Sheet1!J:J)</f>
        <v>89.015706806282722</v>
      </c>
    </row>
    <row r="55" spans="1:2" x14ac:dyDescent="0.3">
      <c r="A55" t="s">
        <v>13</v>
      </c>
      <c r="B55">
        <f>AVERAGEIF(Sheet1!B:B, A55, Sheet1!J:J)</f>
        <v>89.015706806282722</v>
      </c>
    </row>
    <row r="56" spans="1:2" x14ac:dyDescent="0.3">
      <c r="A56" t="s">
        <v>13</v>
      </c>
      <c r="B56">
        <f>AVERAGEIF(Sheet1!B:B, A56, Sheet1!J:J)</f>
        <v>89.015706806282722</v>
      </c>
    </row>
    <row r="57" spans="1:2" x14ac:dyDescent="0.3">
      <c r="A57" t="s">
        <v>13</v>
      </c>
      <c r="B57">
        <f>AVERAGEIF(Sheet1!B:B, A57, Sheet1!J:J)</f>
        <v>89.015706806282722</v>
      </c>
    </row>
    <row r="58" spans="1:2" x14ac:dyDescent="0.3">
      <c r="A58" t="s">
        <v>13</v>
      </c>
      <c r="B58">
        <f>AVERAGEIF(Sheet1!B:B, A58, Sheet1!J:J)</f>
        <v>89.015706806282722</v>
      </c>
    </row>
    <row r="59" spans="1:2" x14ac:dyDescent="0.3">
      <c r="A59" t="s">
        <v>13</v>
      </c>
      <c r="B59">
        <f>AVERAGEIF(Sheet1!B:B, A59, Sheet1!J:J)</f>
        <v>89.015706806282722</v>
      </c>
    </row>
    <row r="60" spans="1:2" x14ac:dyDescent="0.3">
      <c r="A60" t="s">
        <v>13</v>
      </c>
      <c r="B60">
        <f>AVERAGEIF(Sheet1!B:B, A60, Sheet1!J:J)</f>
        <v>89.015706806282722</v>
      </c>
    </row>
    <row r="61" spans="1:2" x14ac:dyDescent="0.3">
      <c r="A61" t="s">
        <v>13</v>
      </c>
      <c r="B61">
        <f>AVERAGEIF(Sheet1!B:B, A61, Sheet1!J:J)</f>
        <v>89.015706806282722</v>
      </c>
    </row>
    <row r="62" spans="1:2" x14ac:dyDescent="0.3">
      <c r="A62" t="s">
        <v>13</v>
      </c>
      <c r="B62">
        <f>AVERAGEIF(Sheet1!B:B, A62, Sheet1!J:J)</f>
        <v>89.015706806282722</v>
      </c>
    </row>
    <row r="63" spans="1:2" x14ac:dyDescent="0.3">
      <c r="A63" t="s">
        <v>13</v>
      </c>
      <c r="B63">
        <f>AVERAGEIF(Sheet1!B:B, A63, Sheet1!J:J)</f>
        <v>89.015706806282722</v>
      </c>
    </row>
    <row r="64" spans="1:2" x14ac:dyDescent="0.3">
      <c r="A64" t="s">
        <v>13</v>
      </c>
      <c r="B64">
        <f>AVERAGEIF(Sheet1!B:B, A64, Sheet1!J:J)</f>
        <v>89.015706806282722</v>
      </c>
    </row>
    <row r="65" spans="1:2" x14ac:dyDescent="0.3">
      <c r="A65" t="s">
        <v>13</v>
      </c>
      <c r="B65">
        <f>AVERAGEIF(Sheet1!B:B, A65, Sheet1!J:J)</f>
        <v>89.015706806282722</v>
      </c>
    </row>
    <row r="66" spans="1:2" x14ac:dyDescent="0.3">
      <c r="A66" t="s">
        <v>13</v>
      </c>
      <c r="B66">
        <f>AVERAGEIF(Sheet1!B:B, A66, Sheet1!J:J)</f>
        <v>89.015706806282722</v>
      </c>
    </row>
    <row r="67" spans="1:2" x14ac:dyDescent="0.3">
      <c r="A67" t="s">
        <v>13</v>
      </c>
      <c r="B67">
        <f>AVERAGEIF(Sheet1!B:B, A67, Sheet1!J:J)</f>
        <v>89.015706806282722</v>
      </c>
    </row>
    <row r="68" spans="1:2" x14ac:dyDescent="0.3">
      <c r="A68" t="s">
        <v>13</v>
      </c>
      <c r="B68">
        <f>AVERAGEIF(Sheet1!B:B, A68, Sheet1!J:J)</f>
        <v>89.015706806282722</v>
      </c>
    </row>
    <row r="69" spans="1:2" x14ac:dyDescent="0.3">
      <c r="A69" t="s">
        <v>13</v>
      </c>
      <c r="B69">
        <f>AVERAGEIF(Sheet1!B:B, A69, Sheet1!J:J)</f>
        <v>89.015706806282722</v>
      </c>
    </row>
    <row r="70" spans="1:2" x14ac:dyDescent="0.3">
      <c r="A70" t="s">
        <v>13</v>
      </c>
      <c r="B70">
        <f>AVERAGEIF(Sheet1!B:B, A70, Sheet1!J:J)</f>
        <v>89.015706806282722</v>
      </c>
    </row>
    <row r="71" spans="1:2" x14ac:dyDescent="0.3">
      <c r="A71" t="s">
        <v>13</v>
      </c>
      <c r="B71">
        <f>AVERAGEIF(Sheet1!B:B, A71, Sheet1!J:J)</f>
        <v>89.015706806282722</v>
      </c>
    </row>
    <row r="72" spans="1:2" x14ac:dyDescent="0.3">
      <c r="A72" t="s">
        <v>13</v>
      </c>
      <c r="B72">
        <f>AVERAGEIF(Sheet1!B:B, A72, Sheet1!J:J)</f>
        <v>89.015706806282722</v>
      </c>
    </row>
    <row r="73" spans="1:2" x14ac:dyDescent="0.3">
      <c r="A73" t="s">
        <v>16</v>
      </c>
      <c r="B73">
        <f>AVERAGEIF(Sheet1!B:B, A73, Sheet1!J:J)</f>
        <v>79.902439024390247</v>
      </c>
    </row>
    <row r="74" spans="1:2" x14ac:dyDescent="0.3">
      <c r="A74" t="s">
        <v>16</v>
      </c>
      <c r="B74">
        <f>AVERAGEIF(Sheet1!B:B, A74, Sheet1!J:J)</f>
        <v>79.902439024390247</v>
      </c>
    </row>
    <row r="75" spans="1:2" x14ac:dyDescent="0.3">
      <c r="A75" t="s">
        <v>16</v>
      </c>
      <c r="B75">
        <f>AVERAGEIF(Sheet1!B:B, A75, Sheet1!J:J)</f>
        <v>79.902439024390247</v>
      </c>
    </row>
    <row r="76" spans="1:2" x14ac:dyDescent="0.3">
      <c r="A76" t="s">
        <v>16</v>
      </c>
      <c r="B76">
        <f>AVERAGEIF(Sheet1!B:B, A76, Sheet1!J:J)</f>
        <v>79.902439024390247</v>
      </c>
    </row>
    <row r="77" spans="1:2" x14ac:dyDescent="0.3">
      <c r="A77" t="s">
        <v>16</v>
      </c>
      <c r="B77">
        <f>AVERAGEIF(Sheet1!B:B, A77, Sheet1!J:J)</f>
        <v>79.902439024390247</v>
      </c>
    </row>
    <row r="78" spans="1:2" x14ac:dyDescent="0.3">
      <c r="A78" t="s">
        <v>16</v>
      </c>
      <c r="B78">
        <f>AVERAGEIF(Sheet1!B:B, A78, Sheet1!J:J)</f>
        <v>79.902439024390247</v>
      </c>
    </row>
    <row r="79" spans="1:2" x14ac:dyDescent="0.3">
      <c r="A79" t="s">
        <v>16</v>
      </c>
      <c r="B79">
        <f>AVERAGEIF(Sheet1!B:B, A79, Sheet1!J:J)</f>
        <v>79.902439024390247</v>
      </c>
    </row>
    <row r="80" spans="1:2" x14ac:dyDescent="0.3">
      <c r="A80" t="s">
        <v>13</v>
      </c>
      <c r="B80">
        <f>AVERAGEIF(Sheet1!B:B, A80, Sheet1!J:J)</f>
        <v>89.015706806282722</v>
      </c>
    </row>
    <row r="81" spans="1:2" x14ac:dyDescent="0.3">
      <c r="A81" t="s">
        <v>13</v>
      </c>
      <c r="B81">
        <f>AVERAGEIF(Sheet1!B:B, A81, Sheet1!J:J)</f>
        <v>89.015706806282722</v>
      </c>
    </row>
    <row r="82" spans="1:2" x14ac:dyDescent="0.3">
      <c r="A82" t="s">
        <v>13</v>
      </c>
      <c r="B82">
        <f>AVERAGEIF(Sheet1!B:B, A82, Sheet1!J:J)</f>
        <v>89.015706806282722</v>
      </c>
    </row>
    <row r="83" spans="1:2" x14ac:dyDescent="0.3">
      <c r="A83" t="s">
        <v>17</v>
      </c>
      <c r="B83">
        <f>AVERAGEIF(Sheet1!B:B, A83, Sheet1!J:J)</f>
        <v>98.8125</v>
      </c>
    </row>
    <row r="84" spans="1:2" x14ac:dyDescent="0.3">
      <c r="A84" t="s">
        <v>17</v>
      </c>
      <c r="B84">
        <f>AVERAGEIF(Sheet1!B:B, A84, Sheet1!J:J)</f>
        <v>98.8125</v>
      </c>
    </row>
    <row r="85" spans="1:2" x14ac:dyDescent="0.3">
      <c r="A85" t="s">
        <v>18</v>
      </c>
      <c r="B85">
        <f>AVERAGEIF(Sheet1!B:B, A85, Sheet1!J:J)</f>
        <v>172.40416666666667</v>
      </c>
    </row>
    <row r="86" spans="1:2" x14ac:dyDescent="0.3">
      <c r="A86" t="s">
        <v>18</v>
      </c>
      <c r="B86">
        <f>AVERAGEIF(Sheet1!B:B, A86, Sheet1!J:J)</f>
        <v>172.40416666666667</v>
      </c>
    </row>
    <row r="87" spans="1:2" x14ac:dyDescent="0.3">
      <c r="A87" t="s">
        <v>18</v>
      </c>
      <c r="B87">
        <f>AVERAGEIF(Sheet1!B:B, A87, Sheet1!J:J)</f>
        <v>172.40416666666667</v>
      </c>
    </row>
    <row r="88" spans="1:2" x14ac:dyDescent="0.3">
      <c r="A88" t="s">
        <v>18</v>
      </c>
      <c r="B88">
        <f>AVERAGEIF(Sheet1!B:B, A88, Sheet1!J:J)</f>
        <v>172.40416666666667</v>
      </c>
    </row>
    <row r="89" spans="1:2" x14ac:dyDescent="0.3">
      <c r="A89" t="s">
        <v>18</v>
      </c>
      <c r="B89">
        <f>AVERAGEIF(Sheet1!B:B, A89, Sheet1!J:J)</f>
        <v>172.40416666666667</v>
      </c>
    </row>
    <row r="90" spans="1:2" x14ac:dyDescent="0.3">
      <c r="A90" t="s">
        <v>18</v>
      </c>
      <c r="B90">
        <f>AVERAGEIF(Sheet1!B:B, A90, Sheet1!J:J)</f>
        <v>172.40416666666667</v>
      </c>
    </row>
    <row r="91" spans="1:2" x14ac:dyDescent="0.3">
      <c r="A91" t="s">
        <v>18</v>
      </c>
      <c r="B91">
        <f>AVERAGEIF(Sheet1!B:B, A91, Sheet1!J:J)</f>
        <v>172.40416666666667</v>
      </c>
    </row>
    <row r="92" spans="1:2" x14ac:dyDescent="0.3">
      <c r="A92" t="s">
        <v>18</v>
      </c>
      <c r="B92">
        <f>AVERAGEIF(Sheet1!B:B, A92, Sheet1!J:J)</f>
        <v>172.40416666666667</v>
      </c>
    </row>
    <row r="93" spans="1:2" x14ac:dyDescent="0.3">
      <c r="A93" t="s">
        <v>18</v>
      </c>
      <c r="B93">
        <f>AVERAGEIF(Sheet1!B:B, A93, Sheet1!J:J)</f>
        <v>172.40416666666667</v>
      </c>
    </row>
    <row r="94" spans="1:2" x14ac:dyDescent="0.3">
      <c r="A94" t="s">
        <v>18</v>
      </c>
      <c r="B94">
        <f>AVERAGEIF(Sheet1!B:B, A94, Sheet1!J:J)</f>
        <v>172.40416666666667</v>
      </c>
    </row>
    <row r="95" spans="1:2" x14ac:dyDescent="0.3">
      <c r="A95" t="s">
        <v>17</v>
      </c>
      <c r="B95">
        <f>AVERAGEIF(Sheet1!B:B, A95, Sheet1!J:J)</f>
        <v>98.8125</v>
      </c>
    </row>
    <row r="96" spans="1:2" x14ac:dyDescent="0.3">
      <c r="A96" t="s">
        <v>16</v>
      </c>
      <c r="B96">
        <f>AVERAGEIF(Sheet1!B:B, A96, Sheet1!J:J)</f>
        <v>79.902439024390247</v>
      </c>
    </row>
    <row r="97" spans="1:2" x14ac:dyDescent="0.3">
      <c r="A97" t="s">
        <v>16</v>
      </c>
      <c r="B97">
        <f>AVERAGEIF(Sheet1!B:B, A97, Sheet1!J:J)</f>
        <v>79.902439024390247</v>
      </c>
    </row>
    <row r="98" spans="1:2" x14ac:dyDescent="0.3">
      <c r="A98" t="s">
        <v>16</v>
      </c>
      <c r="B98">
        <f>AVERAGEIF(Sheet1!B:B, A98, Sheet1!J:J)</f>
        <v>79.902439024390247</v>
      </c>
    </row>
    <row r="99" spans="1:2" x14ac:dyDescent="0.3">
      <c r="A99" t="s">
        <v>16</v>
      </c>
      <c r="B99">
        <f>AVERAGEIF(Sheet1!B:B, A99, Sheet1!J:J)</f>
        <v>79.902439024390247</v>
      </c>
    </row>
    <row r="100" spans="1:2" x14ac:dyDescent="0.3">
      <c r="A100" t="s">
        <v>16</v>
      </c>
      <c r="B100">
        <f>AVERAGEIF(Sheet1!B:B, A100, Sheet1!J:J)</f>
        <v>79.902439024390247</v>
      </c>
    </row>
    <row r="101" spans="1:2" x14ac:dyDescent="0.3">
      <c r="A101" t="s">
        <v>16</v>
      </c>
      <c r="B101">
        <f>AVERAGEIF(Sheet1!B:B, A101, Sheet1!J:J)</f>
        <v>79.902439024390247</v>
      </c>
    </row>
    <row r="102" spans="1:2" x14ac:dyDescent="0.3">
      <c r="A102" t="s">
        <v>16</v>
      </c>
      <c r="B102">
        <f>AVERAGEIF(Sheet1!B:B, A102, Sheet1!J:J)</f>
        <v>79.902439024390247</v>
      </c>
    </row>
    <row r="103" spans="1:2" x14ac:dyDescent="0.3">
      <c r="A103" t="s">
        <v>16</v>
      </c>
      <c r="B103">
        <f>AVERAGEIF(Sheet1!B:B, A103, Sheet1!J:J)</f>
        <v>79.902439024390247</v>
      </c>
    </row>
    <row r="104" spans="1:2" x14ac:dyDescent="0.3">
      <c r="A104" t="s">
        <v>18</v>
      </c>
      <c r="B104">
        <f>AVERAGEIF(Sheet1!B:B, A104, Sheet1!J:J)</f>
        <v>172.40416666666667</v>
      </c>
    </row>
    <row r="105" spans="1:2" x14ac:dyDescent="0.3">
      <c r="A105" t="s">
        <v>18</v>
      </c>
      <c r="B105">
        <f>AVERAGEIF(Sheet1!B:B, A105, Sheet1!J:J)</f>
        <v>172.40416666666667</v>
      </c>
    </row>
    <row r="106" spans="1:2" x14ac:dyDescent="0.3">
      <c r="A106" t="s">
        <v>18</v>
      </c>
      <c r="B106">
        <f>AVERAGEIF(Sheet1!B:B, A106, Sheet1!J:J)</f>
        <v>172.40416666666667</v>
      </c>
    </row>
    <row r="107" spans="1:2" x14ac:dyDescent="0.3">
      <c r="A107" t="s">
        <v>18</v>
      </c>
      <c r="B107">
        <f>AVERAGEIF(Sheet1!B:B, A107, Sheet1!J:J)</f>
        <v>172.40416666666667</v>
      </c>
    </row>
    <row r="108" spans="1:2" x14ac:dyDescent="0.3">
      <c r="A108" t="s">
        <v>18</v>
      </c>
      <c r="B108">
        <f>AVERAGEIF(Sheet1!B:B, A108, Sheet1!J:J)</f>
        <v>172.40416666666667</v>
      </c>
    </row>
    <row r="109" spans="1:2" x14ac:dyDescent="0.3">
      <c r="A109" t="s">
        <v>18</v>
      </c>
      <c r="B109">
        <f>AVERAGEIF(Sheet1!B:B, A109, Sheet1!J:J)</f>
        <v>172.40416666666667</v>
      </c>
    </row>
    <row r="110" spans="1:2" x14ac:dyDescent="0.3">
      <c r="A110" t="s">
        <v>18</v>
      </c>
      <c r="B110">
        <f>AVERAGEIF(Sheet1!B:B, A110, Sheet1!J:J)</f>
        <v>172.40416666666667</v>
      </c>
    </row>
    <row r="111" spans="1:2" x14ac:dyDescent="0.3">
      <c r="A111" t="s">
        <v>18</v>
      </c>
      <c r="B111">
        <f>AVERAGEIF(Sheet1!B:B, A111, Sheet1!J:J)</f>
        <v>172.40416666666667</v>
      </c>
    </row>
    <row r="112" spans="1:2" x14ac:dyDescent="0.3">
      <c r="A112" t="s">
        <v>18</v>
      </c>
      <c r="B112">
        <f>AVERAGEIF(Sheet1!B:B, A112, Sheet1!J:J)</f>
        <v>172.40416666666667</v>
      </c>
    </row>
    <row r="113" spans="1:2" x14ac:dyDescent="0.3">
      <c r="A113" t="s">
        <v>18</v>
      </c>
      <c r="B113">
        <f>AVERAGEIF(Sheet1!B:B, A113, Sheet1!J:J)</f>
        <v>172.40416666666667</v>
      </c>
    </row>
    <row r="114" spans="1:2" x14ac:dyDescent="0.3">
      <c r="A114" t="s">
        <v>18</v>
      </c>
      <c r="B114">
        <f>AVERAGEIF(Sheet1!B:B, A114, Sheet1!J:J)</f>
        <v>172.40416666666667</v>
      </c>
    </row>
    <row r="115" spans="1:2" x14ac:dyDescent="0.3">
      <c r="A115" t="s">
        <v>18</v>
      </c>
      <c r="B115">
        <f>AVERAGEIF(Sheet1!B:B, A115, Sheet1!J:J)</f>
        <v>172.40416666666667</v>
      </c>
    </row>
    <row r="116" spans="1:2" x14ac:dyDescent="0.3">
      <c r="A116" t="s">
        <v>18</v>
      </c>
      <c r="B116">
        <f>AVERAGEIF(Sheet1!B:B, A116, Sheet1!J:J)</f>
        <v>172.40416666666667</v>
      </c>
    </row>
    <row r="117" spans="1:2" x14ac:dyDescent="0.3">
      <c r="A117" t="s">
        <v>18</v>
      </c>
      <c r="B117">
        <f>AVERAGEIF(Sheet1!B:B, A117, Sheet1!J:J)</f>
        <v>172.40416666666667</v>
      </c>
    </row>
    <row r="118" spans="1:2" x14ac:dyDescent="0.3">
      <c r="A118" t="s">
        <v>18</v>
      </c>
      <c r="B118">
        <f>AVERAGEIF(Sheet1!B:B, A118, Sheet1!J:J)</f>
        <v>172.40416666666667</v>
      </c>
    </row>
    <row r="119" spans="1:2" x14ac:dyDescent="0.3">
      <c r="A119" t="s">
        <v>18</v>
      </c>
      <c r="B119">
        <f>AVERAGEIF(Sheet1!B:B, A119, Sheet1!J:J)</f>
        <v>172.40416666666667</v>
      </c>
    </row>
    <row r="120" spans="1:2" x14ac:dyDescent="0.3">
      <c r="A120" t="s">
        <v>18</v>
      </c>
      <c r="B120">
        <f>AVERAGEIF(Sheet1!B:B, A120, Sheet1!J:J)</f>
        <v>172.40416666666667</v>
      </c>
    </row>
    <row r="121" spans="1:2" x14ac:dyDescent="0.3">
      <c r="A121" t="s">
        <v>18</v>
      </c>
      <c r="B121">
        <f>AVERAGEIF(Sheet1!B:B, A121, Sheet1!J:J)</f>
        <v>172.40416666666667</v>
      </c>
    </row>
    <row r="122" spans="1:2" x14ac:dyDescent="0.3">
      <c r="A122" t="s">
        <v>18</v>
      </c>
      <c r="B122">
        <f>AVERAGEIF(Sheet1!B:B, A122, Sheet1!J:J)</f>
        <v>172.40416666666667</v>
      </c>
    </row>
    <row r="123" spans="1:2" x14ac:dyDescent="0.3">
      <c r="A123" t="s">
        <v>18</v>
      </c>
      <c r="B123">
        <f>AVERAGEIF(Sheet1!B:B, A123, Sheet1!J:J)</f>
        <v>172.40416666666667</v>
      </c>
    </row>
    <row r="124" spans="1:2" x14ac:dyDescent="0.3">
      <c r="A124" t="s">
        <v>18</v>
      </c>
      <c r="B124">
        <f>AVERAGEIF(Sheet1!B:B, A124, Sheet1!J:J)</f>
        <v>172.40416666666667</v>
      </c>
    </row>
    <row r="125" spans="1:2" x14ac:dyDescent="0.3">
      <c r="A125" t="s">
        <v>18</v>
      </c>
      <c r="B125">
        <f>AVERAGEIF(Sheet1!B:B, A125, Sheet1!J:J)</f>
        <v>172.40416666666667</v>
      </c>
    </row>
    <row r="126" spans="1:2" x14ac:dyDescent="0.3">
      <c r="A126" t="s">
        <v>18</v>
      </c>
      <c r="B126">
        <f>AVERAGEIF(Sheet1!B:B, A126, Sheet1!J:J)</f>
        <v>172.40416666666667</v>
      </c>
    </row>
    <row r="127" spans="1:2" x14ac:dyDescent="0.3">
      <c r="A127" t="s">
        <v>18</v>
      </c>
      <c r="B127">
        <f>AVERAGEIF(Sheet1!B:B, A127, Sheet1!J:J)</f>
        <v>172.40416666666667</v>
      </c>
    </row>
    <row r="128" spans="1:2" x14ac:dyDescent="0.3">
      <c r="A128" t="s">
        <v>18</v>
      </c>
      <c r="B128">
        <f>AVERAGEIF(Sheet1!B:B, A128, Sheet1!J:J)</f>
        <v>172.40416666666667</v>
      </c>
    </row>
    <row r="129" spans="1:2" x14ac:dyDescent="0.3">
      <c r="A129" t="s">
        <v>18</v>
      </c>
      <c r="B129">
        <f>AVERAGEIF(Sheet1!B:B, A129, Sheet1!J:J)</f>
        <v>172.40416666666667</v>
      </c>
    </row>
    <row r="130" spans="1:2" x14ac:dyDescent="0.3">
      <c r="A130" t="s">
        <v>18</v>
      </c>
      <c r="B130">
        <f>AVERAGEIF(Sheet1!B:B, A130, Sheet1!J:J)</f>
        <v>172.40416666666667</v>
      </c>
    </row>
    <row r="131" spans="1:2" x14ac:dyDescent="0.3">
      <c r="A131" t="s">
        <v>18</v>
      </c>
      <c r="B131">
        <f>AVERAGEIF(Sheet1!B:B, A131, Sheet1!J:J)</f>
        <v>172.40416666666667</v>
      </c>
    </row>
    <row r="132" spans="1:2" x14ac:dyDescent="0.3">
      <c r="A132" t="s">
        <v>18</v>
      </c>
      <c r="B132">
        <f>AVERAGEIF(Sheet1!B:B, A132, Sheet1!J:J)</f>
        <v>172.40416666666667</v>
      </c>
    </row>
    <row r="133" spans="1:2" x14ac:dyDescent="0.3">
      <c r="A133" t="s">
        <v>18</v>
      </c>
      <c r="B133">
        <f>AVERAGEIF(Sheet1!B:B, A133, Sheet1!J:J)</f>
        <v>172.40416666666667</v>
      </c>
    </row>
    <row r="134" spans="1:2" x14ac:dyDescent="0.3">
      <c r="A134" t="s">
        <v>18</v>
      </c>
      <c r="B134">
        <f>AVERAGEIF(Sheet1!B:B, A134, Sheet1!J:J)</f>
        <v>172.40416666666667</v>
      </c>
    </row>
    <row r="135" spans="1:2" x14ac:dyDescent="0.3">
      <c r="A135" t="s">
        <v>18</v>
      </c>
      <c r="B135">
        <f>AVERAGEIF(Sheet1!B:B, A135, Sheet1!J:J)</f>
        <v>172.40416666666667</v>
      </c>
    </row>
    <row r="136" spans="1:2" x14ac:dyDescent="0.3">
      <c r="A136" t="s">
        <v>18</v>
      </c>
      <c r="B136">
        <f>AVERAGEIF(Sheet1!B:B, A136, Sheet1!J:J)</f>
        <v>172.40416666666667</v>
      </c>
    </row>
    <row r="137" spans="1:2" x14ac:dyDescent="0.3">
      <c r="A137" t="s">
        <v>19</v>
      </c>
      <c r="B137">
        <f>AVERAGEIF(Sheet1!B:B, A137, Sheet1!J:J)</f>
        <v>103.86734693877551</v>
      </c>
    </row>
    <row r="138" spans="1:2" x14ac:dyDescent="0.3">
      <c r="A138" t="s">
        <v>19</v>
      </c>
      <c r="B138">
        <f>AVERAGEIF(Sheet1!B:B, A138, Sheet1!J:J)</f>
        <v>103.86734693877551</v>
      </c>
    </row>
    <row r="139" spans="1:2" x14ac:dyDescent="0.3">
      <c r="A139" t="s">
        <v>19</v>
      </c>
      <c r="B139">
        <f>AVERAGEIF(Sheet1!B:B, A139, Sheet1!J:J)</f>
        <v>103.86734693877551</v>
      </c>
    </row>
    <row r="140" spans="1:2" x14ac:dyDescent="0.3">
      <c r="A140" t="s">
        <v>19</v>
      </c>
      <c r="B140">
        <f>AVERAGEIF(Sheet1!B:B, A140, Sheet1!J:J)</f>
        <v>103.86734693877551</v>
      </c>
    </row>
    <row r="141" spans="1:2" x14ac:dyDescent="0.3">
      <c r="A141" t="s">
        <v>19</v>
      </c>
      <c r="B141">
        <f>AVERAGEIF(Sheet1!B:B, A141, Sheet1!J:J)</f>
        <v>103.86734693877551</v>
      </c>
    </row>
    <row r="142" spans="1:2" x14ac:dyDescent="0.3">
      <c r="A142" t="s">
        <v>20</v>
      </c>
      <c r="B142">
        <f>AVERAGEIF(Sheet1!B:B, A142, Sheet1!J:J)</f>
        <v>133.42857142857142</v>
      </c>
    </row>
    <row r="143" spans="1:2" x14ac:dyDescent="0.3">
      <c r="A143" t="s">
        <v>21</v>
      </c>
      <c r="B143">
        <f>AVERAGEIF(Sheet1!B:B, A143, Sheet1!J:J)</f>
        <v>34.333333333333336</v>
      </c>
    </row>
    <row r="144" spans="1:2" x14ac:dyDescent="0.3">
      <c r="A144" t="s">
        <v>22</v>
      </c>
      <c r="B144">
        <f>AVERAGEIF(Sheet1!B:B, A144, Sheet1!J:J)</f>
        <v>40.497326203208559</v>
      </c>
    </row>
    <row r="145" spans="1:2" x14ac:dyDescent="0.3">
      <c r="A145" t="s">
        <v>19</v>
      </c>
      <c r="B145">
        <f>AVERAGEIF(Sheet1!B:B, A145, Sheet1!J:J)</f>
        <v>103.86734693877551</v>
      </c>
    </row>
    <row r="146" spans="1:2" x14ac:dyDescent="0.3">
      <c r="A146" t="s">
        <v>19</v>
      </c>
      <c r="B146">
        <f>AVERAGEIF(Sheet1!B:B, A146, Sheet1!J:J)</f>
        <v>103.86734693877551</v>
      </c>
    </row>
    <row r="147" spans="1:2" x14ac:dyDescent="0.3">
      <c r="A147" t="s">
        <v>19</v>
      </c>
      <c r="B147">
        <f>AVERAGEIF(Sheet1!B:B, A147, Sheet1!J:J)</f>
        <v>103.86734693877551</v>
      </c>
    </row>
    <row r="148" spans="1:2" x14ac:dyDescent="0.3">
      <c r="A148" t="s">
        <v>19</v>
      </c>
      <c r="B148">
        <f>AVERAGEIF(Sheet1!B:B, A148, Sheet1!J:J)</f>
        <v>103.86734693877551</v>
      </c>
    </row>
    <row r="149" spans="1:2" x14ac:dyDescent="0.3">
      <c r="A149" t="s">
        <v>22</v>
      </c>
      <c r="B149">
        <f>AVERAGEIF(Sheet1!B:B, A149, Sheet1!J:J)</f>
        <v>40.497326203208559</v>
      </c>
    </row>
    <row r="150" spans="1:2" x14ac:dyDescent="0.3">
      <c r="A150" t="s">
        <v>22</v>
      </c>
      <c r="B150">
        <f>AVERAGEIF(Sheet1!B:B, A150, Sheet1!J:J)</f>
        <v>40.497326203208559</v>
      </c>
    </row>
    <row r="151" spans="1:2" x14ac:dyDescent="0.3">
      <c r="A151" t="s">
        <v>22</v>
      </c>
      <c r="B151">
        <f>AVERAGEIF(Sheet1!B:B, A151, Sheet1!J:J)</f>
        <v>40.497326203208559</v>
      </c>
    </row>
    <row r="152" spans="1:2" x14ac:dyDescent="0.3">
      <c r="A152" t="s">
        <v>23</v>
      </c>
      <c r="B152">
        <f>AVERAGEIF(Sheet1!B:B, A152, Sheet1!J:J)</f>
        <v>100.58333333333333</v>
      </c>
    </row>
    <row r="153" spans="1:2" x14ac:dyDescent="0.3">
      <c r="A153" t="s">
        <v>23</v>
      </c>
      <c r="B153">
        <f>AVERAGEIF(Sheet1!B:B, A153, Sheet1!J:J)</f>
        <v>100.58333333333333</v>
      </c>
    </row>
    <row r="154" spans="1:2" x14ac:dyDescent="0.3">
      <c r="A154" t="s">
        <v>23</v>
      </c>
      <c r="B154">
        <f>AVERAGEIF(Sheet1!B:B, A154, Sheet1!J:J)</f>
        <v>100.58333333333333</v>
      </c>
    </row>
    <row r="155" spans="1:2" x14ac:dyDescent="0.3">
      <c r="A155" t="s">
        <v>19</v>
      </c>
      <c r="B155">
        <f>AVERAGEIF(Sheet1!B:B, A155, Sheet1!J:J)</f>
        <v>103.86734693877551</v>
      </c>
    </row>
    <row r="156" spans="1:2" x14ac:dyDescent="0.3">
      <c r="A156" t="s">
        <v>19</v>
      </c>
      <c r="B156">
        <f>AVERAGEIF(Sheet1!B:B, A156, Sheet1!J:J)</f>
        <v>103.86734693877551</v>
      </c>
    </row>
    <row r="157" spans="1:2" x14ac:dyDescent="0.3">
      <c r="A157" t="s">
        <v>19</v>
      </c>
      <c r="B157">
        <f>AVERAGEIF(Sheet1!B:B, A157, Sheet1!J:J)</f>
        <v>103.86734693877551</v>
      </c>
    </row>
    <row r="158" spans="1:2" x14ac:dyDescent="0.3">
      <c r="A158" t="s">
        <v>19</v>
      </c>
      <c r="B158">
        <f>AVERAGEIF(Sheet1!B:B, A158, Sheet1!J:J)</f>
        <v>103.86734693877551</v>
      </c>
    </row>
    <row r="159" spans="1:2" x14ac:dyDescent="0.3">
      <c r="A159" t="s">
        <v>19</v>
      </c>
      <c r="B159">
        <f>AVERAGEIF(Sheet1!B:B, A159, Sheet1!J:J)</f>
        <v>103.86734693877551</v>
      </c>
    </row>
    <row r="160" spans="1:2" x14ac:dyDescent="0.3">
      <c r="A160" t="s">
        <v>19</v>
      </c>
      <c r="B160">
        <f>AVERAGEIF(Sheet1!B:B, A160, Sheet1!J:J)</f>
        <v>103.86734693877551</v>
      </c>
    </row>
    <row r="161" spans="1:2" x14ac:dyDescent="0.3">
      <c r="A161" t="s">
        <v>19</v>
      </c>
      <c r="B161">
        <f>AVERAGEIF(Sheet1!B:B, A161, Sheet1!J:J)</f>
        <v>103.86734693877551</v>
      </c>
    </row>
    <row r="162" spans="1:2" x14ac:dyDescent="0.3">
      <c r="A162" t="s">
        <v>18</v>
      </c>
      <c r="B162">
        <f>AVERAGEIF(Sheet1!B:B, A162, Sheet1!J:J)</f>
        <v>172.40416666666667</v>
      </c>
    </row>
    <row r="163" spans="1:2" x14ac:dyDescent="0.3">
      <c r="A163" t="s">
        <v>19</v>
      </c>
      <c r="B163">
        <f>AVERAGEIF(Sheet1!B:B, A163, Sheet1!J:J)</f>
        <v>103.86734693877551</v>
      </c>
    </row>
    <row r="164" spans="1:2" x14ac:dyDescent="0.3">
      <c r="A164" t="s">
        <v>19</v>
      </c>
      <c r="B164">
        <f>AVERAGEIF(Sheet1!B:B, A164, Sheet1!J:J)</f>
        <v>103.86734693877551</v>
      </c>
    </row>
    <row r="165" spans="1:2" x14ac:dyDescent="0.3">
      <c r="A165" t="s">
        <v>22</v>
      </c>
      <c r="B165">
        <f>AVERAGEIF(Sheet1!B:B, A165, Sheet1!J:J)</f>
        <v>40.497326203208559</v>
      </c>
    </row>
    <row r="166" spans="1:2" x14ac:dyDescent="0.3">
      <c r="A166" t="s">
        <v>22</v>
      </c>
      <c r="B166">
        <f>AVERAGEIF(Sheet1!B:B, A166, Sheet1!J:J)</f>
        <v>40.497326203208559</v>
      </c>
    </row>
    <row r="167" spans="1:2" x14ac:dyDescent="0.3">
      <c r="A167" t="s">
        <v>22</v>
      </c>
      <c r="B167">
        <f>AVERAGEIF(Sheet1!B:B, A167, Sheet1!J:J)</f>
        <v>40.497326203208559</v>
      </c>
    </row>
    <row r="168" spans="1:2" x14ac:dyDescent="0.3">
      <c r="A168" t="s">
        <v>22</v>
      </c>
      <c r="B168">
        <f>AVERAGEIF(Sheet1!B:B, A168, Sheet1!J:J)</f>
        <v>40.497326203208559</v>
      </c>
    </row>
    <row r="169" spans="1:2" x14ac:dyDescent="0.3">
      <c r="A169" t="s">
        <v>22</v>
      </c>
      <c r="B169">
        <f>AVERAGEIF(Sheet1!B:B, A169, Sheet1!J:J)</f>
        <v>40.497326203208559</v>
      </c>
    </row>
    <row r="170" spans="1:2" x14ac:dyDescent="0.3">
      <c r="A170" t="s">
        <v>22</v>
      </c>
      <c r="B170">
        <f>AVERAGEIF(Sheet1!B:B, A170, Sheet1!J:J)</f>
        <v>40.497326203208559</v>
      </c>
    </row>
    <row r="171" spans="1:2" x14ac:dyDescent="0.3">
      <c r="A171" t="s">
        <v>22</v>
      </c>
      <c r="B171">
        <f>AVERAGEIF(Sheet1!B:B, A171, Sheet1!J:J)</f>
        <v>40.497326203208559</v>
      </c>
    </row>
    <row r="172" spans="1:2" x14ac:dyDescent="0.3">
      <c r="A172" t="s">
        <v>22</v>
      </c>
      <c r="B172">
        <f>AVERAGEIF(Sheet1!B:B, A172, Sheet1!J:J)</f>
        <v>40.497326203208559</v>
      </c>
    </row>
    <row r="173" spans="1:2" x14ac:dyDescent="0.3">
      <c r="A173" t="s">
        <v>22</v>
      </c>
      <c r="B173">
        <f>AVERAGEIF(Sheet1!B:B, A173, Sheet1!J:J)</f>
        <v>40.497326203208559</v>
      </c>
    </row>
    <row r="174" spans="1:2" x14ac:dyDescent="0.3">
      <c r="A174" t="s">
        <v>22</v>
      </c>
      <c r="B174">
        <f>AVERAGEIF(Sheet1!B:B, A174, Sheet1!J:J)</f>
        <v>40.497326203208559</v>
      </c>
    </row>
    <row r="175" spans="1:2" x14ac:dyDescent="0.3">
      <c r="A175" t="s">
        <v>22</v>
      </c>
      <c r="B175">
        <f>AVERAGEIF(Sheet1!B:B, A175, Sheet1!J:J)</f>
        <v>40.497326203208559</v>
      </c>
    </row>
    <row r="176" spans="1:2" x14ac:dyDescent="0.3">
      <c r="A176" t="s">
        <v>22</v>
      </c>
      <c r="B176">
        <f>AVERAGEIF(Sheet1!B:B, A176, Sheet1!J:J)</f>
        <v>40.497326203208559</v>
      </c>
    </row>
    <row r="177" spans="1:2" x14ac:dyDescent="0.3">
      <c r="A177" t="s">
        <v>22</v>
      </c>
      <c r="B177">
        <f>AVERAGEIF(Sheet1!B:B, A177, Sheet1!J:J)</f>
        <v>40.497326203208559</v>
      </c>
    </row>
    <row r="178" spans="1:2" x14ac:dyDescent="0.3">
      <c r="A178" t="s">
        <v>22</v>
      </c>
      <c r="B178">
        <f>AVERAGEIF(Sheet1!B:B, A178, Sheet1!J:J)</f>
        <v>40.497326203208559</v>
      </c>
    </row>
    <row r="179" spans="1:2" x14ac:dyDescent="0.3">
      <c r="A179" t="s">
        <v>22</v>
      </c>
      <c r="B179">
        <f>AVERAGEIF(Sheet1!B:B, A179, Sheet1!J:J)</f>
        <v>40.497326203208559</v>
      </c>
    </row>
    <row r="180" spans="1:2" x14ac:dyDescent="0.3">
      <c r="A180" t="s">
        <v>22</v>
      </c>
      <c r="B180">
        <f>AVERAGEIF(Sheet1!B:B, A180, Sheet1!J:J)</f>
        <v>40.497326203208559</v>
      </c>
    </row>
    <row r="181" spans="1:2" x14ac:dyDescent="0.3">
      <c r="A181" t="s">
        <v>22</v>
      </c>
      <c r="B181">
        <f>AVERAGEIF(Sheet1!B:B, A181, Sheet1!J:J)</f>
        <v>40.497326203208559</v>
      </c>
    </row>
    <row r="182" spans="1:2" x14ac:dyDescent="0.3">
      <c r="A182" t="s">
        <v>22</v>
      </c>
      <c r="B182">
        <f>AVERAGEIF(Sheet1!B:B, A182, Sheet1!J:J)</f>
        <v>40.497326203208559</v>
      </c>
    </row>
    <row r="183" spans="1:2" x14ac:dyDescent="0.3">
      <c r="A183" t="s">
        <v>22</v>
      </c>
      <c r="B183">
        <f>AVERAGEIF(Sheet1!B:B, A183, Sheet1!J:J)</f>
        <v>40.497326203208559</v>
      </c>
    </row>
    <row r="184" spans="1:2" x14ac:dyDescent="0.3">
      <c r="A184" t="s">
        <v>22</v>
      </c>
      <c r="B184">
        <f>AVERAGEIF(Sheet1!B:B, A184, Sheet1!J:J)</f>
        <v>40.497326203208559</v>
      </c>
    </row>
    <row r="185" spans="1:2" x14ac:dyDescent="0.3">
      <c r="A185" t="s">
        <v>24</v>
      </c>
      <c r="B185">
        <f>AVERAGEIF(Sheet1!B:B, A185, Sheet1!J:J)</f>
        <v>29.818181818181817</v>
      </c>
    </row>
    <row r="186" spans="1:2" x14ac:dyDescent="0.3">
      <c r="A186" t="s">
        <v>22</v>
      </c>
      <c r="B186">
        <f>AVERAGEIF(Sheet1!B:B, A186, Sheet1!J:J)</f>
        <v>40.497326203208559</v>
      </c>
    </row>
    <row r="187" spans="1:2" x14ac:dyDescent="0.3">
      <c r="A187" t="s">
        <v>22</v>
      </c>
      <c r="B187">
        <f>AVERAGEIF(Sheet1!B:B, A187, Sheet1!J:J)</f>
        <v>40.497326203208559</v>
      </c>
    </row>
    <row r="188" spans="1:2" x14ac:dyDescent="0.3">
      <c r="A188" t="s">
        <v>22</v>
      </c>
      <c r="B188">
        <f>AVERAGEIF(Sheet1!B:B, A188, Sheet1!J:J)</f>
        <v>40.497326203208559</v>
      </c>
    </row>
    <row r="189" spans="1:2" x14ac:dyDescent="0.3">
      <c r="A189" t="s">
        <v>22</v>
      </c>
      <c r="B189">
        <f>AVERAGEIF(Sheet1!B:B, A189, Sheet1!J:J)</f>
        <v>40.497326203208559</v>
      </c>
    </row>
    <row r="190" spans="1:2" x14ac:dyDescent="0.3">
      <c r="A190" t="s">
        <v>22</v>
      </c>
      <c r="B190">
        <f>AVERAGEIF(Sheet1!B:B, A190, Sheet1!J:J)</f>
        <v>40.497326203208559</v>
      </c>
    </row>
    <row r="191" spans="1:2" x14ac:dyDescent="0.3">
      <c r="A191" t="s">
        <v>22</v>
      </c>
      <c r="B191">
        <f>AVERAGEIF(Sheet1!B:B, A191, Sheet1!J:J)</f>
        <v>40.497326203208559</v>
      </c>
    </row>
    <row r="192" spans="1:2" x14ac:dyDescent="0.3">
      <c r="A192" t="s">
        <v>22</v>
      </c>
      <c r="B192">
        <f>AVERAGEIF(Sheet1!B:B, A192, Sheet1!J:J)</f>
        <v>40.497326203208559</v>
      </c>
    </row>
    <row r="193" spans="1:2" x14ac:dyDescent="0.3">
      <c r="A193" t="s">
        <v>22</v>
      </c>
      <c r="B193">
        <f>AVERAGEIF(Sheet1!B:B, A193, Sheet1!J:J)</f>
        <v>40.497326203208559</v>
      </c>
    </row>
    <row r="194" spans="1:2" x14ac:dyDescent="0.3">
      <c r="A194" t="s">
        <v>22</v>
      </c>
      <c r="B194">
        <f>AVERAGEIF(Sheet1!B:B, A194, Sheet1!J:J)</f>
        <v>40.497326203208559</v>
      </c>
    </row>
    <row r="195" spans="1:2" x14ac:dyDescent="0.3">
      <c r="A195" t="s">
        <v>22</v>
      </c>
      <c r="B195">
        <f>AVERAGEIF(Sheet1!B:B, A195, Sheet1!J:J)</f>
        <v>40.497326203208559</v>
      </c>
    </row>
    <row r="196" spans="1:2" x14ac:dyDescent="0.3">
      <c r="A196" t="s">
        <v>22</v>
      </c>
      <c r="B196">
        <f>AVERAGEIF(Sheet1!B:B, A196, Sheet1!J:J)</f>
        <v>40.497326203208559</v>
      </c>
    </row>
    <row r="197" spans="1:2" x14ac:dyDescent="0.3">
      <c r="A197" t="s">
        <v>22</v>
      </c>
      <c r="B197">
        <f>AVERAGEIF(Sheet1!B:B, A197, Sheet1!J:J)</f>
        <v>40.497326203208559</v>
      </c>
    </row>
    <row r="198" spans="1:2" x14ac:dyDescent="0.3">
      <c r="A198" t="s">
        <v>24</v>
      </c>
      <c r="B198">
        <f>AVERAGEIF(Sheet1!B:B, A198, Sheet1!J:J)</f>
        <v>29.818181818181817</v>
      </c>
    </row>
    <row r="199" spans="1:2" x14ac:dyDescent="0.3">
      <c r="A199" t="s">
        <v>24</v>
      </c>
      <c r="B199">
        <f>AVERAGEIF(Sheet1!B:B, A199, Sheet1!J:J)</f>
        <v>29.818181818181817</v>
      </c>
    </row>
    <row r="200" spans="1:2" x14ac:dyDescent="0.3">
      <c r="A200" t="s">
        <v>24</v>
      </c>
      <c r="B200">
        <f>AVERAGEIF(Sheet1!B:B, A200, Sheet1!J:J)</f>
        <v>29.818181818181817</v>
      </c>
    </row>
    <row r="201" spans="1:2" x14ac:dyDescent="0.3">
      <c r="A201" t="s">
        <v>25</v>
      </c>
      <c r="B201">
        <f>AVERAGEIF(Sheet1!B:B, A201, Sheet1!J:J)</f>
        <v>107.49685534591195</v>
      </c>
    </row>
    <row r="202" spans="1:2" x14ac:dyDescent="0.3">
      <c r="A202" t="s">
        <v>25</v>
      </c>
      <c r="B202">
        <f>AVERAGEIF(Sheet1!B:B, A202, Sheet1!J:J)</f>
        <v>107.49685534591195</v>
      </c>
    </row>
    <row r="203" spans="1:2" x14ac:dyDescent="0.3">
      <c r="A203" t="s">
        <v>25</v>
      </c>
      <c r="B203">
        <f>AVERAGEIF(Sheet1!B:B, A203, Sheet1!J:J)</f>
        <v>107.49685534591195</v>
      </c>
    </row>
    <row r="204" spans="1:2" x14ac:dyDescent="0.3">
      <c r="A204" t="s">
        <v>25</v>
      </c>
      <c r="B204">
        <f>AVERAGEIF(Sheet1!B:B, A204, Sheet1!J:J)</f>
        <v>107.49685534591195</v>
      </c>
    </row>
    <row r="205" spans="1:2" x14ac:dyDescent="0.3">
      <c r="A205" t="s">
        <v>25</v>
      </c>
      <c r="B205">
        <f>AVERAGEIF(Sheet1!B:B, A205, Sheet1!J:J)</f>
        <v>107.49685534591195</v>
      </c>
    </row>
    <row r="206" spans="1:2" x14ac:dyDescent="0.3">
      <c r="A206" t="s">
        <v>25</v>
      </c>
      <c r="B206">
        <f>AVERAGEIF(Sheet1!B:B, A206, Sheet1!J:J)</f>
        <v>107.49685534591195</v>
      </c>
    </row>
    <row r="207" spans="1:2" x14ac:dyDescent="0.3">
      <c r="A207" t="s">
        <v>25</v>
      </c>
      <c r="B207">
        <f>AVERAGEIF(Sheet1!B:B, A207, Sheet1!J:J)</f>
        <v>107.49685534591195</v>
      </c>
    </row>
    <row r="208" spans="1:2" x14ac:dyDescent="0.3">
      <c r="A208" t="s">
        <v>25</v>
      </c>
      <c r="B208">
        <f>AVERAGEIF(Sheet1!B:B, A208, Sheet1!J:J)</f>
        <v>107.49685534591195</v>
      </c>
    </row>
    <row r="209" spans="1:2" x14ac:dyDescent="0.3">
      <c r="A209" t="s">
        <v>25</v>
      </c>
      <c r="B209">
        <f>AVERAGEIF(Sheet1!B:B, A209, Sheet1!J:J)</f>
        <v>107.49685534591195</v>
      </c>
    </row>
    <row r="210" spans="1:2" x14ac:dyDescent="0.3">
      <c r="A210" t="s">
        <v>25</v>
      </c>
      <c r="B210">
        <f>AVERAGEIF(Sheet1!B:B, A210, Sheet1!J:J)</f>
        <v>107.49685534591195</v>
      </c>
    </row>
    <row r="211" spans="1:2" x14ac:dyDescent="0.3">
      <c r="A211" t="s">
        <v>25</v>
      </c>
      <c r="B211">
        <f>AVERAGEIF(Sheet1!B:B, A211, Sheet1!J:J)</f>
        <v>107.49685534591195</v>
      </c>
    </row>
    <row r="212" spans="1:2" x14ac:dyDescent="0.3">
      <c r="A212" t="s">
        <v>25</v>
      </c>
      <c r="B212">
        <f>AVERAGEIF(Sheet1!B:B, A212, Sheet1!J:J)</f>
        <v>107.49685534591195</v>
      </c>
    </row>
    <row r="213" spans="1:2" x14ac:dyDescent="0.3">
      <c r="A213" t="s">
        <v>25</v>
      </c>
      <c r="B213">
        <f>AVERAGEIF(Sheet1!B:B, A213, Sheet1!J:J)</f>
        <v>107.49685534591195</v>
      </c>
    </row>
    <row r="214" spans="1:2" x14ac:dyDescent="0.3">
      <c r="A214" t="s">
        <v>25</v>
      </c>
      <c r="B214">
        <f>AVERAGEIF(Sheet1!B:B, A214, Sheet1!J:J)</f>
        <v>107.49685534591195</v>
      </c>
    </row>
    <row r="215" spans="1:2" x14ac:dyDescent="0.3">
      <c r="A215" t="s">
        <v>25</v>
      </c>
      <c r="B215">
        <f>AVERAGEIF(Sheet1!B:B, A215, Sheet1!J:J)</f>
        <v>107.49685534591195</v>
      </c>
    </row>
    <row r="216" spans="1:2" x14ac:dyDescent="0.3">
      <c r="A216" t="s">
        <v>25</v>
      </c>
      <c r="B216">
        <f>AVERAGEIF(Sheet1!B:B, A216, Sheet1!J:J)</f>
        <v>107.49685534591195</v>
      </c>
    </row>
    <row r="217" spans="1:2" x14ac:dyDescent="0.3">
      <c r="A217" t="s">
        <v>25</v>
      </c>
      <c r="B217">
        <f>AVERAGEIF(Sheet1!B:B, A217, Sheet1!J:J)</f>
        <v>107.49685534591195</v>
      </c>
    </row>
    <row r="218" spans="1:2" x14ac:dyDescent="0.3">
      <c r="A218" t="s">
        <v>25</v>
      </c>
      <c r="B218">
        <f>AVERAGEIF(Sheet1!B:B, A218, Sheet1!J:J)</f>
        <v>107.49685534591195</v>
      </c>
    </row>
    <row r="219" spans="1:2" x14ac:dyDescent="0.3">
      <c r="A219" t="s">
        <v>25</v>
      </c>
      <c r="B219">
        <f>AVERAGEIF(Sheet1!B:B, A219, Sheet1!J:J)</f>
        <v>107.49685534591195</v>
      </c>
    </row>
    <row r="220" spans="1:2" x14ac:dyDescent="0.3">
      <c r="A220" t="s">
        <v>25</v>
      </c>
      <c r="B220">
        <f>AVERAGEIF(Sheet1!B:B, A220, Sheet1!J:J)</f>
        <v>107.49685534591195</v>
      </c>
    </row>
    <row r="221" spans="1:2" x14ac:dyDescent="0.3">
      <c r="A221" t="s">
        <v>25</v>
      </c>
      <c r="B221">
        <f>AVERAGEIF(Sheet1!B:B, A221, Sheet1!J:J)</f>
        <v>107.49685534591195</v>
      </c>
    </row>
    <row r="222" spans="1:2" x14ac:dyDescent="0.3">
      <c r="A222" t="s">
        <v>25</v>
      </c>
      <c r="B222">
        <f>AVERAGEIF(Sheet1!B:B, A222, Sheet1!J:J)</f>
        <v>107.49685534591195</v>
      </c>
    </row>
    <row r="223" spans="1:2" x14ac:dyDescent="0.3">
      <c r="A223" t="s">
        <v>25</v>
      </c>
      <c r="B223">
        <f>AVERAGEIF(Sheet1!B:B, A223, Sheet1!J:J)</f>
        <v>107.49685534591195</v>
      </c>
    </row>
    <row r="224" spans="1:2" x14ac:dyDescent="0.3">
      <c r="A224" t="s">
        <v>25</v>
      </c>
      <c r="B224">
        <f>AVERAGEIF(Sheet1!B:B, A224, Sheet1!J:J)</f>
        <v>107.49685534591195</v>
      </c>
    </row>
    <row r="225" spans="1:2" x14ac:dyDescent="0.3">
      <c r="A225" t="s">
        <v>25</v>
      </c>
      <c r="B225">
        <f>AVERAGEIF(Sheet1!B:B, A225, Sheet1!J:J)</f>
        <v>107.49685534591195</v>
      </c>
    </row>
    <row r="226" spans="1:2" x14ac:dyDescent="0.3">
      <c r="A226" t="s">
        <v>25</v>
      </c>
      <c r="B226">
        <f>AVERAGEIF(Sheet1!B:B, A226, Sheet1!J:J)</f>
        <v>107.49685534591195</v>
      </c>
    </row>
    <row r="227" spans="1:2" x14ac:dyDescent="0.3">
      <c r="A227" t="s">
        <v>25</v>
      </c>
      <c r="B227">
        <f>AVERAGEIF(Sheet1!B:B, A227, Sheet1!J:J)</f>
        <v>107.49685534591195</v>
      </c>
    </row>
    <row r="228" spans="1:2" x14ac:dyDescent="0.3">
      <c r="A228" t="s">
        <v>25</v>
      </c>
      <c r="B228">
        <f>AVERAGEIF(Sheet1!B:B, A228, Sheet1!J:J)</f>
        <v>107.49685534591195</v>
      </c>
    </row>
    <row r="229" spans="1:2" x14ac:dyDescent="0.3">
      <c r="A229" t="s">
        <v>25</v>
      </c>
      <c r="B229">
        <f>AVERAGEIF(Sheet1!B:B, A229, Sheet1!J:J)</f>
        <v>107.49685534591195</v>
      </c>
    </row>
    <row r="230" spans="1:2" x14ac:dyDescent="0.3">
      <c r="A230" t="s">
        <v>25</v>
      </c>
      <c r="B230">
        <f>AVERAGEIF(Sheet1!B:B, A230, Sheet1!J:J)</f>
        <v>107.49685534591195</v>
      </c>
    </row>
    <row r="231" spans="1:2" x14ac:dyDescent="0.3">
      <c r="A231" t="s">
        <v>25</v>
      </c>
      <c r="B231">
        <f>AVERAGEIF(Sheet1!B:B, A231, Sheet1!J:J)</f>
        <v>107.49685534591195</v>
      </c>
    </row>
    <row r="232" spans="1:2" x14ac:dyDescent="0.3">
      <c r="A232" t="s">
        <v>25</v>
      </c>
      <c r="B232">
        <f>AVERAGEIF(Sheet1!B:B, A232, Sheet1!J:J)</f>
        <v>107.49685534591195</v>
      </c>
    </row>
    <row r="233" spans="1:2" x14ac:dyDescent="0.3">
      <c r="A233" t="s">
        <v>25</v>
      </c>
      <c r="B233">
        <f>AVERAGEIF(Sheet1!B:B, A233, Sheet1!J:J)</f>
        <v>107.49685534591195</v>
      </c>
    </row>
    <row r="234" spans="1:2" x14ac:dyDescent="0.3">
      <c r="A234" t="s">
        <v>25</v>
      </c>
      <c r="B234">
        <f>AVERAGEIF(Sheet1!B:B, A234, Sheet1!J:J)</f>
        <v>107.49685534591195</v>
      </c>
    </row>
    <row r="235" spans="1:2" x14ac:dyDescent="0.3">
      <c r="A235" t="s">
        <v>25</v>
      </c>
      <c r="B235">
        <f>AVERAGEIF(Sheet1!B:B, A235, Sheet1!J:J)</f>
        <v>107.49685534591195</v>
      </c>
    </row>
    <row r="236" spans="1:2" x14ac:dyDescent="0.3">
      <c r="A236" t="s">
        <v>25</v>
      </c>
      <c r="B236">
        <f>AVERAGEIF(Sheet1!B:B, A236, Sheet1!J:J)</f>
        <v>107.49685534591195</v>
      </c>
    </row>
    <row r="237" spans="1:2" x14ac:dyDescent="0.3">
      <c r="A237" t="s">
        <v>24</v>
      </c>
      <c r="B237">
        <f>AVERAGEIF(Sheet1!B:B, A237, Sheet1!J:J)</f>
        <v>29.818181818181817</v>
      </c>
    </row>
    <row r="238" spans="1:2" x14ac:dyDescent="0.3">
      <c r="A238" t="s">
        <v>24</v>
      </c>
      <c r="B238">
        <f>AVERAGEIF(Sheet1!B:B, A238, Sheet1!J:J)</f>
        <v>29.818181818181817</v>
      </c>
    </row>
    <row r="239" spans="1:2" x14ac:dyDescent="0.3">
      <c r="A239" t="s">
        <v>24</v>
      </c>
      <c r="B239">
        <f>AVERAGEIF(Sheet1!B:B, A239, Sheet1!J:J)</f>
        <v>29.818181818181817</v>
      </c>
    </row>
    <row r="240" spans="1:2" x14ac:dyDescent="0.3">
      <c r="A240" t="s">
        <v>26</v>
      </c>
      <c r="B240">
        <f>AVERAGEIF(Sheet1!B:B, A240, Sheet1!J:J)</f>
        <v>81.180582524271841</v>
      </c>
    </row>
    <row r="241" spans="1:2" x14ac:dyDescent="0.3">
      <c r="A241" t="s">
        <v>26</v>
      </c>
      <c r="B241">
        <f>AVERAGEIF(Sheet1!B:B, A241, Sheet1!J:J)</f>
        <v>81.180582524271841</v>
      </c>
    </row>
    <row r="242" spans="1:2" x14ac:dyDescent="0.3">
      <c r="A242" t="s">
        <v>26</v>
      </c>
      <c r="B242">
        <f>AVERAGEIF(Sheet1!B:B, A242, Sheet1!J:J)</f>
        <v>81.180582524271841</v>
      </c>
    </row>
    <row r="243" spans="1:2" x14ac:dyDescent="0.3">
      <c r="A243" t="s">
        <v>26</v>
      </c>
      <c r="B243">
        <f>AVERAGEIF(Sheet1!B:B, A243, Sheet1!J:J)</f>
        <v>81.180582524271841</v>
      </c>
    </row>
    <row r="244" spans="1:2" x14ac:dyDescent="0.3">
      <c r="A244" t="s">
        <v>26</v>
      </c>
      <c r="B244">
        <f>AVERAGEIF(Sheet1!B:B, A244, Sheet1!J:J)</f>
        <v>81.180582524271841</v>
      </c>
    </row>
    <row r="245" spans="1:2" x14ac:dyDescent="0.3">
      <c r="A245" t="s">
        <v>26</v>
      </c>
      <c r="B245">
        <f>AVERAGEIF(Sheet1!B:B, A245, Sheet1!J:J)</f>
        <v>81.180582524271841</v>
      </c>
    </row>
    <row r="246" spans="1:2" x14ac:dyDescent="0.3">
      <c r="A246" t="s">
        <v>26</v>
      </c>
      <c r="B246">
        <f>AVERAGEIF(Sheet1!B:B, A246, Sheet1!J:J)</f>
        <v>81.180582524271841</v>
      </c>
    </row>
    <row r="247" spans="1:2" x14ac:dyDescent="0.3">
      <c r="A247" t="s">
        <v>26</v>
      </c>
      <c r="B247">
        <f>AVERAGEIF(Sheet1!B:B, A247, Sheet1!J:J)</f>
        <v>81.180582524271841</v>
      </c>
    </row>
    <row r="248" spans="1:2" x14ac:dyDescent="0.3">
      <c r="A248" t="s">
        <v>26</v>
      </c>
      <c r="B248">
        <f>AVERAGEIF(Sheet1!B:B, A248, Sheet1!J:J)</f>
        <v>81.180582524271841</v>
      </c>
    </row>
    <row r="249" spans="1:2" x14ac:dyDescent="0.3">
      <c r="A249" t="s">
        <v>26</v>
      </c>
      <c r="B249">
        <f>AVERAGEIF(Sheet1!B:B, A249, Sheet1!J:J)</f>
        <v>81.180582524271841</v>
      </c>
    </row>
    <row r="250" spans="1:2" x14ac:dyDescent="0.3">
      <c r="A250" t="s">
        <v>26</v>
      </c>
      <c r="B250">
        <f>AVERAGEIF(Sheet1!B:B, A250, Sheet1!J:J)</f>
        <v>81.180582524271841</v>
      </c>
    </row>
    <row r="251" spans="1:2" x14ac:dyDescent="0.3">
      <c r="A251" t="s">
        <v>26</v>
      </c>
      <c r="B251">
        <f>AVERAGEIF(Sheet1!B:B, A251, Sheet1!J:J)</f>
        <v>81.180582524271841</v>
      </c>
    </row>
    <row r="252" spans="1:2" x14ac:dyDescent="0.3">
      <c r="A252" t="s">
        <v>26</v>
      </c>
      <c r="B252">
        <f>AVERAGEIF(Sheet1!B:B, A252, Sheet1!J:J)</f>
        <v>81.180582524271841</v>
      </c>
    </row>
    <row r="253" spans="1:2" x14ac:dyDescent="0.3">
      <c r="A253" t="s">
        <v>26</v>
      </c>
      <c r="B253">
        <f>AVERAGEIF(Sheet1!B:B, A253, Sheet1!J:J)</f>
        <v>81.180582524271841</v>
      </c>
    </row>
    <row r="254" spans="1:2" x14ac:dyDescent="0.3">
      <c r="A254" t="s">
        <v>26</v>
      </c>
      <c r="B254">
        <f>AVERAGEIF(Sheet1!B:B, A254, Sheet1!J:J)</f>
        <v>81.180582524271841</v>
      </c>
    </row>
    <row r="255" spans="1:2" x14ac:dyDescent="0.3">
      <c r="A255" t="s">
        <v>26</v>
      </c>
      <c r="B255">
        <f>AVERAGEIF(Sheet1!B:B, A255, Sheet1!J:J)</f>
        <v>81.180582524271841</v>
      </c>
    </row>
    <row r="256" spans="1:2" x14ac:dyDescent="0.3">
      <c r="A256" t="s">
        <v>26</v>
      </c>
      <c r="B256">
        <f>AVERAGEIF(Sheet1!B:B, A256, Sheet1!J:J)</f>
        <v>81.180582524271841</v>
      </c>
    </row>
    <row r="257" spans="1:2" x14ac:dyDescent="0.3">
      <c r="A257" t="s">
        <v>26</v>
      </c>
      <c r="B257">
        <f>AVERAGEIF(Sheet1!B:B, A257, Sheet1!J:J)</f>
        <v>81.180582524271841</v>
      </c>
    </row>
    <row r="258" spans="1:2" x14ac:dyDescent="0.3">
      <c r="A258" t="s">
        <v>26</v>
      </c>
      <c r="B258">
        <f>AVERAGEIF(Sheet1!B:B, A258, Sheet1!J:J)</f>
        <v>81.180582524271841</v>
      </c>
    </row>
    <row r="259" spans="1:2" x14ac:dyDescent="0.3">
      <c r="A259" t="s">
        <v>26</v>
      </c>
      <c r="B259">
        <f>AVERAGEIF(Sheet1!B:B, A259, Sheet1!J:J)</f>
        <v>81.180582524271841</v>
      </c>
    </row>
    <row r="260" spans="1:2" x14ac:dyDescent="0.3">
      <c r="A260" t="s">
        <v>26</v>
      </c>
      <c r="B260">
        <f>AVERAGEIF(Sheet1!B:B, A260, Sheet1!J:J)</f>
        <v>81.180582524271841</v>
      </c>
    </row>
    <row r="261" spans="1:2" x14ac:dyDescent="0.3">
      <c r="A261" t="s">
        <v>26</v>
      </c>
      <c r="B261">
        <f>AVERAGEIF(Sheet1!B:B, A261, Sheet1!J:J)</f>
        <v>81.180582524271841</v>
      </c>
    </row>
    <row r="262" spans="1:2" x14ac:dyDescent="0.3">
      <c r="A262" t="s">
        <v>26</v>
      </c>
      <c r="B262">
        <f>AVERAGEIF(Sheet1!B:B, A262, Sheet1!J:J)</f>
        <v>81.180582524271841</v>
      </c>
    </row>
    <row r="263" spans="1:2" x14ac:dyDescent="0.3">
      <c r="A263" t="s">
        <v>26</v>
      </c>
      <c r="B263">
        <f>AVERAGEIF(Sheet1!B:B, A263, Sheet1!J:J)</f>
        <v>81.180582524271841</v>
      </c>
    </row>
    <row r="264" spans="1:2" x14ac:dyDescent="0.3">
      <c r="A264" t="s">
        <v>26</v>
      </c>
      <c r="B264">
        <f>AVERAGEIF(Sheet1!B:B, A264, Sheet1!J:J)</f>
        <v>81.180582524271841</v>
      </c>
    </row>
    <row r="265" spans="1:2" x14ac:dyDescent="0.3">
      <c r="A265" t="s">
        <v>26</v>
      </c>
      <c r="B265">
        <f>AVERAGEIF(Sheet1!B:B, A265, Sheet1!J:J)</f>
        <v>81.180582524271841</v>
      </c>
    </row>
    <row r="266" spans="1:2" x14ac:dyDescent="0.3">
      <c r="A266" t="s">
        <v>26</v>
      </c>
      <c r="B266">
        <f>AVERAGEIF(Sheet1!B:B, A266, Sheet1!J:J)</f>
        <v>81.180582524271841</v>
      </c>
    </row>
    <row r="267" spans="1:2" x14ac:dyDescent="0.3">
      <c r="A267" t="s">
        <v>26</v>
      </c>
      <c r="B267">
        <f>AVERAGEIF(Sheet1!B:B, A267, Sheet1!J:J)</f>
        <v>81.180582524271841</v>
      </c>
    </row>
    <row r="268" spans="1:2" x14ac:dyDescent="0.3">
      <c r="A268" t="s">
        <v>26</v>
      </c>
      <c r="B268">
        <f>AVERAGEIF(Sheet1!B:B, A268, Sheet1!J:J)</f>
        <v>81.180582524271841</v>
      </c>
    </row>
    <row r="269" spans="1:2" x14ac:dyDescent="0.3">
      <c r="A269" t="s">
        <v>26</v>
      </c>
      <c r="B269">
        <f>AVERAGEIF(Sheet1!B:B, A269, Sheet1!J:J)</f>
        <v>81.180582524271841</v>
      </c>
    </row>
    <row r="270" spans="1:2" x14ac:dyDescent="0.3">
      <c r="A270" t="s">
        <v>26</v>
      </c>
      <c r="B270">
        <f>AVERAGEIF(Sheet1!B:B, A270, Sheet1!J:J)</f>
        <v>81.180582524271841</v>
      </c>
    </row>
    <row r="271" spans="1:2" x14ac:dyDescent="0.3">
      <c r="A271" t="s">
        <v>26</v>
      </c>
      <c r="B271">
        <f>AVERAGEIF(Sheet1!B:B, A271, Sheet1!J:J)</f>
        <v>81.180582524271841</v>
      </c>
    </row>
    <row r="272" spans="1:2" x14ac:dyDescent="0.3">
      <c r="A272" t="s">
        <v>26</v>
      </c>
      <c r="B272">
        <f>AVERAGEIF(Sheet1!B:B, A272, Sheet1!J:J)</f>
        <v>81.180582524271841</v>
      </c>
    </row>
    <row r="273" spans="1:2" x14ac:dyDescent="0.3">
      <c r="A273" t="s">
        <v>26</v>
      </c>
      <c r="B273">
        <f>AVERAGEIF(Sheet1!B:B, A273, Sheet1!J:J)</f>
        <v>81.180582524271841</v>
      </c>
    </row>
    <row r="274" spans="1:2" x14ac:dyDescent="0.3">
      <c r="A274" t="s">
        <v>26</v>
      </c>
      <c r="B274">
        <f>AVERAGEIF(Sheet1!B:B, A274, Sheet1!J:J)</f>
        <v>81.180582524271841</v>
      </c>
    </row>
    <row r="275" spans="1:2" x14ac:dyDescent="0.3">
      <c r="A275" t="s">
        <v>26</v>
      </c>
      <c r="B275">
        <f>AVERAGEIF(Sheet1!B:B, A275, Sheet1!J:J)</f>
        <v>81.180582524271841</v>
      </c>
    </row>
    <row r="276" spans="1:2" x14ac:dyDescent="0.3">
      <c r="A276" t="s">
        <v>26</v>
      </c>
      <c r="B276">
        <f>AVERAGEIF(Sheet1!B:B, A276, Sheet1!J:J)</f>
        <v>81.180582524271841</v>
      </c>
    </row>
    <row r="277" spans="1:2" x14ac:dyDescent="0.3">
      <c r="A277" t="s">
        <v>26</v>
      </c>
      <c r="B277">
        <f>AVERAGEIF(Sheet1!B:B, A277, Sheet1!J:J)</f>
        <v>81.180582524271841</v>
      </c>
    </row>
    <row r="278" spans="1:2" x14ac:dyDescent="0.3">
      <c r="A278" t="s">
        <v>26</v>
      </c>
      <c r="B278">
        <f>AVERAGEIF(Sheet1!B:B, A278, Sheet1!J:J)</f>
        <v>81.180582524271841</v>
      </c>
    </row>
    <row r="279" spans="1:2" x14ac:dyDescent="0.3">
      <c r="A279" t="s">
        <v>26</v>
      </c>
      <c r="B279">
        <f>AVERAGEIF(Sheet1!B:B, A279, Sheet1!J:J)</f>
        <v>81.180582524271841</v>
      </c>
    </row>
    <row r="280" spans="1:2" x14ac:dyDescent="0.3">
      <c r="A280" t="s">
        <v>26</v>
      </c>
      <c r="B280">
        <f>AVERAGEIF(Sheet1!B:B, A280, Sheet1!J:J)</f>
        <v>81.180582524271841</v>
      </c>
    </row>
    <row r="281" spans="1:2" x14ac:dyDescent="0.3">
      <c r="A281" t="s">
        <v>26</v>
      </c>
      <c r="B281">
        <f>AVERAGEIF(Sheet1!B:B, A281, Sheet1!J:J)</f>
        <v>81.180582524271841</v>
      </c>
    </row>
    <row r="282" spans="1:2" x14ac:dyDescent="0.3">
      <c r="A282" t="s">
        <v>26</v>
      </c>
      <c r="B282">
        <f>AVERAGEIF(Sheet1!B:B, A282, Sheet1!J:J)</f>
        <v>81.180582524271841</v>
      </c>
    </row>
    <row r="283" spans="1:2" x14ac:dyDescent="0.3">
      <c r="A283" t="s">
        <v>26</v>
      </c>
      <c r="B283">
        <f>AVERAGEIF(Sheet1!B:B, A283, Sheet1!J:J)</f>
        <v>81.180582524271841</v>
      </c>
    </row>
    <row r="284" spans="1:2" x14ac:dyDescent="0.3">
      <c r="A284" t="s">
        <v>26</v>
      </c>
      <c r="B284">
        <f>AVERAGEIF(Sheet1!B:B, A284, Sheet1!J:J)</f>
        <v>81.180582524271841</v>
      </c>
    </row>
    <row r="285" spans="1:2" x14ac:dyDescent="0.3">
      <c r="A285" t="s">
        <v>26</v>
      </c>
      <c r="B285">
        <f>AVERAGEIF(Sheet1!B:B, A285, Sheet1!J:J)</f>
        <v>81.180582524271841</v>
      </c>
    </row>
    <row r="286" spans="1:2" x14ac:dyDescent="0.3">
      <c r="A286" t="s">
        <v>26</v>
      </c>
      <c r="B286">
        <f>AVERAGEIF(Sheet1!B:B, A286, Sheet1!J:J)</f>
        <v>81.180582524271841</v>
      </c>
    </row>
    <row r="287" spans="1:2" x14ac:dyDescent="0.3">
      <c r="A287" t="s">
        <v>26</v>
      </c>
      <c r="B287">
        <f>AVERAGEIF(Sheet1!B:B, A287, Sheet1!J:J)</f>
        <v>81.180582524271841</v>
      </c>
    </row>
    <row r="288" spans="1:2" x14ac:dyDescent="0.3">
      <c r="A288" t="s">
        <v>26</v>
      </c>
      <c r="B288">
        <f>AVERAGEIF(Sheet1!B:B, A288, Sheet1!J:J)</f>
        <v>81.180582524271841</v>
      </c>
    </row>
    <row r="289" spans="1:2" x14ac:dyDescent="0.3">
      <c r="A289" t="s">
        <v>26</v>
      </c>
      <c r="B289">
        <f>AVERAGEIF(Sheet1!B:B, A289, Sheet1!J:J)</f>
        <v>81.180582524271841</v>
      </c>
    </row>
    <row r="290" spans="1:2" x14ac:dyDescent="0.3">
      <c r="A290" t="s">
        <v>26</v>
      </c>
      <c r="B290">
        <f>AVERAGEIF(Sheet1!B:B, A290, Sheet1!J:J)</f>
        <v>81.180582524271841</v>
      </c>
    </row>
    <row r="291" spans="1:2" x14ac:dyDescent="0.3">
      <c r="A291" t="s">
        <v>26</v>
      </c>
      <c r="B291">
        <f>AVERAGEIF(Sheet1!B:B, A291, Sheet1!J:J)</f>
        <v>81.180582524271841</v>
      </c>
    </row>
    <row r="292" spans="1:2" x14ac:dyDescent="0.3">
      <c r="A292" t="s">
        <v>26</v>
      </c>
      <c r="B292">
        <f>AVERAGEIF(Sheet1!B:B, A292, Sheet1!J:J)</f>
        <v>81.180582524271841</v>
      </c>
    </row>
    <row r="293" spans="1:2" x14ac:dyDescent="0.3">
      <c r="A293" t="s">
        <v>26</v>
      </c>
      <c r="B293">
        <f>AVERAGEIF(Sheet1!B:B, A293, Sheet1!J:J)</f>
        <v>81.180582524271841</v>
      </c>
    </row>
    <row r="294" spans="1:2" x14ac:dyDescent="0.3">
      <c r="A294" t="s">
        <v>26</v>
      </c>
      <c r="B294">
        <f>AVERAGEIF(Sheet1!B:B, A294, Sheet1!J:J)</f>
        <v>81.180582524271841</v>
      </c>
    </row>
    <row r="295" spans="1:2" x14ac:dyDescent="0.3">
      <c r="A295" t="s">
        <v>26</v>
      </c>
      <c r="B295">
        <f>AVERAGEIF(Sheet1!B:B, A295, Sheet1!J:J)</f>
        <v>81.180582524271841</v>
      </c>
    </row>
    <row r="296" spans="1:2" x14ac:dyDescent="0.3">
      <c r="A296" t="s">
        <v>26</v>
      </c>
      <c r="B296">
        <f>AVERAGEIF(Sheet1!B:B, A296, Sheet1!J:J)</f>
        <v>81.180582524271841</v>
      </c>
    </row>
    <row r="297" spans="1:2" x14ac:dyDescent="0.3">
      <c r="A297" t="s">
        <v>26</v>
      </c>
      <c r="B297">
        <f>AVERAGEIF(Sheet1!B:B, A297, Sheet1!J:J)</f>
        <v>81.180582524271841</v>
      </c>
    </row>
    <row r="298" spans="1:2" x14ac:dyDescent="0.3">
      <c r="A298" t="s">
        <v>26</v>
      </c>
      <c r="B298">
        <f>AVERAGEIF(Sheet1!B:B, A298, Sheet1!J:J)</f>
        <v>81.180582524271841</v>
      </c>
    </row>
    <row r="299" spans="1:2" x14ac:dyDescent="0.3">
      <c r="A299" t="s">
        <v>26</v>
      </c>
      <c r="B299">
        <f>AVERAGEIF(Sheet1!B:B, A299, Sheet1!J:J)</f>
        <v>81.180582524271841</v>
      </c>
    </row>
    <row r="300" spans="1:2" x14ac:dyDescent="0.3">
      <c r="A300" t="s">
        <v>26</v>
      </c>
      <c r="B300">
        <f>AVERAGEIF(Sheet1!B:B, A300, Sheet1!J:J)</f>
        <v>81.180582524271841</v>
      </c>
    </row>
    <row r="301" spans="1:2" x14ac:dyDescent="0.3">
      <c r="A301" t="s">
        <v>26</v>
      </c>
      <c r="B301">
        <f>AVERAGEIF(Sheet1!B:B, A301, Sheet1!J:J)</f>
        <v>81.180582524271841</v>
      </c>
    </row>
    <row r="302" spans="1:2" x14ac:dyDescent="0.3">
      <c r="A302" t="s">
        <v>26</v>
      </c>
      <c r="B302">
        <f>AVERAGEIF(Sheet1!B:B, A302, Sheet1!J:J)</f>
        <v>81.180582524271841</v>
      </c>
    </row>
    <row r="303" spans="1:2" x14ac:dyDescent="0.3">
      <c r="A303" t="s">
        <v>26</v>
      </c>
      <c r="B303">
        <f>AVERAGEIF(Sheet1!B:B, A303, Sheet1!J:J)</f>
        <v>81.180582524271841</v>
      </c>
    </row>
    <row r="304" spans="1:2" x14ac:dyDescent="0.3">
      <c r="A304" t="s">
        <v>26</v>
      </c>
      <c r="B304">
        <f>AVERAGEIF(Sheet1!B:B, A304, Sheet1!J:J)</f>
        <v>81.180582524271841</v>
      </c>
    </row>
    <row r="305" spans="1:2" x14ac:dyDescent="0.3">
      <c r="A305" t="s">
        <v>26</v>
      </c>
      <c r="B305">
        <f>AVERAGEIF(Sheet1!B:B, A305, Sheet1!J:J)</f>
        <v>81.180582524271841</v>
      </c>
    </row>
    <row r="306" spans="1:2" x14ac:dyDescent="0.3">
      <c r="A306" t="s">
        <v>26</v>
      </c>
      <c r="B306">
        <f>AVERAGEIF(Sheet1!B:B, A306, Sheet1!J:J)</f>
        <v>81.180582524271841</v>
      </c>
    </row>
    <row r="307" spans="1:2" x14ac:dyDescent="0.3">
      <c r="A307" t="s">
        <v>26</v>
      </c>
      <c r="B307">
        <f>AVERAGEIF(Sheet1!B:B, A307, Sheet1!J:J)</f>
        <v>81.180582524271841</v>
      </c>
    </row>
    <row r="308" spans="1:2" x14ac:dyDescent="0.3">
      <c r="A308" t="s">
        <v>26</v>
      </c>
      <c r="B308">
        <f>AVERAGEIF(Sheet1!B:B, A308, Sheet1!J:J)</f>
        <v>81.180582524271841</v>
      </c>
    </row>
    <row r="309" spans="1:2" x14ac:dyDescent="0.3">
      <c r="A309" t="s">
        <v>26</v>
      </c>
      <c r="B309">
        <f>AVERAGEIF(Sheet1!B:B, A309, Sheet1!J:J)</f>
        <v>81.180582524271841</v>
      </c>
    </row>
    <row r="310" spans="1:2" x14ac:dyDescent="0.3">
      <c r="A310" t="s">
        <v>26</v>
      </c>
      <c r="B310">
        <f>AVERAGEIF(Sheet1!B:B, A310, Sheet1!J:J)</f>
        <v>81.180582524271841</v>
      </c>
    </row>
    <row r="311" spans="1:2" x14ac:dyDescent="0.3">
      <c r="A311" t="s">
        <v>26</v>
      </c>
      <c r="B311">
        <f>AVERAGEIF(Sheet1!B:B, A311, Sheet1!J:J)</f>
        <v>81.180582524271841</v>
      </c>
    </row>
    <row r="312" spans="1:2" x14ac:dyDescent="0.3">
      <c r="A312" t="s">
        <v>26</v>
      </c>
      <c r="B312">
        <f>AVERAGEIF(Sheet1!B:B, A312, Sheet1!J:J)</f>
        <v>81.180582524271841</v>
      </c>
    </row>
    <row r="313" spans="1:2" x14ac:dyDescent="0.3">
      <c r="A313" t="s">
        <v>26</v>
      </c>
      <c r="B313">
        <f>AVERAGEIF(Sheet1!B:B, A313, Sheet1!J:J)</f>
        <v>81.180582524271841</v>
      </c>
    </row>
    <row r="314" spans="1:2" x14ac:dyDescent="0.3">
      <c r="A314" t="s">
        <v>26</v>
      </c>
      <c r="B314">
        <f>AVERAGEIF(Sheet1!B:B, A314, Sheet1!J:J)</f>
        <v>81.180582524271841</v>
      </c>
    </row>
    <row r="315" spans="1:2" x14ac:dyDescent="0.3">
      <c r="A315" t="s">
        <v>26</v>
      </c>
      <c r="B315">
        <f>AVERAGEIF(Sheet1!B:B, A315, Sheet1!J:J)</f>
        <v>81.180582524271841</v>
      </c>
    </row>
    <row r="316" spans="1:2" x14ac:dyDescent="0.3">
      <c r="A316" t="s">
        <v>26</v>
      </c>
      <c r="B316">
        <f>AVERAGEIF(Sheet1!B:B, A316, Sheet1!J:J)</f>
        <v>81.180582524271841</v>
      </c>
    </row>
    <row r="317" spans="1:2" x14ac:dyDescent="0.3">
      <c r="A317" t="s">
        <v>26</v>
      </c>
      <c r="B317">
        <f>AVERAGEIF(Sheet1!B:B, A317, Sheet1!J:J)</f>
        <v>81.180582524271841</v>
      </c>
    </row>
    <row r="318" spans="1:2" x14ac:dyDescent="0.3">
      <c r="A318" t="s">
        <v>26</v>
      </c>
      <c r="B318">
        <f>AVERAGEIF(Sheet1!B:B, A318, Sheet1!J:J)</f>
        <v>81.180582524271841</v>
      </c>
    </row>
    <row r="319" spans="1:2" x14ac:dyDescent="0.3">
      <c r="A319" t="s">
        <v>26</v>
      </c>
      <c r="B319">
        <f>AVERAGEIF(Sheet1!B:B, A319, Sheet1!J:J)</f>
        <v>81.180582524271841</v>
      </c>
    </row>
    <row r="320" spans="1:2" x14ac:dyDescent="0.3">
      <c r="A320" t="s">
        <v>26</v>
      </c>
      <c r="B320">
        <f>AVERAGEIF(Sheet1!B:B, A320, Sheet1!J:J)</f>
        <v>81.180582524271841</v>
      </c>
    </row>
    <row r="321" spans="1:2" x14ac:dyDescent="0.3">
      <c r="A321" t="s">
        <v>26</v>
      </c>
      <c r="B321">
        <f>AVERAGEIF(Sheet1!B:B, A321, Sheet1!J:J)</f>
        <v>81.180582524271841</v>
      </c>
    </row>
    <row r="322" spans="1:2" x14ac:dyDescent="0.3">
      <c r="A322" t="s">
        <v>26</v>
      </c>
      <c r="B322">
        <f>AVERAGEIF(Sheet1!B:B, A322, Sheet1!J:J)</f>
        <v>81.180582524271841</v>
      </c>
    </row>
    <row r="323" spans="1:2" x14ac:dyDescent="0.3">
      <c r="A323" t="s">
        <v>26</v>
      </c>
      <c r="B323">
        <f>AVERAGEIF(Sheet1!B:B, A323, Sheet1!J:J)</f>
        <v>81.180582524271841</v>
      </c>
    </row>
    <row r="324" spans="1:2" x14ac:dyDescent="0.3">
      <c r="A324" t="s">
        <v>26</v>
      </c>
      <c r="B324">
        <f>AVERAGEIF(Sheet1!B:B, A324, Sheet1!J:J)</f>
        <v>81.180582524271841</v>
      </c>
    </row>
    <row r="325" spans="1:2" x14ac:dyDescent="0.3">
      <c r="A325" t="s">
        <v>26</v>
      </c>
      <c r="B325">
        <f>AVERAGEIF(Sheet1!B:B, A325, Sheet1!J:J)</f>
        <v>81.180582524271841</v>
      </c>
    </row>
    <row r="326" spans="1:2" x14ac:dyDescent="0.3">
      <c r="A326" t="s">
        <v>26</v>
      </c>
      <c r="B326">
        <f>AVERAGEIF(Sheet1!B:B, A326, Sheet1!J:J)</f>
        <v>81.180582524271841</v>
      </c>
    </row>
    <row r="327" spans="1:2" x14ac:dyDescent="0.3">
      <c r="A327" t="s">
        <v>26</v>
      </c>
      <c r="B327">
        <f>AVERAGEIF(Sheet1!B:B, A327, Sheet1!J:J)</f>
        <v>81.180582524271841</v>
      </c>
    </row>
    <row r="328" spans="1:2" x14ac:dyDescent="0.3">
      <c r="A328" t="s">
        <v>26</v>
      </c>
      <c r="B328">
        <f>AVERAGEIF(Sheet1!B:B, A328, Sheet1!J:J)</f>
        <v>81.180582524271841</v>
      </c>
    </row>
    <row r="329" spans="1:2" x14ac:dyDescent="0.3">
      <c r="A329" t="s">
        <v>26</v>
      </c>
      <c r="B329">
        <f>AVERAGEIF(Sheet1!B:B, A329, Sheet1!J:J)</f>
        <v>81.180582524271841</v>
      </c>
    </row>
    <row r="330" spans="1:2" x14ac:dyDescent="0.3">
      <c r="A330" t="s">
        <v>26</v>
      </c>
      <c r="B330">
        <f>AVERAGEIF(Sheet1!B:B, A330, Sheet1!J:J)</f>
        <v>81.180582524271841</v>
      </c>
    </row>
    <row r="331" spans="1:2" x14ac:dyDescent="0.3">
      <c r="A331" t="s">
        <v>26</v>
      </c>
      <c r="B331">
        <f>AVERAGEIF(Sheet1!B:B, A331, Sheet1!J:J)</f>
        <v>81.180582524271841</v>
      </c>
    </row>
    <row r="332" spans="1:2" x14ac:dyDescent="0.3">
      <c r="A332" t="s">
        <v>26</v>
      </c>
      <c r="B332">
        <f>AVERAGEIF(Sheet1!B:B, A332, Sheet1!J:J)</f>
        <v>81.180582524271841</v>
      </c>
    </row>
    <row r="333" spans="1:2" x14ac:dyDescent="0.3">
      <c r="A333" t="s">
        <v>26</v>
      </c>
      <c r="B333">
        <f>AVERAGEIF(Sheet1!B:B, A333, Sheet1!J:J)</f>
        <v>81.180582524271841</v>
      </c>
    </row>
    <row r="334" spans="1:2" x14ac:dyDescent="0.3">
      <c r="A334" t="s">
        <v>26</v>
      </c>
      <c r="B334">
        <f>AVERAGEIF(Sheet1!B:B, A334, Sheet1!J:J)</f>
        <v>81.180582524271841</v>
      </c>
    </row>
    <row r="335" spans="1:2" x14ac:dyDescent="0.3">
      <c r="A335" t="s">
        <v>26</v>
      </c>
      <c r="B335">
        <f>AVERAGEIF(Sheet1!B:B, A335, Sheet1!J:J)</f>
        <v>81.180582524271841</v>
      </c>
    </row>
    <row r="336" spans="1:2" x14ac:dyDescent="0.3">
      <c r="A336" t="s">
        <v>26</v>
      </c>
      <c r="B336">
        <f>AVERAGEIF(Sheet1!B:B, A336, Sheet1!J:J)</f>
        <v>81.180582524271841</v>
      </c>
    </row>
    <row r="337" spans="1:2" x14ac:dyDescent="0.3">
      <c r="A337" t="s">
        <v>26</v>
      </c>
      <c r="B337">
        <f>AVERAGEIF(Sheet1!B:B, A337, Sheet1!J:J)</f>
        <v>81.180582524271841</v>
      </c>
    </row>
    <row r="338" spans="1:2" x14ac:dyDescent="0.3">
      <c r="A338" t="s">
        <v>26</v>
      </c>
      <c r="B338">
        <f>AVERAGEIF(Sheet1!B:B, A338, Sheet1!J:J)</f>
        <v>81.180582524271841</v>
      </c>
    </row>
    <row r="339" spans="1:2" x14ac:dyDescent="0.3">
      <c r="A339" t="s">
        <v>26</v>
      </c>
      <c r="B339">
        <f>AVERAGEIF(Sheet1!B:B, A339, Sheet1!J:J)</f>
        <v>81.180582524271841</v>
      </c>
    </row>
    <row r="340" spans="1:2" x14ac:dyDescent="0.3">
      <c r="A340" t="s">
        <v>26</v>
      </c>
      <c r="B340">
        <f>AVERAGEIF(Sheet1!B:B, A340, Sheet1!J:J)</f>
        <v>81.180582524271841</v>
      </c>
    </row>
    <row r="341" spans="1:2" x14ac:dyDescent="0.3">
      <c r="A341" t="s">
        <v>26</v>
      </c>
      <c r="B341">
        <f>AVERAGEIF(Sheet1!B:B, A341, Sheet1!J:J)</f>
        <v>81.180582524271841</v>
      </c>
    </row>
    <row r="342" spans="1:2" x14ac:dyDescent="0.3">
      <c r="A342" t="s">
        <v>26</v>
      </c>
      <c r="B342">
        <f>AVERAGEIF(Sheet1!B:B, A342, Sheet1!J:J)</f>
        <v>81.180582524271841</v>
      </c>
    </row>
    <row r="343" spans="1:2" x14ac:dyDescent="0.3">
      <c r="A343" t="s">
        <v>27</v>
      </c>
      <c r="B343">
        <f>AVERAGEIF(Sheet1!B:B, A343, Sheet1!J:J)</f>
        <v>82.383177570093451</v>
      </c>
    </row>
    <row r="344" spans="1:2" x14ac:dyDescent="0.3">
      <c r="A344" t="s">
        <v>27</v>
      </c>
      <c r="B344">
        <f>AVERAGEIF(Sheet1!B:B, A344, Sheet1!J:J)</f>
        <v>82.383177570093451</v>
      </c>
    </row>
    <row r="345" spans="1:2" x14ac:dyDescent="0.3">
      <c r="A345" t="s">
        <v>27</v>
      </c>
      <c r="B345">
        <f>AVERAGEIF(Sheet1!B:B, A345, Sheet1!J:J)</f>
        <v>82.383177570093451</v>
      </c>
    </row>
    <row r="346" spans="1:2" x14ac:dyDescent="0.3">
      <c r="A346" t="s">
        <v>27</v>
      </c>
      <c r="B346">
        <f>AVERAGEIF(Sheet1!B:B, A346, Sheet1!J:J)</f>
        <v>82.383177570093451</v>
      </c>
    </row>
    <row r="347" spans="1:2" x14ac:dyDescent="0.3">
      <c r="A347" t="s">
        <v>27</v>
      </c>
      <c r="B347">
        <f>AVERAGEIF(Sheet1!B:B, A347, Sheet1!J:J)</f>
        <v>82.383177570093451</v>
      </c>
    </row>
    <row r="348" spans="1:2" x14ac:dyDescent="0.3">
      <c r="A348" t="s">
        <v>27</v>
      </c>
      <c r="B348">
        <f>AVERAGEIF(Sheet1!B:B, A348, Sheet1!J:J)</f>
        <v>82.383177570093451</v>
      </c>
    </row>
    <row r="349" spans="1:2" x14ac:dyDescent="0.3">
      <c r="A349" t="s">
        <v>27</v>
      </c>
      <c r="B349">
        <f>AVERAGEIF(Sheet1!B:B, A349, Sheet1!J:J)</f>
        <v>82.383177570093451</v>
      </c>
    </row>
    <row r="350" spans="1:2" x14ac:dyDescent="0.3">
      <c r="A350" t="s">
        <v>27</v>
      </c>
      <c r="B350">
        <f>AVERAGEIF(Sheet1!B:B, A350, Sheet1!J:J)</f>
        <v>82.383177570093451</v>
      </c>
    </row>
    <row r="351" spans="1:2" x14ac:dyDescent="0.3">
      <c r="A351" t="s">
        <v>27</v>
      </c>
      <c r="B351">
        <f>AVERAGEIF(Sheet1!B:B, A351, Sheet1!J:J)</f>
        <v>82.383177570093451</v>
      </c>
    </row>
    <row r="352" spans="1:2" x14ac:dyDescent="0.3">
      <c r="A352" t="s">
        <v>27</v>
      </c>
      <c r="B352">
        <f>AVERAGEIF(Sheet1!B:B, A352, Sheet1!J:J)</f>
        <v>82.383177570093451</v>
      </c>
    </row>
    <row r="353" spans="1:2" x14ac:dyDescent="0.3">
      <c r="A353" t="s">
        <v>27</v>
      </c>
      <c r="B353">
        <f>AVERAGEIF(Sheet1!B:B, A353, Sheet1!J:J)</f>
        <v>82.383177570093451</v>
      </c>
    </row>
    <row r="354" spans="1:2" x14ac:dyDescent="0.3">
      <c r="A354" t="s">
        <v>27</v>
      </c>
      <c r="B354">
        <f>AVERAGEIF(Sheet1!B:B, A354, Sheet1!J:J)</f>
        <v>82.383177570093451</v>
      </c>
    </row>
    <row r="355" spans="1:2" x14ac:dyDescent="0.3">
      <c r="A355" t="s">
        <v>27</v>
      </c>
      <c r="B355">
        <f>AVERAGEIF(Sheet1!B:B, A355, Sheet1!J:J)</f>
        <v>82.383177570093451</v>
      </c>
    </row>
    <row r="356" spans="1:2" x14ac:dyDescent="0.3">
      <c r="A356" t="s">
        <v>27</v>
      </c>
      <c r="B356">
        <f>AVERAGEIF(Sheet1!B:B, A356, Sheet1!J:J)</f>
        <v>82.383177570093451</v>
      </c>
    </row>
    <row r="357" spans="1:2" x14ac:dyDescent="0.3">
      <c r="A357" t="s">
        <v>27</v>
      </c>
      <c r="B357">
        <f>AVERAGEIF(Sheet1!B:B, A357, Sheet1!J:J)</f>
        <v>82.383177570093451</v>
      </c>
    </row>
    <row r="358" spans="1:2" x14ac:dyDescent="0.3">
      <c r="A358" t="s">
        <v>27</v>
      </c>
      <c r="B358">
        <f>AVERAGEIF(Sheet1!B:B, A358, Sheet1!J:J)</f>
        <v>82.383177570093451</v>
      </c>
    </row>
    <row r="359" spans="1:2" x14ac:dyDescent="0.3">
      <c r="A359" t="s">
        <v>27</v>
      </c>
      <c r="B359">
        <f>AVERAGEIF(Sheet1!B:B, A359, Sheet1!J:J)</f>
        <v>82.383177570093451</v>
      </c>
    </row>
    <row r="360" spans="1:2" x14ac:dyDescent="0.3">
      <c r="A360" t="s">
        <v>27</v>
      </c>
      <c r="B360">
        <f>AVERAGEIF(Sheet1!B:B, A360, Sheet1!J:J)</f>
        <v>82.383177570093451</v>
      </c>
    </row>
    <row r="361" spans="1:2" x14ac:dyDescent="0.3">
      <c r="A361" t="s">
        <v>27</v>
      </c>
      <c r="B361">
        <f>AVERAGEIF(Sheet1!B:B, A361, Sheet1!J:J)</f>
        <v>82.383177570093451</v>
      </c>
    </row>
    <row r="362" spans="1:2" x14ac:dyDescent="0.3">
      <c r="A362" t="s">
        <v>27</v>
      </c>
      <c r="B362">
        <f>AVERAGEIF(Sheet1!B:B, A362, Sheet1!J:J)</f>
        <v>82.383177570093451</v>
      </c>
    </row>
    <row r="363" spans="1:2" x14ac:dyDescent="0.3">
      <c r="A363" t="s">
        <v>27</v>
      </c>
      <c r="B363">
        <f>AVERAGEIF(Sheet1!B:B, A363, Sheet1!J:J)</f>
        <v>82.383177570093451</v>
      </c>
    </row>
    <row r="364" spans="1:2" x14ac:dyDescent="0.3">
      <c r="A364" t="s">
        <v>27</v>
      </c>
      <c r="B364">
        <f>AVERAGEIF(Sheet1!B:B, A364, Sheet1!J:J)</f>
        <v>82.383177570093451</v>
      </c>
    </row>
    <row r="365" spans="1:2" x14ac:dyDescent="0.3">
      <c r="A365" t="s">
        <v>27</v>
      </c>
      <c r="B365">
        <f>AVERAGEIF(Sheet1!B:B, A365, Sheet1!J:J)</f>
        <v>82.383177570093451</v>
      </c>
    </row>
    <row r="366" spans="1:2" x14ac:dyDescent="0.3">
      <c r="A366" t="s">
        <v>27</v>
      </c>
      <c r="B366">
        <f>AVERAGEIF(Sheet1!B:B, A366, Sheet1!J:J)</f>
        <v>82.383177570093451</v>
      </c>
    </row>
    <row r="367" spans="1:2" x14ac:dyDescent="0.3">
      <c r="A367" t="s">
        <v>27</v>
      </c>
      <c r="B367">
        <f>AVERAGEIF(Sheet1!B:B, A367, Sheet1!J:J)</f>
        <v>82.383177570093451</v>
      </c>
    </row>
    <row r="368" spans="1:2" x14ac:dyDescent="0.3">
      <c r="A368" t="s">
        <v>27</v>
      </c>
      <c r="B368">
        <f>AVERAGEIF(Sheet1!B:B, A368, Sheet1!J:J)</f>
        <v>82.383177570093451</v>
      </c>
    </row>
    <row r="369" spans="1:2" x14ac:dyDescent="0.3">
      <c r="A369" t="s">
        <v>27</v>
      </c>
      <c r="B369">
        <f>AVERAGEIF(Sheet1!B:B, A369, Sheet1!J:J)</f>
        <v>82.383177570093451</v>
      </c>
    </row>
    <row r="370" spans="1:2" x14ac:dyDescent="0.3">
      <c r="A370" t="s">
        <v>27</v>
      </c>
      <c r="B370">
        <f>AVERAGEIF(Sheet1!B:B, A370, Sheet1!J:J)</f>
        <v>82.383177570093451</v>
      </c>
    </row>
    <row r="371" spans="1:2" x14ac:dyDescent="0.3">
      <c r="A371" t="s">
        <v>26</v>
      </c>
      <c r="B371">
        <f>AVERAGEIF(Sheet1!B:B, A371, Sheet1!J:J)</f>
        <v>81.180582524271841</v>
      </c>
    </row>
    <row r="372" spans="1:2" x14ac:dyDescent="0.3">
      <c r="A372" t="s">
        <v>28</v>
      </c>
      <c r="B372" t="e">
        <f>AVERAGEIF(Sheet1!B:B, A372, Sheet1!J:J)</f>
        <v>#DIV/0!</v>
      </c>
    </row>
    <row r="373" spans="1:2" x14ac:dyDescent="0.3">
      <c r="A373" t="s">
        <v>28</v>
      </c>
      <c r="B373" t="e">
        <f>AVERAGEIF(Sheet1!B:B, A373, Sheet1!J:J)</f>
        <v>#DIV/0!</v>
      </c>
    </row>
    <row r="374" spans="1:2" x14ac:dyDescent="0.3">
      <c r="A374" t="s">
        <v>28</v>
      </c>
      <c r="B374" t="e">
        <f>AVERAGEIF(Sheet1!B:B, A374, Sheet1!J:J)</f>
        <v>#DIV/0!</v>
      </c>
    </row>
    <row r="375" spans="1:2" x14ac:dyDescent="0.3">
      <c r="A375" t="s">
        <v>26</v>
      </c>
      <c r="B375">
        <f>AVERAGEIF(Sheet1!B:B, A375, Sheet1!J:J)</f>
        <v>81.180582524271841</v>
      </c>
    </row>
    <row r="376" spans="1:2" x14ac:dyDescent="0.3">
      <c r="A376" t="s">
        <v>26</v>
      </c>
      <c r="B376">
        <f>AVERAGEIF(Sheet1!B:B, A376, Sheet1!J:J)</f>
        <v>81.180582524271841</v>
      </c>
    </row>
    <row r="377" spans="1:2" x14ac:dyDescent="0.3">
      <c r="A377" t="s">
        <v>26</v>
      </c>
      <c r="B377">
        <f>AVERAGEIF(Sheet1!B:B, A377, Sheet1!J:J)</f>
        <v>81.180582524271841</v>
      </c>
    </row>
    <row r="378" spans="1:2" x14ac:dyDescent="0.3">
      <c r="A378" t="s">
        <v>26</v>
      </c>
      <c r="B378">
        <f>AVERAGEIF(Sheet1!B:B, A378, Sheet1!J:J)</f>
        <v>81.180582524271841</v>
      </c>
    </row>
    <row r="379" spans="1:2" x14ac:dyDescent="0.3">
      <c r="A379" t="s">
        <v>26</v>
      </c>
      <c r="B379">
        <f>AVERAGEIF(Sheet1!B:B, A379, Sheet1!J:J)</f>
        <v>81.180582524271841</v>
      </c>
    </row>
    <row r="380" spans="1:2" x14ac:dyDescent="0.3">
      <c r="A380" t="s">
        <v>26</v>
      </c>
      <c r="B380">
        <f>AVERAGEIF(Sheet1!B:B, A380, Sheet1!J:J)</f>
        <v>81.180582524271841</v>
      </c>
    </row>
    <row r="381" spans="1:2" x14ac:dyDescent="0.3">
      <c r="A381" t="s">
        <v>26</v>
      </c>
      <c r="B381">
        <f>AVERAGEIF(Sheet1!B:B, A381, Sheet1!J:J)</f>
        <v>81.180582524271841</v>
      </c>
    </row>
    <row r="382" spans="1:2" x14ac:dyDescent="0.3">
      <c r="A382" t="s">
        <v>29</v>
      </c>
      <c r="B382">
        <f>AVERAGEIF(Sheet1!B:B, A382, Sheet1!J:J)</f>
        <v>28.166666666666668</v>
      </c>
    </row>
    <row r="383" spans="1:2" x14ac:dyDescent="0.3">
      <c r="A383" t="s">
        <v>30</v>
      </c>
      <c r="B383">
        <f>AVERAGEIF(Sheet1!B:B, A383, Sheet1!J:J)</f>
        <v>83.958333333333329</v>
      </c>
    </row>
    <row r="384" spans="1:2" x14ac:dyDescent="0.3">
      <c r="A384" t="s">
        <v>30</v>
      </c>
      <c r="B384">
        <f>AVERAGEIF(Sheet1!B:B, A384, Sheet1!J:J)</f>
        <v>83.958333333333329</v>
      </c>
    </row>
    <row r="385" spans="1:2" x14ac:dyDescent="0.3">
      <c r="A385" t="s">
        <v>30</v>
      </c>
      <c r="B385">
        <f>AVERAGEIF(Sheet1!B:B, A385, Sheet1!J:J)</f>
        <v>83.958333333333329</v>
      </c>
    </row>
    <row r="386" spans="1:2" x14ac:dyDescent="0.3">
      <c r="A386" t="s">
        <v>30</v>
      </c>
      <c r="B386">
        <f>AVERAGEIF(Sheet1!B:B, A386, Sheet1!J:J)</f>
        <v>83.958333333333329</v>
      </c>
    </row>
    <row r="387" spans="1:2" x14ac:dyDescent="0.3">
      <c r="A387" t="s">
        <v>30</v>
      </c>
      <c r="B387">
        <f>AVERAGEIF(Sheet1!B:B, A387, Sheet1!J:J)</f>
        <v>83.958333333333329</v>
      </c>
    </row>
    <row r="388" spans="1:2" x14ac:dyDescent="0.3">
      <c r="A388" t="s">
        <v>30</v>
      </c>
      <c r="B388">
        <f>AVERAGEIF(Sheet1!B:B, A388, Sheet1!J:J)</f>
        <v>83.958333333333329</v>
      </c>
    </row>
    <row r="389" spans="1:2" x14ac:dyDescent="0.3">
      <c r="A389" t="s">
        <v>30</v>
      </c>
      <c r="B389">
        <f>AVERAGEIF(Sheet1!B:B, A389, Sheet1!J:J)</f>
        <v>83.958333333333329</v>
      </c>
    </row>
    <row r="390" spans="1:2" x14ac:dyDescent="0.3">
      <c r="A390" t="s">
        <v>30</v>
      </c>
      <c r="B390">
        <f>AVERAGEIF(Sheet1!B:B, A390, Sheet1!J:J)</f>
        <v>83.958333333333329</v>
      </c>
    </row>
    <row r="391" spans="1:2" x14ac:dyDescent="0.3">
      <c r="A391" t="s">
        <v>31</v>
      </c>
      <c r="B391">
        <f>AVERAGEIF(Sheet1!B:B, A391, Sheet1!J:J)</f>
        <v>111.49520766773163</v>
      </c>
    </row>
    <row r="392" spans="1:2" x14ac:dyDescent="0.3">
      <c r="A392" t="s">
        <v>31</v>
      </c>
      <c r="B392">
        <f>AVERAGEIF(Sheet1!B:B, A392, Sheet1!J:J)</f>
        <v>111.49520766773163</v>
      </c>
    </row>
    <row r="393" spans="1:2" x14ac:dyDescent="0.3">
      <c r="A393" t="s">
        <v>31</v>
      </c>
      <c r="B393">
        <f>AVERAGEIF(Sheet1!B:B, A393, Sheet1!J:J)</f>
        <v>111.49520766773163</v>
      </c>
    </row>
    <row r="394" spans="1:2" x14ac:dyDescent="0.3">
      <c r="A394" t="s">
        <v>31</v>
      </c>
      <c r="B394">
        <f>AVERAGEIF(Sheet1!B:B, A394, Sheet1!J:J)</f>
        <v>111.49520766773163</v>
      </c>
    </row>
    <row r="395" spans="1:2" x14ac:dyDescent="0.3">
      <c r="A395" t="s">
        <v>31</v>
      </c>
      <c r="B395">
        <f>AVERAGEIF(Sheet1!B:B, A395, Sheet1!J:J)</f>
        <v>111.49520766773163</v>
      </c>
    </row>
    <row r="396" spans="1:2" x14ac:dyDescent="0.3">
      <c r="A396" t="s">
        <v>27</v>
      </c>
      <c r="B396">
        <f>AVERAGEIF(Sheet1!B:B, A396, Sheet1!J:J)</f>
        <v>82.383177570093451</v>
      </c>
    </row>
    <row r="397" spans="1:2" x14ac:dyDescent="0.3">
      <c r="A397" t="s">
        <v>27</v>
      </c>
      <c r="B397">
        <f>AVERAGEIF(Sheet1!B:B, A397, Sheet1!J:J)</f>
        <v>82.383177570093451</v>
      </c>
    </row>
    <row r="398" spans="1:2" x14ac:dyDescent="0.3">
      <c r="A398" t="s">
        <v>27</v>
      </c>
      <c r="B398">
        <f>AVERAGEIF(Sheet1!B:B, A398, Sheet1!J:J)</f>
        <v>82.383177570093451</v>
      </c>
    </row>
    <row r="399" spans="1:2" x14ac:dyDescent="0.3">
      <c r="A399" t="s">
        <v>27</v>
      </c>
      <c r="B399">
        <f>AVERAGEIF(Sheet1!B:B, A399, Sheet1!J:J)</f>
        <v>82.383177570093451</v>
      </c>
    </row>
    <row r="400" spans="1:2" x14ac:dyDescent="0.3">
      <c r="A400" t="s">
        <v>27</v>
      </c>
      <c r="B400">
        <f>AVERAGEIF(Sheet1!B:B, A400, Sheet1!J:J)</f>
        <v>82.383177570093451</v>
      </c>
    </row>
    <row r="401" spans="1:2" x14ac:dyDescent="0.3">
      <c r="A401" t="s">
        <v>27</v>
      </c>
      <c r="B401">
        <f>AVERAGEIF(Sheet1!B:B, A401, Sheet1!J:J)</f>
        <v>82.383177570093451</v>
      </c>
    </row>
    <row r="402" spans="1:2" x14ac:dyDescent="0.3">
      <c r="A402" t="s">
        <v>32</v>
      </c>
      <c r="B402">
        <f>AVERAGEIF(Sheet1!B:B, A402, Sheet1!J:J)</f>
        <v>43.571428571428569</v>
      </c>
    </row>
    <row r="403" spans="1:2" x14ac:dyDescent="0.3">
      <c r="A403" t="s">
        <v>30</v>
      </c>
      <c r="B403">
        <f>AVERAGEIF(Sheet1!B:B, A403, Sheet1!J:J)</f>
        <v>83.958333333333329</v>
      </c>
    </row>
    <row r="404" spans="1:2" x14ac:dyDescent="0.3">
      <c r="A404" t="s">
        <v>30</v>
      </c>
      <c r="B404">
        <f>AVERAGEIF(Sheet1!B:B, A404, Sheet1!J:J)</f>
        <v>83.958333333333329</v>
      </c>
    </row>
    <row r="405" spans="1:2" x14ac:dyDescent="0.3">
      <c r="A405" t="s">
        <v>31</v>
      </c>
      <c r="B405">
        <f>AVERAGEIF(Sheet1!B:B, A405, Sheet1!J:J)</f>
        <v>111.49520766773163</v>
      </c>
    </row>
    <row r="406" spans="1:2" x14ac:dyDescent="0.3">
      <c r="A406" t="s">
        <v>31</v>
      </c>
      <c r="B406">
        <f>AVERAGEIF(Sheet1!B:B, A406, Sheet1!J:J)</f>
        <v>111.49520766773163</v>
      </c>
    </row>
    <row r="407" spans="1:2" x14ac:dyDescent="0.3">
      <c r="A407" t="s">
        <v>31</v>
      </c>
      <c r="B407">
        <f>AVERAGEIF(Sheet1!B:B, A407, Sheet1!J:J)</f>
        <v>111.49520766773163</v>
      </c>
    </row>
    <row r="408" spans="1:2" x14ac:dyDescent="0.3">
      <c r="A408" t="s">
        <v>31</v>
      </c>
      <c r="B408">
        <f>AVERAGEIF(Sheet1!B:B, A408, Sheet1!J:J)</f>
        <v>111.49520766773163</v>
      </c>
    </row>
    <row r="409" spans="1:2" x14ac:dyDescent="0.3">
      <c r="A409" t="s">
        <v>31</v>
      </c>
      <c r="B409">
        <f>AVERAGEIF(Sheet1!B:B, A409, Sheet1!J:J)</f>
        <v>111.49520766773163</v>
      </c>
    </row>
    <row r="410" spans="1:2" x14ac:dyDescent="0.3">
      <c r="A410" t="s">
        <v>31</v>
      </c>
      <c r="B410">
        <f>AVERAGEIF(Sheet1!B:B, A410, Sheet1!J:J)</f>
        <v>111.49520766773163</v>
      </c>
    </row>
    <row r="411" spans="1:2" x14ac:dyDescent="0.3">
      <c r="A411" t="s">
        <v>31</v>
      </c>
      <c r="B411">
        <f>AVERAGEIF(Sheet1!B:B, A411, Sheet1!J:J)</f>
        <v>111.49520766773163</v>
      </c>
    </row>
    <row r="412" spans="1:2" x14ac:dyDescent="0.3">
      <c r="A412" t="s">
        <v>31</v>
      </c>
      <c r="B412">
        <f>AVERAGEIF(Sheet1!B:B, A412, Sheet1!J:J)</f>
        <v>111.49520766773163</v>
      </c>
    </row>
    <row r="413" spans="1:2" x14ac:dyDescent="0.3">
      <c r="A413" t="s">
        <v>31</v>
      </c>
      <c r="B413">
        <f>AVERAGEIF(Sheet1!B:B, A413, Sheet1!J:J)</f>
        <v>111.49520766773163</v>
      </c>
    </row>
    <row r="414" spans="1:2" x14ac:dyDescent="0.3">
      <c r="A414" t="s">
        <v>31</v>
      </c>
      <c r="B414">
        <f>AVERAGEIF(Sheet1!B:B, A414, Sheet1!J:J)</f>
        <v>111.49520766773163</v>
      </c>
    </row>
    <row r="415" spans="1:2" x14ac:dyDescent="0.3">
      <c r="A415" t="s">
        <v>31</v>
      </c>
      <c r="B415">
        <f>AVERAGEIF(Sheet1!B:B, A415, Sheet1!J:J)</f>
        <v>111.49520766773163</v>
      </c>
    </row>
    <row r="416" spans="1:2" x14ac:dyDescent="0.3">
      <c r="A416" t="s">
        <v>31</v>
      </c>
      <c r="B416">
        <f>AVERAGEIF(Sheet1!B:B, A416, Sheet1!J:J)</f>
        <v>111.49520766773163</v>
      </c>
    </row>
    <row r="417" spans="1:2" x14ac:dyDescent="0.3">
      <c r="A417" t="s">
        <v>31</v>
      </c>
      <c r="B417">
        <f>AVERAGEIF(Sheet1!B:B, A417, Sheet1!J:J)</f>
        <v>111.49520766773163</v>
      </c>
    </row>
    <row r="418" spans="1:2" x14ac:dyDescent="0.3">
      <c r="A418" t="s">
        <v>31</v>
      </c>
      <c r="B418">
        <f>AVERAGEIF(Sheet1!B:B, A418, Sheet1!J:J)</f>
        <v>111.49520766773163</v>
      </c>
    </row>
    <row r="419" spans="1:2" x14ac:dyDescent="0.3">
      <c r="A419" t="s">
        <v>31</v>
      </c>
      <c r="B419">
        <f>AVERAGEIF(Sheet1!B:B, A419, Sheet1!J:J)</f>
        <v>111.49520766773163</v>
      </c>
    </row>
    <row r="420" spans="1:2" x14ac:dyDescent="0.3">
      <c r="A420" t="s">
        <v>31</v>
      </c>
      <c r="B420">
        <f>AVERAGEIF(Sheet1!B:B, A420, Sheet1!J:J)</f>
        <v>111.49520766773163</v>
      </c>
    </row>
    <row r="421" spans="1:2" x14ac:dyDescent="0.3">
      <c r="A421" t="s">
        <v>31</v>
      </c>
      <c r="B421">
        <f>AVERAGEIF(Sheet1!B:B, A421, Sheet1!J:J)</f>
        <v>111.49520766773163</v>
      </c>
    </row>
    <row r="422" spans="1:2" x14ac:dyDescent="0.3">
      <c r="A422" t="s">
        <v>31</v>
      </c>
      <c r="B422">
        <f>AVERAGEIF(Sheet1!B:B, A422, Sheet1!J:J)</f>
        <v>111.49520766773163</v>
      </c>
    </row>
    <row r="423" spans="1:2" x14ac:dyDescent="0.3">
      <c r="A423" t="s">
        <v>31</v>
      </c>
      <c r="B423">
        <f>AVERAGEIF(Sheet1!B:B, A423, Sheet1!J:J)</f>
        <v>111.49520766773163</v>
      </c>
    </row>
    <row r="424" spans="1:2" x14ac:dyDescent="0.3">
      <c r="A424" t="s">
        <v>31</v>
      </c>
      <c r="B424">
        <f>AVERAGEIF(Sheet1!B:B, A424, Sheet1!J:J)</f>
        <v>111.49520766773163</v>
      </c>
    </row>
    <row r="425" spans="1:2" x14ac:dyDescent="0.3">
      <c r="A425" t="s">
        <v>31</v>
      </c>
      <c r="B425">
        <f>AVERAGEIF(Sheet1!B:B, A425, Sheet1!J:J)</f>
        <v>111.49520766773163</v>
      </c>
    </row>
    <row r="426" spans="1:2" x14ac:dyDescent="0.3">
      <c r="A426" t="s">
        <v>31</v>
      </c>
      <c r="B426">
        <f>AVERAGEIF(Sheet1!B:B, A426, Sheet1!J:J)</f>
        <v>111.49520766773163</v>
      </c>
    </row>
    <row r="427" spans="1:2" x14ac:dyDescent="0.3">
      <c r="A427" t="s">
        <v>31</v>
      </c>
      <c r="B427">
        <f>AVERAGEIF(Sheet1!B:B, A427, Sheet1!J:J)</f>
        <v>111.49520766773163</v>
      </c>
    </row>
    <row r="428" spans="1:2" x14ac:dyDescent="0.3">
      <c r="A428" t="s">
        <v>31</v>
      </c>
      <c r="B428">
        <f>AVERAGEIF(Sheet1!B:B, A428, Sheet1!J:J)</f>
        <v>111.49520766773163</v>
      </c>
    </row>
    <row r="429" spans="1:2" x14ac:dyDescent="0.3">
      <c r="A429" t="s">
        <v>31</v>
      </c>
      <c r="B429">
        <f>AVERAGEIF(Sheet1!B:B, A429, Sheet1!J:J)</f>
        <v>111.49520766773163</v>
      </c>
    </row>
    <row r="430" spans="1:2" x14ac:dyDescent="0.3">
      <c r="A430" t="s">
        <v>31</v>
      </c>
      <c r="B430">
        <f>AVERAGEIF(Sheet1!B:B, A430, Sheet1!J:J)</f>
        <v>111.49520766773163</v>
      </c>
    </row>
    <row r="431" spans="1:2" x14ac:dyDescent="0.3">
      <c r="A431" t="s">
        <v>31</v>
      </c>
      <c r="B431">
        <f>AVERAGEIF(Sheet1!B:B, A431, Sheet1!J:J)</f>
        <v>111.49520766773163</v>
      </c>
    </row>
    <row r="432" spans="1:2" x14ac:dyDescent="0.3">
      <c r="A432" t="s">
        <v>31</v>
      </c>
      <c r="B432">
        <f>AVERAGEIF(Sheet1!B:B, A432, Sheet1!J:J)</f>
        <v>111.49520766773163</v>
      </c>
    </row>
    <row r="433" spans="1:2" x14ac:dyDescent="0.3">
      <c r="A433" t="s">
        <v>31</v>
      </c>
      <c r="B433">
        <f>AVERAGEIF(Sheet1!B:B, A433, Sheet1!J:J)</f>
        <v>111.49520766773163</v>
      </c>
    </row>
    <row r="434" spans="1:2" x14ac:dyDescent="0.3">
      <c r="A434" t="s">
        <v>31</v>
      </c>
      <c r="B434">
        <f>AVERAGEIF(Sheet1!B:B, A434, Sheet1!J:J)</f>
        <v>111.49520766773163</v>
      </c>
    </row>
    <row r="435" spans="1:2" x14ac:dyDescent="0.3">
      <c r="A435" t="s">
        <v>31</v>
      </c>
      <c r="B435">
        <f>AVERAGEIF(Sheet1!B:B, A435, Sheet1!J:J)</f>
        <v>111.49520766773163</v>
      </c>
    </row>
    <row r="436" spans="1:2" x14ac:dyDescent="0.3">
      <c r="A436" t="s">
        <v>31</v>
      </c>
      <c r="B436">
        <f>AVERAGEIF(Sheet1!B:B, A436, Sheet1!J:J)</f>
        <v>111.49520766773163</v>
      </c>
    </row>
    <row r="437" spans="1:2" x14ac:dyDescent="0.3">
      <c r="A437" t="s">
        <v>31</v>
      </c>
      <c r="B437">
        <f>AVERAGEIF(Sheet1!B:B, A437, Sheet1!J:J)</f>
        <v>111.49520766773163</v>
      </c>
    </row>
    <row r="438" spans="1:2" x14ac:dyDescent="0.3">
      <c r="A438" t="s">
        <v>31</v>
      </c>
      <c r="B438">
        <f>AVERAGEIF(Sheet1!B:B, A438, Sheet1!J:J)</f>
        <v>111.49520766773163</v>
      </c>
    </row>
    <row r="439" spans="1:2" x14ac:dyDescent="0.3">
      <c r="A439" t="s">
        <v>31</v>
      </c>
      <c r="B439">
        <f>AVERAGEIF(Sheet1!B:B, A439, Sheet1!J:J)</f>
        <v>111.49520766773163</v>
      </c>
    </row>
    <row r="440" spans="1:2" x14ac:dyDescent="0.3">
      <c r="A440" t="s">
        <v>31</v>
      </c>
      <c r="B440">
        <f>AVERAGEIF(Sheet1!B:B, A440, Sheet1!J:J)</f>
        <v>111.49520766773163</v>
      </c>
    </row>
    <row r="441" spans="1:2" x14ac:dyDescent="0.3">
      <c r="A441" t="s">
        <v>31</v>
      </c>
      <c r="B441">
        <f>AVERAGEIF(Sheet1!B:B, A441, Sheet1!J:J)</f>
        <v>111.49520766773163</v>
      </c>
    </row>
    <row r="442" spans="1:2" x14ac:dyDescent="0.3">
      <c r="A442" t="s">
        <v>31</v>
      </c>
      <c r="B442">
        <f>AVERAGEIF(Sheet1!B:B, A442, Sheet1!J:J)</f>
        <v>111.49520766773163</v>
      </c>
    </row>
    <row r="443" spans="1:2" x14ac:dyDescent="0.3">
      <c r="A443" t="s">
        <v>31</v>
      </c>
      <c r="B443">
        <f>AVERAGEIF(Sheet1!B:B, A443, Sheet1!J:J)</f>
        <v>111.49520766773163</v>
      </c>
    </row>
    <row r="444" spans="1:2" x14ac:dyDescent="0.3">
      <c r="A444" t="s">
        <v>31</v>
      </c>
      <c r="B444">
        <f>AVERAGEIF(Sheet1!B:B, A444, Sheet1!J:J)</f>
        <v>111.49520766773163</v>
      </c>
    </row>
    <row r="445" spans="1:2" x14ac:dyDescent="0.3">
      <c r="A445" t="s">
        <v>31</v>
      </c>
      <c r="B445">
        <f>AVERAGEIF(Sheet1!B:B, A445, Sheet1!J:J)</f>
        <v>111.49520766773163</v>
      </c>
    </row>
    <row r="446" spans="1:2" x14ac:dyDescent="0.3">
      <c r="A446" t="s">
        <v>31</v>
      </c>
      <c r="B446">
        <f>AVERAGEIF(Sheet1!B:B, A446, Sheet1!J:J)</f>
        <v>111.49520766773163</v>
      </c>
    </row>
    <row r="447" spans="1:2" x14ac:dyDescent="0.3">
      <c r="A447" t="s">
        <v>31</v>
      </c>
      <c r="B447">
        <f>AVERAGEIF(Sheet1!B:B, A447, Sheet1!J:J)</f>
        <v>111.49520766773163</v>
      </c>
    </row>
    <row r="448" spans="1:2" x14ac:dyDescent="0.3">
      <c r="A448" t="s">
        <v>31</v>
      </c>
      <c r="B448">
        <f>AVERAGEIF(Sheet1!B:B, A448, Sheet1!J:J)</f>
        <v>111.49520766773163</v>
      </c>
    </row>
    <row r="449" spans="1:2" x14ac:dyDescent="0.3">
      <c r="A449" t="s">
        <v>31</v>
      </c>
      <c r="B449">
        <f>AVERAGEIF(Sheet1!B:B, A449, Sheet1!J:J)</f>
        <v>111.49520766773163</v>
      </c>
    </row>
    <row r="450" spans="1:2" x14ac:dyDescent="0.3">
      <c r="A450" t="s">
        <v>31</v>
      </c>
      <c r="B450">
        <f>AVERAGEIF(Sheet1!B:B, A450, Sheet1!J:J)</f>
        <v>111.49520766773163</v>
      </c>
    </row>
    <row r="451" spans="1:2" x14ac:dyDescent="0.3">
      <c r="A451" t="s">
        <v>31</v>
      </c>
      <c r="B451">
        <f>AVERAGEIF(Sheet1!B:B, A451, Sheet1!J:J)</f>
        <v>111.49520766773163</v>
      </c>
    </row>
    <row r="452" spans="1:2" x14ac:dyDescent="0.3">
      <c r="A452" t="s">
        <v>31</v>
      </c>
      <c r="B452">
        <f>AVERAGEIF(Sheet1!B:B, A452, Sheet1!J:J)</f>
        <v>111.49520766773163</v>
      </c>
    </row>
    <row r="453" spans="1:2" x14ac:dyDescent="0.3">
      <c r="A453" t="s">
        <v>31</v>
      </c>
      <c r="B453">
        <f>AVERAGEIF(Sheet1!B:B, A453, Sheet1!J:J)</f>
        <v>111.49520766773163</v>
      </c>
    </row>
    <row r="454" spans="1:2" x14ac:dyDescent="0.3">
      <c r="A454" t="s">
        <v>31</v>
      </c>
      <c r="B454">
        <f>AVERAGEIF(Sheet1!B:B, A454, Sheet1!J:J)</f>
        <v>111.49520766773163</v>
      </c>
    </row>
    <row r="455" spans="1:2" x14ac:dyDescent="0.3">
      <c r="A455" t="s">
        <v>31</v>
      </c>
      <c r="B455">
        <f>AVERAGEIF(Sheet1!B:B, A455, Sheet1!J:J)</f>
        <v>111.49520766773163</v>
      </c>
    </row>
    <row r="456" spans="1:2" x14ac:dyDescent="0.3">
      <c r="A456" t="s">
        <v>31</v>
      </c>
      <c r="B456">
        <f>AVERAGEIF(Sheet1!B:B, A456, Sheet1!J:J)</f>
        <v>111.49520766773163</v>
      </c>
    </row>
    <row r="457" spans="1:2" x14ac:dyDescent="0.3">
      <c r="A457" t="s">
        <v>31</v>
      </c>
      <c r="B457">
        <f>AVERAGEIF(Sheet1!B:B, A457, Sheet1!J:J)</f>
        <v>111.49520766773163</v>
      </c>
    </row>
    <row r="458" spans="1:2" x14ac:dyDescent="0.3">
      <c r="A458" t="s">
        <v>31</v>
      </c>
      <c r="B458">
        <f>AVERAGEIF(Sheet1!B:B, A458, Sheet1!J:J)</f>
        <v>111.49520766773163</v>
      </c>
    </row>
    <row r="459" spans="1:2" x14ac:dyDescent="0.3">
      <c r="A459" t="s">
        <v>31</v>
      </c>
      <c r="B459">
        <f>AVERAGEIF(Sheet1!B:B, A459, Sheet1!J:J)</f>
        <v>111.49520766773163</v>
      </c>
    </row>
    <row r="460" spans="1:2" x14ac:dyDescent="0.3">
      <c r="A460" t="s">
        <v>33</v>
      </c>
      <c r="B460">
        <f>AVERAGEIF(Sheet1!B:B, A460, Sheet1!J:J)</f>
        <v>34.873096446700508</v>
      </c>
    </row>
    <row r="461" spans="1:2" x14ac:dyDescent="0.3">
      <c r="A461" t="s">
        <v>33</v>
      </c>
      <c r="B461">
        <f>AVERAGEIF(Sheet1!B:B, A461, Sheet1!J:J)</f>
        <v>34.873096446700508</v>
      </c>
    </row>
    <row r="462" spans="1:2" x14ac:dyDescent="0.3">
      <c r="A462" t="s">
        <v>33</v>
      </c>
      <c r="B462">
        <f>AVERAGEIF(Sheet1!B:B, A462, Sheet1!J:J)</f>
        <v>34.873096446700508</v>
      </c>
    </row>
    <row r="463" spans="1:2" x14ac:dyDescent="0.3">
      <c r="A463" t="s">
        <v>33</v>
      </c>
      <c r="B463">
        <f>AVERAGEIF(Sheet1!B:B, A463, Sheet1!J:J)</f>
        <v>34.873096446700508</v>
      </c>
    </row>
    <row r="464" spans="1:2" x14ac:dyDescent="0.3">
      <c r="A464" t="s">
        <v>33</v>
      </c>
      <c r="B464">
        <f>AVERAGEIF(Sheet1!B:B, A464, Sheet1!J:J)</f>
        <v>34.873096446700508</v>
      </c>
    </row>
    <row r="465" spans="1:2" x14ac:dyDescent="0.3">
      <c r="A465" t="s">
        <v>33</v>
      </c>
      <c r="B465">
        <f>AVERAGEIF(Sheet1!B:B, A465, Sheet1!J:J)</f>
        <v>34.873096446700508</v>
      </c>
    </row>
    <row r="466" spans="1:2" x14ac:dyDescent="0.3">
      <c r="A466" t="s">
        <v>33</v>
      </c>
      <c r="B466">
        <f>AVERAGEIF(Sheet1!B:B, A466, Sheet1!J:J)</f>
        <v>34.873096446700508</v>
      </c>
    </row>
    <row r="467" spans="1:2" x14ac:dyDescent="0.3">
      <c r="A467" t="s">
        <v>33</v>
      </c>
      <c r="B467">
        <f>AVERAGEIF(Sheet1!B:B, A467, Sheet1!J:J)</f>
        <v>34.873096446700508</v>
      </c>
    </row>
    <row r="468" spans="1:2" x14ac:dyDescent="0.3">
      <c r="A468" t="s">
        <v>33</v>
      </c>
      <c r="B468">
        <f>AVERAGEIF(Sheet1!B:B, A468, Sheet1!J:J)</f>
        <v>34.873096446700508</v>
      </c>
    </row>
    <row r="469" spans="1:2" x14ac:dyDescent="0.3">
      <c r="A469" t="s">
        <v>33</v>
      </c>
      <c r="B469">
        <f>AVERAGEIF(Sheet1!B:B, A469, Sheet1!J:J)</f>
        <v>34.873096446700508</v>
      </c>
    </row>
    <row r="470" spans="1:2" x14ac:dyDescent="0.3">
      <c r="A470" t="s">
        <v>33</v>
      </c>
      <c r="B470">
        <f>AVERAGEIF(Sheet1!B:B, A470, Sheet1!J:J)</f>
        <v>34.873096446700508</v>
      </c>
    </row>
    <row r="471" spans="1:2" x14ac:dyDescent="0.3">
      <c r="A471" t="s">
        <v>33</v>
      </c>
      <c r="B471">
        <f>AVERAGEIF(Sheet1!B:B, A471, Sheet1!J:J)</f>
        <v>34.873096446700508</v>
      </c>
    </row>
    <row r="472" spans="1:2" x14ac:dyDescent="0.3">
      <c r="A472" t="s">
        <v>34</v>
      </c>
      <c r="B472">
        <f>AVERAGEIF(Sheet1!B:B, A472, Sheet1!J:J)</f>
        <v>85.5</v>
      </c>
    </row>
    <row r="473" spans="1:2" x14ac:dyDescent="0.3">
      <c r="A473" t="s">
        <v>33</v>
      </c>
      <c r="B473">
        <f>AVERAGEIF(Sheet1!B:B, A473, Sheet1!J:J)</f>
        <v>34.873096446700508</v>
      </c>
    </row>
    <row r="474" spans="1:2" x14ac:dyDescent="0.3">
      <c r="A474" t="s">
        <v>33</v>
      </c>
      <c r="B474">
        <f>AVERAGEIF(Sheet1!B:B, A474, Sheet1!J:J)</f>
        <v>34.873096446700508</v>
      </c>
    </row>
    <row r="475" spans="1:2" x14ac:dyDescent="0.3">
      <c r="A475" t="s">
        <v>33</v>
      </c>
      <c r="B475">
        <f>AVERAGEIF(Sheet1!B:B, A475, Sheet1!J:J)</f>
        <v>34.873096446700508</v>
      </c>
    </row>
    <row r="476" spans="1:2" x14ac:dyDescent="0.3">
      <c r="A476" t="s">
        <v>33</v>
      </c>
      <c r="B476">
        <f>AVERAGEIF(Sheet1!B:B, A476, Sheet1!J:J)</f>
        <v>34.873096446700508</v>
      </c>
    </row>
    <row r="477" spans="1:2" x14ac:dyDescent="0.3">
      <c r="A477" t="s">
        <v>33</v>
      </c>
      <c r="B477">
        <f>AVERAGEIF(Sheet1!B:B, A477, Sheet1!J:J)</f>
        <v>34.873096446700508</v>
      </c>
    </row>
    <row r="478" spans="1:2" x14ac:dyDescent="0.3">
      <c r="A478" t="s">
        <v>31</v>
      </c>
      <c r="B478">
        <f>AVERAGEIF(Sheet1!B:B, A478, Sheet1!J:J)</f>
        <v>111.49520766773163</v>
      </c>
    </row>
    <row r="479" spans="1:2" x14ac:dyDescent="0.3">
      <c r="A479" t="s">
        <v>31</v>
      </c>
      <c r="B479">
        <f>AVERAGEIF(Sheet1!B:B, A479, Sheet1!J:J)</f>
        <v>111.49520766773163</v>
      </c>
    </row>
    <row r="480" spans="1:2" x14ac:dyDescent="0.3">
      <c r="A480" t="s">
        <v>33</v>
      </c>
      <c r="B480">
        <f>AVERAGEIF(Sheet1!B:B, A480, Sheet1!J:J)</f>
        <v>34.873096446700508</v>
      </c>
    </row>
    <row r="481" spans="1:2" x14ac:dyDescent="0.3">
      <c r="A481" t="s">
        <v>33</v>
      </c>
      <c r="B481">
        <f>AVERAGEIF(Sheet1!B:B, A481, Sheet1!J:J)</f>
        <v>34.873096446700508</v>
      </c>
    </row>
    <row r="482" spans="1:2" x14ac:dyDescent="0.3">
      <c r="A482" t="s">
        <v>33</v>
      </c>
      <c r="B482">
        <f>AVERAGEIF(Sheet1!B:B, A482, Sheet1!J:J)</f>
        <v>34.873096446700508</v>
      </c>
    </row>
    <row r="483" spans="1:2" x14ac:dyDescent="0.3">
      <c r="A483" t="s">
        <v>33</v>
      </c>
      <c r="B483">
        <f>AVERAGEIF(Sheet1!B:B, A483, Sheet1!J:J)</f>
        <v>34.873096446700508</v>
      </c>
    </row>
    <row r="484" spans="1:2" x14ac:dyDescent="0.3">
      <c r="A484" t="s">
        <v>33</v>
      </c>
      <c r="B484">
        <f>AVERAGEIF(Sheet1!B:B, A484, Sheet1!J:J)</f>
        <v>34.873096446700508</v>
      </c>
    </row>
    <row r="485" spans="1:2" x14ac:dyDescent="0.3">
      <c r="A485" t="s">
        <v>33</v>
      </c>
      <c r="B485">
        <f>AVERAGEIF(Sheet1!B:B, A485, Sheet1!J:J)</f>
        <v>34.873096446700508</v>
      </c>
    </row>
    <row r="486" spans="1:2" x14ac:dyDescent="0.3">
      <c r="A486" t="s">
        <v>33</v>
      </c>
      <c r="B486">
        <f>AVERAGEIF(Sheet1!B:B, A486, Sheet1!J:J)</f>
        <v>34.873096446700508</v>
      </c>
    </row>
    <row r="487" spans="1:2" x14ac:dyDescent="0.3">
      <c r="A487" t="s">
        <v>33</v>
      </c>
      <c r="B487">
        <f>AVERAGEIF(Sheet1!B:B, A487, Sheet1!J:J)</f>
        <v>34.873096446700508</v>
      </c>
    </row>
    <row r="488" spans="1:2" x14ac:dyDescent="0.3">
      <c r="A488" t="s">
        <v>33</v>
      </c>
      <c r="B488">
        <f>AVERAGEIF(Sheet1!B:B, A488, Sheet1!J:J)</f>
        <v>34.873096446700508</v>
      </c>
    </row>
    <row r="489" spans="1:2" x14ac:dyDescent="0.3">
      <c r="A489" t="s">
        <v>33</v>
      </c>
      <c r="B489">
        <f>AVERAGEIF(Sheet1!B:B, A489, Sheet1!J:J)</f>
        <v>34.873096446700508</v>
      </c>
    </row>
    <row r="490" spans="1:2" x14ac:dyDescent="0.3">
      <c r="A490" t="s">
        <v>33</v>
      </c>
      <c r="B490">
        <f>AVERAGEIF(Sheet1!B:B, A490, Sheet1!J:J)</f>
        <v>34.873096446700508</v>
      </c>
    </row>
    <row r="491" spans="1:2" x14ac:dyDescent="0.3">
      <c r="A491" t="s">
        <v>33</v>
      </c>
      <c r="B491">
        <f>AVERAGEIF(Sheet1!B:B, A491, Sheet1!J:J)</f>
        <v>34.873096446700508</v>
      </c>
    </row>
    <row r="492" spans="1:2" x14ac:dyDescent="0.3">
      <c r="A492" t="s">
        <v>33</v>
      </c>
      <c r="B492">
        <f>AVERAGEIF(Sheet1!B:B, A492, Sheet1!J:J)</f>
        <v>34.873096446700508</v>
      </c>
    </row>
    <row r="493" spans="1:2" x14ac:dyDescent="0.3">
      <c r="A493" t="s">
        <v>35</v>
      </c>
      <c r="B493">
        <f>AVERAGEIF(Sheet1!B:B, A493, Sheet1!J:J)</f>
        <v>51.028169014084504</v>
      </c>
    </row>
    <row r="494" spans="1:2" x14ac:dyDescent="0.3">
      <c r="A494" t="s">
        <v>35</v>
      </c>
      <c r="B494">
        <f>AVERAGEIF(Sheet1!B:B, A494, Sheet1!J:J)</f>
        <v>51.028169014084504</v>
      </c>
    </row>
    <row r="495" spans="1:2" x14ac:dyDescent="0.3">
      <c r="A495" t="s">
        <v>35</v>
      </c>
      <c r="B495">
        <f>AVERAGEIF(Sheet1!B:B, A495, Sheet1!J:J)</f>
        <v>51.028169014084504</v>
      </c>
    </row>
    <row r="496" spans="1:2" x14ac:dyDescent="0.3">
      <c r="A496" t="s">
        <v>35</v>
      </c>
      <c r="B496">
        <f>AVERAGEIF(Sheet1!B:B, A496, Sheet1!J:J)</f>
        <v>51.028169014084504</v>
      </c>
    </row>
    <row r="497" spans="1:2" x14ac:dyDescent="0.3">
      <c r="A497" t="s">
        <v>35</v>
      </c>
      <c r="B497">
        <f>AVERAGEIF(Sheet1!B:B, A497, Sheet1!J:J)</f>
        <v>51.028169014084504</v>
      </c>
    </row>
    <row r="498" spans="1:2" x14ac:dyDescent="0.3">
      <c r="A498" t="s">
        <v>35</v>
      </c>
      <c r="B498">
        <f>AVERAGEIF(Sheet1!B:B, A498, Sheet1!J:J)</f>
        <v>51.028169014084504</v>
      </c>
    </row>
    <row r="499" spans="1:2" x14ac:dyDescent="0.3">
      <c r="A499" t="s">
        <v>35</v>
      </c>
      <c r="B499">
        <f>AVERAGEIF(Sheet1!B:B, A499, Sheet1!J:J)</f>
        <v>51.028169014084504</v>
      </c>
    </row>
    <row r="500" spans="1:2" x14ac:dyDescent="0.3">
      <c r="A500" t="s">
        <v>35</v>
      </c>
      <c r="B500">
        <f>AVERAGEIF(Sheet1!B:B, A500, Sheet1!J:J)</f>
        <v>51.028169014084504</v>
      </c>
    </row>
    <row r="501" spans="1:2" x14ac:dyDescent="0.3">
      <c r="A501" t="s">
        <v>35</v>
      </c>
      <c r="B501">
        <f>AVERAGEIF(Sheet1!B:B, A501, Sheet1!J:J)</f>
        <v>51.028169014084504</v>
      </c>
    </row>
    <row r="502" spans="1:2" x14ac:dyDescent="0.3">
      <c r="A502" t="s">
        <v>35</v>
      </c>
      <c r="B502">
        <f>AVERAGEIF(Sheet1!B:B, A502, Sheet1!J:J)</f>
        <v>51.028169014084504</v>
      </c>
    </row>
    <row r="503" spans="1:2" x14ac:dyDescent="0.3">
      <c r="A503" t="s">
        <v>35</v>
      </c>
      <c r="B503">
        <f>AVERAGEIF(Sheet1!B:B, A503, Sheet1!J:J)</f>
        <v>51.028169014084504</v>
      </c>
    </row>
    <row r="504" spans="1:2" x14ac:dyDescent="0.3">
      <c r="A504" t="s">
        <v>33</v>
      </c>
      <c r="B504">
        <f>AVERAGEIF(Sheet1!B:B, A504, Sheet1!J:J)</f>
        <v>34.873096446700508</v>
      </c>
    </row>
    <row r="505" spans="1:2" x14ac:dyDescent="0.3">
      <c r="A505" t="s">
        <v>33</v>
      </c>
      <c r="B505">
        <f>AVERAGEIF(Sheet1!B:B, A505, Sheet1!J:J)</f>
        <v>34.873096446700508</v>
      </c>
    </row>
    <row r="506" spans="1:2" x14ac:dyDescent="0.3">
      <c r="A506" t="s">
        <v>33</v>
      </c>
      <c r="B506">
        <f>AVERAGEIF(Sheet1!B:B, A506, Sheet1!J:J)</f>
        <v>34.873096446700508</v>
      </c>
    </row>
    <row r="507" spans="1:2" x14ac:dyDescent="0.3">
      <c r="A507" t="s">
        <v>36</v>
      </c>
      <c r="B507">
        <f>AVERAGEIF(Sheet1!B:B, A507, Sheet1!J:J)</f>
        <v>109.23547400611621</v>
      </c>
    </row>
    <row r="508" spans="1:2" x14ac:dyDescent="0.3">
      <c r="A508" t="s">
        <v>36</v>
      </c>
      <c r="B508">
        <f>AVERAGEIF(Sheet1!B:B, A508, Sheet1!J:J)</f>
        <v>109.23547400611621</v>
      </c>
    </row>
    <row r="509" spans="1:2" x14ac:dyDescent="0.3">
      <c r="A509" t="s">
        <v>36</v>
      </c>
      <c r="B509">
        <f>AVERAGEIF(Sheet1!B:B, A509, Sheet1!J:J)</f>
        <v>109.23547400611621</v>
      </c>
    </row>
    <row r="510" spans="1:2" x14ac:dyDescent="0.3">
      <c r="A510" t="s">
        <v>33</v>
      </c>
      <c r="B510">
        <f>AVERAGEIF(Sheet1!B:B, A510, Sheet1!J:J)</f>
        <v>34.873096446700508</v>
      </c>
    </row>
    <row r="511" spans="1:2" x14ac:dyDescent="0.3">
      <c r="A511" t="s">
        <v>35</v>
      </c>
      <c r="B511">
        <f>AVERAGEIF(Sheet1!B:B, A511, Sheet1!J:J)</f>
        <v>51.028169014084504</v>
      </c>
    </row>
    <row r="512" spans="1:2" x14ac:dyDescent="0.3">
      <c r="A512" t="s">
        <v>35</v>
      </c>
      <c r="B512">
        <f>AVERAGEIF(Sheet1!B:B, A512, Sheet1!J:J)</f>
        <v>51.028169014084504</v>
      </c>
    </row>
    <row r="513" spans="1:2" x14ac:dyDescent="0.3">
      <c r="A513" t="s">
        <v>36</v>
      </c>
      <c r="B513">
        <f>AVERAGEIF(Sheet1!B:B, A513, Sheet1!J:J)</f>
        <v>109.23547400611621</v>
      </c>
    </row>
    <row r="514" spans="1:2" x14ac:dyDescent="0.3">
      <c r="A514" t="s">
        <v>36</v>
      </c>
      <c r="B514">
        <f>AVERAGEIF(Sheet1!B:B, A514, Sheet1!J:J)</f>
        <v>109.23547400611621</v>
      </c>
    </row>
    <row r="515" spans="1:2" x14ac:dyDescent="0.3">
      <c r="A515" t="s">
        <v>36</v>
      </c>
      <c r="B515">
        <f>AVERAGEIF(Sheet1!B:B, A515, Sheet1!J:J)</f>
        <v>109.23547400611621</v>
      </c>
    </row>
    <row r="516" spans="1:2" x14ac:dyDescent="0.3">
      <c r="A516" t="s">
        <v>36</v>
      </c>
      <c r="B516">
        <f>AVERAGEIF(Sheet1!B:B, A516, Sheet1!J:J)</f>
        <v>109.23547400611621</v>
      </c>
    </row>
    <row r="517" spans="1:2" x14ac:dyDescent="0.3">
      <c r="A517" t="s">
        <v>36</v>
      </c>
      <c r="B517">
        <f>AVERAGEIF(Sheet1!B:B, A517, Sheet1!J:J)</f>
        <v>109.23547400611621</v>
      </c>
    </row>
    <row r="518" spans="1:2" x14ac:dyDescent="0.3">
      <c r="A518" t="s">
        <v>36</v>
      </c>
      <c r="B518">
        <f>AVERAGEIF(Sheet1!B:B, A518, Sheet1!J:J)</f>
        <v>109.23547400611621</v>
      </c>
    </row>
    <row r="519" spans="1:2" x14ac:dyDescent="0.3">
      <c r="A519" t="s">
        <v>36</v>
      </c>
      <c r="B519">
        <f>AVERAGEIF(Sheet1!B:B, A519, Sheet1!J:J)</f>
        <v>109.23547400611621</v>
      </c>
    </row>
    <row r="520" spans="1:2" x14ac:dyDescent="0.3">
      <c r="A520" t="s">
        <v>36</v>
      </c>
      <c r="B520">
        <f>AVERAGEIF(Sheet1!B:B, A520, Sheet1!J:J)</f>
        <v>109.23547400611621</v>
      </c>
    </row>
    <row r="521" spans="1:2" x14ac:dyDescent="0.3">
      <c r="A521" t="s">
        <v>36</v>
      </c>
      <c r="B521">
        <f>AVERAGEIF(Sheet1!B:B, A521, Sheet1!J:J)</f>
        <v>109.23547400611621</v>
      </c>
    </row>
    <row r="522" spans="1:2" x14ac:dyDescent="0.3">
      <c r="A522" t="s">
        <v>36</v>
      </c>
      <c r="B522">
        <f>AVERAGEIF(Sheet1!B:B, A522, Sheet1!J:J)</f>
        <v>109.23547400611621</v>
      </c>
    </row>
    <row r="523" spans="1:2" x14ac:dyDescent="0.3">
      <c r="A523" t="s">
        <v>36</v>
      </c>
      <c r="B523">
        <f>AVERAGEIF(Sheet1!B:B, A523, Sheet1!J:J)</f>
        <v>109.23547400611621</v>
      </c>
    </row>
    <row r="524" spans="1:2" x14ac:dyDescent="0.3">
      <c r="A524" t="s">
        <v>36</v>
      </c>
      <c r="B524">
        <f>AVERAGEIF(Sheet1!B:B, A524, Sheet1!J:J)</f>
        <v>109.23547400611621</v>
      </c>
    </row>
    <row r="525" spans="1:2" x14ac:dyDescent="0.3">
      <c r="A525" t="s">
        <v>36</v>
      </c>
      <c r="B525">
        <f>AVERAGEIF(Sheet1!B:B, A525, Sheet1!J:J)</f>
        <v>109.23547400611621</v>
      </c>
    </row>
    <row r="526" spans="1:2" x14ac:dyDescent="0.3">
      <c r="A526" t="s">
        <v>36</v>
      </c>
      <c r="B526">
        <f>AVERAGEIF(Sheet1!B:B, A526, Sheet1!J:J)</f>
        <v>109.23547400611621</v>
      </c>
    </row>
    <row r="527" spans="1:2" x14ac:dyDescent="0.3">
      <c r="A527" t="s">
        <v>36</v>
      </c>
      <c r="B527">
        <f>AVERAGEIF(Sheet1!B:B, A527, Sheet1!J:J)</f>
        <v>109.23547400611621</v>
      </c>
    </row>
    <row r="528" spans="1:2" x14ac:dyDescent="0.3">
      <c r="A528" t="s">
        <v>36</v>
      </c>
      <c r="B528">
        <f>AVERAGEIF(Sheet1!B:B, A528, Sheet1!J:J)</f>
        <v>109.23547400611621</v>
      </c>
    </row>
    <row r="529" spans="1:2" x14ac:dyDescent="0.3">
      <c r="A529" t="s">
        <v>36</v>
      </c>
      <c r="B529">
        <f>AVERAGEIF(Sheet1!B:B, A529, Sheet1!J:J)</f>
        <v>109.23547400611621</v>
      </c>
    </row>
    <row r="530" spans="1:2" x14ac:dyDescent="0.3">
      <c r="A530" t="s">
        <v>36</v>
      </c>
      <c r="B530">
        <f>AVERAGEIF(Sheet1!B:B, A530, Sheet1!J:J)</f>
        <v>109.23547400611621</v>
      </c>
    </row>
    <row r="531" spans="1:2" x14ac:dyDescent="0.3">
      <c r="A531" t="s">
        <v>36</v>
      </c>
      <c r="B531">
        <f>AVERAGEIF(Sheet1!B:B, A531, Sheet1!J:J)</f>
        <v>109.23547400611621</v>
      </c>
    </row>
    <row r="532" spans="1:2" x14ac:dyDescent="0.3">
      <c r="A532" t="s">
        <v>36</v>
      </c>
      <c r="B532">
        <f>AVERAGEIF(Sheet1!B:B, A532, Sheet1!J:J)</f>
        <v>109.23547400611621</v>
      </c>
    </row>
    <row r="533" spans="1:2" x14ac:dyDescent="0.3">
      <c r="A533" t="s">
        <v>36</v>
      </c>
      <c r="B533">
        <f>AVERAGEIF(Sheet1!B:B, A533, Sheet1!J:J)</f>
        <v>109.23547400611621</v>
      </c>
    </row>
    <row r="534" spans="1:2" x14ac:dyDescent="0.3">
      <c r="A534" t="s">
        <v>36</v>
      </c>
      <c r="B534">
        <f>AVERAGEIF(Sheet1!B:B, A534, Sheet1!J:J)</f>
        <v>109.23547400611621</v>
      </c>
    </row>
    <row r="535" spans="1:2" x14ac:dyDescent="0.3">
      <c r="A535" t="s">
        <v>36</v>
      </c>
      <c r="B535">
        <f>AVERAGEIF(Sheet1!B:B, A535, Sheet1!J:J)</f>
        <v>109.23547400611621</v>
      </c>
    </row>
    <row r="536" spans="1:2" x14ac:dyDescent="0.3">
      <c r="A536" t="s">
        <v>36</v>
      </c>
      <c r="B536">
        <f>AVERAGEIF(Sheet1!B:B, A536, Sheet1!J:J)</f>
        <v>109.23547400611621</v>
      </c>
    </row>
    <row r="537" spans="1:2" x14ac:dyDescent="0.3">
      <c r="A537" t="s">
        <v>36</v>
      </c>
      <c r="B537">
        <f>AVERAGEIF(Sheet1!B:B, A537, Sheet1!J:J)</f>
        <v>109.23547400611621</v>
      </c>
    </row>
    <row r="538" spans="1:2" x14ac:dyDescent="0.3">
      <c r="A538" t="s">
        <v>36</v>
      </c>
      <c r="B538">
        <f>AVERAGEIF(Sheet1!B:B, A538, Sheet1!J:J)</f>
        <v>109.23547400611621</v>
      </c>
    </row>
    <row r="539" spans="1:2" x14ac:dyDescent="0.3">
      <c r="A539" t="s">
        <v>36</v>
      </c>
      <c r="B539">
        <f>AVERAGEIF(Sheet1!B:B, A539, Sheet1!J:J)</f>
        <v>109.23547400611621</v>
      </c>
    </row>
    <row r="540" spans="1:2" x14ac:dyDescent="0.3">
      <c r="A540" t="s">
        <v>36</v>
      </c>
      <c r="B540">
        <f>AVERAGEIF(Sheet1!B:B, A540, Sheet1!J:J)</f>
        <v>109.23547400611621</v>
      </c>
    </row>
    <row r="541" spans="1:2" x14ac:dyDescent="0.3">
      <c r="A541" t="s">
        <v>36</v>
      </c>
      <c r="B541">
        <f>AVERAGEIF(Sheet1!B:B, A541, Sheet1!J:J)</f>
        <v>109.23547400611621</v>
      </c>
    </row>
    <row r="542" spans="1:2" x14ac:dyDescent="0.3">
      <c r="A542" t="s">
        <v>36</v>
      </c>
      <c r="B542">
        <f>AVERAGEIF(Sheet1!B:B, A542, Sheet1!J:J)</f>
        <v>109.23547400611621</v>
      </c>
    </row>
    <row r="543" spans="1:2" x14ac:dyDescent="0.3">
      <c r="A543" t="s">
        <v>36</v>
      </c>
      <c r="B543">
        <f>AVERAGEIF(Sheet1!B:B, A543, Sheet1!J:J)</f>
        <v>109.23547400611621</v>
      </c>
    </row>
    <row r="544" spans="1:2" x14ac:dyDescent="0.3">
      <c r="A544" t="s">
        <v>36</v>
      </c>
      <c r="B544">
        <f>AVERAGEIF(Sheet1!B:B, A544, Sheet1!J:J)</f>
        <v>109.23547400611621</v>
      </c>
    </row>
    <row r="545" spans="1:2" x14ac:dyDescent="0.3">
      <c r="A545" t="s">
        <v>36</v>
      </c>
      <c r="B545">
        <f>AVERAGEIF(Sheet1!B:B, A545, Sheet1!J:J)</f>
        <v>109.23547400611621</v>
      </c>
    </row>
    <row r="546" spans="1:2" x14ac:dyDescent="0.3">
      <c r="A546" t="s">
        <v>36</v>
      </c>
      <c r="B546">
        <f>AVERAGEIF(Sheet1!B:B, A546, Sheet1!J:J)</f>
        <v>109.23547400611621</v>
      </c>
    </row>
    <row r="547" spans="1:2" x14ac:dyDescent="0.3">
      <c r="A547" t="s">
        <v>36</v>
      </c>
      <c r="B547">
        <f>AVERAGEIF(Sheet1!B:B, A547, Sheet1!J:J)</f>
        <v>109.23547400611621</v>
      </c>
    </row>
    <row r="548" spans="1:2" x14ac:dyDescent="0.3">
      <c r="A548" t="s">
        <v>36</v>
      </c>
      <c r="B548">
        <f>AVERAGEIF(Sheet1!B:B, A548, Sheet1!J:J)</f>
        <v>109.23547400611621</v>
      </c>
    </row>
    <row r="549" spans="1:2" x14ac:dyDescent="0.3">
      <c r="A549" t="s">
        <v>36</v>
      </c>
      <c r="B549">
        <f>AVERAGEIF(Sheet1!B:B, A549, Sheet1!J:J)</f>
        <v>109.23547400611621</v>
      </c>
    </row>
    <row r="550" spans="1:2" x14ac:dyDescent="0.3">
      <c r="A550" t="s">
        <v>36</v>
      </c>
      <c r="B550">
        <f>AVERAGEIF(Sheet1!B:B, A550, Sheet1!J:J)</f>
        <v>109.23547400611621</v>
      </c>
    </row>
    <row r="551" spans="1:2" x14ac:dyDescent="0.3">
      <c r="A551" t="s">
        <v>36</v>
      </c>
      <c r="B551">
        <f>AVERAGEIF(Sheet1!B:B, A551, Sheet1!J:J)</f>
        <v>109.23547400611621</v>
      </c>
    </row>
    <row r="552" spans="1:2" x14ac:dyDescent="0.3">
      <c r="A552" t="s">
        <v>36</v>
      </c>
      <c r="B552">
        <f>AVERAGEIF(Sheet1!B:B, A552, Sheet1!J:J)</f>
        <v>109.23547400611621</v>
      </c>
    </row>
    <row r="553" spans="1:2" x14ac:dyDescent="0.3">
      <c r="A553" t="s">
        <v>36</v>
      </c>
      <c r="B553">
        <f>AVERAGEIF(Sheet1!B:B, A553, Sheet1!J:J)</f>
        <v>109.23547400611621</v>
      </c>
    </row>
    <row r="554" spans="1:2" x14ac:dyDescent="0.3">
      <c r="A554" t="s">
        <v>36</v>
      </c>
      <c r="B554">
        <f>AVERAGEIF(Sheet1!B:B, A554, Sheet1!J:J)</f>
        <v>109.23547400611621</v>
      </c>
    </row>
    <row r="555" spans="1:2" x14ac:dyDescent="0.3">
      <c r="A555" t="s">
        <v>36</v>
      </c>
      <c r="B555">
        <f>AVERAGEIF(Sheet1!B:B, A555, Sheet1!J:J)</f>
        <v>109.23547400611621</v>
      </c>
    </row>
    <row r="556" spans="1:2" x14ac:dyDescent="0.3">
      <c r="A556" t="s">
        <v>36</v>
      </c>
      <c r="B556">
        <f>AVERAGEIF(Sheet1!B:B, A556, Sheet1!J:J)</f>
        <v>109.23547400611621</v>
      </c>
    </row>
    <row r="557" spans="1:2" x14ac:dyDescent="0.3">
      <c r="A557" t="s">
        <v>36</v>
      </c>
      <c r="B557">
        <f>AVERAGEIF(Sheet1!B:B, A557, Sheet1!J:J)</f>
        <v>109.23547400611621</v>
      </c>
    </row>
    <row r="558" spans="1:2" x14ac:dyDescent="0.3">
      <c r="A558" t="s">
        <v>36</v>
      </c>
      <c r="B558">
        <f>AVERAGEIF(Sheet1!B:B, A558, Sheet1!J:J)</f>
        <v>109.23547400611621</v>
      </c>
    </row>
    <row r="559" spans="1:2" x14ac:dyDescent="0.3">
      <c r="A559" t="s">
        <v>36</v>
      </c>
      <c r="B559">
        <f>AVERAGEIF(Sheet1!B:B, A559, Sheet1!J:J)</f>
        <v>109.23547400611621</v>
      </c>
    </row>
    <row r="560" spans="1:2" x14ac:dyDescent="0.3">
      <c r="A560" t="s">
        <v>36</v>
      </c>
      <c r="B560">
        <f>AVERAGEIF(Sheet1!B:B, A560, Sheet1!J:J)</f>
        <v>109.23547400611621</v>
      </c>
    </row>
    <row r="561" spans="1:2" x14ac:dyDescent="0.3">
      <c r="A561" t="s">
        <v>36</v>
      </c>
      <c r="B561">
        <f>AVERAGEIF(Sheet1!B:B, A561, Sheet1!J:J)</f>
        <v>109.23547400611621</v>
      </c>
    </row>
    <row r="562" spans="1:2" x14ac:dyDescent="0.3">
      <c r="A562" t="s">
        <v>36</v>
      </c>
      <c r="B562">
        <f>AVERAGEIF(Sheet1!B:B, A562, Sheet1!J:J)</f>
        <v>109.23547400611621</v>
      </c>
    </row>
    <row r="563" spans="1:2" x14ac:dyDescent="0.3">
      <c r="A563" t="s">
        <v>36</v>
      </c>
      <c r="B563">
        <f>AVERAGEIF(Sheet1!B:B, A563, Sheet1!J:J)</f>
        <v>109.23547400611621</v>
      </c>
    </row>
    <row r="564" spans="1:2" x14ac:dyDescent="0.3">
      <c r="A564" t="s">
        <v>36</v>
      </c>
      <c r="B564">
        <f>AVERAGEIF(Sheet1!B:B, A564, Sheet1!J:J)</f>
        <v>109.23547400611621</v>
      </c>
    </row>
    <row r="565" spans="1:2" x14ac:dyDescent="0.3">
      <c r="A565" t="s">
        <v>36</v>
      </c>
      <c r="B565">
        <f>AVERAGEIF(Sheet1!B:B, A565, Sheet1!J:J)</f>
        <v>109.23547400611621</v>
      </c>
    </row>
    <row r="566" spans="1:2" x14ac:dyDescent="0.3">
      <c r="A566" t="s">
        <v>36</v>
      </c>
      <c r="B566">
        <f>AVERAGEIF(Sheet1!B:B, A566, Sheet1!J:J)</f>
        <v>109.23547400611621</v>
      </c>
    </row>
    <row r="567" spans="1:2" x14ac:dyDescent="0.3">
      <c r="A567" t="s">
        <v>37</v>
      </c>
      <c r="B567">
        <f>AVERAGEIF(Sheet1!B:B, A567, Sheet1!J:J)</f>
        <v>82.95</v>
      </c>
    </row>
    <row r="568" spans="1:2" x14ac:dyDescent="0.3">
      <c r="A568" t="s">
        <v>37</v>
      </c>
      <c r="B568">
        <f>AVERAGEIF(Sheet1!B:B, A568, Sheet1!J:J)</f>
        <v>82.95</v>
      </c>
    </row>
    <row r="569" spans="1:2" x14ac:dyDescent="0.3">
      <c r="A569" t="s">
        <v>37</v>
      </c>
      <c r="B569">
        <f>AVERAGEIF(Sheet1!B:B, A569, Sheet1!J:J)</f>
        <v>82.95</v>
      </c>
    </row>
    <row r="570" spans="1:2" x14ac:dyDescent="0.3">
      <c r="A570" t="s">
        <v>38</v>
      </c>
      <c r="B570">
        <f>AVERAGEIF(Sheet1!B:B, A570, Sheet1!J:J)</f>
        <v>67.710144927536234</v>
      </c>
    </row>
    <row r="571" spans="1:2" x14ac:dyDescent="0.3">
      <c r="A571" t="s">
        <v>38</v>
      </c>
      <c r="B571">
        <f>AVERAGEIF(Sheet1!B:B, A571, Sheet1!J:J)</f>
        <v>67.710144927536234</v>
      </c>
    </row>
    <row r="572" spans="1:2" x14ac:dyDescent="0.3">
      <c r="A572" t="s">
        <v>38</v>
      </c>
      <c r="B572">
        <f>AVERAGEIF(Sheet1!B:B, A572, Sheet1!J:J)</f>
        <v>67.710144927536234</v>
      </c>
    </row>
    <row r="573" spans="1:2" x14ac:dyDescent="0.3">
      <c r="A573" t="s">
        <v>38</v>
      </c>
      <c r="B573">
        <f>AVERAGEIF(Sheet1!B:B, A573, Sheet1!J:J)</f>
        <v>67.710144927536234</v>
      </c>
    </row>
    <row r="574" spans="1:2" x14ac:dyDescent="0.3">
      <c r="A574" t="s">
        <v>38</v>
      </c>
      <c r="B574">
        <f>AVERAGEIF(Sheet1!B:B, A574, Sheet1!J:J)</f>
        <v>67.710144927536234</v>
      </c>
    </row>
    <row r="575" spans="1:2" x14ac:dyDescent="0.3">
      <c r="A575" t="s">
        <v>38</v>
      </c>
      <c r="B575">
        <f>AVERAGEIF(Sheet1!B:B, A575, Sheet1!J:J)</f>
        <v>67.710144927536234</v>
      </c>
    </row>
    <row r="576" spans="1:2" x14ac:dyDescent="0.3">
      <c r="A576" t="s">
        <v>38</v>
      </c>
      <c r="B576">
        <f>AVERAGEIF(Sheet1!B:B, A576, Sheet1!J:J)</f>
        <v>67.710144927536234</v>
      </c>
    </row>
    <row r="577" spans="1:2" x14ac:dyDescent="0.3">
      <c r="A577" t="s">
        <v>38</v>
      </c>
      <c r="B577">
        <f>AVERAGEIF(Sheet1!B:B, A577, Sheet1!J:J)</f>
        <v>67.710144927536234</v>
      </c>
    </row>
    <row r="578" spans="1:2" x14ac:dyDescent="0.3">
      <c r="A578" t="s">
        <v>38</v>
      </c>
      <c r="B578">
        <f>AVERAGEIF(Sheet1!B:B, A578, Sheet1!J:J)</f>
        <v>67.710144927536234</v>
      </c>
    </row>
    <row r="579" spans="1:2" x14ac:dyDescent="0.3">
      <c r="A579" t="s">
        <v>38</v>
      </c>
      <c r="B579">
        <f>AVERAGEIF(Sheet1!B:B, A579, Sheet1!J:J)</f>
        <v>67.710144927536234</v>
      </c>
    </row>
    <row r="580" spans="1:2" x14ac:dyDescent="0.3">
      <c r="A580" t="s">
        <v>38</v>
      </c>
      <c r="B580">
        <f>AVERAGEIF(Sheet1!B:B, A580, Sheet1!J:J)</f>
        <v>67.710144927536234</v>
      </c>
    </row>
    <row r="581" spans="1:2" x14ac:dyDescent="0.3">
      <c r="A581" t="s">
        <v>38</v>
      </c>
      <c r="B581">
        <f>AVERAGEIF(Sheet1!B:B, A581, Sheet1!J:J)</f>
        <v>67.710144927536234</v>
      </c>
    </row>
    <row r="582" spans="1:2" x14ac:dyDescent="0.3">
      <c r="A582" t="s">
        <v>38</v>
      </c>
      <c r="B582">
        <f>AVERAGEIF(Sheet1!B:B, A582, Sheet1!J:J)</f>
        <v>67.710144927536234</v>
      </c>
    </row>
    <row r="583" spans="1:2" x14ac:dyDescent="0.3">
      <c r="A583" t="s">
        <v>38</v>
      </c>
      <c r="B583">
        <f>AVERAGEIF(Sheet1!B:B, A583, Sheet1!J:J)</f>
        <v>67.710144927536234</v>
      </c>
    </row>
    <row r="584" spans="1:2" x14ac:dyDescent="0.3">
      <c r="A584" t="s">
        <v>38</v>
      </c>
      <c r="B584">
        <f>AVERAGEIF(Sheet1!B:B, A584, Sheet1!J:J)</f>
        <v>67.710144927536234</v>
      </c>
    </row>
    <row r="585" spans="1:2" x14ac:dyDescent="0.3">
      <c r="A585" t="s">
        <v>36</v>
      </c>
      <c r="B585">
        <f>AVERAGEIF(Sheet1!B:B, A585, Sheet1!J:J)</f>
        <v>109.23547400611621</v>
      </c>
    </row>
    <row r="586" spans="1:2" x14ac:dyDescent="0.3">
      <c r="A586" t="s">
        <v>36</v>
      </c>
      <c r="B586">
        <f>AVERAGEIF(Sheet1!B:B, A586, Sheet1!J:J)</f>
        <v>109.23547400611621</v>
      </c>
    </row>
    <row r="587" spans="1:2" x14ac:dyDescent="0.3">
      <c r="A587" t="s">
        <v>36</v>
      </c>
      <c r="B587">
        <f>AVERAGEIF(Sheet1!B:B, A587, Sheet1!J:J)</f>
        <v>109.23547400611621</v>
      </c>
    </row>
    <row r="588" spans="1:2" x14ac:dyDescent="0.3">
      <c r="A588" t="s">
        <v>38</v>
      </c>
      <c r="B588">
        <f>AVERAGEIF(Sheet1!B:B, A588, Sheet1!J:J)</f>
        <v>67.710144927536234</v>
      </c>
    </row>
    <row r="589" spans="1:2" x14ac:dyDescent="0.3">
      <c r="A589" t="s">
        <v>36</v>
      </c>
      <c r="B589">
        <f>AVERAGEIF(Sheet1!B:B, A589, Sheet1!J:J)</f>
        <v>109.23547400611621</v>
      </c>
    </row>
    <row r="590" spans="1:2" x14ac:dyDescent="0.3">
      <c r="A590" t="s">
        <v>38</v>
      </c>
      <c r="B590">
        <f>AVERAGEIF(Sheet1!B:B, A590, Sheet1!J:J)</f>
        <v>67.710144927536234</v>
      </c>
    </row>
    <row r="591" spans="1:2" x14ac:dyDescent="0.3">
      <c r="A591" t="s">
        <v>38</v>
      </c>
      <c r="B591">
        <f>AVERAGEIF(Sheet1!B:B, A591, Sheet1!J:J)</f>
        <v>67.710144927536234</v>
      </c>
    </row>
    <row r="592" spans="1:2" x14ac:dyDescent="0.3">
      <c r="A592" t="s">
        <v>38</v>
      </c>
      <c r="B592">
        <f>AVERAGEIF(Sheet1!B:B, A592, Sheet1!J:J)</f>
        <v>67.710144927536234</v>
      </c>
    </row>
    <row r="593" spans="1:2" x14ac:dyDescent="0.3">
      <c r="A593" t="s">
        <v>38</v>
      </c>
      <c r="B593">
        <f>AVERAGEIF(Sheet1!B:B, A593, Sheet1!J:J)</f>
        <v>67.710144927536234</v>
      </c>
    </row>
    <row r="594" spans="1:2" x14ac:dyDescent="0.3">
      <c r="A594" t="s">
        <v>38</v>
      </c>
      <c r="B594">
        <f>AVERAGEIF(Sheet1!B:B, A594, Sheet1!J:J)</f>
        <v>67.710144927536234</v>
      </c>
    </row>
    <row r="595" spans="1:2" x14ac:dyDescent="0.3">
      <c r="A595" t="s">
        <v>38</v>
      </c>
      <c r="B595">
        <f>AVERAGEIF(Sheet1!B:B, A595, Sheet1!J:J)</f>
        <v>67.710144927536234</v>
      </c>
    </row>
    <row r="596" spans="1:2" x14ac:dyDescent="0.3">
      <c r="A596" t="s">
        <v>38</v>
      </c>
      <c r="B596">
        <f>AVERAGEIF(Sheet1!B:B, A596, Sheet1!J:J)</f>
        <v>67.710144927536234</v>
      </c>
    </row>
    <row r="597" spans="1:2" x14ac:dyDescent="0.3">
      <c r="A597" t="s">
        <v>38</v>
      </c>
      <c r="B597">
        <f>AVERAGEIF(Sheet1!B:B, A597, Sheet1!J:J)</f>
        <v>67.710144927536234</v>
      </c>
    </row>
    <row r="598" spans="1:2" x14ac:dyDescent="0.3">
      <c r="A598" t="s">
        <v>38</v>
      </c>
      <c r="B598">
        <f>AVERAGEIF(Sheet1!B:B, A598, Sheet1!J:J)</f>
        <v>67.710144927536234</v>
      </c>
    </row>
    <row r="599" spans="1:2" x14ac:dyDescent="0.3">
      <c r="A599" t="s">
        <v>38</v>
      </c>
      <c r="B599">
        <f>AVERAGEIF(Sheet1!B:B, A599, Sheet1!J:J)</f>
        <v>67.710144927536234</v>
      </c>
    </row>
    <row r="600" spans="1:2" x14ac:dyDescent="0.3">
      <c r="A600" t="s">
        <v>38</v>
      </c>
      <c r="B600">
        <f>AVERAGEIF(Sheet1!B:B, A600, Sheet1!J:J)</f>
        <v>67.710144927536234</v>
      </c>
    </row>
    <row r="601" spans="1:2" x14ac:dyDescent="0.3">
      <c r="A601" t="s">
        <v>38</v>
      </c>
      <c r="B601">
        <f>AVERAGEIF(Sheet1!B:B, A601, Sheet1!J:J)</f>
        <v>67.710144927536234</v>
      </c>
    </row>
    <row r="602" spans="1:2" x14ac:dyDescent="0.3">
      <c r="A602" t="s">
        <v>38</v>
      </c>
      <c r="B602">
        <f>AVERAGEIF(Sheet1!B:B, A602, Sheet1!J:J)</f>
        <v>67.710144927536234</v>
      </c>
    </row>
    <row r="603" spans="1:2" x14ac:dyDescent="0.3">
      <c r="A603" t="s">
        <v>38</v>
      </c>
      <c r="B603">
        <f>AVERAGEIF(Sheet1!B:B, A603, Sheet1!J:J)</f>
        <v>67.710144927536234</v>
      </c>
    </row>
    <row r="604" spans="1:2" x14ac:dyDescent="0.3">
      <c r="A604" t="s">
        <v>38</v>
      </c>
      <c r="B604">
        <f>AVERAGEIF(Sheet1!B:B, A604, Sheet1!J:J)</f>
        <v>67.710144927536234</v>
      </c>
    </row>
    <row r="605" spans="1:2" x14ac:dyDescent="0.3">
      <c r="A605" t="s">
        <v>38</v>
      </c>
      <c r="B605">
        <f>AVERAGEIF(Sheet1!B:B, A605, Sheet1!J:J)</f>
        <v>67.710144927536234</v>
      </c>
    </row>
    <row r="606" spans="1:2" x14ac:dyDescent="0.3">
      <c r="A606" t="s">
        <v>14</v>
      </c>
      <c r="B606">
        <f>AVERAGEIF(Sheet1!B:B, A606, Sheet1!J:J)</f>
        <v>49.578313253012048</v>
      </c>
    </row>
    <row r="607" spans="1:2" x14ac:dyDescent="0.3">
      <c r="A607" t="s">
        <v>14</v>
      </c>
      <c r="B607">
        <f>AVERAGEIF(Sheet1!B:B, A607, Sheet1!J:J)</f>
        <v>49.578313253012048</v>
      </c>
    </row>
    <row r="608" spans="1:2" x14ac:dyDescent="0.3">
      <c r="A608" t="s">
        <v>14</v>
      </c>
      <c r="B608">
        <f>AVERAGEIF(Sheet1!B:B, A608, Sheet1!J:J)</f>
        <v>49.578313253012048</v>
      </c>
    </row>
    <row r="609" spans="1:2" x14ac:dyDescent="0.3">
      <c r="A609" t="s">
        <v>14</v>
      </c>
      <c r="B609">
        <f>AVERAGEIF(Sheet1!B:B, A609, Sheet1!J:J)</f>
        <v>49.578313253012048</v>
      </c>
    </row>
    <row r="610" spans="1:2" x14ac:dyDescent="0.3">
      <c r="A610" t="s">
        <v>14</v>
      </c>
      <c r="B610">
        <f>AVERAGEIF(Sheet1!B:B, A610, Sheet1!J:J)</f>
        <v>49.578313253012048</v>
      </c>
    </row>
    <row r="611" spans="1:2" x14ac:dyDescent="0.3">
      <c r="A611" t="s">
        <v>14</v>
      </c>
      <c r="B611">
        <f>AVERAGEIF(Sheet1!B:B, A611, Sheet1!J:J)</f>
        <v>49.578313253012048</v>
      </c>
    </row>
    <row r="612" spans="1:2" x14ac:dyDescent="0.3">
      <c r="A612" t="s">
        <v>14</v>
      </c>
      <c r="B612">
        <f>AVERAGEIF(Sheet1!B:B, A612, Sheet1!J:J)</f>
        <v>49.578313253012048</v>
      </c>
    </row>
    <row r="613" spans="1:2" x14ac:dyDescent="0.3">
      <c r="A613" t="s">
        <v>14</v>
      </c>
      <c r="B613">
        <f>AVERAGEIF(Sheet1!B:B, A613, Sheet1!J:J)</f>
        <v>49.578313253012048</v>
      </c>
    </row>
    <row r="614" spans="1:2" x14ac:dyDescent="0.3">
      <c r="A614" t="s">
        <v>13</v>
      </c>
      <c r="B614">
        <f>AVERAGEIF(Sheet1!B:B, A614, Sheet1!J:J)</f>
        <v>89.015706806282722</v>
      </c>
    </row>
    <row r="615" spans="1:2" x14ac:dyDescent="0.3">
      <c r="A615" t="s">
        <v>13</v>
      </c>
      <c r="B615">
        <f>AVERAGEIF(Sheet1!B:B, A615, Sheet1!J:J)</f>
        <v>89.015706806282722</v>
      </c>
    </row>
    <row r="616" spans="1:2" x14ac:dyDescent="0.3">
      <c r="A616" t="s">
        <v>13</v>
      </c>
      <c r="B616">
        <f>AVERAGEIF(Sheet1!B:B, A616, Sheet1!J:J)</f>
        <v>89.015706806282722</v>
      </c>
    </row>
    <row r="617" spans="1:2" x14ac:dyDescent="0.3">
      <c r="A617" t="s">
        <v>13</v>
      </c>
      <c r="B617">
        <f>AVERAGEIF(Sheet1!B:B, A617, Sheet1!J:J)</f>
        <v>89.015706806282722</v>
      </c>
    </row>
    <row r="618" spans="1:2" x14ac:dyDescent="0.3">
      <c r="A618" t="s">
        <v>13</v>
      </c>
      <c r="B618">
        <f>AVERAGEIF(Sheet1!B:B, A618, Sheet1!J:J)</f>
        <v>89.015706806282722</v>
      </c>
    </row>
    <row r="619" spans="1:2" x14ac:dyDescent="0.3">
      <c r="A619" t="s">
        <v>14</v>
      </c>
      <c r="B619">
        <f>AVERAGEIF(Sheet1!B:B, A619, Sheet1!J:J)</f>
        <v>49.578313253012048</v>
      </c>
    </row>
    <row r="620" spans="1:2" x14ac:dyDescent="0.3">
      <c r="A620" t="s">
        <v>14</v>
      </c>
      <c r="B620">
        <f>AVERAGEIF(Sheet1!B:B, A620, Sheet1!J:J)</f>
        <v>49.578313253012048</v>
      </c>
    </row>
    <row r="621" spans="1:2" x14ac:dyDescent="0.3">
      <c r="A621" t="s">
        <v>14</v>
      </c>
      <c r="B621">
        <f>AVERAGEIF(Sheet1!B:B, A621, Sheet1!J:J)</f>
        <v>49.578313253012048</v>
      </c>
    </row>
    <row r="622" spans="1:2" x14ac:dyDescent="0.3">
      <c r="A622" t="s">
        <v>14</v>
      </c>
      <c r="B622">
        <f>AVERAGEIF(Sheet1!B:B, A622, Sheet1!J:J)</f>
        <v>49.578313253012048</v>
      </c>
    </row>
    <row r="623" spans="1:2" x14ac:dyDescent="0.3">
      <c r="A623" t="s">
        <v>14</v>
      </c>
      <c r="B623">
        <f>AVERAGEIF(Sheet1!B:B, A623, Sheet1!J:J)</f>
        <v>49.578313253012048</v>
      </c>
    </row>
    <row r="624" spans="1:2" x14ac:dyDescent="0.3">
      <c r="A624" t="s">
        <v>14</v>
      </c>
      <c r="B624">
        <f>AVERAGEIF(Sheet1!B:B, A624, Sheet1!J:J)</f>
        <v>49.578313253012048</v>
      </c>
    </row>
    <row r="625" spans="1:2" x14ac:dyDescent="0.3">
      <c r="A625" t="s">
        <v>13</v>
      </c>
      <c r="B625">
        <f>AVERAGEIF(Sheet1!B:B, A625, Sheet1!J:J)</f>
        <v>89.015706806282722</v>
      </c>
    </row>
    <row r="626" spans="1:2" x14ac:dyDescent="0.3">
      <c r="A626" t="s">
        <v>13</v>
      </c>
      <c r="B626">
        <f>AVERAGEIF(Sheet1!B:B, A626, Sheet1!J:J)</f>
        <v>89.015706806282722</v>
      </c>
    </row>
    <row r="627" spans="1:2" x14ac:dyDescent="0.3">
      <c r="A627" t="s">
        <v>14</v>
      </c>
      <c r="B627">
        <f>AVERAGEIF(Sheet1!B:B, A627, Sheet1!J:J)</f>
        <v>49.578313253012048</v>
      </c>
    </row>
    <row r="628" spans="1:2" x14ac:dyDescent="0.3">
      <c r="A628" t="s">
        <v>14</v>
      </c>
      <c r="B628">
        <f>AVERAGEIF(Sheet1!B:B, A628, Sheet1!J:J)</f>
        <v>49.578313253012048</v>
      </c>
    </row>
    <row r="629" spans="1:2" x14ac:dyDescent="0.3">
      <c r="A629" t="s">
        <v>12</v>
      </c>
      <c r="B629">
        <f>AVERAGEIF(Sheet1!B:B, A629, Sheet1!J:J)</f>
        <v>74.65384615384616</v>
      </c>
    </row>
    <row r="630" spans="1:2" x14ac:dyDescent="0.3">
      <c r="A630" t="s">
        <v>12</v>
      </c>
      <c r="B630">
        <f>AVERAGEIF(Sheet1!B:B, A630, Sheet1!J:J)</f>
        <v>74.65384615384616</v>
      </c>
    </row>
    <row r="631" spans="1:2" x14ac:dyDescent="0.3">
      <c r="A631" t="s">
        <v>14</v>
      </c>
      <c r="B631">
        <f>AVERAGEIF(Sheet1!B:B, A631, Sheet1!J:J)</f>
        <v>49.578313253012048</v>
      </c>
    </row>
    <row r="632" spans="1:2" x14ac:dyDescent="0.3">
      <c r="A632" t="s">
        <v>12</v>
      </c>
      <c r="B632">
        <f>AVERAGEIF(Sheet1!B:B, A632, Sheet1!J:J)</f>
        <v>74.65384615384616</v>
      </c>
    </row>
    <row r="633" spans="1:2" x14ac:dyDescent="0.3">
      <c r="A633" t="s">
        <v>12</v>
      </c>
      <c r="B633">
        <f>AVERAGEIF(Sheet1!B:B, A633, Sheet1!J:J)</f>
        <v>74.65384615384616</v>
      </c>
    </row>
    <row r="634" spans="1:2" x14ac:dyDescent="0.3">
      <c r="A634" t="s">
        <v>13</v>
      </c>
      <c r="B634">
        <f>AVERAGEIF(Sheet1!B:B, A634, Sheet1!J:J)</f>
        <v>89.015706806282722</v>
      </c>
    </row>
    <row r="635" spans="1:2" x14ac:dyDescent="0.3">
      <c r="A635" t="s">
        <v>13</v>
      </c>
      <c r="B635">
        <f>AVERAGEIF(Sheet1!B:B, A635, Sheet1!J:J)</f>
        <v>89.015706806282722</v>
      </c>
    </row>
    <row r="636" spans="1:2" x14ac:dyDescent="0.3">
      <c r="A636" t="s">
        <v>13</v>
      </c>
      <c r="B636">
        <f>AVERAGEIF(Sheet1!B:B, A636, Sheet1!J:J)</f>
        <v>89.015706806282722</v>
      </c>
    </row>
    <row r="637" spans="1:2" x14ac:dyDescent="0.3">
      <c r="A637" t="s">
        <v>13</v>
      </c>
      <c r="B637">
        <f>AVERAGEIF(Sheet1!B:B, A637, Sheet1!J:J)</f>
        <v>89.015706806282722</v>
      </c>
    </row>
    <row r="638" spans="1:2" x14ac:dyDescent="0.3">
      <c r="A638" t="s">
        <v>13</v>
      </c>
      <c r="B638">
        <f>AVERAGEIF(Sheet1!B:B, A638, Sheet1!J:J)</f>
        <v>89.015706806282722</v>
      </c>
    </row>
    <row r="639" spans="1:2" x14ac:dyDescent="0.3">
      <c r="A639" t="s">
        <v>13</v>
      </c>
      <c r="B639">
        <f>AVERAGEIF(Sheet1!B:B, A639, Sheet1!J:J)</f>
        <v>89.015706806282722</v>
      </c>
    </row>
    <row r="640" spans="1:2" x14ac:dyDescent="0.3">
      <c r="A640" t="s">
        <v>13</v>
      </c>
      <c r="B640">
        <f>AVERAGEIF(Sheet1!B:B, A640, Sheet1!J:J)</f>
        <v>89.015706806282722</v>
      </c>
    </row>
    <row r="641" spans="1:2" x14ac:dyDescent="0.3">
      <c r="A641" t="s">
        <v>13</v>
      </c>
      <c r="B641">
        <f>AVERAGEIF(Sheet1!B:B, A641, Sheet1!J:J)</f>
        <v>89.015706806282722</v>
      </c>
    </row>
    <row r="642" spans="1:2" x14ac:dyDescent="0.3">
      <c r="A642" t="s">
        <v>13</v>
      </c>
      <c r="B642">
        <f>AVERAGEIF(Sheet1!B:B, A642, Sheet1!J:J)</f>
        <v>89.015706806282722</v>
      </c>
    </row>
    <row r="643" spans="1:2" x14ac:dyDescent="0.3">
      <c r="A643" t="s">
        <v>13</v>
      </c>
      <c r="B643">
        <f>AVERAGEIF(Sheet1!B:B, A643, Sheet1!J:J)</f>
        <v>89.015706806282722</v>
      </c>
    </row>
    <row r="644" spans="1:2" x14ac:dyDescent="0.3">
      <c r="A644" t="s">
        <v>13</v>
      </c>
      <c r="B644">
        <f>AVERAGEIF(Sheet1!B:B, A644, Sheet1!J:J)</f>
        <v>89.015706806282722</v>
      </c>
    </row>
    <row r="645" spans="1:2" x14ac:dyDescent="0.3">
      <c r="A645" t="s">
        <v>13</v>
      </c>
      <c r="B645">
        <f>AVERAGEIF(Sheet1!B:B, A645, Sheet1!J:J)</f>
        <v>89.015706806282722</v>
      </c>
    </row>
    <row r="646" spans="1:2" x14ac:dyDescent="0.3">
      <c r="A646" t="s">
        <v>13</v>
      </c>
      <c r="B646">
        <f>AVERAGEIF(Sheet1!B:B, A646, Sheet1!J:J)</f>
        <v>89.015706806282722</v>
      </c>
    </row>
    <row r="647" spans="1:2" x14ac:dyDescent="0.3">
      <c r="A647" t="s">
        <v>13</v>
      </c>
      <c r="B647">
        <f>AVERAGEIF(Sheet1!B:B, A647, Sheet1!J:J)</f>
        <v>89.015706806282722</v>
      </c>
    </row>
    <row r="648" spans="1:2" x14ac:dyDescent="0.3">
      <c r="A648" t="s">
        <v>13</v>
      </c>
      <c r="B648">
        <f>AVERAGEIF(Sheet1!B:B, A648, Sheet1!J:J)</f>
        <v>89.015706806282722</v>
      </c>
    </row>
    <row r="649" spans="1:2" x14ac:dyDescent="0.3">
      <c r="A649" t="s">
        <v>13</v>
      </c>
      <c r="B649">
        <f>AVERAGEIF(Sheet1!B:B, A649, Sheet1!J:J)</f>
        <v>89.015706806282722</v>
      </c>
    </row>
    <row r="650" spans="1:2" x14ac:dyDescent="0.3">
      <c r="A650" t="s">
        <v>13</v>
      </c>
      <c r="B650">
        <f>AVERAGEIF(Sheet1!B:B, A650, Sheet1!J:J)</f>
        <v>89.015706806282722</v>
      </c>
    </row>
    <row r="651" spans="1:2" x14ac:dyDescent="0.3">
      <c r="A651" t="s">
        <v>13</v>
      </c>
      <c r="B651">
        <f>AVERAGEIF(Sheet1!B:B, A651, Sheet1!J:J)</f>
        <v>89.015706806282722</v>
      </c>
    </row>
    <row r="652" spans="1:2" x14ac:dyDescent="0.3">
      <c r="A652" t="s">
        <v>13</v>
      </c>
      <c r="B652">
        <f>AVERAGEIF(Sheet1!B:B, A652, Sheet1!J:J)</f>
        <v>89.015706806282722</v>
      </c>
    </row>
    <row r="653" spans="1:2" x14ac:dyDescent="0.3">
      <c r="A653" t="s">
        <v>13</v>
      </c>
      <c r="B653">
        <f>AVERAGEIF(Sheet1!B:B, A653, Sheet1!J:J)</f>
        <v>89.015706806282722</v>
      </c>
    </row>
    <row r="654" spans="1:2" x14ac:dyDescent="0.3">
      <c r="A654" t="s">
        <v>13</v>
      </c>
      <c r="B654">
        <f>AVERAGEIF(Sheet1!B:B, A654, Sheet1!J:J)</f>
        <v>89.015706806282722</v>
      </c>
    </row>
    <row r="655" spans="1:2" x14ac:dyDescent="0.3">
      <c r="A655" t="s">
        <v>13</v>
      </c>
      <c r="B655">
        <f>AVERAGEIF(Sheet1!B:B, A655, Sheet1!J:J)</f>
        <v>89.015706806282722</v>
      </c>
    </row>
    <row r="656" spans="1:2" x14ac:dyDescent="0.3">
      <c r="A656" t="s">
        <v>13</v>
      </c>
      <c r="B656">
        <f>AVERAGEIF(Sheet1!B:B, A656, Sheet1!J:J)</f>
        <v>89.015706806282722</v>
      </c>
    </row>
    <row r="657" spans="1:2" x14ac:dyDescent="0.3">
      <c r="A657" t="s">
        <v>13</v>
      </c>
      <c r="B657">
        <f>AVERAGEIF(Sheet1!B:B, A657, Sheet1!J:J)</f>
        <v>89.015706806282722</v>
      </c>
    </row>
    <row r="658" spans="1:2" x14ac:dyDescent="0.3">
      <c r="A658" t="s">
        <v>13</v>
      </c>
      <c r="B658">
        <f>AVERAGEIF(Sheet1!B:B, A658, Sheet1!J:J)</f>
        <v>89.015706806282722</v>
      </c>
    </row>
    <row r="659" spans="1:2" x14ac:dyDescent="0.3">
      <c r="A659" t="s">
        <v>13</v>
      </c>
      <c r="B659">
        <f>AVERAGEIF(Sheet1!B:B, A659, Sheet1!J:J)</f>
        <v>89.015706806282722</v>
      </c>
    </row>
    <row r="660" spans="1:2" x14ac:dyDescent="0.3">
      <c r="A660" t="s">
        <v>13</v>
      </c>
      <c r="B660">
        <f>AVERAGEIF(Sheet1!B:B, A660, Sheet1!J:J)</f>
        <v>89.015706806282722</v>
      </c>
    </row>
    <row r="661" spans="1:2" x14ac:dyDescent="0.3">
      <c r="A661" t="s">
        <v>13</v>
      </c>
      <c r="B661">
        <f>AVERAGEIF(Sheet1!B:B, A661, Sheet1!J:J)</f>
        <v>89.015706806282722</v>
      </c>
    </row>
    <row r="662" spans="1:2" x14ac:dyDescent="0.3">
      <c r="A662" t="s">
        <v>13</v>
      </c>
      <c r="B662">
        <f>AVERAGEIF(Sheet1!B:B, A662, Sheet1!J:J)</f>
        <v>89.015706806282722</v>
      </c>
    </row>
    <row r="663" spans="1:2" x14ac:dyDescent="0.3">
      <c r="A663" t="s">
        <v>13</v>
      </c>
      <c r="B663">
        <f>AVERAGEIF(Sheet1!B:B, A663, Sheet1!J:J)</f>
        <v>89.015706806282722</v>
      </c>
    </row>
    <row r="664" spans="1:2" x14ac:dyDescent="0.3">
      <c r="A664" t="s">
        <v>13</v>
      </c>
      <c r="B664">
        <f>AVERAGEIF(Sheet1!B:B, A664, Sheet1!J:J)</f>
        <v>89.015706806282722</v>
      </c>
    </row>
    <row r="665" spans="1:2" x14ac:dyDescent="0.3">
      <c r="A665" t="s">
        <v>13</v>
      </c>
      <c r="B665">
        <f>AVERAGEIF(Sheet1!B:B, A665, Sheet1!J:J)</f>
        <v>89.015706806282722</v>
      </c>
    </row>
    <row r="666" spans="1:2" x14ac:dyDescent="0.3">
      <c r="A666" t="s">
        <v>13</v>
      </c>
      <c r="B666">
        <f>AVERAGEIF(Sheet1!B:B, A666, Sheet1!J:J)</f>
        <v>89.015706806282722</v>
      </c>
    </row>
    <row r="667" spans="1:2" x14ac:dyDescent="0.3">
      <c r="A667" t="s">
        <v>13</v>
      </c>
      <c r="B667">
        <f>AVERAGEIF(Sheet1!B:B, A667, Sheet1!J:J)</f>
        <v>89.015706806282722</v>
      </c>
    </row>
    <row r="668" spans="1:2" x14ac:dyDescent="0.3">
      <c r="A668" t="s">
        <v>13</v>
      </c>
      <c r="B668">
        <f>AVERAGEIF(Sheet1!B:B, A668, Sheet1!J:J)</f>
        <v>89.015706806282722</v>
      </c>
    </row>
    <row r="669" spans="1:2" x14ac:dyDescent="0.3">
      <c r="A669" t="s">
        <v>13</v>
      </c>
      <c r="B669">
        <f>AVERAGEIF(Sheet1!B:B, A669, Sheet1!J:J)</f>
        <v>89.015706806282722</v>
      </c>
    </row>
    <row r="670" spans="1:2" x14ac:dyDescent="0.3">
      <c r="A670" t="s">
        <v>13</v>
      </c>
      <c r="B670">
        <f>AVERAGEIF(Sheet1!B:B, A670, Sheet1!J:J)</f>
        <v>89.015706806282722</v>
      </c>
    </row>
    <row r="671" spans="1:2" x14ac:dyDescent="0.3">
      <c r="A671" t="s">
        <v>13</v>
      </c>
      <c r="B671">
        <f>AVERAGEIF(Sheet1!B:B, A671, Sheet1!J:J)</f>
        <v>89.015706806282722</v>
      </c>
    </row>
    <row r="672" spans="1:2" x14ac:dyDescent="0.3">
      <c r="A672" t="s">
        <v>13</v>
      </c>
      <c r="B672">
        <f>AVERAGEIF(Sheet1!B:B, A672, Sheet1!J:J)</f>
        <v>89.015706806282722</v>
      </c>
    </row>
    <row r="673" spans="1:2" x14ac:dyDescent="0.3">
      <c r="A673" t="s">
        <v>18</v>
      </c>
      <c r="B673">
        <f>AVERAGEIF(Sheet1!B:B, A673, Sheet1!J:J)</f>
        <v>172.40416666666667</v>
      </c>
    </row>
    <row r="674" spans="1:2" x14ac:dyDescent="0.3">
      <c r="A674" t="s">
        <v>18</v>
      </c>
      <c r="B674">
        <f>AVERAGEIF(Sheet1!B:B, A674, Sheet1!J:J)</f>
        <v>172.40416666666667</v>
      </c>
    </row>
    <row r="675" spans="1:2" x14ac:dyDescent="0.3">
      <c r="A675" t="s">
        <v>18</v>
      </c>
      <c r="B675">
        <f>AVERAGEIF(Sheet1!B:B, A675, Sheet1!J:J)</f>
        <v>172.40416666666667</v>
      </c>
    </row>
    <row r="676" spans="1:2" x14ac:dyDescent="0.3">
      <c r="A676" t="s">
        <v>18</v>
      </c>
      <c r="B676">
        <f>AVERAGEIF(Sheet1!B:B, A676, Sheet1!J:J)</f>
        <v>172.40416666666667</v>
      </c>
    </row>
    <row r="677" spans="1:2" x14ac:dyDescent="0.3">
      <c r="A677" t="s">
        <v>18</v>
      </c>
      <c r="B677">
        <f>AVERAGEIF(Sheet1!B:B, A677, Sheet1!J:J)</f>
        <v>172.40416666666667</v>
      </c>
    </row>
    <row r="678" spans="1:2" x14ac:dyDescent="0.3">
      <c r="A678" t="s">
        <v>18</v>
      </c>
      <c r="B678">
        <f>AVERAGEIF(Sheet1!B:B, A678, Sheet1!J:J)</f>
        <v>172.40416666666667</v>
      </c>
    </row>
    <row r="679" spans="1:2" x14ac:dyDescent="0.3">
      <c r="A679" t="s">
        <v>18</v>
      </c>
      <c r="B679">
        <f>AVERAGEIF(Sheet1!B:B, A679, Sheet1!J:J)</f>
        <v>172.40416666666667</v>
      </c>
    </row>
    <row r="680" spans="1:2" x14ac:dyDescent="0.3">
      <c r="A680" t="s">
        <v>18</v>
      </c>
      <c r="B680">
        <f>AVERAGEIF(Sheet1!B:B, A680, Sheet1!J:J)</f>
        <v>172.40416666666667</v>
      </c>
    </row>
    <row r="681" spans="1:2" x14ac:dyDescent="0.3">
      <c r="A681" t="s">
        <v>18</v>
      </c>
      <c r="B681">
        <f>AVERAGEIF(Sheet1!B:B, A681, Sheet1!J:J)</f>
        <v>172.40416666666667</v>
      </c>
    </row>
    <row r="682" spans="1:2" x14ac:dyDescent="0.3">
      <c r="A682" t="s">
        <v>16</v>
      </c>
      <c r="B682">
        <f>AVERAGEIF(Sheet1!B:B, A682, Sheet1!J:J)</f>
        <v>79.902439024390247</v>
      </c>
    </row>
    <row r="683" spans="1:2" x14ac:dyDescent="0.3">
      <c r="A683" t="s">
        <v>16</v>
      </c>
      <c r="B683">
        <f>AVERAGEIF(Sheet1!B:B, A683, Sheet1!J:J)</f>
        <v>79.902439024390247</v>
      </c>
    </row>
    <row r="684" spans="1:2" x14ac:dyDescent="0.3">
      <c r="A684" t="s">
        <v>16</v>
      </c>
      <c r="B684">
        <f>AVERAGEIF(Sheet1!B:B, A684, Sheet1!J:J)</f>
        <v>79.902439024390247</v>
      </c>
    </row>
    <row r="685" spans="1:2" x14ac:dyDescent="0.3">
      <c r="A685" t="s">
        <v>16</v>
      </c>
      <c r="B685">
        <f>AVERAGEIF(Sheet1!B:B, A685, Sheet1!J:J)</f>
        <v>79.902439024390247</v>
      </c>
    </row>
    <row r="686" spans="1:2" x14ac:dyDescent="0.3">
      <c r="A686" t="s">
        <v>16</v>
      </c>
      <c r="B686">
        <f>AVERAGEIF(Sheet1!B:B, A686, Sheet1!J:J)</f>
        <v>79.902439024390247</v>
      </c>
    </row>
    <row r="687" spans="1:2" x14ac:dyDescent="0.3">
      <c r="A687" t="s">
        <v>17</v>
      </c>
      <c r="B687">
        <f>AVERAGEIF(Sheet1!B:B, A687, Sheet1!J:J)</f>
        <v>98.8125</v>
      </c>
    </row>
    <row r="688" spans="1:2" x14ac:dyDescent="0.3">
      <c r="A688" t="s">
        <v>17</v>
      </c>
      <c r="B688">
        <f>AVERAGEIF(Sheet1!B:B, A688, Sheet1!J:J)</f>
        <v>98.8125</v>
      </c>
    </row>
    <row r="689" spans="1:2" x14ac:dyDescent="0.3">
      <c r="A689" t="s">
        <v>17</v>
      </c>
      <c r="B689">
        <f>AVERAGEIF(Sheet1!B:B, A689, Sheet1!J:J)</f>
        <v>98.8125</v>
      </c>
    </row>
    <row r="690" spans="1:2" x14ac:dyDescent="0.3">
      <c r="A690" t="s">
        <v>17</v>
      </c>
      <c r="B690">
        <f>AVERAGEIF(Sheet1!B:B, A690, Sheet1!J:J)</f>
        <v>98.8125</v>
      </c>
    </row>
    <row r="691" spans="1:2" x14ac:dyDescent="0.3">
      <c r="A691" t="s">
        <v>16</v>
      </c>
      <c r="B691">
        <f>AVERAGEIF(Sheet1!B:B, A691, Sheet1!J:J)</f>
        <v>79.902439024390247</v>
      </c>
    </row>
    <row r="692" spans="1:2" x14ac:dyDescent="0.3">
      <c r="A692" t="s">
        <v>13</v>
      </c>
      <c r="B692">
        <f>AVERAGEIF(Sheet1!B:B, A692, Sheet1!J:J)</f>
        <v>89.015706806282722</v>
      </c>
    </row>
    <row r="693" spans="1:2" x14ac:dyDescent="0.3">
      <c r="A693" t="s">
        <v>13</v>
      </c>
      <c r="B693">
        <f>AVERAGEIF(Sheet1!B:B, A693, Sheet1!J:J)</f>
        <v>89.015706806282722</v>
      </c>
    </row>
    <row r="694" spans="1:2" x14ac:dyDescent="0.3">
      <c r="A694" t="s">
        <v>13</v>
      </c>
      <c r="B694">
        <f>AVERAGEIF(Sheet1!B:B, A694, Sheet1!J:J)</f>
        <v>89.015706806282722</v>
      </c>
    </row>
    <row r="695" spans="1:2" x14ac:dyDescent="0.3">
      <c r="A695" t="s">
        <v>13</v>
      </c>
      <c r="B695">
        <f>AVERAGEIF(Sheet1!B:B, A695, Sheet1!J:J)</f>
        <v>89.015706806282722</v>
      </c>
    </row>
    <row r="696" spans="1:2" x14ac:dyDescent="0.3">
      <c r="A696" t="s">
        <v>13</v>
      </c>
      <c r="B696">
        <f>AVERAGEIF(Sheet1!B:B, A696, Sheet1!J:J)</f>
        <v>89.015706806282722</v>
      </c>
    </row>
    <row r="697" spans="1:2" x14ac:dyDescent="0.3">
      <c r="A697" t="s">
        <v>16</v>
      </c>
      <c r="B697">
        <f>AVERAGEIF(Sheet1!B:B, A697, Sheet1!J:J)</f>
        <v>79.902439024390247</v>
      </c>
    </row>
    <row r="698" spans="1:2" x14ac:dyDescent="0.3">
      <c r="A698" t="s">
        <v>16</v>
      </c>
      <c r="B698">
        <f>AVERAGEIF(Sheet1!B:B, A698, Sheet1!J:J)</f>
        <v>79.902439024390247</v>
      </c>
    </row>
    <row r="699" spans="1:2" x14ac:dyDescent="0.3">
      <c r="A699" t="s">
        <v>16</v>
      </c>
      <c r="B699">
        <f>AVERAGEIF(Sheet1!B:B, A699, Sheet1!J:J)</f>
        <v>79.902439024390247</v>
      </c>
    </row>
    <row r="700" spans="1:2" x14ac:dyDescent="0.3">
      <c r="A700" t="s">
        <v>16</v>
      </c>
      <c r="B700">
        <f>AVERAGEIF(Sheet1!B:B, A700, Sheet1!J:J)</f>
        <v>79.902439024390247</v>
      </c>
    </row>
    <row r="701" spans="1:2" x14ac:dyDescent="0.3">
      <c r="A701" t="s">
        <v>16</v>
      </c>
      <c r="B701">
        <f>AVERAGEIF(Sheet1!B:B, A701, Sheet1!J:J)</f>
        <v>79.902439024390247</v>
      </c>
    </row>
    <row r="702" spans="1:2" x14ac:dyDescent="0.3">
      <c r="A702" t="s">
        <v>16</v>
      </c>
      <c r="B702">
        <f>AVERAGEIF(Sheet1!B:B, A702, Sheet1!J:J)</f>
        <v>79.902439024390247</v>
      </c>
    </row>
    <row r="703" spans="1:2" x14ac:dyDescent="0.3">
      <c r="A703" t="s">
        <v>16</v>
      </c>
      <c r="B703">
        <f>AVERAGEIF(Sheet1!B:B, A703, Sheet1!J:J)</f>
        <v>79.902439024390247</v>
      </c>
    </row>
    <row r="704" spans="1:2" x14ac:dyDescent="0.3">
      <c r="A704" t="s">
        <v>16</v>
      </c>
      <c r="B704">
        <f>AVERAGEIF(Sheet1!B:B, A704, Sheet1!J:J)</f>
        <v>79.902439024390247</v>
      </c>
    </row>
    <row r="705" spans="1:2" x14ac:dyDescent="0.3">
      <c r="A705" t="s">
        <v>16</v>
      </c>
      <c r="B705">
        <f>AVERAGEIF(Sheet1!B:B, A705, Sheet1!J:J)</f>
        <v>79.902439024390247</v>
      </c>
    </row>
    <row r="706" spans="1:2" x14ac:dyDescent="0.3">
      <c r="A706" t="s">
        <v>16</v>
      </c>
      <c r="B706">
        <f>AVERAGEIF(Sheet1!B:B, A706, Sheet1!J:J)</f>
        <v>79.902439024390247</v>
      </c>
    </row>
    <row r="707" spans="1:2" x14ac:dyDescent="0.3">
      <c r="A707" t="s">
        <v>16</v>
      </c>
      <c r="B707">
        <f>AVERAGEIF(Sheet1!B:B, A707, Sheet1!J:J)</f>
        <v>79.902439024390247</v>
      </c>
    </row>
    <row r="708" spans="1:2" x14ac:dyDescent="0.3">
      <c r="A708" t="s">
        <v>16</v>
      </c>
      <c r="B708">
        <f>AVERAGEIF(Sheet1!B:B, A708, Sheet1!J:J)</f>
        <v>79.902439024390247</v>
      </c>
    </row>
    <row r="709" spans="1:2" x14ac:dyDescent="0.3">
      <c r="A709" t="s">
        <v>18</v>
      </c>
      <c r="B709">
        <f>AVERAGEIF(Sheet1!B:B, A709, Sheet1!J:J)</f>
        <v>172.40416666666667</v>
      </c>
    </row>
    <row r="710" spans="1:2" x14ac:dyDescent="0.3">
      <c r="A710" t="s">
        <v>18</v>
      </c>
      <c r="B710">
        <f>AVERAGEIF(Sheet1!B:B, A710, Sheet1!J:J)</f>
        <v>172.40416666666667</v>
      </c>
    </row>
    <row r="711" spans="1:2" x14ac:dyDescent="0.3">
      <c r="A711" t="s">
        <v>18</v>
      </c>
      <c r="B711">
        <f>AVERAGEIF(Sheet1!B:B, A711, Sheet1!J:J)</f>
        <v>172.40416666666667</v>
      </c>
    </row>
    <row r="712" spans="1:2" x14ac:dyDescent="0.3">
      <c r="A712" t="s">
        <v>18</v>
      </c>
      <c r="B712">
        <f>AVERAGEIF(Sheet1!B:B, A712, Sheet1!J:J)</f>
        <v>172.40416666666667</v>
      </c>
    </row>
    <row r="713" spans="1:2" x14ac:dyDescent="0.3">
      <c r="A713" t="s">
        <v>18</v>
      </c>
      <c r="B713">
        <f>AVERAGEIF(Sheet1!B:B, A713, Sheet1!J:J)</f>
        <v>172.40416666666667</v>
      </c>
    </row>
    <row r="714" spans="1:2" x14ac:dyDescent="0.3">
      <c r="A714" t="s">
        <v>18</v>
      </c>
      <c r="B714">
        <f>AVERAGEIF(Sheet1!B:B, A714, Sheet1!J:J)</f>
        <v>172.40416666666667</v>
      </c>
    </row>
    <row r="715" spans="1:2" x14ac:dyDescent="0.3">
      <c r="A715" t="s">
        <v>18</v>
      </c>
      <c r="B715">
        <f>AVERAGEIF(Sheet1!B:B, A715, Sheet1!J:J)</f>
        <v>172.40416666666667</v>
      </c>
    </row>
    <row r="716" spans="1:2" x14ac:dyDescent="0.3">
      <c r="A716" t="s">
        <v>18</v>
      </c>
      <c r="B716">
        <f>AVERAGEIF(Sheet1!B:B, A716, Sheet1!J:J)</f>
        <v>172.40416666666667</v>
      </c>
    </row>
    <row r="717" spans="1:2" x14ac:dyDescent="0.3">
      <c r="A717" t="s">
        <v>18</v>
      </c>
      <c r="B717">
        <f>AVERAGEIF(Sheet1!B:B, A717, Sheet1!J:J)</f>
        <v>172.40416666666667</v>
      </c>
    </row>
    <row r="718" spans="1:2" x14ac:dyDescent="0.3">
      <c r="A718" t="s">
        <v>18</v>
      </c>
      <c r="B718">
        <f>AVERAGEIF(Sheet1!B:B, A718, Sheet1!J:J)</f>
        <v>172.40416666666667</v>
      </c>
    </row>
    <row r="719" spans="1:2" x14ac:dyDescent="0.3">
      <c r="A719" t="s">
        <v>18</v>
      </c>
      <c r="B719">
        <f>AVERAGEIF(Sheet1!B:B, A719, Sheet1!J:J)</f>
        <v>172.40416666666667</v>
      </c>
    </row>
    <row r="720" spans="1:2" x14ac:dyDescent="0.3">
      <c r="A720" t="s">
        <v>18</v>
      </c>
      <c r="B720">
        <f>AVERAGEIF(Sheet1!B:B, A720, Sheet1!J:J)</f>
        <v>172.40416666666667</v>
      </c>
    </row>
    <row r="721" spans="1:2" x14ac:dyDescent="0.3">
      <c r="A721" t="s">
        <v>18</v>
      </c>
      <c r="B721">
        <f>AVERAGEIF(Sheet1!B:B, A721, Sheet1!J:J)</f>
        <v>172.40416666666667</v>
      </c>
    </row>
    <row r="722" spans="1:2" x14ac:dyDescent="0.3">
      <c r="A722" t="s">
        <v>18</v>
      </c>
      <c r="B722">
        <f>AVERAGEIF(Sheet1!B:B, A722, Sheet1!J:J)</f>
        <v>172.40416666666667</v>
      </c>
    </row>
    <row r="723" spans="1:2" x14ac:dyDescent="0.3">
      <c r="A723" t="s">
        <v>18</v>
      </c>
      <c r="B723">
        <f>AVERAGEIF(Sheet1!B:B, A723, Sheet1!J:J)</f>
        <v>172.40416666666667</v>
      </c>
    </row>
    <row r="724" spans="1:2" x14ac:dyDescent="0.3">
      <c r="A724" t="s">
        <v>18</v>
      </c>
      <c r="B724">
        <f>AVERAGEIF(Sheet1!B:B, A724, Sheet1!J:J)</f>
        <v>172.40416666666667</v>
      </c>
    </row>
    <row r="725" spans="1:2" x14ac:dyDescent="0.3">
      <c r="A725" t="s">
        <v>18</v>
      </c>
      <c r="B725">
        <f>AVERAGEIF(Sheet1!B:B, A725, Sheet1!J:J)</f>
        <v>172.40416666666667</v>
      </c>
    </row>
    <row r="726" spans="1:2" x14ac:dyDescent="0.3">
      <c r="A726" t="s">
        <v>18</v>
      </c>
      <c r="B726">
        <f>AVERAGEIF(Sheet1!B:B, A726, Sheet1!J:J)</f>
        <v>172.40416666666667</v>
      </c>
    </row>
    <row r="727" spans="1:2" x14ac:dyDescent="0.3">
      <c r="A727" t="s">
        <v>18</v>
      </c>
      <c r="B727">
        <f>AVERAGEIF(Sheet1!B:B, A727, Sheet1!J:J)</f>
        <v>172.40416666666667</v>
      </c>
    </row>
    <row r="728" spans="1:2" x14ac:dyDescent="0.3">
      <c r="A728" t="s">
        <v>18</v>
      </c>
      <c r="B728">
        <f>AVERAGEIF(Sheet1!B:B, A728, Sheet1!J:J)</f>
        <v>172.40416666666667</v>
      </c>
    </row>
    <row r="729" spans="1:2" x14ac:dyDescent="0.3">
      <c r="A729" t="s">
        <v>18</v>
      </c>
      <c r="B729">
        <f>AVERAGEIF(Sheet1!B:B, A729, Sheet1!J:J)</f>
        <v>172.40416666666667</v>
      </c>
    </row>
    <row r="730" spans="1:2" x14ac:dyDescent="0.3">
      <c r="A730" t="s">
        <v>18</v>
      </c>
      <c r="B730">
        <f>AVERAGEIF(Sheet1!B:B, A730, Sheet1!J:J)</f>
        <v>172.40416666666667</v>
      </c>
    </row>
    <row r="731" spans="1:2" x14ac:dyDescent="0.3">
      <c r="A731" t="s">
        <v>18</v>
      </c>
      <c r="B731">
        <f>AVERAGEIF(Sheet1!B:B, A731, Sheet1!J:J)</f>
        <v>172.40416666666667</v>
      </c>
    </row>
    <row r="732" spans="1:2" x14ac:dyDescent="0.3">
      <c r="A732" t="s">
        <v>18</v>
      </c>
      <c r="B732">
        <f>AVERAGEIF(Sheet1!B:B, A732, Sheet1!J:J)</f>
        <v>172.40416666666667</v>
      </c>
    </row>
    <row r="733" spans="1:2" x14ac:dyDescent="0.3">
      <c r="A733" t="s">
        <v>18</v>
      </c>
      <c r="B733">
        <f>AVERAGEIF(Sheet1!B:B, A733, Sheet1!J:J)</f>
        <v>172.40416666666667</v>
      </c>
    </row>
    <row r="734" spans="1:2" x14ac:dyDescent="0.3">
      <c r="A734" t="s">
        <v>18</v>
      </c>
      <c r="B734">
        <f>AVERAGEIF(Sheet1!B:B, A734, Sheet1!J:J)</f>
        <v>172.40416666666667</v>
      </c>
    </row>
    <row r="735" spans="1:2" x14ac:dyDescent="0.3">
      <c r="A735" t="s">
        <v>18</v>
      </c>
      <c r="B735">
        <f>AVERAGEIF(Sheet1!B:B, A735, Sheet1!J:J)</f>
        <v>172.40416666666667</v>
      </c>
    </row>
    <row r="736" spans="1:2" x14ac:dyDescent="0.3">
      <c r="A736" t="s">
        <v>18</v>
      </c>
      <c r="B736">
        <f>AVERAGEIF(Sheet1!B:B, A736, Sheet1!J:J)</f>
        <v>172.40416666666667</v>
      </c>
    </row>
    <row r="737" spans="1:2" x14ac:dyDescent="0.3">
      <c r="A737" t="s">
        <v>18</v>
      </c>
      <c r="B737">
        <f>AVERAGEIF(Sheet1!B:B, A737, Sheet1!J:J)</f>
        <v>172.40416666666667</v>
      </c>
    </row>
    <row r="738" spans="1:2" x14ac:dyDescent="0.3">
      <c r="A738" t="s">
        <v>18</v>
      </c>
      <c r="B738">
        <f>AVERAGEIF(Sheet1!B:B, A738, Sheet1!J:J)</f>
        <v>172.40416666666667</v>
      </c>
    </row>
    <row r="739" spans="1:2" x14ac:dyDescent="0.3">
      <c r="A739" t="s">
        <v>18</v>
      </c>
      <c r="B739">
        <f>AVERAGEIF(Sheet1!B:B, A739, Sheet1!J:J)</f>
        <v>172.40416666666667</v>
      </c>
    </row>
    <row r="740" spans="1:2" x14ac:dyDescent="0.3">
      <c r="A740" t="s">
        <v>18</v>
      </c>
      <c r="B740">
        <f>AVERAGEIF(Sheet1!B:B, A740, Sheet1!J:J)</f>
        <v>172.40416666666667</v>
      </c>
    </row>
    <row r="741" spans="1:2" x14ac:dyDescent="0.3">
      <c r="A741" t="s">
        <v>18</v>
      </c>
      <c r="B741">
        <f>AVERAGEIF(Sheet1!B:B, A741, Sheet1!J:J)</f>
        <v>172.40416666666667</v>
      </c>
    </row>
    <row r="742" spans="1:2" x14ac:dyDescent="0.3">
      <c r="A742" t="s">
        <v>18</v>
      </c>
      <c r="B742">
        <f>AVERAGEIF(Sheet1!B:B, A742, Sheet1!J:J)</f>
        <v>172.40416666666667</v>
      </c>
    </row>
    <row r="743" spans="1:2" x14ac:dyDescent="0.3">
      <c r="A743" t="s">
        <v>18</v>
      </c>
      <c r="B743">
        <f>AVERAGEIF(Sheet1!B:B, A743, Sheet1!J:J)</f>
        <v>172.40416666666667</v>
      </c>
    </row>
    <row r="744" spans="1:2" x14ac:dyDescent="0.3">
      <c r="A744" t="s">
        <v>18</v>
      </c>
      <c r="B744">
        <f>AVERAGEIF(Sheet1!B:B, A744, Sheet1!J:J)</f>
        <v>172.40416666666667</v>
      </c>
    </row>
    <row r="745" spans="1:2" x14ac:dyDescent="0.3">
      <c r="A745" t="s">
        <v>18</v>
      </c>
      <c r="B745">
        <f>AVERAGEIF(Sheet1!B:B, A745, Sheet1!J:J)</f>
        <v>172.40416666666667</v>
      </c>
    </row>
    <row r="746" spans="1:2" x14ac:dyDescent="0.3">
      <c r="A746" t="s">
        <v>18</v>
      </c>
      <c r="B746">
        <f>AVERAGEIF(Sheet1!B:B, A746, Sheet1!J:J)</f>
        <v>172.40416666666667</v>
      </c>
    </row>
    <row r="747" spans="1:2" x14ac:dyDescent="0.3">
      <c r="A747" t="s">
        <v>18</v>
      </c>
      <c r="B747">
        <f>AVERAGEIF(Sheet1!B:B, A747, Sheet1!J:J)</f>
        <v>172.40416666666667</v>
      </c>
    </row>
    <row r="748" spans="1:2" x14ac:dyDescent="0.3">
      <c r="A748" t="s">
        <v>18</v>
      </c>
      <c r="B748">
        <f>AVERAGEIF(Sheet1!B:B, A748, Sheet1!J:J)</f>
        <v>172.40416666666667</v>
      </c>
    </row>
    <row r="749" spans="1:2" x14ac:dyDescent="0.3">
      <c r="A749" t="s">
        <v>18</v>
      </c>
      <c r="B749">
        <f>AVERAGEIF(Sheet1!B:B, A749, Sheet1!J:J)</f>
        <v>172.40416666666667</v>
      </c>
    </row>
    <row r="750" spans="1:2" x14ac:dyDescent="0.3">
      <c r="A750" t="s">
        <v>18</v>
      </c>
      <c r="B750">
        <f>AVERAGEIF(Sheet1!B:B, A750, Sheet1!J:J)</f>
        <v>172.40416666666667</v>
      </c>
    </row>
    <row r="751" spans="1:2" x14ac:dyDescent="0.3">
      <c r="A751" t="s">
        <v>18</v>
      </c>
      <c r="B751">
        <f>AVERAGEIF(Sheet1!B:B, A751, Sheet1!J:J)</f>
        <v>172.40416666666667</v>
      </c>
    </row>
    <row r="752" spans="1:2" x14ac:dyDescent="0.3">
      <c r="A752" t="s">
        <v>18</v>
      </c>
      <c r="B752">
        <f>AVERAGEIF(Sheet1!B:B, A752, Sheet1!J:J)</f>
        <v>172.40416666666667</v>
      </c>
    </row>
    <row r="753" spans="1:2" x14ac:dyDescent="0.3">
      <c r="A753" t="s">
        <v>18</v>
      </c>
      <c r="B753">
        <f>AVERAGEIF(Sheet1!B:B, A753, Sheet1!J:J)</f>
        <v>172.40416666666667</v>
      </c>
    </row>
    <row r="754" spans="1:2" x14ac:dyDescent="0.3">
      <c r="A754" t="s">
        <v>18</v>
      </c>
      <c r="B754">
        <f>AVERAGEIF(Sheet1!B:B, A754, Sheet1!J:J)</f>
        <v>172.40416666666667</v>
      </c>
    </row>
    <row r="755" spans="1:2" x14ac:dyDescent="0.3">
      <c r="A755" t="s">
        <v>18</v>
      </c>
      <c r="B755">
        <f>AVERAGEIF(Sheet1!B:B, A755, Sheet1!J:J)</f>
        <v>172.40416666666667</v>
      </c>
    </row>
    <row r="756" spans="1:2" x14ac:dyDescent="0.3">
      <c r="A756" t="s">
        <v>18</v>
      </c>
      <c r="B756">
        <f>AVERAGEIF(Sheet1!B:B, A756, Sheet1!J:J)</f>
        <v>172.40416666666667</v>
      </c>
    </row>
    <row r="757" spans="1:2" x14ac:dyDescent="0.3">
      <c r="A757" t="s">
        <v>18</v>
      </c>
      <c r="B757">
        <f>AVERAGEIF(Sheet1!B:B, A757, Sheet1!J:J)</f>
        <v>172.40416666666667</v>
      </c>
    </row>
    <row r="758" spans="1:2" x14ac:dyDescent="0.3">
      <c r="A758" t="s">
        <v>18</v>
      </c>
      <c r="B758">
        <f>AVERAGEIF(Sheet1!B:B, A758, Sheet1!J:J)</f>
        <v>172.40416666666667</v>
      </c>
    </row>
    <row r="759" spans="1:2" x14ac:dyDescent="0.3">
      <c r="A759" t="s">
        <v>19</v>
      </c>
      <c r="B759">
        <f>AVERAGEIF(Sheet1!B:B, A759, Sheet1!J:J)</f>
        <v>103.86734693877551</v>
      </c>
    </row>
    <row r="760" spans="1:2" x14ac:dyDescent="0.3">
      <c r="A760" t="s">
        <v>19</v>
      </c>
      <c r="B760">
        <f>AVERAGEIF(Sheet1!B:B, A760, Sheet1!J:J)</f>
        <v>103.86734693877551</v>
      </c>
    </row>
    <row r="761" spans="1:2" x14ac:dyDescent="0.3">
      <c r="A761" t="s">
        <v>19</v>
      </c>
      <c r="B761">
        <f>AVERAGEIF(Sheet1!B:B, A761, Sheet1!J:J)</f>
        <v>103.86734693877551</v>
      </c>
    </row>
    <row r="762" spans="1:2" x14ac:dyDescent="0.3">
      <c r="A762" t="s">
        <v>23</v>
      </c>
      <c r="B762">
        <f>AVERAGEIF(Sheet1!B:B, A762, Sheet1!J:J)</f>
        <v>100.58333333333333</v>
      </c>
    </row>
    <row r="763" spans="1:2" x14ac:dyDescent="0.3">
      <c r="A763" t="s">
        <v>23</v>
      </c>
      <c r="B763">
        <f>AVERAGEIF(Sheet1!B:B, A763, Sheet1!J:J)</f>
        <v>100.58333333333333</v>
      </c>
    </row>
    <row r="764" spans="1:2" x14ac:dyDescent="0.3">
      <c r="A764" t="s">
        <v>23</v>
      </c>
      <c r="B764">
        <f>AVERAGEIF(Sheet1!B:B, A764, Sheet1!J:J)</f>
        <v>100.58333333333333</v>
      </c>
    </row>
    <row r="765" spans="1:2" x14ac:dyDescent="0.3">
      <c r="A765" t="s">
        <v>20</v>
      </c>
      <c r="B765">
        <f>AVERAGEIF(Sheet1!B:B, A765, Sheet1!J:J)</f>
        <v>133.42857142857142</v>
      </c>
    </row>
    <row r="766" spans="1:2" x14ac:dyDescent="0.3">
      <c r="A766" t="s">
        <v>20</v>
      </c>
      <c r="B766">
        <f>AVERAGEIF(Sheet1!B:B, A766, Sheet1!J:J)</f>
        <v>133.42857142857142</v>
      </c>
    </row>
    <row r="767" spans="1:2" x14ac:dyDescent="0.3">
      <c r="A767" t="s">
        <v>22</v>
      </c>
      <c r="B767">
        <f>AVERAGEIF(Sheet1!B:B, A767, Sheet1!J:J)</f>
        <v>40.497326203208559</v>
      </c>
    </row>
    <row r="768" spans="1:2" x14ac:dyDescent="0.3">
      <c r="A768" t="s">
        <v>22</v>
      </c>
      <c r="B768">
        <f>AVERAGEIF(Sheet1!B:B, A768, Sheet1!J:J)</f>
        <v>40.497326203208559</v>
      </c>
    </row>
    <row r="769" spans="1:2" x14ac:dyDescent="0.3">
      <c r="A769" t="s">
        <v>22</v>
      </c>
      <c r="B769">
        <f>AVERAGEIF(Sheet1!B:B, A769, Sheet1!J:J)</f>
        <v>40.497326203208559</v>
      </c>
    </row>
    <row r="770" spans="1:2" x14ac:dyDescent="0.3">
      <c r="A770" t="s">
        <v>22</v>
      </c>
      <c r="B770">
        <f>AVERAGEIF(Sheet1!B:B, A770, Sheet1!J:J)</f>
        <v>40.497326203208559</v>
      </c>
    </row>
    <row r="771" spans="1:2" x14ac:dyDescent="0.3">
      <c r="A771" t="s">
        <v>22</v>
      </c>
      <c r="B771">
        <f>AVERAGEIF(Sheet1!B:B, A771, Sheet1!J:J)</f>
        <v>40.497326203208559</v>
      </c>
    </row>
    <row r="772" spans="1:2" x14ac:dyDescent="0.3">
      <c r="A772" t="s">
        <v>22</v>
      </c>
      <c r="B772">
        <f>AVERAGEIF(Sheet1!B:B, A772, Sheet1!J:J)</f>
        <v>40.497326203208559</v>
      </c>
    </row>
    <row r="773" spans="1:2" x14ac:dyDescent="0.3">
      <c r="A773" t="s">
        <v>22</v>
      </c>
      <c r="B773">
        <f>AVERAGEIF(Sheet1!B:B, A773, Sheet1!J:J)</f>
        <v>40.497326203208559</v>
      </c>
    </row>
    <row r="774" spans="1:2" x14ac:dyDescent="0.3">
      <c r="A774" t="s">
        <v>22</v>
      </c>
      <c r="B774">
        <f>AVERAGEIF(Sheet1!B:B, A774, Sheet1!J:J)</f>
        <v>40.497326203208559</v>
      </c>
    </row>
    <row r="775" spans="1:2" x14ac:dyDescent="0.3">
      <c r="A775" t="s">
        <v>20</v>
      </c>
      <c r="B775">
        <f>AVERAGEIF(Sheet1!B:B, A775, Sheet1!J:J)</f>
        <v>133.42857142857142</v>
      </c>
    </row>
    <row r="776" spans="1:2" x14ac:dyDescent="0.3">
      <c r="A776" t="s">
        <v>20</v>
      </c>
      <c r="B776">
        <f>AVERAGEIF(Sheet1!B:B, A776, Sheet1!J:J)</f>
        <v>133.42857142857142</v>
      </c>
    </row>
    <row r="777" spans="1:2" x14ac:dyDescent="0.3">
      <c r="A777" t="s">
        <v>21</v>
      </c>
      <c r="B777">
        <f>AVERAGEIF(Sheet1!B:B, A777, Sheet1!J:J)</f>
        <v>34.333333333333336</v>
      </c>
    </row>
    <row r="778" spans="1:2" x14ac:dyDescent="0.3">
      <c r="A778" t="s">
        <v>21</v>
      </c>
      <c r="B778">
        <f>AVERAGEIF(Sheet1!B:B, A778, Sheet1!J:J)</f>
        <v>34.333333333333336</v>
      </c>
    </row>
    <row r="779" spans="1:2" x14ac:dyDescent="0.3">
      <c r="A779" t="s">
        <v>39</v>
      </c>
      <c r="B779">
        <f>AVERAGEIF(Sheet1!B:B, A779, Sheet1!J:J)</f>
        <v>161.6</v>
      </c>
    </row>
    <row r="780" spans="1:2" x14ac:dyDescent="0.3">
      <c r="A780" t="s">
        <v>22</v>
      </c>
      <c r="B780">
        <f>AVERAGEIF(Sheet1!B:B, A780, Sheet1!J:J)</f>
        <v>40.497326203208559</v>
      </c>
    </row>
    <row r="781" spans="1:2" x14ac:dyDescent="0.3">
      <c r="A781" t="s">
        <v>22</v>
      </c>
      <c r="B781">
        <f>AVERAGEIF(Sheet1!B:B, A781, Sheet1!J:J)</f>
        <v>40.497326203208559</v>
      </c>
    </row>
    <row r="782" spans="1:2" x14ac:dyDescent="0.3">
      <c r="A782" t="s">
        <v>19</v>
      </c>
      <c r="B782">
        <f>AVERAGEIF(Sheet1!B:B, A782, Sheet1!J:J)</f>
        <v>103.86734693877551</v>
      </c>
    </row>
    <row r="783" spans="1:2" x14ac:dyDescent="0.3">
      <c r="A783" t="s">
        <v>19</v>
      </c>
      <c r="B783">
        <f>AVERAGEIF(Sheet1!B:B, A783, Sheet1!J:J)</f>
        <v>103.86734693877551</v>
      </c>
    </row>
    <row r="784" spans="1:2" x14ac:dyDescent="0.3">
      <c r="A784" t="s">
        <v>19</v>
      </c>
      <c r="B784">
        <f>AVERAGEIF(Sheet1!B:B, A784, Sheet1!J:J)</f>
        <v>103.86734693877551</v>
      </c>
    </row>
    <row r="785" spans="1:2" x14ac:dyDescent="0.3">
      <c r="A785" t="s">
        <v>19</v>
      </c>
      <c r="B785">
        <f>AVERAGEIF(Sheet1!B:B, A785, Sheet1!J:J)</f>
        <v>103.86734693877551</v>
      </c>
    </row>
    <row r="786" spans="1:2" x14ac:dyDescent="0.3">
      <c r="A786" t="s">
        <v>19</v>
      </c>
      <c r="B786">
        <f>AVERAGEIF(Sheet1!B:B, A786, Sheet1!J:J)</f>
        <v>103.86734693877551</v>
      </c>
    </row>
    <row r="787" spans="1:2" x14ac:dyDescent="0.3">
      <c r="A787" t="s">
        <v>19</v>
      </c>
      <c r="B787">
        <f>AVERAGEIF(Sheet1!B:B, A787, Sheet1!J:J)</f>
        <v>103.86734693877551</v>
      </c>
    </row>
    <row r="788" spans="1:2" x14ac:dyDescent="0.3">
      <c r="A788" t="s">
        <v>19</v>
      </c>
      <c r="B788">
        <f>AVERAGEIF(Sheet1!B:B, A788, Sheet1!J:J)</f>
        <v>103.86734693877551</v>
      </c>
    </row>
    <row r="789" spans="1:2" x14ac:dyDescent="0.3">
      <c r="A789" t="s">
        <v>19</v>
      </c>
      <c r="B789">
        <f>AVERAGEIF(Sheet1!B:B, A789, Sheet1!J:J)</f>
        <v>103.86734693877551</v>
      </c>
    </row>
    <row r="790" spans="1:2" x14ac:dyDescent="0.3">
      <c r="A790" t="s">
        <v>19</v>
      </c>
      <c r="B790">
        <f>AVERAGEIF(Sheet1!B:B, A790, Sheet1!J:J)</f>
        <v>103.86734693877551</v>
      </c>
    </row>
    <row r="791" spans="1:2" x14ac:dyDescent="0.3">
      <c r="A791" t="s">
        <v>19</v>
      </c>
      <c r="B791">
        <f>AVERAGEIF(Sheet1!B:B, A791, Sheet1!J:J)</f>
        <v>103.86734693877551</v>
      </c>
    </row>
    <row r="792" spans="1:2" x14ac:dyDescent="0.3">
      <c r="A792" t="s">
        <v>19</v>
      </c>
      <c r="B792">
        <f>AVERAGEIF(Sheet1!B:B, A792, Sheet1!J:J)</f>
        <v>103.86734693877551</v>
      </c>
    </row>
    <row r="793" spans="1:2" x14ac:dyDescent="0.3">
      <c r="A793" t="s">
        <v>19</v>
      </c>
      <c r="B793">
        <f>AVERAGEIF(Sheet1!B:B, A793, Sheet1!J:J)</f>
        <v>103.86734693877551</v>
      </c>
    </row>
    <row r="794" spans="1:2" x14ac:dyDescent="0.3">
      <c r="A794" t="s">
        <v>19</v>
      </c>
      <c r="B794">
        <f>AVERAGEIF(Sheet1!B:B, A794, Sheet1!J:J)</f>
        <v>103.86734693877551</v>
      </c>
    </row>
    <row r="795" spans="1:2" x14ac:dyDescent="0.3">
      <c r="A795" t="s">
        <v>18</v>
      </c>
      <c r="B795">
        <f>AVERAGEIF(Sheet1!B:B, A795, Sheet1!J:J)</f>
        <v>172.40416666666667</v>
      </c>
    </row>
    <row r="796" spans="1:2" x14ac:dyDescent="0.3">
      <c r="A796" t="s">
        <v>19</v>
      </c>
      <c r="B796">
        <f>AVERAGEIF(Sheet1!B:B, A796, Sheet1!J:J)</f>
        <v>103.86734693877551</v>
      </c>
    </row>
    <row r="797" spans="1:2" x14ac:dyDescent="0.3">
      <c r="A797" t="s">
        <v>19</v>
      </c>
      <c r="B797">
        <f>AVERAGEIF(Sheet1!B:B, A797, Sheet1!J:J)</f>
        <v>103.86734693877551</v>
      </c>
    </row>
    <row r="798" spans="1:2" x14ac:dyDescent="0.3">
      <c r="A798" t="s">
        <v>19</v>
      </c>
      <c r="B798">
        <f>AVERAGEIF(Sheet1!B:B, A798, Sheet1!J:J)</f>
        <v>103.86734693877551</v>
      </c>
    </row>
    <row r="799" spans="1:2" x14ac:dyDescent="0.3">
      <c r="A799" t="s">
        <v>19</v>
      </c>
      <c r="B799">
        <f>AVERAGEIF(Sheet1!B:B, A799, Sheet1!J:J)</f>
        <v>103.86734693877551</v>
      </c>
    </row>
    <row r="800" spans="1:2" x14ac:dyDescent="0.3">
      <c r="A800" t="s">
        <v>19</v>
      </c>
      <c r="B800">
        <f>AVERAGEIF(Sheet1!B:B, A800, Sheet1!J:J)</f>
        <v>103.86734693877551</v>
      </c>
    </row>
    <row r="801" spans="1:2" x14ac:dyDescent="0.3">
      <c r="A801" t="s">
        <v>18</v>
      </c>
      <c r="B801">
        <f>AVERAGEIF(Sheet1!B:B, A801, Sheet1!J:J)</f>
        <v>172.40416666666667</v>
      </c>
    </row>
    <row r="802" spans="1:2" x14ac:dyDescent="0.3">
      <c r="A802" t="s">
        <v>18</v>
      </c>
      <c r="B802">
        <f>AVERAGEIF(Sheet1!B:B, A802, Sheet1!J:J)</f>
        <v>172.40416666666667</v>
      </c>
    </row>
    <row r="803" spans="1:2" x14ac:dyDescent="0.3">
      <c r="A803" t="s">
        <v>18</v>
      </c>
      <c r="B803">
        <f>AVERAGEIF(Sheet1!B:B, A803, Sheet1!J:J)</f>
        <v>172.40416666666667</v>
      </c>
    </row>
    <row r="804" spans="1:2" x14ac:dyDescent="0.3">
      <c r="A804" t="s">
        <v>19</v>
      </c>
      <c r="B804">
        <f>AVERAGEIF(Sheet1!B:B, A804, Sheet1!J:J)</f>
        <v>103.86734693877551</v>
      </c>
    </row>
    <row r="805" spans="1:2" x14ac:dyDescent="0.3">
      <c r="A805" t="s">
        <v>22</v>
      </c>
      <c r="B805">
        <f>AVERAGEIF(Sheet1!B:B, A805, Sheet1!J:J)</f>
        <v>40.497326203208559</v>
      </c>
    </row>
    <row r="806" spans="1:2" x14ac:dyDescent="0.3">
      <c r="A806" t="s">
        <v>22</v>
      </c>
      <c r="B806">
        <f>AVERAGEIF(Sheet1!B:B, A806, Sheet1!J:J)</f>
        <v>40.497326203208559</v>
      </c>
    </row>
    <row r="807" spans="1:2" x14ac:dyDescent="0.3">
      <c r="A807" t="s">
        <v>22</v>
      </c>
      <c r="B807">
        <f>AVERAGEIF(Sheet1!B:B, A807, Sheet1!J:J)</f>
        <v>40.497326203208559</v>
      </c>
    </row>
    <row r="808" spans="1:2" x14ac:dyDescent="0.3">
      <c r="A808" t="s">
        <v>22</v>
      </c>
      <c r="B808">
        <f>AVERAGEIF(Sheet1!B:B, A808, Sheet1!J:J)</f>
        <v>40.497326203208559</v>
      </c>
    </row>
    <row r="809" spans="1:2" x14ac:dyDescent="0.3">
      <c r="A809" t="s">
        <v>22</v>
      </c>
      <c r="B809">
        <f>AVERAGEIF(Sheet1!B:B, A809, Sheet1!J:J)</f>
        <v>40.497326203208559</v>
      </c>
    </row>
    <row r="810" spans="1:2" x14ac:dyDescent="0.3">
      <c r="A810" t="s">
        <v>22</v>
      </c>
      <c r="B810">
        <f>AVERAGEIF(Sheet1!B:B, A810, Sheet1!J:J)</f>
        <v>40.497326203208559</v>
      </c>
    </row>
    <row r="811" spans="1:2" x14ac:dyDescent="0.3">
      <c r="A811" t="s">
        <v>22</v>
      </c>
      <c r="B811">
        <f>AVERAGEIF(Sheet1!B:B, A811, Sheet1!J:J)</f>
        <v>40.497326203208559</v>
      </c>
    </row>
    <row r="812" spans="1:2" x14ac:dyDescent="0.3">
      <c r="A812" t="s">
        <v>22</v>
      </c>
      <c r="B812">
        <f>AVERAGEIF(Sheet1!B:B, A812, Sheet1!J:J)</f>
        <v>40.497326203208559</v>
      </c>
    </row>
    <row r="813" spans="1:2" x14ac:dyDescent="0.3">
      <c r="A813" t="s">
        <v>22</v>
      </c>
      <c r="B813">
        <f>AVERAGEIF(Sheet1!B:B, A813, Sheet1!J:J)</f>
        <v>40.497326203208559</v>
      </c>
    </row>
    <row r="814" spans="1:2" x14ac:dyDescent="0.3">
      <c r="A814" t="s">
        <v>22</v>
      </c>
      <c r="B814">
        <f>AVERAGEIF(Sheet1!B:B, A814, Sheet1!J:J)</f>
        <v>40.497326203208559</v>
      </c>
    </row>
    <row r="815" spans="1:2" x14ac:dyDescent="0.3">
      <c r="A815" t="s">
        <v>22</v>
      </c>
      <c r="B815">
        <f>AVERAGEIF(Sheet1!B:B, A815, Sheet1!J:J)</f>
        <v>40.497326203208559</v>
      </c>
    </row>
    <row r="816" spans="1:2" x14ac:dyDescent="0.3">
      <c r="A816" t="s">
        <v>22</v>
      </c>
      <c r="B816">
        <f>AVERAGEIF(Sheet1!B:B, A816, Sheet1!J:J)</f>
        <v>40.497326203208559</v>
      </c>
    </row>
    <row r="817" spans="1:2" x14ac:dyDescent="0.3">
      <c r="A817" t="s">
        <v>22</v>
      </c>
      <c r="B817">
        <f>AVERAGEIF(Sheet1!B:B, A817, Sheet1!J:J)</f>
        <v>40.497326203208559</v>
      </c>
    </row>
    <row r="818" spans="1:2" x14ac:dyDescent="0.3">
      <c r="A818" t="s">
        <v>22</v>
      </c>
      <c r="B818">
        <f>AVERAGEIF(Sheet1!B:B, A818, Sheet1!J:J)</f>
        <v>40.497326203208559</v>
      </c>
    </row>
    <row r="819" spans="1:2" x14ac:dyDescent="0.3">
      <c r="A819" t="s">
        <v>22</v>
      </c>
      <c r="B819">
        <f>AVERAGEIF(Sheet1!B:B, A819, Sheet1!J:J)</f>
        <v>40.497326203208559</v>
      </c>
    </row>
    <row r="820" spans="1:2" x14ac:dyDescent="0.3">
      <c r="A820" t="s">
        <v>22</v>
      </c>
      <c r="B820">
        <f>AVERAGEIF(Sheet1!B:B, A820, Sheet1!J:J)</f>
        <v>40.497326203208559</v>
      </c>
    </row>
    <row r="821" spans="1:2" x14ac:dyDescent="0.3">
      <c r="A821" t="s">
        <v>22</v>
      </c>
      <c r="B821">
        <f>AVERAGEIF(Sheet1!B:B, A821, Sheet1!J:J)</f>
        <v>40.497326203208559</v>
      </c>
    </row>
    <row r="822" spans="1:2" x14ac:dyDescent="0.3">
      <c r="A822" t="s">
        <v>22</v>
      </c>
      <c r="B822">
        <f>AVERAGEIF(Sheet1!B:B, A822, Sheet1!J:J)</f>
        <v>40.497326203208559</v>
      </c>
    </row>
    <row r="823" spans="1:2" x14ac:dyDescent="0.3">
      <c r="A823" t="s">
        <v>22</v>
      </c>
      <c r="B823">
        <f>AVERAGEIF(Sheet1!B:B, A823, Sheet1!J:J)</f>
        <v>40.497326203208559</v>
      </c>
    </row>
    <row r="824" spans="1:2" x14ac:dyDescent="0.3">
      <c r="A824" t="s">
        <v>22</v>
      </c>
      <c r="B824">
        <f>AVERAGEIF(Sheet1!B:B, A824, Sheet1!J:J)</f>
        <v>40.497326203208559</v>
      </c>
    </row>
    <row r="825" spans="1:2" x14ac:dyDescent="0.3">
      <c r="A825" t="s">
        <v>22</v>
      </c>
      <c r="B825">
        <f>AVERAGEIF(Sheet1!B:B, A825, Sheet1!J:J)</f>
        <v>40.497326203208559</v>
      </c>
    </row>
    <row r="826" spans="1:2" x14ac:dyDescent="0.3">
      <c r="A826" t="s">
        <v>22</v>
      </c>
      <c r="B826">
        <f>AVERAGEIF(Sheet1!B:B, A826, Sheet1!J:J)</f>
        <v>40.497326203208559</v>
      </c>
    </row>
    <row r="827" spans="1:2" x14ac:dyDescent="0.3">
      <c r="A827" t="s">
        <v>22</v>
      </c>
      <c r="B827">
        <f>AVERAGEIF(Sheet1!B:B, A827, Sheet1!J:J)</f>
        <v>40.497326203208559</v>
      </c>
    </row>
    <row r="828" spans="1:2" x14ac:dyDescent="0.3">
      <c r="A828" t="s">
        <v>22</v>
      </c>
      <c r="B828">
        <f>AVERAGEIF(Sheet1!B:B, A828, Sheet1!J:J)</f>
        <v>40.497326203208559</v>
      </c>
    </row>
    <row r="829" spans="1:2" x14ac:dyDescent="0.3">
      <c r="A829" t="s">
        <v>22</v>
      </c>
      <c r="B829">
        <f>AVERAGEIF(Sheet1!B:B, A829, Sheet1!J:J)</f>
        <v>40.497326203208559</v>
      </c>
    </row>
    <row r="830" spans="1:2" x14ac:dyDescent="0.3">
      <c r="A830" t="s">
        <v>22</v>
      </c>
      <c r="B830">
        <f>AVERAGEIF(Sheet1!B:B, A830, Sheet1!J:J)</f>
        <v>40.497326203208559</v>
      </c>
    </row>
    <row r="831" spans="1:2" x14ac:dyDescent="0.3">
      <c r="A831" t="s">
        <v>22</v>
      </c>
      <c r="B831">
        <f>AVERAGEIF(Sheet1!B:B, A831, Sheet1!J:J)</f>
        <v>40.497326203208559</v>
      </c>
    </row>
    <row r="832" spans="1:2" x14ac:dyDescent="0.3">
      <c r="A832" t="s">
        <v>22</v>
      </c>
      <c r="B832">
        <f>AVERAGEIF(Sheet1!B:B, A832, Sheet1!J:J)</f>
        <v>40.497326203208559</v>
      </c>
    </row>
    <row r="833" spans="1:2" x14ac:dyDescent="0.3">
      <c r="A833" t="s">
        <v>22</v>
      </c>
      <c r="B833">
        <f>AVERAGEIF(Sheet1!B:B, A833, Sheet1!J:J)</f>
        <v>40.497326203208559</v>
      </c>
    </row>
    <row r="834" spans="1:2" x14ac:dyDescent="0.3">
      <c r="A834" t="s">
        <v>22</v>
      </c>
      <c r="B834">
        <f>AVERAGEIF(Sheet1!B:B, A834, Sheet1!J:J)</f>
        <v>40.497326203208559</v>
      </c>
    </row>
    <row r="835" spans="1:2" x14ac:dyDescent="0.3">
      <c r="A835" t="s">
        <v>22</v>
      </c>
      <c r="B835">
        <f>AVERAGEIF(Sheet1!B:B, A835, Sheet1!J:J)</f>
        <v>40.497326203208559</v>
      </c>
    </row>
    <row r="836" spans="1:2" x14ac:dyDescent="0.3">
      <c r="A836" t="s">
        <v>22</v>
      </c>
      <c r="B836">
        <f>AVERAGEIF(Sheet1!B:B, A836, Sheet1!J:J)</f>
        <v>40.497326203208559</v>
      </c>
    </row>
    <row r="837" spans="1:2" x14ac:dyDescent="0.3">
      <c r="A837" t="s">
        <v>22</v>
      </c>
      <c r="B837">
        <f>AVERAGEIF(Sheet1!B:B, A837, Sheet1!J:J)</f>
        <v>40.497326203208559</v>
      </c>
    </row>
    <row r="838" spans="1:2" x14ac:dyDescent="0.3">
      <c r="A838" t="s">
        <v>22</v>
      </c>
      <c r="B838">
        <f>AVERAGEIF(Sheet1!B:B, A838, Sheet1!J:J)</f>
        <v>40.497326203208559</v>
      </c>
    </row>
    <row r="839" spans="1:2" x14ac:dyDescent="0.3">
      <c r="A839" t="s">
        <v>22</v>
      </c>
      <c r="B839">
        <f>AVERAGEIF(Sheet1!B:B, A839, Sheet1!J:J)</f>
        <v>40.497326203208559</v>
      </c>
    </row>
    <row r="840" spans="1:2" x14ac:dyDescent="0.3">
      <c r="A840" t="s">
        <v>25</v>
      </c>
      <c r="B840">
        <f>AVERAGEIF(Sheet1!B:B, A840, Sheet1!J:J)</f>
        <v>107.49685534591195</v>
      </c>
    </row>
    <row r="841" spans="1:2" x14ac:dyDescent="0.3">
      <c r="A841" t="s">
        <v>25</v>
      </c>
      <c r="B841">
        <f>AVERAGEIF(Sheet1!B:B, A841, Sheet1!J:J)</f>
        <v>107.49685534591195</v>
      </c>
    </row>
    <row r="842" spans="1:2" x14ac:dyDescent="0.3">
      <c r="A842" t="s">
        <v>25</v>
      </c>
      <c r="B842">
        <f>AVERAGEIF(Sheet1!B:B, A842, Sheet1!J:J)</f>
        <v>107.49685534591195</v>
      </c>
    </row>
    <row r="843" spans="1:2" x14ac:dyDescent="0.3">
      <c r="A843" t="s">
        <v>25</v>
      </c>
      <c r="B843">
        <f>AVERAGEIF(Sheet1!B:B, A843, Sheet1!J:J)</f>
        <v>107.49685534591195</v>
      </c>
    </row>
    <row r="844" spans="1:2" x14ac:dyDescent="0.3">
      <c r="A844" t="s">
        <v>25</v>
      </c>
      <c r="B844">
        <f>AVERAGEIF(Sheet1!B:B, A844, Sheet1!J:J)</f>
        <v>107.49685534591195</v>
      </c>
    </row>
    <row r="845" spans="1:2" x14ac:dyDescent="0.3">
      <c r="A845" t="s">
        <v>25</v>
      </c>
      <c r="B845">
        <f>AVERAGEIF(Sheet1!B:B, A845, Sheet1!J:J)</f>
        <v>107.49685534591195</v>
      </c>
    </row>
    <row r="846" spans="1:2" x14ac:dyDescent="0.3">
      <c r="A846" t="s">
        <v>25</v>
      </c>
      <c r="B846">
        <f>AVERAGEIF(Sheet1!B:B, A846, Sheet1!J:J)</f>
        <v>107.49685534591195</v>
      </c>
    </row>
    <row r="847" spans="1:2" x14ac:dyDescent="0.3">
      <c r="A847" t="s">
        <v>25</v>
      </c>
      <c r="B847">
        <f>AVERAGEIF(Sheet1!B:B, A847, Sheet1!J:J)</f>
        <v>107.49685534591195</v>
      </c>
    </row>
    <row r="848" spans="1:2" x14ac:dyDescent="0.3">
      <c r="A848" t="s">
        <v>25</v>
      </c>
      <c r="B848">
        <f>AVERAGEIF(Sheet1!B:B, A848, Sheet1!J:J)</f>
        <v>107.49685534591195</v>
      </c>
    </row>
    <row r="849" spans="1:2" x14ac:dyDescent="0.3">
      <c r="A849" t="s">
        <v>25</v>
      </c>
      <c r="B849">
        <f>AVERAGEIF(Sheet1!B:B, A849, Sheet1!J:J)</f>
        <v>107.49685534591195</v>
      </c>
    </row>
    <row r="850" spans="1:2" x14ac:dyDescent="0.3">
      <c r="A850" t="s">
        <v>25</v>
      </c>
      <c r="B850">
        <f>AVERAGEIF(Sheet1!B:B, A850, Sheet1!J:J)</f>
        <v>107.49685534591195</v>
      </c>
    </row>
    <row r="851" spans="1:2" x14ac:dyDescent="0.3">
      <c r="A851" t="s">
        <v>25</v>
      </c>
      <c r="B851">
        <f>AVERAGEIF(Sheet1!B:B, A851, Sheet1!J:J)</f>
        <v>107.49685534591195</v>
      </c>
    </row>
    <row r="852" spans="1:2" x14ac:dyDescent="0.3">
      <c r="A852" t="s">
        <v>25</v>
      </c>
      <c r="B852">
        <f>AVERAGEIF(Sheet1!B:B, A852, Sheet1!J:J)</f>
        <v>107.49685534591195</v>
      </c>
    </row>
    <row r="853" spans="1:2" x14ac:dyDescent="0.3">
      <c r="A853" t="s">
        <v>25</v>
      </c>
      <c r="B853">
        <f>AVERAGEIF(Sheet1!B:B, A853, Sheet1!J:J)</f>
        <v>107.49685534591195</v>
      </c>
    </row>
    <row r="854" spans="1:2" x14ac:dyDescent="0.3">
      <c r="A854" t="s">
        <v>24</v>
      </c>
      <c r="B854">
        <f>AVERAGEIF(Sheet1!B:B, A854, Sheet1!J:J)</f>
        <v>29.818181818181817</v>
      </c>
    </row>
    <row r="855" spans="1:2" x14ac:dyDescent="0.3">
      <c r="A855" t="s">
        <v>25</v>
      </c>
      <c r="B855">
        <f>AVERAGEIF(Sheet1!B:B, A855, Sheet1!J:J)</f>
        <v>107.49685534591195</v>
      </c>
    </row>
    <row r="856" spans="1:2" x14ac:dyDescent="0.3">
      <c r="A856" t="s">
        <v>25</v>
      </c>
      <c r="B856">
        <f>AVERAGEIF(Sheet1!B:B, A856, Sheet1!J:J)</f>
        <v>107.49685534591195</v>
      </c>
    </row>
    <row r="857" spans="1:2" x14ac:dyDescent="0.3">
      <c r="A857" t="s">
        <v>25</v>
      </c>
      <c r="B857">
        <f>AVERAGEIF(Sheet1!B:B, A857, Sheet1!J:J)</f>
        <v>107.49685534591195</v>
      </c>
    </row>
    <row r="858" spans="1:2" x14ac:dyDescent="0.3">
      <c r="A858" t="s">
        <v>24</v>
      </c>
      <c r="B858">
        <f>AVERAGEIF(Sheet1!B:B, A858, Sheet1!J:J)</f>
        <v>29.818181818181817</v>
      </c>
    </row>
    <row r="859" spans="1:2" x14ac:dyDescent="0.3">
      <c r="A859" t="s">
        <v>24</v>
      </c>
      <c r="B859">
        <f>AVERAGEIF(Sheet1!B:B, A859, Sheet1!J:J)</f>
        <v>29.818181818181817</v>
      </c>
    </row>
    <row r="860" spans="1:2" x14ac:dyDescent="0.3">
      <c r="A860" t="s">
        <v>24</v>
      </c>
      <c r="B860">
        <f>AVERAGEIF(Sheet1!B:B, A860, Sheet1!J:J)</f>
        <v>29.818181818181817</v>
      </c>
    </row>
    <row r="861" spans="1:2" x14ac:dyDescent="0.3">
      <c r="A861" t="s">
        <v>24</v>
      </c>
      <c r="B861">
        <f>AVERAGEIF(Sheet1!B:B, A861, Sheet1!J:J)</f>
        <v>29.818181818181817</v>
      </c>
    </row>
    <row r="862" spans="1:2" x14ac:dyDescent="0.3">
      <c r="A862" t="s">
        <v>24</v>
      </c>
      <c r="B862">
        <f>AVERAGEIF(Sheet1!B:B, A862, Sheet1!J:J)</f>
        <v>29.818181818181817</v>
      </c>
    </row>
    <row r="863" spans="1:2" x14ac:dyDescent="0.3">
      <c r="A863" t="s">
        <v>24</v>
      </c>
      <c r="B863">
        <f>AVERAGEIF(Sheet1!B:B, A863, Sheet1!J:J)</f>
        <v>29.818181818181817</v>
      </c>
    </row>
    <row r="864" spans="1:2" x14ac:dyDescent="0.3">
      <c r="A864" t="s">
        <v>25</v>
      </c>
      <c r="B864">
        <f>AVERAGEIF(Sheet1!B:B, A864, Sheet1!J:J)</f>
        <v>107.49685534591195</v>
      </c>
    </row>
    <row r="865" spans="1:2" x14ac:dyDescent="0.3">
      <c r="A865" t="s">
        <v>26</v>
      </c>
      <c r="B865">
        <f>AVERAGEIF(Sheet1!B:B, A865, Sheet1!J:J)</f>
        <v>81.180582524271841</v>
      </c>
    </row>
    <row r="866" spans="1:2" x14ac:dyDescent="0.3">
      <c r="A866" t="s">
        <v>26</v>
      </c>
      <c r="B866">
        <f>AVERAGEIF(Sheet1!B:B, A866, Sheet1!J:J)</f>
        <v>81.180582524271841</v>
      </c>
    </row>
    <row r="867" spans="1:2" x14ac:dyDescent="0.3">
      <c r="A867" t="s">
        <v>26</v>
      </c>
      <c r="B867">
        <f>AVERAGEIF(Sheet1!B:B, A867, Sheet1!J:J)</f>
        <v>81.180582524271841</v>
      </c>
    </row>
    <row r="868" spans="1:2" x14ac:dyDescent="0.3">
      <c r="A868" t="s">
        <v>25</v>
      </c>
      <c r="B868">
        <f>AVERAGEIF(Sheet1!B:B, A868, Sheet1!J:J)</f>
        <v>107.49685534591195</v>
      </c>
    </row>
    <row r="869" spans="1:2" x14ac:dyDescent="0.3">
      <c r="A869" t="s">
        <v>25</v>
      </c>
      <c r="B869">
        <f>AVERAGEIF(Sheet1!B:B, A869, Sheet1!J:J)</f>
        <v>107.49685534591195</v>
      </c>
    </row>
    <row r="870" spans="1:2" x14ac:dyDescent="0.3">
      <c r="A870" t="s">
        <v>25</v>
      </c>
      <c r="B870">
        <f>AVERAGEIF(Sheet1!B:B, A870, Sheet1!J:J)</f>
        <v>107.49685534591195</v>
      </c>
    </row>
    <row r="871" spans="1:2" x14ac:dyDescent="0.3">
      <c r="A871" t="s">
        <v>25</v>
      </c>
      <c r="B871">
        <f>AVERAGEIF(Sheet1!B:B, A871, Sheet1!J:J)</f>
        <v>107.49685534591195</v>
      </c>
    </row>
    <row r="872" spans="1:2" x14ac:dyDescent="0.3">
      <c r="A872" t="s">
        <v>25</v>
      </c>
      <c r="B872">
        <f>AVERAGEIF(Sheet1!B:B, A872, Sheet1!J:J)</f>
        <v>107.49685534591195</v>
      </c>
    </row>
    <row r="873" spans="1:2" x14ac:dyDescent="0.3">
      <c r="A873" t="s">
        <v>25</v>
      </c>
      <c r="B873">
        <f>AVERAGEIF(Sheet1!B:B, A873, Sheet1!J:J)</f>
        <v>107.49685534591195</v>
      </c>
    </row>
    <row r="874" spans="1:2" x14ac:dyDescent="0.3">
      <c r="A874" t="s">
        <v>24</v>
      </c>
      <c r="B874">
        <f>AVERAGEIF(Sheet1!B:B, A874, Sheet1!J:J)</f>
        <v>29.818181818181817</v>
      </c>
    </row>
    <row r="875" spans="1:2" x14ac:dyDescent="0.3">
      <c r="A875" t="s">
        <v>26</v>
      </c>
      <c r="B875">
        <f>AVERAGEIF(Sheet1!B:B, A875, Sheet1!J:J)</f>
        <v>81.180582524271841</v>
      </c>
    </row>
    <row r="876" spans="1:2" x14ac:dyDescent="0.3">
      <c r="A876" t="s">
        <v>26</v>
      </c>
      <c r="B876">
        <f>AVERAGEIF(Sheet1!B:B, A876, Sheet1!J:J)</f>
        <v>81.180582524271841</v>
      </c>
    </row>
    <row r="877" spans="1:2" x14ac:dyDescent="0.3">
      <c r="A877" t="s">
        <v>26</v>
      </c>
      <c r="B877">
        <f>AVERAGEIF(Sheet1!B:B, A877, Sheet1!J:J)</f>
        <v>81.180582524271841</v>
      </c>
    </row>
    <row r="878" spans="1:2" x14ac:dyDescent="0.3">
      <c r="A878" t="s">
        <v>26</v>
      </c>
      <c r="B878">
        <f>AVERAGEIF(Sheet1!B:B, A878, Sheet1!J:J)</f>
        <v>81.180582524271841</v>
      </c>
    </row>
    <row r="879" spans="1:2" x14ac:dyDescent="0.3">
      <c r="A879" t="s">
        <v>26</v>
      </c>
      <c r="B879">
        <f>AVERAGEIF(Sheet1!B:B, A879, Sheet1!J:J)</f>
        <v>81.180582524271841</v>
      </c>
    </row>
    <row r="880" spans="1:2" x14ac:dyDescent="0.3">
      <c r="A880" t="s">
        <v>26</v>
      </c>
      <c r="B880">
        <f>AVERAGEIF(Sheet1!B:B, A880, Sheet1!J:J)</f>
        <v>81.180582524271841</v>
      </c>
    </row>
    <row r="881" spans="1:2" x14ac:dyDescent="0.3">
      <c r="A881" t="s">
        <v>26</v>
      </c>
      <c r="B881">
        <f>AVERAGEIF(Sheet1!B:B, A881, Sheet1!J:J)</f>
        <v>81.180582524271841</v>
      </c>
    </row>
    <row r="882" spans="1:2" x14ac:dyDescent="0.3">
      <c r="A882" t="s">
        <v>26</v>
      </c>
      <c r="B882">
        <f>AVERAGEIF(Sheet1!B:B, A882, Sheet1!J:J)</f>
        <v>81.180582524271841</v>
      </c>
    </row>
    <row r="883" spans="1:2" x14ac:dyDescent="0.3">
      <c r="A883" t="s">
        <v>26</v>
      </c>
      <c r="B883">
        <f>AVERAGEIF(Sheet1!B:B, A883, Sheet1!J:J)</f>
        <v>81.180582524271841</v>
      </c>
    </row>
    <row r="884" spans="1:2" x14ac:dyDescent="0.3">
      <c r="A884" t="s">
        <v>26</v>
      </c>
      <c r="B884">
        <f>AVERAGEIF(Sheet1!B:B, A884, Sheet1!J:J)</f>
        <v>81.180582524271841</v>
      </c>
    </row>
    <row r="885" spans="1:2" x14ac:dyDescent="0.3">
      <c r="A885" t="s">
        <v>26</v>
      </c>
      <c r="B885">
        <f>AVERAGEIF(Sheet1!B:B, A885, Sheet1!J:J)</f>
        <v>81.180582524271841</v>
      </c>
    </row>
    <row r="886" spans="1:2" x14ac:dyDescent="0.3">
      <c r="A886" t="s">
        <v>26</v>
      </c>
      <c r="B886">
        <f>AVERAGEIF(Sheet1!B:B, A886, Sheet1!J:J)</f>
        <v>81.180582524271841</v>
      </c>
    </row>
    <row r="887" spans="1:2" x14ac:dyDescent="0.3">
      <c r="A887" t="s">
        <v>26</v>
      </c>
      <c r="B887">
        <f>AVERAGEIF(Sheet1!B:B, A887, Sheet1!J:J)</f>
        <v>81.180582524271841</v>
      </c>
    </row>
    <row r="888" spans="1:2" x14ac:dyDescent="0.3">
      <c r="A888" t="s">
        <v>26</v>
      </c>
      <c r="B888">
        <f>AVERAGEIF(Sheet1!B:B, A888, Sheet1!J:J)</f>
        <v>81.180582524271841</v>
      </c>
    </row>
    <row r="889" spans="1:2" x14ac:dyDescent="0.3">
      <c r="A889" t="s">
        <v>26</v>
      </c>
      <c r="B889">
        <f>AVERAGEIF(Sheet1!B:B, A889, Sheet1!J:J)</f>
        <v>81.180582524271841</v>
      </c>
    </row>
    <row r="890" spans="1:2" x14ac:dyDescent="0.3">
      <c r="A890" t="s">
        <v>26</v>
      </c>
      <c r="B890">
        <f>AVERAGEIF(Sheet1!B:B, A890, Sheet1!J:J)</f>
        <v>81.180582524271841</v>
      </c>
    </row>
    <row r="891" spans="1:2" x14ac:dyDescent="0.3">
      <c r="A891" t="s">
        <v>26</v>
      </c>
      <c r="B891">
        <f>AVERAGEIF(Sheet1!B:B, A891, Sheet1!J:J)</f>
        <v>81.180582524271841</v>
      </c>
    </row>
    <row r="892" spans="1:2" x14ac:dyDescent="0.3">
      <c r="A892" t="s">
        <v>26</v>
      </c>
      <c r="B892">
        <f>AVERAGEIF(Sheet1!B:B, A892, Sheet1!J:J)</f>
        <v>81.180582524271841</v>
      </c>
    </row>
    <row r="893" spans="1:2" x14ac:dyDescent="0.3">
      <c r="A893" t="s">
        <v>26</v>
      </c>
      <c r="B893">
        <f>AVERAGEIF(Sheet1!B:B, A893, Sheet1!J:J)</f>
        <v>81.180582524271841</v>
      </c>
    </row>
    <row r="894" spans="1:2" x14ac:dyDescent="0.3">
      <c r="A894" t="s">
        <v>26</v>
      </c>
      <c r="B894">
        <f>AVERAGEIF(Sheet1!B:B, A894, Sheet1!J:J)</f>
        <v>81.180582524271841</v>
      </c>
    </row>
    <row r="895" spans="1:2" x14ac:dyDescent="0.3">
      <c r="A895" t="s">
        <v>26</v>
      </c>
      <c r="B895">
        <f>AVERAGEIF(Sheet1!B:B, A895, Sheet1!J:J)</f>
        <v>81.180582524271841</v>
      </c>
    </row>
    <row r="896" spans="1:2" x14ac:dyDescent="0.3">
      <c r="A896" t="s">
        <v>26</v>
      </c>
      <c r="B896">
        <f>AVERAGEIF(Sheet1!B:B, A896, Sheet1!J:J)</f>
        <v>81.180582524271841</v>
      </c>
    </row>
    <row r="897" spans="1:2" x14ac:dyDescent="0.3">
      <c r="A897" t="s">
        <v>26</v>
      </c>
      <c r="B897">
        <f>AVERAGEIF(Sheet1!B:B, A897, Sheet1!J:J)</f>
        <v>81.180582524271841</v>
      </c>
    </row>
    <row r="898" spans="1:2" x14ac:dyDescent="0.3">
      <c r="A898" t="s">
        <v>26</v>
      </c>
      <c r="B898">
        <f>AVERAGEIF(Sheet1!B:B, A898, Sheet1!J:J)</f>
        <v>81.180582524271841</v>
      </c>
    </row>
    <row r="899" spans="1:2" x14ac:dyDescent="0.3">
      <c r="A899" t="s">
        <v>26</v>
      </c>
      <c r="B899">
        <f>AVERAGEIF(Sheet1!B:B, A899, Sheet1!J:J)</f>
        <v>81.180582524271841</v>
      </c>
    </row>
    <row r="900" spans="1:2" x14ac:dyDescent="0.3">
      <c r="A900" t="s">
        <v>26</v>
      </c>
      <c r="B900">
        <f>AVERAGEIF(Sheet1!B:B, A900, Sheet1!J:J)</f>
        <v>81.180582524271841</v>
      </c>
    </row>
    <row r="901" spans="1:2" x14ac:dyDescent="0.3">
      <c r="A901" t="s">
        <v>26</v>
      </c>
      <c r="B901">
        <f>AVERAGEIF(Sheet1!B:B, A901, Sheet1!J:J)</f>
        <v>81.180582524271841</v>
      </c>
    </row>
    <row r="902" spans="1:2" x14ac:dyDescent="0.3">
      <c r="A902" t="s">
        <v>26</v>
      </c>
      <c r="B902">
        <f>AVERAGEIF(Sheet1!B:B, A902, Sheet1!J:J)</f>
        <v>81.180582524271841</v>
      </c>
    </row>
    <row r="903" spans="1:2" x14ac:dyDescent="0.3">
      <c r="A903" t="s">
        <v>26</v>
      </c>
      <c r="B903">
        <f>AVERAGEIF(Sheet1!B:B, A903, Sheet1!J:J)</f>
        <v>81.180582524271841</v>
      </c>
    </row>
    <row r="904" spans="1:2" x14ac:dyDescent="0.3">
      <c r="A904" t="s">
        <v>26</v>
      </c>
      <c r="B904">
        <f>AVERAGEIF(Sheet1!B:B, A904, Sheet1!J:J)</f>
        <v>81.180582524271841</v>
      </c>
    </row>
    <row r="905" spans="1:2" x14ac:dyDescent="0.3">
      <c r="A905" t="s">
        <v>26</v>
      </c>
      <c r="B905">
        <f>AVERAGEIF(Sheet1!B:B, A905, Sheet1!J:J)</f>
        <v>81.180582524271841</v>
      </c>
    </row>
    <row r="906" spans="1:2" x14ac:dyDescent="0.3">
      <c r="A906" t="s">
        <v>26</v>
      </c>
      <c r="B906">
        <f>AVERAGEIF(Sheet1!B:B, A906, Sheet1!J:J)</f>
        <v>81.180582524271841</v>
      </c>
    </row>
    <row r="907" spans="1:2" x14ac:dyDescent="0.3">
      <c r="A907" t="s">
        <v>26</v>
      </c>
      <c r="B907">
        <f>AVERAGEIF(Sheet1!B:B, A907, Sheet1!J:J)</f>
        <v>81.180582524271841</v>
      </c>
    </row>
    <row r="908" spans="1:2" x14ac:dyDescent="0.3">
      <c r="A908" t="s">
        <v>26</v>
      </c>
      <c r="B908">
        <f>AVERAGEIF(Sheet1!B:B, A908, Sheet1!J:J)</f>
        <v>81.180582524271841</v>
      </c>
    </row>
    <row r="909" spans="1:2" x14ac:dyDescent="0.3">
      <c r="A909" t="s">
        <v>26</v>
      </c>
      <c r="B909">
        <f>AVERAGEIF(Sheet1!B:B, A909, Sheet1!J:J)</f>
        <v>81.180582524271841</v>
      </c>
    </row>
    <row r="910" spans="1:2" x14ac:dyDescent="0.3">
      <c r="A910" t="s">
        <v>26</v>
      </c>
      <c r="B910">
        <f>AVERAGEIF(Sheet1!B:B, A910, Sheet1!J:J)</f>
        <v>81.180582524271841</v>
      </c>
    </row>
    <row r="911" spans="1:2" x14ac:dyDescent="0.3">
      <c r="A911" t="s">
        <v>26</v>
      </c>
      <c r="B911">
        <f>AVERAGEIF(Sheet1!B:B, A911, Sheet1!J:J)</f>
        <v>81.180582524271841</v>
      </c>
    </row>
    <row r="912" spans="1:2" x14ac:dyDescent="0.3">
      <c r="A912" t="s">
        <v>26</v>
      </c>
      <c r="B912">
        <f>AVERAGEIF(Sheet1!B:B, A912, Sheet1!J:J)</f>
        <v>81.180582524271841</v>
      </c>
    </row>
    <row r="913" spans="1:2" x14ac:dyDescent="0.3">
      <c r="A913" t="s">
        <v>26</v>
      </c>
      <c r="B913">
        <f>AVERAGEIF(Sheet1!B:B, A913, Sheet1!J:J)</f>
        <v>81.180582524271841</v>
      </c>
    </row>
    <row r="914" spans="1:2" x14ac:dyDescent="0.3">
      <c r="A914" t="s">
        <v>26</v>
      </c>
      <c r="B914">
        <f>AVERAGEIF(Sheet1!B:B, A914, Sheet1!J:J)</f>
        <v>81.180582524271841</v>
      </c>
    </row>
    <row r="915" spans="1:2" x14ac:dyDescent="0.3">
      <c r="A915" t="s">
        <v>26</v>
      </c>
      <c r="B915">
        <f>AVERAGEIF(Sheet1!B:B, A915, Sheet1!J:J)</f>
        <v>81.180582524271841</v>
      </c>
    </row>
    <row r="916" spans="1:2" x14ac:dyDescent="0.3">
      <c r="A916" t="s">
        <v>26</v>
      </c>
      <c r="B916">
        <f>AVERAGEIF(Sheet1!B:B, A916, Sheet1!J:J)</f>
        <v>81.180582524271841</v>
      </c>
    </row>
    <row r="917" spans="1:2" x14ac:dyDescent="0.3">
      <c r="A917" t="s">
        <v>26</v>
      </c>
      <c r="B917">
        <f>AVERAGEIF(Sheet1!B:B, A917, Sheet1!J:J)</f>
        <v>81.180582524271841</v>
      </c>
    </row>
    <row r="918" spans="1:2" x14ac:dyDescent="0.3">
      <c r="A918" t="s">
        <v>26</v>
      </c>
      <c r="B918">
        <f>AVERAGEIF(Sheet1!B:B, A918, Sheet1!J:J)</f>
        <v>81.180582524271841</v>
      </c>
    </row>
    <row r="919" spans="1:2" x14ac:dyDescent="0.3">
      <c r="A919" t="s">
        <v>26</v>
      </c>
      <c r="B919">
        <f>AVERAGEIF(Sheet1!B:B, A919, Sheet1!J:J)</f>
        <v>81.180582524271841</v>
      </c>
    </row>
    <row r="920" spans="1:2" x14ac:dyDescent="0.3">
      <c r="A920" t="s">
        <v>26</v>
      </c>
      <c r="B920">
        <f>AVERAGEIF(Sheet1!B:B, A920, Sheet1!J:J)</f>
        <v>81.180582524271841</v>
      </c>
    </row>
    <row r="921" spans="1:2" x14ac:dyDescent="0.3">
      <c r="A921" t="s">
        <v>26</v>
      </c>
      <c r="B921">
        <f>AVERAGEIF(Sheet1!B:B, A921, Sheet1!J:J)</f>
        <v>81.180582524271841</v>
      </c>
    </row>
    <row r="922" spans="1:2" x14ac:dyDescent="0.3">
      <c r="A922" t="s">
        <v>26</v>
      </c>
      <c r="B922">
        <f>AVERAGEIF(Sheet1!B:B, A922, Sheet1!J:J)</f>
        <v>81.180582524271841</v>
      </c>
    </row>
    <row r="923" spans="1:2" x14ac:dyDescent="0.3">
      <c r="A923" t="s">
        <v>26</v>
      </c>
      <c r="B923">
        <f>AVERAGEIF(Sheet1!B:B, A923, Sheet1!J:J)</f>
        <v>81.180582524271841</v>
      </c>
    </row>
    <row r="924" spans="1:2" x14ac:dyDescent="0.3">
      <c r="A924" t="s">
        <v>26</v>
      </c>
      <c r="B924">
        <f>AVERAGEIF(Sheet1!B:B, A924, Sheet1!J:J)</f>
        <v>81.180582524271841</v>
      </c>
    </row>
    <row r="925" spans="1:2" x14ac:dyDescent="0.3">
      <c r="A925" t="s">
        <v>26</v>
      </c>
      <c r="B925">
        <f>AVERAGEIF(Sheet1!B:B, A925, Sheet1!J:J)</f>
        <v>81.180582524271841</v>
      </c>
    </row>
    <row r="926" spans="1:2" x14ac:dyDescent="0.3">
      <c r="A926" t="s">
        <v>26</v>
      </c>
      <c r="B926">
        <f>AVERAGEIF(Sheet1!B:B, A926, Sheet1!J:J)</f>
        <v>81.180582524271841</v>
      </c>
    </row>
    <row r="927" spans="1:2" x14ac:dyDescent="0.3">
      <c r="A927" t="s">
        <v>26</v>
      </c>
      <c r="B927">
        <f>AVERAGEIF(Sheet1!B:B, A927, Sheet1!J:J)</f>
        <v>81.180582524271841</v>
      </c>
    </row>
    <row r="928" spans="1:2" x14ac:dyDescent="0.3">
      <c r="A928" t="s">
        <v>26</v>
      </c>
      <c r="B928">
        <f>AVERAGEIF(Sheet1!B:B, A928, Sheet1!J:J)</f>
        <v>81.180582524271841</v>
      </c>
    </row>
    <row r="929" spans="1:2" x14ac:dyDescent="0.3">
      <c r="A929" t="s">
        <v>26</v>
      </c>
      <c r="B929">
        <f>AVERAGEIF(Sheet1!B:B, A929, Sheet1!J:J)</f>
        <v>81.180582524271841</v>
      </c>
    </row>
    <row r="930" spans="1:2" x14ac:dyDescent="0.3">
      <c r="A930" t="s">
        <v>26</v>
      </c>
      <c r="B930">
        <f>AVERAGEIF(Sheet1!B:B, A930, Sheet1!J:J)</f>
        <v>81.180582524271841</v>
      </c>
    </row>
    <row r="931" spans="1:2" x14ac:dyDescent="0.3">
      <c r="A931" t="s">
        <v>26</v>
      </c>
      <c r="B931">
        <f>AVERAGEIF(Sheet1!B:B, A931, Sheet1!J:J)</f>
        <v>81.180582524271841</v>
      </c>
    </row>
    <row r="932" spans="1:2" x14ac:dyDescent="0.3">
      <c r="A932" t="s">
        <v>26</v>
      </c>
      <c r="B932">
        <f>AVERAGEIF(Sheet1!B:B, A932, Sheet1!J:J)</f>
        <v>81.180582524271841</v>
      </c>
    </row>
    <row r="933" spans="1:2" x14ac:dyDescent="0.3">
      <c r="A933" t="s">
        <v>26</v>
      </c>
      <c r="B933">
        <f>AVERAGEIF(Sheet1!B:B, A933, Sheet1!J:J)</f>
        <v>81.180582524271841</v>
      </c>
    </row>
    <row r="934" spans="1:2" x14ac:dyDescent="0.3">
      <c r="A934" t="s">
        <v>26</v>
      </c>
      <c r="B934">
        <f>AVERAGEIF(Sheet1!B:B, A934, Sheet1!J:J)</f>
        <v>81.180582524271841</v>
      </c>
    </row>
    <row r="935" spans="1:2" x14ac:dyDescent="0.3">
      <c r="A935" t="s">
        <v>26</v>
      </c>
      <c r="B935">
        <f>AVERAGEIF(Sheet1!B:B, A935, Sheet1!J:J)</f>
        <v>81.180582524271841</v>
      </c>
    </row>
    <row r="936" spans="1:2" x14ac:dyDescent="0.3">
      <c r="A936" t="s">
        <v>26</v>
      </c>
      <c r="B936">
        <f>AVERAGEIF(Sheet1!B:B, A936, Sheet1!J:J)</f>
        <v>81.180582524271841</v>
      </c>
    </row>
    <row r="937" spans="1:2" x14ac:dyDescent="0.3">
      <c r="A937" t="s">
        <v>26</v>
      </c>
      <c r="B937">
        <f>AVERAGEIF(Sheet1!B:B, A937, Sheet1!J:J)</f>
        <v>81.180582524271841</v>
      </c>
    </row>
    <row r="938" spans="1:2" x14ac:dyDescent="0.3">
      <c r="A938" t="s">
        <v>26</v>
      </c>
      <c r="B938">
        <f>AVERAGEIF(Sheet1!B:B, A938, Sheet1!J:J)</f>
        <v>81.180582524271841</v>
      </c>
    </row>
    <row r="939" spans="1:2" x14ac:dyDescent="0.3">
      <c r="A939" t="s">
        <v>26</v>
      </c>
      <c r="B939">
        <f>AVERAGEIF(Sheet1!B:B, A939, Sheet1!J:J)</f>
        <v>81.180582524271841</v>
      </c>
    </row>
    <row r="940" spans="1:2" x14ac:dyDescent="0.3">
      <c r="A940" t="s">
        <v>26</v>
      </c>
      <c r="B940">
        <f>AVERAGEIF(Sheet1!B:B, A940, Sheet1!J:J)</f>
        <v>81.180582524271841</v>
      </c>
    </row>
    <row r="941" spans="1:2" x14ac:dyDescent="0.3">
      <c r="A941" t="s">
        <v>26</v>
      </c>
      <c r="B941">
        <f>AVERAGEIF(Sheet1!B:B, A941, Sheet1!J:J)</f>
        <v>81.180582524271841</v>
      </c>
    </row>
    <row r="942" spans="1:2" x14ac:dyDescent="0.3">
      <c r="A942" t="s">
        <v>26</v>
      </c>
      <c r="B942">
        <f>AVERAGEIF(Sheet1!B:B, A942, Sheet1!J:J)</f>
        <v>81.180582524271841</v>
      </c>
    </row>
    <row r="943" spans="1:2" x14ac:dyDescent="0.3">
      <c r="A943" t="s">
        <v>26</v>
      </c>
      <c r="B943">
        <f>AVERAGEIF(Sheet1!B:B, A943, Sheet1!J:J)</f>
        <v>81.180582524271841</v>
      </c>
    </row>
    <row r="944" spans="1:2" x14ac:dyDescent="0.3">
      <c r="A944" t="s">
        <v>26</v>
      </c>
      <c r="B944">
        <f>AVERAGEIF(Sheet1!B:B, A944, Sheet1!J:J)</f>
        <v>81.180582524271841</v>
      </c>
    </row>
    <row r="945" spans="1:2" x14ac:dyDescent="0.3">
      <c r="A945" t="s">
        <v>26</v>
      </c>
      <c r="B945">
        <f>AVERAGEIF(Sheet1!B:B, A945, Sheet1!J:J)</f>
        <v>81.180582524271841</v>
      </c>
    </row>
    <row r="946" spans="1:2" x14ac:dyDescent="0.3">
      <c r="A946" t="s">
        <v>26</v>
      </c>
      <c r="B946">
        <f>AVERAGEIF(Sheet1!B:B, A946, Sheet1!J:J)</f>
        <v>81.180582524271841</v>
      </c>
    </row>
    <row r="947" spans="1:2" x14ac:dyDescent="0.3">
      <c r="A947" t="s">
        <v>26</v>
      </c>
      <c r="B947">
        <f>AVERAGEIF(Sheet1!B:B, A947, Sheet1!J:J)</f>
        <v>81.180582524271841</v>
      </c>
    </row>
    <row r="948" spans="1:2" x14ac:dyDescent="0.3">
      <c r="A948" t="s">
        <v>26</v>
      </c>
      <c r="B948">
        <f>AVERAGEIF(Sheet1!B:B, A948, Sheet1!J:J)</f>
        <v>81.180582524271841</v>
      </c>
    </row>
    <row r="949" spans="1:2" x14ac:dyDescent="0.3">
      <c r="A949" t="s">
        <v>26</v>
      </c>
      <c r="B949">
        <f>AVERAGEIF(Sheet1!B:B, A949, Sheet1!J:J)</f>
        <v>81.180582524271841</v>
      </c>
    </row>
    <row r="950" spans="1:2" x14ac:dyDescent="0.3">
      <c r="A950" t="s">
        <v>26</v>
      </c>
      <c r="B950">
        <f>AVERAGEIF(Sheet1!B:B, A950, Sheet1!J:J)</f>
        <v>81.180582524271841</v>
      </c>
    </row>
    <row r="951" spans="1:2" x14ac:dyDescent="0.3">
      <c r="A951" t="s">
        <v>26</v>
      </c>
      <c r="B951">
        <f>AVERAGEIF(Sheet1!B:B, A951, Sheet1!J:J)</f>
        <v>81.180582524271841</v>
      </c>
    </row>
    <row r="952" spans="1:2" x14ac:dyDescent="0.3">
      <c r="A952" t="s">
        <v>26</v>
      </c>
      <c r="B952">
        <f>AVERAGEIF(Sheet1!B:B, A952, Sheet1!J:J)</f>
        <v>81.180582524271841</v>
      </c>
    </row>
    <row r="953" spans="1:2" x14ac:dyDescent="0.3">
      <c r="A953" t="s">
        <v>26</v>
      </c>
      <c r="B953">
        <f>AVERAGEIF(Sheet1!B:B, A953, Sheet1!J:J)</f>
        <v>81.180582524271841</v>
      </c>
    </row>
    <row r="954" spans="1:2" x14ac:dyDescent="0.3">
      <c r="A954" t="s">
        <v>26</v>
      </c>
      <c r="B954">
        <f>AVERAGEIF(Sheet1!B:B, A954, Sheet1!J:J)</f>
        <v>81.180582524271841</v>
      </c>
    </row>
    <row r="955" spans="1:2" x14ac:dyDescent="0.3">
      <c r="A955" t="s">
        <v>26</v>
      </c>
      <c r="B955">
        <f>AVERAGEIF(Sheet1!B:B, A955, Sheet1!J:J)</f>
        <v>81.180582524271841</v>
      </c>
    </row>
    <row r="956" spans="1:2" x14ac:dyDescent="0.3">
      <c r="A956" t="s">
        <v>26</v>
      </c>
      <c r="B956">
        <f>AVERAGEIF(Sheet1!B:B, A956, Sheet1!J:J)</f>
        <v>81.180582524271841</v>
      </c>
    </row>
    <row r="957" spans="1:2" x14ac:dyDescent="0.3">
      <c r="A957" t="s">
        <v>26</v>
      </c>
      <c r="B957">
        <f>AVERAGEIF(Sheet1!B:B, A957, Sheet1!J:J)</f>
        <v>81.180582524271841</v>
      </c>
    </row>
    <row r="958" spans="1:2" x14ac:dyDescent="0.3">
      <c r="A958" t="s">
        <v>26</v>
      </c>
      <c r="B958">
        <f>AVERAGEIF(Sheet1!B:B, A958, Sheet1!J:J)</f>
        <v>81.180582524271841</v>
      </c>
    </row>
    <row r="959" spans="1:2" x14ac:dyDescent="0.3">
      <c r="A959" t="s">
        <v>26</v>
      </c>
      <c r="B959">
        <f>AVERAGEIF(Sheet1!B:B, A959, Sheet1!J:J)</f>
        <v>81.180582524271841</v>
      </c>
    </row>
    <row r="960" spans="1:2" x14ac:dyDescent="0.3">
      <c r="A960" t="s">
        <v>26</v>
      </c>
      <c r="B960">
        <f>AVERAGEIF(Sheet1!B:B, A960, Sheet1!J:J)</f>
        <v>81.180582524271841</v>
      </c>
    </row>
    <row r="961" spans="1:2" x14ac:dyDescent="0.3">
      <c r="A961" t="s">
        <v>26</v>
      </c>
      <c r="B961">
        <f>AVERAGEIF(Sheet1!B:B, A961, Sheet1!J:J)</f>
        <v>81.180582524271841</v>
      </c>
    </row>
    <row r="962" spans="1:2" x14ac:dyDescent="0.3">
      <c r="A962" t="s">
        <v>26</v>
      </c>
      <c r="B962">
        <f>AVERAGEIF(Sheet1!B:B, A962, Sheet1!J:J)</f>
        <v>81.180582524271841</v>
      </c>
    </row>
    <row r="963" spans="1:2" x14ac:dyDescent="0.3">
      <c r="A963" t="s">
        <v>26</v>
      </c>
      <c r="B963">
        <f>AVERAGEIF(Sheet1!B:B, A963, Sheet1!J:J)</f>
        <v>81.180582524271841</v>
      </c>
    </row>
    <row r="964" spans="1:2" x14ac:dyDescent="0.3">
      <c r="A964" t="s">
        <v>26</v>
      </c>
      <c r="B964">
        <f>AVERAGEIF(Sheet1!B:B, A964, Sheet1!J:J)</f>
        <v>81.180582524271841</v>
      </c>
    </row>
    <row r="965" spans="1:2" x14ac:dyDescent="0.3">
      <c r="A965" t="s">
        <v>26</v>
      </c>
      <c r="B965">
        <f>AVERAGEIF(Sheet1!B:B, A965, Sheet1!J:J)</f>
        <v>81.180582524271841</v>
      </c>
    </row>
    <row r="966" spans="1:2" x14ac:dyDescent="0.3">
      <c r="A966" t="s">
        <v>26</v>
      </c>
      <c r="B966">
        <f>AVERAGEIF(Sheet1!B:B, A966, Sheet1!J:J)</f>
        <v>81.180582524271841</v>
      </c>
    </row>
    <row r="967" spans="1:2" x14ac:dyDescent="0.3">
      <c r="A967" t="s">
        <v>26</v>
      </c>
      <c r="B967">
        <f>AVERAGEIF(Sheet1!B:B, A967, Sheet1!J:J)</f>
        <v>81.180582524271841</v>
      </c>
    </row>
    <row r="968" spans="1:2" x14ac:dyDescent="0.3">
      <c r="A968" t="s">
        <v>26</v>
      </c>
      <c r="B968">
        <f>AVERAGEIF(Sheet1!B:B, A968, Sheet1!J:J)</f>
        <v>81.180582524271841</v>
      </c>
    </row>
    <row r="969" spans="1:2" x14ac:dyDescent="0.3">
      <c r="A969" t="s">
        <v>26</v>
      </c>
      <c r="B969">
        <f>AVERAGEIF(Sheet1!B:B, A969, Sheet1!J:J)</f>
        <v>81.180582524271841</v>
      </c>
    </row>
    <row r="970" spans="1:2" x14ac:dyDescent="0.3">
      <c r="A970" t="s">
        <v>26</v>
      </c>
      <c r="B970">
        <f>AVERAGEIF(Sheet1!B:B, A970, Sheet1!J:J)</f>
        <v>81.180582524271841</v>
      </c>
    </row>
    <row r="971" spans="1:2" x14ac:dyDescent="0.3">
      <c r="A971" t="s">
        <v>26</v>
      </c>
      <c r="B971">
        <f>AVERAGEIF(Sheet1!B:B, A971, Sheet1!J:J)</f>
        <v>81.180582524271841</v>
      </c>
    </row>
    <row r="972" spans="1:2" x14ac:dyDescent="0.3">
      <c r="A972" t="s">
        <v>26</v>
      </c>
      <c r="B972">
        <f>AVERAGEIF(Sheet1!B:B, A972, Sheet1!J:J)</f>
        <v>81.180582524271841</v>
      </c>
    </row>
    <row r="973" spans="1:2" x14ac:dyDescent="0.3">
      <c r="A973" t="s">
        <v>26</v>
      </c>
      <c r="B973">
        <f>AVERAGEIF(Sheet1!B:B, A973, Sheet1!J:J)</f>
        <v>81.180582524271841</v>
      </c>
    </row>
    <row r="974" spans="1:2" x14ac:dyDescent="0.3">
      <c r="A974" t="s">
        <v>26</v>
      </c>
      <c r="B974">
        <f>AVERAGEIF(Sheet1!B:B, A974, Sheet1!J:J)</f>
        <v>81.180582524271841</v>
      </c>
    </row>
    <row r="975" spans="1:2" x14ac:dyDescent="0.3">
      <c r="A975" t="s">
        <v>26</v>
      </c>
      <c r="B975">
        <f>AVERAGEIF(Sheet1!B:B, A975, Sheet1!J:J)</f>
        <v>81.180582524271841</v>
      </c>
    </row>
    <row r="976" spans="1:2" x14ac:dyDescent="0.3">
      <c r="A976" t="s">
        <v>26</v>
      </c>
      <c r="B976">
        <f>AVERAGEIF(Sheet1!B:B, A976, Sheet1!J:J)</f>
        <v>81.180582524271841</v>
      </c>
    </row>
    <row r="977" spans="1:2" x14ac:dyDescent="0.3">
      <c r="A977" t="s">
        <v>26</v>
      </c>
      <c r="B977">
        <f>AVERAGEIF(Sheet1!B:B, A977, Sheet1!J:J)</f>
        <v>81.180582524271841</v>
      </c>
    </row>
    <row r="978" spans="1:2" x14ac:dyDescent="0.3">
      <c r="A978" t="s">
        <v>27</v>
      </c>
      <c r="B978">
        <f>AVERAGEIF(Sheet1!B:B, A978, Sheet1!J:J)</f>
        <v>82.383177570093451</v>
      </c>
    </row>
    <row r="979" spans="1:2" x14ac:dyDescent="0.3">
      <c r="A979" t="s">
        <v>27</v>
      </c>
      <c r="B979">
        <f>AVERAGEIF(Sheet1!B:B, A979, Sheet1!J:J)</f>
        <v>82.383177570093451</v>
      </c>
    </row>
    <row r="980" spans="1:2" x14ac:dyDescent="0.3">
      <c r="A980" t="s">
        <v>32</v>
      </c>
      <c r="B980">
        <f>AVERAGEIF(Sheet1!B:B, A980, Sheet1!J:J)</f>
        <v>43.571428571428569</v>
      </c>
    </row>
    <row r="981" spans="1:2" x14ac:dyDescent="0.3">
      <c r="A981" t="s">
        <v>32</v>
      </c>
      <c r="B981">
        <f>AVERAGEIF(Sheet1!B:B, A981, Sheet1!J:J)</f>
        <v>43.571428571428569</v>
      </c>
    </row>
    <row r="982" spans="1:2" x14ac:dyDescent="0.3">
      <c r="A982" t="s">
        <v>32</v>
      </c>
      <c r="B982">
        <f>AVERAGEIF(Sheet1!B:B, A982, Sheet1!J:J)</f>
        <v>43.571428571428569</v>
      </c>
    </row>
    <row r="983" spans="1:2" x14ac:dyDescent="0.3">
      <c r="A983" t="s">
        <v>30</v>
      </c>
      <c r="B983">
        <f>AVERAGEIF(Sheet1!B:B, A983, Sheet1!J:J)</f>
        <v>83.958333333333329</v>
      </c>
    </row>
    <row r="984" spans="1:2" x14ac:dyDescent="0.3">
      <c r="A984" t="s">
        <v>30</v>
      </c>
      <c r="B984">
        <f>AVERAGEIF(Sheet1!B:B, A984, Sheet1!J:J)</f>
        <v>83.958333333333329</v>
      </c>
    </row>
    <row r="985" spans="1:2" x14ac:dyDescent="0.3">
      <c r="A985" t="s">
        <v>30</v>
      </c>
      <c r="B985">
        <f>AVERAGEIF(Sheet1!B:B, A985, Sheet1!J:J)</f>
        <v>83.958333333333329</v>
      </c>
    </row>
    <row r="986" spans="1:2" x14ac:dyDescent="0.3">
      <c r="A986" t="s">
        <v>27</v>
      </c>
      <c r="B986">
        <f>AVERAGEIF(Sheet1!B:B, A986, Sheet1!J:J)</f>
        <v>82.383177570093451</v>
      </c>
    </row>
    <row r="987" spans="1:2" x14ac:dyDescent="0.3">
      <c r="A987" t="s">
        <v>27</v>
      </c>
      <c r="B987">
        <f>AVERAGEIF(Sheet1!B:B, A987, Sheet1!J:J)</f>
        <v>82.383177570093451</v>
      </c>
    </row>
    <row r="988" spans="1:2" x14ac:dyDescent="0.3">
      <c r="A988" t="s">
        <v>27</v>
      </c>
      <c r="B988">
        <f>AVERAGEIF(Sheet1!B:B, A988, Sheet1!J:J)</f>
        <v>82.383177570093451</v>
      </c>
    </row>
    <row r="989" spans="1:2" x14ac:dyDescent="0.3">
      <c r="A989" t="s">
        <v>27</v>
      </c>
      <c r="B989">
        <f>AVERAGEIF(Sheet1!B:B, A989, Sheet1!J:J)</f>
        <v>82.383177570093451</v>
      </c>
    </row>
    <row r="990" spans="1:2" x14ac:dyDescent="0.3">
      <c r="A990" t="s">
        <v>27</v>
      </c>
      <c r="B990">
        <f>AVERAGEIF(Sheet1!B:B, A990, Sheet1!J:J)</f>
        <v>82.383177570093451</v>
      </c>
    </row>
    <row r="991" spans="1:2" x14ac:dyDescent="0.3">
      <c r="A991" t="s">
        <v>27</v>
      </c>
      <c r="B991">
        <f>AVERAGEIF(Sheet1!B:B, A991, Sheet1!J:J)</f>
        <v>82.383177570093451</v>
      </c>
    </row>
    <row r="992" spans="1:2" x14ac:dyDescent="0.3">
      <c r="A992" t="s">
        <v>40</v>
      </c>
      <c r="B992">
        <f>AVERAGEIF(Sheet1!B:B, A992, Sheet1!J:J)</f>
        <v>83.857142857142861</v>
      </c>
    </row>
    <row r="993" spans="1:2" x14ac:dyDescent="0.3">
      <c r="A993" t="s">
        <v>27</v>
      </c>
      <c r="B993">
        <f>AVERAGEIF(Sheet1!B:B, A993, Sheet1!J:J)</f>
        <v>82.383177570093451</v>
      </c>
    </row>
    <row r="994" spans="1:2" x14ac:dyDescent="0.3">
      <c r="A994" t="s">
        <v>27</v>
      </c>
      <c r="B994">
        <f>AVERAGEIF(Sheet1!B:B, A994, Sheet1!J:J)</f>
        <v>82.383177570093451</v>
      </c>
    </row>
    <row r="995" spans="1:2" x14ac:dyDescent="0.3">
      <c r="A995" t="s">
        <v>27</v>
      </c>
      <c r="B995">
        <f>AVERAGEIF(Sheet1!B:B, A995, Sheet1!J:J)</f>
        <v>82.383177570093451</v>
      </c>
    </row>
    <row r="996" spans="1:2" x14ac:dyDescent="0.3">
      <c r="A996" t="s">
        <v>27</v>
      </c>
      <c r="B996">
        <f>AVERAGEIF(Sheet1!B:B, A996, Sheet1!J:J)</f>
        <v>82.383177570093451</v>
      </c>
    </row>
    <row r="997" spans="1:2" x14ac:dyDescent="0.3">
      <c r="A997" t="s">
        <v>27</v>
      </c>
      <c r="B997">
        <f>AVERAGEIF(Sheet1!B:B, A997, Sheet1!J:J)</f>
        <v>82.383177570093451</v>
      </c>
    </row>
    <row r="998" spans="1:2" x14ac:dyDescent="0.3">
      <c r="A998" t="s">
        <v>27</v>
      </c>
      <c r="B998">
        <f>AVERAGEIF(Sheet1!B:B, A998, Sheet1!J:J)</f>
        <v>82.383177570093451</v>
      </c>
    </row>
    <row r="999" spans="1:2" x14ac:dyDescent="0.3">
      <c r="A999" t="s">
        <v>27</v>
      </c>
      <c r="B999">
        <f>AVERAGEIF(Sheet1!B:B, A999, Sheet1!J:J)</f>
        <v>82.383177570093451</v>
      </c>
    </row>
    <row r="1000" spans="1:2" x14ac:dyDescent="0.3">
      <c r="A1000" t="s">
        <v>27</v>
      </c>
      <c r="B1000">
        <f>AVERAGEIF(Sheet1!B:B, A1000, Sheet1!J:J)</f>
        <v>82.383177570093451</v>
      </c>
    </row>
    <row r="1001" spans="1:2" x14ac:dyDescent="0.3">
      <c r="A1001" t="s">
        <v>27</v>
      </c>
      <c r="B1001">
        <f>AVERAGEIF(Sheet1!B:B, A1001, Sheet1!J:J)</f>
        <v>82.383177570093451</v>
      </c>
    </row>
    <row r="1002" spans="1:2" x14ac:dyDescent="0.3">
      <c r="A1002" t="s">
        <v>41</v>
      </c>
      <c r="B1002">
        <f>AVERAGEIF(Sheet1!B:B, A1002, Sheet1!J:J)</f>
        <v>87.222222222222229</v>
      </c>
    </row>
    <row r="1003" spans="1:2" x14ac:dyDescent="0.3">
      <c r="A1003" t="s">
        <v>41</v>
      </c>
      <c r="B1003">
        <f>AVERAGEIF(Sheet1!B:B, A1003, Sheet1!J:J)</f>
        <v>87.222222222222229</v>
      </c>
    </row>
    <row r="1004" spans="1:2" x14ac:dyDescent="0.3">
      <c r="A1004" t="s">
        <v>41</v>
      </c>
      <c r="B1004">
        <f>AVERAGEIF(Sheet1!B:B, A1004, Sheet1!J:J)</f>
        <v>87.222222222222229</v>
      </c>
    </row>
    <row r="1005" spans="1:2" x14ac:dyDescent="0.3">
      <c r="A1005" t="s">
        <v>29</v>
      </c>
      <c r="B1005">
        <f>AVERAGEIF(Sheet1!B:B, A1005, Sheet1!J:J)</f>
        <v>28.166666666666668</v>
      </c>
    </row>
    <row r="1006" spans="1:2" x14ac:dyDescent="0.3">
      <c r="A1006" t="s">
        <v>30</v>
      </c>
      <c r="B1006">
        <f>AVERAGEIF(Sheet1!B:B, A1006, Sheet1!J:J)</f>
        <v>83.958333333333329</v>
      </c>
    </row>
    <row r="1007" spans="1:2" x14ac:dyDescent="0.3">
      <c r="A1007" t="s">
        <v>30</v>
      </c>
      <c r="B1007">
        <f>AVERAGEIF(Sheet1!B:B, A1007, Sheet1!J:J)</f>
        <v>83.958333333333329</v>
      </c>
    </row>
    <row r="1008" spans="1:2" x14ac:dyDescent="0.3">
      <c r="A1008" t="s">
        <v>30</v>
      </c>
      <c r="B1008">
        <f>AVERAGEIF(Sheet1!B:B, A1008, Sheet1!J:J)</f>
        <v>83.958333333333329</v>
      </c>
    </row>
    <row r="1009" spans="1:2" x14ac:dyDescent="0.3">
      <c r="A1009" t="s">
        <v>31</v>
      </c>
      <c r="B1009">
        <f>AVERAGEIF(Sheet1!B:B, A1009, Sheet1!J:J)</f>
        <v>111.49520766773163</v>
      </c>
    </row>
    <row r="1010" spans="1:2" x14ac:dyDescent="0.3">
      <c r="A1010" t="s">
        <v>31</v>
      </c>
      <c r="B1010">
        <f>AVERAGEIF(Sheet1!B:B, A1010, Sheet1!J:J)</f>
        <v>111.49520766773163</v>
      </c>
    </row>
    <row r="1011" spans="1:2" x14ac:dyDescent="0.3">
      <c r="A1011" t="s">
        <v>31</v>
      </c>
      <c r="B1011">
        <f>AVERAGEIF(Sheet1!B:B, A1011, Sheet1!J:J)</f>
        <v>111.49520766773163</v>
      </c>
    </row>
    <row r="1012" spans="1:2" x14ac:dyDescent="0.3">
      <c r="A1012" t="s">
        <v>30</v>
      </c>
      <c r="B1012">
        <f>AVERAGEIF(Sheet1!B:B, A1012, Sheet1!J:J)</f>
        <v>83.958333333333329</v>
      </c>
    </row>
    <row r="1013" spans="1:2" x14ac:dyDescent="0.3">
      <c r="A1013" t="s">
        <v>30</v>
      </c>
      <c r="B1013">
        <f>AVERAGEIF(Sheet1!B:B, A1013, Sheet1!J:J)</f>
        <v>83.958333333333329</v>
      </c>
    </row>
    <row r="1014" spans="1:2" x14ac:dyDescent="0.3">
      <c r="A1014" t="s">
        <v>27</v>
      </c>
      <c r="B1014">
        <f>AVERAGEIF(Sheet1!B:B, A1014, Sheet1!J:J)</f>
        <v>82.383177570093451</v>
      </c>
    </row>
    <row r="1015" spans="1:2" x14ac:dyDescent="0.3">
      <c r="A1015" t="s">
        <v>31</v>
      </c>
      <c r="B1015">
        <f>AVERAGEIF(Sheet1!B:B, A1015, Sheet1!J:J)</f>
        <v>111.49520766773163</v>
      </c>
    </row>
    <row r="1016" spans="1:2" x14ac:dyDescent="0.3">
      <c r="A1016" t="s">
        <v>31</v>
      </c>
      <c r="B1016">
        <f>AVERAGEIF(Sheet1!B:B, A1016, Sheet1!J:J)</f>
        <v>111.49520766773163</v>
      </c>
    </row>
    <row r="1017" spans="1:2" x14ac:dyDescent="0.3">
      <c r="A1017" t="s">
        <v>31</v>
      </c>
      <c r="B1017">
        <f>AVERAGEIF(Sheet1!B:B, A1017, Sheet1!J:J)</f>
        <v>111.49520766773163</v>
      </c>
    </row>
    <row r="1018" spans="1:2" x14ac:dyDescent="0.3">
      <c r="A1018" t="s">
        <v>31</v>
      </c>
      <c r="B1018">
        <f>AVERAGEIF(Sheet1!B:B, A1018, Sheet1!J:J)</f>
        <v>111.49520766773163</v>
      </c>
    </row>
    <row r="1019" spans="1:2" x14ac:dyDescent="0.3">
      <c r="A1019" t="s">
        <v>31</v>
      </c>
      <c r="B1019">
        <f>AVERAGEIF(Sheet1!B:B, A1019, Sheet1!J:J)</f>
        <v>111.49520766773163</v>
      </c>
    </row>
    <row r="1020" spans="1:2" x14ac:dyDescent="0.3">
      <c r="A1020" t="s">
        <v>31</v>
      </c>
      <c r="B1020">
        <f>AVERAGEIF(Sheet1!B:B, A1020, Sheet1!J:J)</f>
        <v>111.49520766773163</v>
      </c>
    </row>
    <row r="1021" spans="1:2" x14ac:dyDescent="0.3">
      <c r="A1021" t="s">
        <v>31</v>
      </c>
      <c r="B1021">
        <f>AVERAGEIF(Sheet1!B:B, A1021, Sheet1!J:J)</f>
        <v>111.49520766773163</v>
      </c>
    </row>
    <row r="1022" spans="1:2" x14ac:dyDescent="0.3">
      <c r="A1022" t="s">
        <v>31</v>
      </c>
      <c r="B1022">
        <f>AVERAGEIF(Sheet1!B:B, A1022, Sheet1!J:J)</f>
        <v>111.49520766773163</v>
      </c>
    </row>
    <row r="1023" spans="1:2" x14ac:dyDescent="0.3">
      <c r="A1023" t="s">
        <v>31</v>
      </c>
      <c r="B1023">
        <f>AVERAGEIF(Sheet1!B:B, A1023, Sheet1!J:J)</f>
        <v>111.49520766773163</v>
      </c>
    </row>
    <row r="1024" spans="1:2" x14ac:dyDescent="0.3">
      <c r="A1024" t="s">
        <v>31</v>
      </c>
      <c r="B1024">
        <f>AVERAGEIF(Sheet1!B:B, A1024, Sheet1!J:J)</f>
        <v>111.49520766773163</v>
      </c>
    </row>
    <row r="1025" spans="1:2" x14ac:dyDescent="0.3">
      <c r="A1025" t="s">
        <v>31</v>
      </c>
      <c r="B1025">
        <f>AVERAGEIF(Sheet1!B:B, A1025, Sheet1!J:J)</f>
        <v>111.49520766773163</v>
      </c>
    </row>
    <row r="1026" spans="1:2" x14ac:dyDescent="0.3">
      <c r="A1026" t="s">
        <v>31</v>
      </c>
      <c r="B1026">
        <f>AVERAGEIF(Sheet1!B:B, A1026, Sheet1!J:J)</f>
        <v>111.49520766773163</v>
      </c>
    </row>
    <row r="1027" spans="1:2" x14ac:dyDescent="0.3">
      <c r="A1027" t="s">
        <v>31</v>
      </c>
      <c r="B1027">
        <f>AVERAGEIF(Sheet1!B:B, A1027, Sheet1!J:J)</f>
        <v>111.49520766773163</v>
      </c>
    </row>
    <row r="1028" spans="1:2" x14ac:dyDescent="0.3">
      <c r="A1028" t="s">
        <v>31</v>
      </c>
      <c r="B1028">
        <f>AVERAGEIF(Sheet1!B:B, A1028, Sheet1!J:J)</f>
        <v>111.49520766773163</v>
      </c>
    </row>
    <row r="1029" spans="1:2" x14ac:dyDescent="0.3">
      <c r="A1029" t="s">
        <v>31</v>
      </c>
      <c r="B1029">
        <f>AVERAGEIF(Sheet1!B:B, A1029, Sheet1!J:J)</f>
        <v>111.49520766773163</v>
      </c>
    </row>
    <row r="1030" spans="1:2" x14ac:dyDescent="0.3">
      <c r="A1030" t="s">
        <v>31</v>
      </c>
      <c r="B1030">
        <f>AVERAGEIF(Sheet1!B:B, A1030, Sheet1!J:J)</f>
        <v>111.49520766773163</v>
      </c>
    </row>
    <row r="1031" spans="1:2" x14ac:dyDescent="0.3">
      <c r="A1031" t="s">
        <v>31</v>
      </c>
      <c r="B1031">
        <f>AVERAGEIF(Sheet1!B:B, A1031, Sheet1!J:J)</f>
        <v>111.49520766773163</v>
      </c>
    </row>
    <row r="1032" spans="1:2" x14ac:dyDescent="0.3">
      <c r="A1032" t="s">
        <v>31</v>
      </c>
      <c r="B1032">
        <f>AVERAGEIF(Sheet1!B:B, A1032, Sheet1!J:J)</f>
        <v>111.49520766773163</v>
      </c>
    </row>
    <row r="1033" spans="1:2" x14ac:dyDescent="0.3">
      <c r="A1033" t="s">
        <v>31</v>
      </c>
      <c r="B1033">
        <f>AVERAGEIF(Sheet1!B:B, A1033, Sheet1!J:J)</f>
        <v>111.49520766773163</v>
      </c>
    </row>
    <row r="1034" spans="1:2" x14ac:dyDescent="0.3">
      <c r="A1034" t="s">
        <v>31</v>
      </c>
      <c r="B1034">
        <f>AVERAGEIF(Sheet1!B:B, A1034, Sheet1!J:J)</f>
        <v>111.49520766773163</v>
      </c>
    </row>
    <row r="1035" spans="1:2" x14ac:dyDescent="0.3">
      <c r="A1035" t="s">
        <v>31</v>
      </c>
      <c r="B1035">
        <f>AVERAGEIF(Sheet1!B:B, A1035, Sheet1!J:J)</f>
        <v>111.49520766773163</v>
      </c>
    </row>
    <row r="1036" spans="1:2" x14ac:dyDescent="0.3">
      <c r="A1036" t="s">
        <v>31</v>
      </c>
      <c r="B1036">
        <f>AVERAGEIF(Sheet1!B:B, A1036, Sheet1!J:J)</f>
        <v>111.49520766773163</v>
      </c>
    </row>
    <row r="1037" spans="1:2" x14ac:dyDescent="0.3">
      <c r="A1037" t="s">
        <v>31</v>
      </c>
      <c r="B1037">
        <f>AVERAGEIF(Sheet1!B:B, A1037, Sheet1!J:J)</f>
        <v>111.49520766773163</v>
      </c>
    </row>
    <row r="1038" spans="1:2" x14ac:dyDescent="0.3">
      <c r="A1038" t="s">
        <v>31</v>
      </c>
      <c r="B1038">
        <f>AVERAGEIF(Sheet1!B:B, A1038, Sheet1!J:J)</f>
        <v>111.49520766773163</v>
      </c>
    </row>
    <row r="1039" spans="1:2" x14ac:dyDescent="0.3">
      <c r="A1039" t="s">
        <v>31</v>
      </c>
      <c r="B1039">
        <f>AVERAGEIF(Sheet1!B:B, A1039, Sheet1!J:J)</f>
        <v>111.49520766773163</v>
      </c>
    </row>
    <row r="1040" spans="1:2" x14ac:dyDescent="0.3">
      <c r="A1040" t="s">
        <v>31</v>
      </c>
      <c r="B1040">
        <f>AVERAGEIF(Sheet1!B:B, A1040, Sheet1!J:J)</f>
        <v>111.49520766773163</v>
      </c>
    </row>
    <row r="1041" spans="1:2" x14ac:dyDescent="0.3">
      <c r="A1041" t="s">
        <v>31</v>
      </c>
      <c r="B1041">
        <f>AVERAGEIF(Sheet1!B:B, A1041, Sheet1!J:J)</f>
        <v>111.49520766773163</v>
      </c>
    </row>
    <row r="1042" spans="1:2" x14ac:dyDescent="0.3">
      <c r="A1042" t="s">
        <v>31</v>
      </c>
      <c r="B1042">
        <f>AVERAGEIF(Sheet1!B:B, A1042, Sheet1!J:J)</f>
        <v>111.49520766773163</v>
      </c>
    </row>
    <row r="1043" spans="1:2" x14ac:dyDescent="0.3">
      <c r="A1043" t="s">
        <v>31</v>
      </c>
      <c r="B1043">
        <f>AVERAGEIF(Sheet1!B:B, A1043, Sheet1!J:J)</f>
        <v>111.49520766773163</v>
      </c>
    </row>
    <row r="1044" spans="1:2" x14ac:dyDescent="0.3">
      <c r="A1044" t="s">
        <v>31</v>
      </c>
      <c r="B1044">
        <f>AVERAGEIF(Sheet1!B:B, A1044, Sheet1!J:J)</f>
        <v>111.49520766773163</v>
      </c>
    </row>
    <row r="1045" spans="1:2" x14ac:dyDescent="0.3">
      <c r="A1045" t="s">
        <v>31</v>
      </c>
      <c r="B1045">
        <f>AVERAGEIF(Sheet1!B:B, A1045, Sheet1!J:J)</f>
        <v>111.49520766773163</v>
      </c>
    </row>
    <row r="1046" spans="1:2" x14ac:dyDescent="0.3">
      <c r="A1046" t="s">
        <v>31</v>
      </c>
      <c r="B1046">
        <f>AVERAGEIF(Sheet1!B:B, A1046, Sheet1!J:J)</f>
        <v>111.49520766773163</v>
      </c>
    </row>
    <row r="1047" spans="1:2" x14ac:dyDescent="0.3">
      <c r="A1047" t="s">
        <v>31</v>
      </c>
      <c r="B1047">
        <f>AVERAGEIF(Sheet1!B:B, A1047, Sheet1!J:J)</f>
        <v>111.49520766773163</v>
      </c>
    </row>
    <row r="1048" spans="1:2" x14ac:dyDescent="0.3">
      <c r="A1048" t="s">
        <v>31</v>
      </c>
      <c r="B1048">
        <f>AVERAGEIF(Sheet1!B:B, A1048, Sheet1!J:J)</f>
        <v>111.49520766773163</v>
      </c>
    </row>
    <row r="1049" spans="1:2" x14ac:dyDescent="0.3">
      <c r="A1049" t="s">
        <v>31</v>
      </c>
      <c r="B1049">
        <f>AVERAGEIF(Sheet1!B:B, A1049, Sheet1!J:J)</f>
        <v>111.49520766773163</v>
      </c>
    </row>
    <row r="1050" spans="1:2" x14ac:dyDescent="0.3">
      <c r="A1050" t="s">
        <v>31</v>
      </c>
      <c r="B1050">
        <f>AVERAGEIF(Sheet1!B:B, A1050, Sheet1!J:J)</f>
        <v>111.49520766773163</v>
      </c>
    </row>
    <row r="1051" spans="1:2" x14ac:dyDescent="0.3">
      <c r="A1051" t="s">
        <v>31</v>
      </c>
      <c r="B1051">
        <f>AVERAGEIF(Sheet1!B:B, A1051, Sheet1!J:J)</f>
        <v>111.49520766773163</v>
      </c>
    </row>
    <row r="1052" spans="1:2" x14ac:dyDescent="0.3">
      <c r="A1052" t="s">
        <v>31</v>
      </c>
      <c r="B1052">
        <f>AVERAGEIF(Sheet1!B:B, A1052, Sheet1!J:J)</f>
        <v>111.49520766773163</v>
      </c>
    </row>
    <row r="1053" spans="1:2" x14ac:dyDescent="0.3">
      <c r="A1053" t="s">
        <v>31</v>
      </c>
      <c r="B1053">
        <f>AVERAGEIF(Sheet1!B:B, A1053, Sheet1!J:J)</f>
        <v>111.49520766773163</v>
      </c>
    </row>
    <row r="1054" spans="1:2" x14ac:dyDescent="0.3">
      <c r="A1054" t="s">
        <v>31</v>
      </c>
      <c r="B1054">
        <f>AVERAGEIF(Sheet1!B:B, A1054, Sheet1!J:J)</f>
        <v>111.49520766773163</v>
      </c>
    </row>
    <row r="1055" spans="1:2" x14ac:dyDescent="0.3">
      <c r="A1055" t="s">
        <v>31</v>
      </c>
      <c r="B1055">
        <f>AVERAGEIF(Sheet1!B:B, A1055, Sheet1!J:J)</f>
        <v>111.49520766773163</v>
      </c>
    </row>
    <row r="1056" spans="1:2" x14ac:dyDescent="0.3">
      <c r="A1056" t="s">
        <v>31</v>
      </c>
      <c r="B1056">
        <f>AVERAGEIF(Sheet1!B:B, A1056, Sheet1!J:J)</f>
        <v>111.49520766773163</v>
      </c>
    </row>
    <row r="1057" spans="1:2" x14ac:dyDescent="0.3">
      <c r="A1057" t="s">
        <v>31</v>
      </c>
      <c r="B1057">
        <f>AVERAGEIF(Sheet1!B:B, A1057, Sheet1!J:J)</f>
        <v>111.49520766773163</v>
      </c>
    </row>
    <row r="1058" spans="1:2" x14ac:dyDescent="0.3">
      <c r="A1058" t="s">
        <v>31</v>
      </c>
      <c r="B1058">
        <f>AVERAGEIF(Sheet1!B:B, A1058, Sheet1!J:J)</f>
        <v>111.49520766773163</v>
      </c>
    </row>
    <row r="1059" spans="1:2" x14ac:dyDescent="0.3">
      <c r="A1059" t="s">
        <v>31</v>
      </c>
      <c r="B1059">
        <f>AVERAGEIF(Sheet1!B:B, A1059, Sheet1!J:J)</f>
        <v>111.49520766773163</v>
      </c>
    </row>
    <row r="1060" spans="1:2" x14ac:dyDescent="0.3">
      <c r="A1060" t="s">
        <v>31</v>
      </c>
      <c r="B1060">
        <f>AVERAGEIF(Sheet1!B:B, A1060, Sheet1!J:J)</f>
        <v>111.49520766773163</v>
      </c>
    </row>
    <row r="1061" spans="1:2" x14ac:dyDescent="0.3">
      <c r="A1061" t="s">
        <v>31</v>
      </c>
      <c r="B1061">
        <f>AVERAGEIF(Sheet1!B:B, A1061, Sheet1!J:J)</f>
        <v>111.49520766773163</v>
      </c>
    </row>
    <row r="1062" spans="1:2" x14ac:dyDescent="0.3">
      <c r="A1062" t="s">
        <v>31</v>
      </c>
      <c r="B1062">
        <f>AVERAGEIF(Sheet1!B:B, A1062, Sheet1!J:J)</f>
        <v>111.49520766773163</v>
      </c>
    </row>
    <row r="1063" spans="1:2" x14ac:dyDescent="0.3">
      <c r="A1063" t="s">
        <v>31</v>
      </c>
      <c r="B1063">
        <f>AVERAGEIF(Sheet1!B:B, A1063, Sheet1!J:J)</f>
        <v>111.49520766773163</v>
      </c>
    </row>
    <row r="1064" spans="1:2" x14ac:dyDescent="0.3">
      <c r="A1064" t="s">
        <v>31</v>
      </c>
      <c r="B1064">
        <f>AVERAGEIF(Sheet1!B:B, A1064, Sheet1!J:J)</f>
        <v>111.49520766773163</v>
      </c>
    </row>
    <row r="1065" spans="1:2" x14ac:dyDescent="0.3">
      <c r="A1065" t="s">
        <v>31</v>
      </c>
      <c r="B1065">
        <f>AVERAGEIF(Sheet1!B:B, A1065, Sheet1!J:J)</f>
        <v>111.49520766773163</v>
      </c>
    </row>
    <row r="1066" spans="1:2" x14ac:dyDescent="0.3">
      <c r="A1066" t="s">
        <v>31</v>
      </c>
      <c r="B1066">
        <f>AVERAGEIF(Sheet1!B:B, A1066, Sheet1!J:J)</f>
        <v>111.49520766773163</v>
      </c>
    </row>
    <row r="1067" spans="1:2" x14ac:dyDescent="0.3">
      <c r="A1067" t="s">
        <v>31</v>
      </c>
      <c r="B1067">
        <f>AVERAGEIF(Sheet1!B:B, A1067, Sheet1!J:J)</f>
        <v>111.49520766773163</v>
      </c>
    </row>
    <row r="1068" spans="1:2" x14ac:dyDescent="0.3">
      <c r="A1068" t="s">
        <v>31</v>
      </c>
      <c r="B1068">
        <f>AVERAGEIF(Sheet1!B:B, A1068, Sheet1!J:J)</f>
        <v>111.49520766773163</v>
      </c>
    </row>
    <row r="1069" spans="1:2" x14ac:dyDescent="0.3">
      <c r="A1069" t="s">
        <v>31</v>
      </c>
      <c r="B1069">
        <f>AVERAGEIF(Sheet1!B:B, A1069, Sheet1!J:J)</f>
        <v>111.49520766773163</v>
      </c>
    </row>
    <row r="1070" spans="1:2" x14ac:dyDescent="0.3">
      <c r="A1070" t="s">
        <v>31</v>
      </c>
      <c r="B1070">
        <f>AVERAGEIF(Sheet1!B:B, A1070, Sheet1!J:J)</f>
        <v>111.49520766773163</v>
      </c>
    </row>
    <row r="1071" spans="1:2" x14ac:dyDescent="0.3">
      <c r="A1071" t="s">
        <v>31</v>
      </c>
      <c r="B1071">
        <f>AVERAGEIF(Sheet1!B:B, A1071, Sheet1!J:J)</f>
        <v>111.49520766773163</v>
      </c>
    </row>
    <row r="1072" spans="1:2" x14ac:dyDescent="0.3">
      <c r="A1072" t="s">
        <v>31</v>
      </c>
      <c r="B1072">
        <f>AVERAGEIF(Sheet1!B:B, A1072, Sheet1!J:J)</f>
        <v>111.49520766773163</v>
      </c>
    </row>
    <row r="1073" spans="1:2" x14ac:dyDescent="0.3">
      <c r="A1073" t="s">
        <v>31</v>
      </c>
      <c r="B1073">
        <f>AVERAGEIF(Sheet1!B:B, A1073, Sheet1!J:J)</f>
        <v>111.49520766773163</v>
      </c>
    </row>
    <row r="1074" spans="1:2" x14ac:dyDescent="0.3">
      <c r="A1074" t="s">
        <v>31</v>
      </c>
      <c r="B1074">
        <f>AVERAGEIF(Sheet1!B:B, A1074, Sheet1!J:J)</f>
        <v>111.49520766773163</v>
      </c>
    </row>
    <row r="1075" spans="1:2" x14ac:dyDescent="0.3">
      <c r="A1075" t="s">
        <v>34</v>
      </c>
      <c r="B1075">
        <f>AVERAGEIF(Sheet1!B:B, A1075, Sheet1!J:J)</f>
        <v>85.5</v>
      </c>
    </row>
    <row r="1076" spans="1:2" x14ac:dyDescent="0.3">
      <c r="A1076" t="s">
        <v>33</v>
      </c>
      <c r="B1076">
        <f>AVERAGEIF(Sheet1!B:B, A1076, Sheet1!J:J)</f>
        <v>34.873096446700508</v>
      </c>
    </row>
    <row r="1077" spans="1:2" x14ac:dyDescent="0.3">
      <c r="A1077" t="s">
        <v>33</v>
      </c>
      <c r="B1077">
        <f>AVERAGEIF(Sheet1!B:B, A1077, Sheet1!J:J)</f>
        <v>34.873096446700508</v>
      </c>
    </row>
    <row r="1078" spans="1:2" x14ac:dyDescent="0.3">
      <c r="A1078" t="s">
        <v>33</v>
      </c>
      <c r="B1078">
        <f>AVERAGEIF(Sheet1!B:B, A1078, Sheet1!J:J)</f>
        <v>34.873096446700508</v>
      </c>
    </row>
    <row r="1079" spans="1:2" x14ac:dyDescent="0.3">
      <c r="A1079" t="s">
        <v>33</v>
      </c>
      <c r="B1079">
        <f>AVERAGEIF(Sheet1!B:B, A1079, Sheet1!J:J)</f>
        <v>34.873096446700508</v>
      </c>
    </row>
    <row r="1080" spans="1:2" x14ac:dyDescent="0.3">
      <c r="A1080" t="s">
        <v>33</v>
      </c>
      <c r="B1080">
        <f>AVERAGEIF(Sheet1!B:B, A1080, Sheet1!J:J)</f>
        <v>34.873096446700508</v>
      </c>
    </row>
    <row r="1081" spans="1:2" x14ac:dyDescent="0.3">
      <c r="A1081" t="s">
        <v>31</v>
      </c>
      <c r="B1081">
        <f>AVERAGEIF(Sheet1!B:B, A1081, Sheet1!J:J)</f>
        <v>111.49520766773163</v>
      </c>
    </row>
    <row r="1082" spans="1:2" x14ac:dyDescent="0.3">
      <c r="A1082" t="s">
        <v>31</v>
      </c>
      <c r="B1082">
        <f>AVERAGEIF(Sheet1!B:B, A1082, Sheet1!J:J)</f>
        <v>111.49520766773163</v>
      </c>
    </row>
    <row r="1083" spans="1:2" x14ac:dyDescent="0.3">
      <c r="A1083" t="s">
        <v>33</v>
      </c>
      <c r="B1083">
        <f>AVERAGEIF(Sheet1!B:B, A1083, Sheet1!J:J)</f>
        <v>34.873096446700508</v>
      </c>
    </row>
    <row r="1084" spans="1:2" x14ac:dyDescent="0.3">
      <c r="A1084" t="s">
        <v>33</v>
      </c>
      <c r="B1084">
        <f>AVERAGEIF(Sheet1!B:B, A1084, Sheet1!J:J)</f>
        <v>34.873096446700508</v>
      </c>
    </row>
    <row r="1085" spans="1:2" x14ac:dyDescent="0.3">
      <c r="A1085" t="s">
        <v>33</v>
      </c>
      <c r="B1085">
        <f>AVERAGEIF(Sheet1!B:B, A1085, Sheet1!J:J)</f>
        <v>34.873096446700508</v>
      </c>
    </row>
    <row r="1086" spans="1:2" x14ac:dyDescent="0.3">
      <c r="A1086" t="s">
        <v>33</v>
      </c>
      <c r="B1086">
        <f>AVERAGEIF(Sheet1!B:B, A1086, Sheet1!J:J)</f>
        <v>34.873096446700508</v>
      </c>
    </row>
    <row r="1087" spans="1:2" x14ac:dyDescent="0.3">
      <c r="A1087" t="s">
        <v>33</v>
      </c>
      <c r="B1087">
        <f>AVERAGEIF(Sheet1!B:B, A1087, Sheet1!J:J)</f>
        <v>34.873096446700508</v>
      </c>
    </row>
    <row r="1088" spans="1:2" x14ac:dyDescent="0.3">
      <c r="A1088" t="s">
        <v>33</v>
      </c>
      <c r="B1088">
        <f>AVERAGEIF(Sheet1!B:B, A1088, Sheet1!J:J)</f>
        <v>34.873096446700508</v>
      </c>
    </row>
    <row r="1089" spans="1:2" x14ac:dyDescent="0.3">
      <c r="A1089" t="s">
        <v>33</v>
      </c>
      <c r="B1089">
        <f>AVERAGEIF(Sheet1!B:B, A1089, Sheet1!J:J)</f>
        <v>34.873096446700508</v>
      </c>
    </row>
    <row r="1090" spans="1:2" x14ac:dyDescent="0.3">
      <c r="A1090" t="s">
        <v>33</v>
      </c>
      <c r="B1090">
        <f>AVERAGEIF(Sheet1!B:B, A1090, Sheet1!J:J)</f>
        <v>34.873096446700508</v>
      </c>
    </row>
    <row r="1091" spans="1:2" x14ac:dyDescent="0.3">
      <c r="A1091" t="s">
        <v>33</v>
      </c>
      <c r="B1091">
        <f>AVERAGEIF(Sheet1!B:B, A1091, Sheet1!J:J)</f>
        <v>34.873096446700508</v>
      </c>
    </row>
    <row r="1092" spans="1:2" x14ac:dyDescent="0.3">
      <c r="A1092" t="s">
        <v>33</v>
      </c>
      <c r="B1092">
        <f>AVERAGEIF(Sheet1!B:B, A1092, Sheet1!J:J)</f>
        <v>34.873096446700508</v>
      </c>
    </row>
    <row r="1093" spans="1:2" x14ac:dyDescent="0.3">
      <c r="A1093" t="s">
        <v>33</v>
      </c>
      <c r="B1093">
        <f>AVERAGEIF(Sheet1!B:B, A1093, Sheet1!J:J)</f>
        <v>34.873096446700508</v>
      </c>
    </row>
    <row r="1094" spans="1:2" x14ac:dyDescent="0.3">
      <c r="A1094" t="s">
        <v>33</v>
      </c>
      <c r="B1094">
        <f>AVERAGEIF(Sheet1!B:B, A1094, Sheet1!J:J)</f>
        <v>34.873096446700508</v>
      </c>
    </row>
    <row r="1095" spans="1:2" x14ac:dyDescent="0.3">
      <c r="A1095" t="s">
        <v>33</v>
      </c>
      <c r="B1095">
        <f>AVERAGEIF(Sheet1!B:B, A1095, Sheet1!J:J)</f>
        <v>34.873096446700508</v>
      </c>
    </row>
    <row r="1096" spans="1:2" x14ac:dyDescent="0.3">
      <c r="A1096" t="s">
        <v>33</v>
      </c>
      <c r="B1096">
        <f>AVERAGEIF(Sheet1!B:B, A1096, Sheet1!J:J)</f>
        <v>34.873096446700508</v>
      </c>
    </row>
    <row r="1097" spans="1:2" x14ac:dyDescent="0.3">
      <c r="A1097" t="s">
        <v>33</v>
      </c>
      <c r="B1097">
        <f>AVERAGEIF(Sheet1!B:B, A1097, Sheet1!J:J)</f>
        <v>34.873096446700508</v>
      </c>
    </row>
    <row r="1098" spans="1:2" x14ac:dyDescent="0.3">
      <c r="A1098" t="s">
        <v>33</v>
      </c>
      <c r="B1098">
        <f>AVERAGEIF(Sheet1!B:B, A1098, Sheet1!J:J)</f>
        <v>34.873096446700508</v>
      </c>
    </row>
    <row r="1099" spans="1:2" x14ac:dyDescent="0.3">
      <c r="A1099" t="s">
        <v>33</v>
      </c>
      <c r="B1099">
        <f>AVERAGEIF(Sheet1!B:B, A1099, Sheet1!J:J)</f>
        <v>34.873096446700508</v>
      </c>
    </row>
    <row r="1100" spans="1:2" x14ac:dyDescent="0.3">
      <c r="A1100" t="s">
        <v>33</v>
      </c>
      <c r="B1100">
        <f>AVERAGEIF(Sheet1!B:B, A1100, Sheet1!J:J)</f>
        <v>34.873096446700508</v>
      </c>
    </row>
    <row r="1101" spans="1:2" x14ac:dyDescent="0.3">
      <c r="A1101" t="s">
        <v>33</v>
      </c>
      <c r="B1101">
        <f>AVERAGEIF(Sheet1!B:B, A1101, Sheet1!J:J)</f>
        <v>34.873096446700508</v>
      </c>
    </row>
    <row r="1102" spans="1:2" x14ac:dyDescent="0.3">
      <c r="A1102" t="s">
        <v>33</v>
      </c>
      <c r="B1102">
        <f>AVERAGEIF(Sheet1!B:B, A1102, Sheet1!J:J)</f>
        <v>34.873096446700508</v>
      </c>
    </row>
    <row r="1103" spans="1:2" x14ac:dyDescent="0.3">
      <c r="A1103" t="s">
        <v>33</v>
      </c>
      <c r="B1103">
        <f>AVERAGEIF(Sheet1!B:B, A1103, Sheet1!J:J)</f>
        <v>34.873096446700508</v>
      </c>
    </row>
    <row r="1104" spans="1:2" x14ac:dyDescent="0.3">
      <c r="A1104" t="s">
        <v>33</v>
      </c>
      <c r="B1104">
        <f>AVERAGEIF(Sheet1!B:B, A1104, Sheet1!J:J)</f>
        <v>34.873096446700508</v>
      </c>
    </row>
    <row r="1105" spans="1:2" x14ac:dyDescent="0.3">
      <c r="A1105" t="s">
        <v>33</v>
      </c>
      <c r="B1105">
        <f>AVERAGEIF(Sheet1!B:B, A1105, Sheet1!J:J)</f>
        <v>34.873096446700508</v>
      </c>
    </row>
    <row r="1106" spans="1:2" x14ac:dyDescent="0.3">
      <c r="A1106" t="s">
        <v>33</v>
      </c>
      <c r="B1106">
        <f>AVERAGEIF(Sheet1!B:B, A1106, Sheet1!J:J)</f>
        <v>34.873096446700508</v>
      </c>
    </row>
    <row r="1107" spans="1:2" x14ac:dyDescent="0.3">
      <c r="A1107" t="s">
        <v>33</v>
      </c>
      <c r="B1107">
        <f>AVERAGEIF(Sheet1!B:B, A1107, Sheet1!J:J)</f>
        <v>34.873096446700508</v>
      </c>
    </row>
    <row r="1108" spans="1:2" x14ac:dyDescent="0.3">
      <c r="A1108" t="s">
        <v>33</v>
      </c>
      <c r="B1108">
        <f>AVERAGEIF(Sheet1!B:B, A1108, Sheet1!J:J)</f>
        <v>34.873096446700508</v>
      </c>
    </row>
    <row r="1109" spans="1:2" x14ac:dyDescent="0.3">
      <c r="A1109" t="s">
        <v>33</v>
      </c>
      <c r="B1109">
        <f>AVERAGEIF(Sheet1!B:B, A1109, Sheet1!J:J)</f>
        <v>34.873096446700508</v>
      </c>
    </row>
    <row r="1110" spans="1:2" x14ac:dyDescent="0.3">
      <c r="A1110" t="s">
        <v>33</v>
      </c>
      <c r="B1110">
        <f>AVERAGEIF(Sheet1!B:B, A1110, Sheet1!J:J)</f>
        <v>34.873096446700508</v>
      </c>
    </row>
    <row r="1111" spans="1:2" x14ac:dyDescent="0.3">
      <c r="A1111" t="s">
        <v>33</v>
      </c>
      <c r="B1111">
        <f>AVERAGEIF(Sheet1!B:B, A1111, Sheet1!J:J)</f>
        <v>34.873096446700508</v>
      </c>
    </row>
    <row r="1112" spans="1:2" x14ac:dyDescent="0.3">
      <c r="A1112" t="s">
        <v>33</v>
      </c>
      <c r="B1112">
        <f>AVERAGEIF(Sheet1!B:B, A1112, Sheet1!J:J)</f>
        <v>34.873096446700508</v>
      </c>
    </row>
    <row r="1113" spans="1:2" x14ac:dyDescent="0.3">
      <c r="A1113" t="s">
        <v>33</v>
      </c>
      <c r="B1113">
        <f>AVERAGEIF(Sheet1!B:B, A1113, Sheet1!J:J)</f>
        <v>34.873096446700508</v>
      </c>
    </row>
    <row r="1114" spans="1:2" x14ac:dyDescent="0.3">
      <c r="A1114" t="s">
        <v>33</v>
      </c>
      <c r="B1114">
        <f>AVERAGEIF(Sheet1!B:B, A1114, Sheet1!J:J)</f>
        <v>34.873096446700508</v>
      </c>
    </row>
    <row r="1115" spans="1:2" x14ac:dyDescent="0.3">
      <c r="A1115" t="s">
        <v>33</v>
      </c>
      <c r="B1115">
        <f>AVERAGEIF(Sheet1!B:B, A1115, Sheet1!J:J)</f>
        <v>34.873096446700508</v>
      </c>
    </row>
    <row r="1116" spans="1:2" x14ac:dyDescent="0.3">
      <c r="A1116" t="s">
        <v>33</v>
      </c>
      <c r="B1116">
        <f>AVERAGEIF(Sheet1!B:B, A1116, Sheet1!J:J)</f>
        <v>34.873096446700508</v>
      </c>
    </row>
    <row r="1117" spans="1:2" x14ac:dyDescent="0.3">
      <c r="A1117" t="s">
        <v>33</v>
      </c>
      <c r="B1117">
        <f>AVERAGEIF(Sheet1!B:B, A1117, Sheet1!J:J)</f>
        <v>34.873096446700508</v>
      </c>
    </row>
    <row r="1118" spans="1:2" x14ac:dyDescent="0.3">
      <c r="A1118" t="s">
        <v>33</v>
      </c>
      <c r="B1118">
        <f>AVERAGEIF(Sheet1!B:B, A1118, Sheet1!J:J)</f>
        <v>34.873096446700508</v>
      </c>
    </row>
    <row r="1119" spans="1:2" x14ac:dyDescent="0.3">
      <c r="A1119" t="s">
        <v>33</v>
      </c>
      <c r="B1119">
        <f>AVERAGEIF(Sheet1!B:B, A1119, Sheet1!J:J)</f>
        <v>34.873096446700508</v>
      </c>
    </row>
    <row r="1120" spans="1:2" x14ac:dyDescent="0.3">
      <c r="A1120" t="s">
        <v>33</v>
      </c>
      <c r="B1120">
        <f>AVERAGEIF(Sheet1!B:B, A1120, Sheet1!J:J)</f>
        <v>34.873096446700508</v>
      </c>
    </row>
    <row r="1121" spans="1:2" x14ac:dyDescent="0.3">
      <c r="A1121" t="s">
        <v>35</v>
      </c>
      <c r="B1121">
        <f>AVERAGEIF(Sheet1!B:B, A1121, Sheet1!J:J)</f>
        <v>51.028169014084504</v>
      </c>
    </row>
    <row r="1122" spans="1:2" x14ac:dyDescent="0.3">
      <c r="A1122" t="s">
        <v>35</v>
      </c>
      <c r="B1122">
        <f>AVERAGEIF(Sheet1!B:B, A1122, Sheet1!J:J)</f>
        <v>51.028169014084504</v>
      </c>
    </row>
    <row r="1123" spans="1:2" x14ac:dyDescent="0.3">
      <c r="A1123" t="s">
        <v>35</v>
      </c>
      <c r="B1123">
        <f>AVERAGEIF(Sheet1!B:B, A1123, Sheet1!J:J)</f>
        <v>51.028169014084504</v>
      </c>
    </row>
    <row r="1124" spans="1:2" x14ac:dyDescent="0.3">
      <c r="A1124" t="s">
        <v>35</v>
      </c>
      <c r="B1124">
        <f>AVERAGEIF(Sheet1!B:B, A1124, Sheet1!J:J)</f>
        <v>51.028169014084504</v>
      </c>
    </row>
    <row r="1125" spans="1:2" x14ac:dyDescent="0.3">
      <c r="A1125" t="s">
        <v>35</v>
      </c>
      <c r="B1125">
        <f>AVERAGEIF(Sheet1!B:B, A1125, Sheet1!J:J)</f>
        <v>51.028169014084504</v>
      </c>
    </row>
    <row r="1126" spans="1:2" x14ac:dyDescent="0.3">
      <c r="A1126" t="s">
        <v>36</v>
      </c>
      <c r="B1126">
        <f>AVERAGEIF(Sheet1!B:B, A1126, Sheet1!J:J)</f>
        <v>109.23547400611621</v>
      </c>
    </row>
    <row r="1127" spans="1:2" x14ac:dyDescent="0.3">
      <c r="A1127" t="s">
        <v>36</v>
      </c>
      <c r="B1127">
        <f>AVERAGEIF(Sheet1!B:B, A1127, Sheet1!J:J)</f>
        <v>109.23547400611621</v>
      </c>
    </row>
    <row r="1128" spans="1:2" x14ac:dyDescent="0.3">
      <c r="A1128" t="s">
        <v>36</v>
      </c>
      <c r="B1128">
        <f>AVERAGEIF(Sheet1!B:B, A1128, Sheet1!J:J)</f>
        <v>109.23547400611621</v>
      </c>
    </row>
    <row r="1129" spans="1:2" x14ac:dyDescent="0.3">
      <c r="A1129" t="s">
        <v>36</v>
      </c>
      <c r="B1129">
        <f>AVERAGEIF(Sheet1!B:B, A1129, Sheet1!J:J)</f>
        <v>109.23547400611621</v>
      </c>
    </row>
    <row r="1130" spans="1:2" x14ac:dyDescent="0.3">
      <c r="A1130" t="s">
        <v>36</v>
      </c>
      <c r="B1130">
        <f>AVERAGEIF(Sheet1!B:B, A1130, Sheet1!J:J)</f>
        <v>109.23547400611621</v>
      </c>
    </row>
    <row r="1131" spans="1:2" x14ac:dyDescent="0.3">
      <c r="A1131" t="s">
        <v>35</v>
      </c>
      <c r="B1131">
        <f>AVERAGEIF(Sheet1!B:B, A1131, Sheet1!J:J)</f>
        <v>51.028169014084504</v>
      </c>
    </row>
    <row r="1132" spans="1:2" x14ac:dyDescent="0.3">
      <c r="A1132" t="s">
        <v>35</v>
      </c>
      <c r="B1132">
        <f>AVERAGEIF(Sheet1!B:B, A1132, Sheet1!J:J)</f>
        <v>51.028169014084504</v>
      </c>
    </row>
    <row r="1133" spans="1:2" x14ac:dyDescent="0.3">
      <c r="A1133" t="s">
        <v>35</v>
      </c>
      <c r="B1133">
        <f>AVERAGEIF(Sheet1!B:B, A1133, Sheet1!J:J)</f>
        <v>51.028169014084504</v>
      </c>
    </row>
    <row r="1134" spans="1:2" x14ac:dyDescent="0.3">
      <c r="A1134" t="s">
        <v>35</v>
      </c>
      <c r="B1134">
        <f>AVERAGEIF(Sheet1!B:B, A1134, Sheet1!J:J)</f>
        <v>51.028169014084504</v>
      </c>
    </row>
    <row r="1135" spans="1:2" x14ac:dyDescent="0.3">
      <c r="A1135" t="s">
        <v>35</v>
      </c>
      <c r="B1135">
        <f>AVERAGEIF(Sheet1!B:B, A1135, Sheet1!J:J)</f>
        <v>51.028169014084504</v>
      </c>
    </row>
    <row r="1136" spans="1:2" x14ac:dyDescent="0.3">
      <c r="A1136" t="s">
        <v>35</v>
      </c>
      <c r="B1136">
        <f>AVERAGEIF(Sheet1!B:B, A1136, Sheet1!J:J)</f>
        <v>51.028169014084504</v>
      </c>
    </row>
    <row r="1137" spans="1:2" x14ac:dyDescent="0.3">
      <c r="A1137" t="s">
        <v>35</v>
      </c>
      <c r="B1137">
        <f>AVERAGEIF(Sheet1!B:B, A1137, Sheet1!J:J)</f>
        <v>51.028169014084504</v>
      </c>
    </row>
    <row r="1138" spans="1:2" x14ac:dyDescent="0.3">
      <c r="A1138" t="s">
        <v>35</v>
      </c>
      <c r="B1138">
        <f>AVERAGEIF(Sheet1!B:B, A1138, Sheet1!J:J)</f>
        <v>51.028169014084504</v>
      </c>
    </row>
    <row r="1139" spans="1:2" x14ac:dyDescent="0.3">
      <c r="A1139" t="s">
        <v>35</v>
      </c>
      <c r="B1139">
        <f>AVERAGEIF(Sheet1!B:B, A1139, Sheet1!J:J)</f>
        <v>51.028169014084504</v>
      </c>
    </row>
    <row r="1140" spans="1:2" x14ac:dyDescent="0.3">
      <c r="A1140" t="s">
        <v>35</v>
      </c>
      <c r="B1140">
        <f>AVERAGEIF(Sheet1!B:B, A1140, Sheet1!J:J)</f>
        <v>51.028169014084504</v>
      </c>
    </row>
    <row r="1141" spans="1:2" x14ac:dyDescent="0.3">
      <c r="A1141" t="s">
        <v>42</v>
      </c>
      <c r="B1141">
        <f>AVERAGEIF(Sheet1!B:B, A1141, Sheet1!J:J)</f>
        <v>53.857142857142854</v>
      </c>
    </row>
    <row r="1142" spans="1:2" x14ac:dyDescent="0.3">
      <c r="A1142" t="s">
        <v>36</v>
      </c>
      <c r="B1142">
        <f>AVERAGEIF(Sheet1!B:B, A1142, Sheet1!J:J)</f>
        <v>109.23547400611621</v>
      </c>
    </row>
    <row r="1143" spans="1:2" x14ac:dyDescent="0.3">
      <c r="A1143" t="s">
        <v>36</v>
      </c>
      <c r="B1143">
        <f>AVERAGEIF(Sheet1!B:B, A1143, Sheet1!J:J)</f>
        <v>109.23547400611621</v>
      </c>
    </row>
    <row r="1144" spans="1:2" x14ac:dyDescent="0.3">
      <c r="A1144" t="s">
        <v>36</v>
      </c>
      <c r="B1144">
        <f>AVERAGEIF(Sheet1!B:B, A1144, Sheet1!J:J)</f>
        <v>109.23547400611621</v>
      </c>
    </row>
    <row r="1145" spans="1:2" x14ac:dyDescent="0.3">
      <c r="A1145" t="s">
        <v>42</v>
      </c>
      <c r="B1145">
        <f>AVERAGEIF(Sheet1!B:B, A1145, Sheet1!J:J)</f>
        <v>53.857142857142854</v>
      </c>
    </row>
    <row r="1146" spans="1:2" x14ac:dyDescent="0.3">
      <c r="A1146" t="s">
        <v>36</v>
      </c>
      <c r="B1146">
        <f>AVERAGEIF(Sheet1!B:B, A1146, Sheet1!J:J)</f>
        <v>109.23547400611621</v>
      </c>
    </row>
    <row r="1147" spans="1:2" x14ac:dyDescent="0.3">
      <c r="A1147" t="s">
        <v>36</v>
      </c>
      <c r="B1147">
        <f>AVERAGEIF(Sheet1!B:B, A1147, Sheet1!J:J)</f>
        <v>109.23547400611621</v>
      </c>
    </row>
    <row r="1148" spans="1:2" x14ac:dyDescent="0.3">
      <c r="A1148" t="s">
        <v>36</v>
      </c>
      <c r="B1148">
        <f>AVERAGEIF(Sheet1!B:B, A1148, Sheet1!J:J)</f>
        <v>109.23547400611621</v>
      </c>
    </row>
    <row r="1149" spans="1:2" x14ac:dyDescent="0.3">
      <c r="A1149" t="s">
        <v>36</v>
      </c>
      <c r="B1149">
        <f>AVERAGEIF(Sheet1!B:B, A1149, Sheet1!J:J)</f>
        <v>109.23547400611621</v>
      </c>
    </row>
    <row r="1150" spans="1:2" x14ac:dyDescent="0.3">
      <c r="A1150" t="s">
        <v>36</v>
      </c>
      <c r="B1150">
        <f>AVERAGEIF(Sheet1!B:B, A1150, Sheet1!J:J)</f>
        <v>109.23547400611621</v>
      </c>
    </row>
    <row r="1151" spans="1:2" x14ac:dyDescent="0.3">
      <c r="A1151" t="s">
        <v>36</v>
      </c>
      <c r="B1151">
        <f>AVERAGEIF(Sheet1!B:B, A1151, Sheet1!J:J)</f>
        <v>109.23547400611621</v>
      </c>
    </row>
    <row r="1152" spans="1:2" x14ac:dyDescent="0.3">
      <c r="A1152" t="s">
        <v>36</v>
      </c>
      <c r="B1152">
        <f>AVERAGEIF(Sheet1!B:B, A1152, Sheet1!J:J)</f>
        <v>109.23547400611621</v>
      </c>
    </row>
    <row r="1153" spans="1:2" x14ac:dyDescent="0.3">
      <c r="A1153" t="s">
        <v>36</v>
      </c>
      <c r="B1153">
        <f>AVERAGEIF(Sheet1!B:B, A1153, Sheet1!J:J)</f>
        <v>109.23547400611621</v>
      </c>
    </row>
    <row r="1154" spans="1:2" x14ac:dyDescent="0.3">
      <c r="A1154" t="s">
        <v>36</v>
      </c>
      <c r="B1154">
        <f>AVERAGEIF(Sheet1!B:B, A1154, Sheet1!J:J)</f>
        <v>109.23547400611621</v>
      </c>
    </row>
    <row r="1155" spans="1:2" x14ac:dyDescent="0.3">
      <c r="A1155" t="s">
        <v>36</v>
      </c>
      <c r="B1155">
        <f>AVERAGEIF(Sheet1!B:B, A1155, Sheet1!J:J)</f>
        <v>109.23547400611621</v>
      </c>
    </row>
    <row r="1156" spans="1:2" x14ac:dyDescent="0.3">
      <c r="A1156" t="s">
        <v>36</v>
      </c>
      <c r="B1156">
        <f>AVERAGEIF(Sheet1!B:B, A1156, Sheet1!J:J)</f>
        <v>109.23547400611621</v>
      </c>
    </row>
    <row r="1157" spans="1:2" x14ac:dyDescent="0.3">
      <c r="A1157" t="s">
        <v>36</v>
      </c>
      <c r="B1157">
        <f>AVERAGEIF(Sheet1!B:B, A1157, Sheet1!J:J)</f>
        <v>109.23547400611621</v>
      </c>
    </row>
    <row r="1158" spans="1:2" x14ac:dyDescent="0.3">
      <c r="A1158" t="s">
        <v>36</v>
      </c>
      <c r="B1158">
        <f>AVERAGEIF(Sheet1!B:B, A1158, Sheet1!J:J)</f>
        <v>109.23547400611621</v>
      </c>
    </row>
    <row r="1159" spans="1:2" x14ac:dyDescent="0.3">
      <c r="A1159" t="s">
        <v>36</v>
      </c>
      <c r="B1159">
        <f>AVERAGEIF(Sheet1!B:B, A1159, Sheet1!J:J)</f>
        <v>109.23547400611621</v>
      </c>
    </row>
    <row r="1160" spans="1:2" x14ac:dyDescent="0.3">
      <c r="A1160" t="s">
        <v>36</v>
      </c>
      <c r="B1160">
        <f>AVERAGEIF(Sheet1!B:B, A1160, Sheet1!J:J)</f>
        <v>109.23547400611621</v>
      </c>
    </row>
    <row r="1161" spans="1:2" x14ac:dyDescent="0.3">
      <c r="A1161" t="s">
        <v>36</v>
      </c>
      <c r="B1161">
        <f>AVERAGEIF(Sheet1!B:B, A1161, Sheet1!J:J)</f>
        <v>109.23547400611621</v>
      </c>
    </row>
    <row r="1162" spans="1:2" x14ac:dyDescent="0.3">
      <c r="A1162" t="s">
        <v>36</v>
      </c>
      <c r="B1162">
        <f>AVERAGEIF(Sheet1!B:B, A1162, Sheet1!J:J)</f>
        <v>109.23547400611621</v>
      </c>
    </row>
    <row r="1163" spans="1:2" x14ac:dyDescent="0.3">
      <c r="A1163" t="s">
        <v>36</v>
      </c>
      <c r="B1163">
        <f>AVERAGEIF(Sheet1!B:B, A1163, Sheet1!J:J)</f>
        <v>109.23547400611621</v>
      </c>
    </row>
    <row r="1164" spans="1:2" x14ac:dyDescent="0.3">
      <c r="A1164" t="s">
        <v>36</v>
      </c>
      <c r="B1164">
        <f>AVERAGEIF(Sheet1!B:B, A1164, Sheet1!J:J)</f>
        <v>109.23547400611621</v>
      </c>
    </row>
    <row r="1165" spans="1:2" x14ac:dyDescent="0.3">
      <c r="A1165" t="s">
        <v>36</v>
      </c>
      <c r="B1165">
        <f>AVERAGEIF(Sheet1!B:B, A1165, Sheet1!J:J)</f>
        <v>109.23547400611621</v>
      </c>
    </row>
    <row r="1166" spans="1:2" x14ac:dyDescent="0.3">
      <c r="A1166" t="s">
        <v>36</v>
      </c>
      <c r="B1166">
        <f>AVERAGEIF(Sheet1!B:B, A1166, Sheet1!J:J)</f>
        <v>109.23547400611621</v>
      </c>
    </row>
    <row r="1167" spans="1:2" x14ac:dyDescent="0.3">
      <c r="A1167" t="s">
        <v>36</v>
      </c>
      <c r="B1167">
        <f>AVERAGEIF(Sheet1!B:B, A1167, Sheet1!J:J)</f>
        <v>109.23547400611621</v>
      </c>
    </row>
    <row r="1168" spans="1:2" x14ac:dyDescent="0.3">
      <c r="A1168" t="s">
        <v>36</v>
      </c>
      <c r="B1168">
        <f>AVERAGEIF(Sheet1!B:B, A1168, Sheet1!J:J)</f>
        <v>109.23547400611621</v>
      </c>
    </row>
    <row r="1169" spans="1:2" x14ac:dyDescent="0.3">
      <c r="A1169" t="s">
        <v>36</v>
      </c>
      <c r="B1169">
        <f>AVERAGEIF(Sheet1!B:B, A1169, Sheet1!J:J)</f>
        <v>109.23547400611621</v>
      </c>
    </row>
    <row r="1170" spans="1:2" x14ac:dyDescent="0.3">
      <c r="A1170" t="s">
        <v>36</v>
      </c>
      <c r="B1170">
        <f>AVERAGEIF(Sheet1!B:B, A1170, Sheet1!J:J)</f>
        <v>109.23547400611621</v>
      </c>
    </row>
    <row r="1171" spans="1:2" x14ac:dyDescent="0.3">
      <c r="A1171" t="s">
        <v>36</v>
      </c>
      <c r="B1171">
        <f>AVERAGEIF(Sheet1!B:B, A1171, Sheet1!J:J)</f>
        <v>109.23547400611621</v>
      </c>
    </row>
    <row r="1172" spans="1:2" x14ac:dyDescent="0.3">
      <c r="A1172" t="s">
        <v>36</v>
      </c>
      <c r="B1172">
        <f>AVERAGEIF(Sheet1!B:B, A1172, Sheet1!J:J)</f>
        <v>109.23547400611621</v>
      </c>
    </row>
    <row r="1173" spans="1:2" x14ac:dyDescent="0.3">
      <c r="A1173" t="s">
        <v>36</v>
      </c>
      <c r="B1173">
        <f>AVERAGEIF(Sheet1!B:B, A1173, Sheet1!J:J)</f>
        <v>109.23547400611621</v>
      </c>
    </row>
    <row r="1174" spans="1:2" x14ac:dyDescent="0.3">
      <c r="A1174" t="s">
        <v>36</v>
      </c>
      <c r="B1174">
        <f>AVERAGEIF(Sheet1!B:B, A1174, Sheet1!J:J)</f>
        <v>109.23547400611621</v>
      </c>
    </row>
    <row r="1175" spans="1:2" x14ac:dyDescent="0.3">
      <c r="A1175" t="s">
        <v>36</v>
      </c>
      <c r="B1175">
        <f>AVERAGEIF(Sheet1!B:B, A1175, Sheet1!J:J)</f>
        <v>109.23547400611621</v>
      </c>
    </row>
    <row r="1176" spans="1:2" x14ac:dyDescent="0.3">
      <c r="A1176" t="s">
        <v>36</v>
      </c>
      <c r="B1176">
        <f>AVERAGEIF(Sheet1!B:B, A1176, Sheet1!J:J)</f>
        <v>109.23547400611621</v>
      </c>
    </row>
    <row r="1177" spans="1:2" x14ac:dyDescent="0.3">
      <c r="A1177" t="s">
        <v>36</v>
      </c>
      <c r="B1177">
        <f>AVERAGEIF(Sheet1!B:B, A1177, Sheet1!J:J)</f>
        <v>109.23547400611621</v>
      </c>
    </row>
    <row r="1178" spans="1:2" x14ac:dyDescent="0.3">
      <c r="A1178" t="s">
        <v>36</v>
      </c>
      <c r="B1178">
        <f>AVERAGEIF(Sheet1!B:B, A1178, Sheet1!J:J)</f>
        <v>109.23547400611621</v>
      </c>
    </row>
    <row r="1179" spans="1:2" x14ac:dyDescent="0.3">
      <c r="A1179" t="s">
        <v>36</v>
      </c>
      <c r="B1179">
        <f>AVERAGEIF(Sheet1!B:B, A1179, Sheet1!J:J)</f>
        <v>109.23547400611621</v>
      </c>
    </row>
    <row r="1180" spans="1:2" x14ac:dyDescent="0.3">
      <c r="A1180" t="s">
        <v>36</v>
      </c>
      <c r="B1180">
        <f>AVERAGEIF(Sheet1!B:B, A1180, Sheet1!J:J)</f>
        <v>109.23547400611621</v>
      </c>
    </row>
    <row r="1181" spans="1:2" x14ac:dyDescent="0.3">
      <c r="A1181" t="s">
        <v>36</v>
      </c>
      <c r="B1181">
        <f>AVERAGEIF(Sheet1!B:B, A1181, Sheet1!J:J)</f>
        <v>109.23547400611621</v>
      </c>
    </row>
    <row r="1182" spans="1:2" x14ac:dyDescent="0.3">
      <c r="A1182" t="s">
        <v>36</v>
      </c>
      <c r="B1182">
        <f>AVERAGEIF(Sheet1!B:B, A1182, Sheet1!J:J)</f>
        <v>109.23547400611621</v>
      </c>
    </row>
    <row r="1183" spans="1:2" x14ac:dyDescent="0.3">
      <c r="A1183" t="s">
        <v>36</v>
      </c>
      <c r="B1183">
        <f>AVERAGEIF(Sheet1!B:B, A1183, Sheet1!J:J)</f>
        <v>109.23547400611621</v>
      </c>
    </row>
    <row r="1184" spans="1:2" x14ac:dyDescent="0.3">
      <c r="A1184" t="s">
        <v>36</v>
      </c>
      <c r="B1184">
        <f>AVERAGEIF(Sheet1!B:B, A1184, Sheet1!J:J)</f>
        <v>109.23547400611621</v>
      </c>
    </row>
    <row r="1185" spans="1:2" x14ac:dyDescent="0.3">
      <c r="A1185" t="s">
        <v>36</v>
      </c>
      <c r="B1185">
        <f>AVERAGEIF(Sheet1!B:B, A1185, Sheet1!J:J)</f>
        <v>109.23547400611621</v>
      </c>
    </row>
    <row r="1186" spans="1:2" x14ac:dyDescent="0.3">
      <c r="A1186" t="s">
        <v>36</v>
      </c>
      <c r="B1186">
        <f>AVERAGEIF(Sheet1!B:B, A1186, Sheet1!J:J)</f>
        <v>109.23547400611621</v>
      </c>
    </row>
    <row r="1187" spans="1:2" x14ac:dyDescent="0.3">
      <c r="A1187" t="s">
        <v>36</v>
      </c>
      <c r="B1187">
        <f>AVERAGEIF(Sheet1!B:B, A1187, Sheet1!J:J)</f>
        <v>109.23547400611621</v>
      </c>
    </row>
    <row r="1188" spans="1:2" x14ac:dyDescent="0.3">
      <c r="A1188" t="s">
        <v>36</v>
      </c>
      <c r="B1188">
        <f>AVERAGEIF(Sheet1!B:B, A1188, Sheet1!J:J)</f>
        <v>109.23547400611621</v>
      </c>
    </row>
    <row r="1189" spans="1:2" x14ac:dyDescent="0.3">
      <c r="A1189" t="s">
        <v>36</v>
      </c>
      <c r="B1189">
        <f>AVERAGEIF(Sheet1!B:B, A1189, Sheet1!J:J)</f>
        <v>109.23547400611621</v>
      </c>
    </row>
    <row r="1190" spans="1:2" x14ac:dyDescent="0.3">
      <c r="A1190" t="s">
        <v>36</v>
      </c>
      <c r="B1190">
        <f>AVERAGEIF(Sheet1!B:B, A1190, Sheet1!J:J)</f>
        <v>109.23547400611621</v>
      </c>
    </row>
    <row r="1191" spans="1:2" x14ac:dyDescent="0.3">
      <c r="A1191" t="s">
        <v>36</v>
      </c>
      <c r="B1191">
        <f>AVERAGEIF(Sheet1!B:B, A1191, Sheet1!J:J)</f>
        <v>109.23547400611621</v>
      </c>
    </row>
    <row r="1192" spans="1:2" x14ac:dyDescent="0.3">
      <c r="A1192" t="s">
        <v>36</v>
      </c>
      <c r="B1192">
        <f>AVERAGEIF(Sheet1!B:B, A1192, Sheet1!J:J)</f>
        <v>109.23547400611621</v>
      </c>
    </row>
    <row r="1193" spans="1:2" x14ac:dyDescent="0.3">
      <c r="A1193" t="s">
        <v>36</v>
      </c>
      <c r="B1193">
        <f>AVERAGEIF(Sheet1!B:B, A1193, Sheet1!J:J)</f>
        <v>109.23547400611621</v>
      </c>
    </row>
    <row r="1194" spans="1:2" x14ac:dyDescent="0.3">
      <c r="A1194" t="s">
        <v>36</v>
      </c>
      <c r="B1194">
        <f>AVERAGEIF(Sheet1!B:B, A1194, Sheet1!J:J)</f>
        <v>109.23547400611621</v>
      </c>
    </row>
    <row r="1195" spans="1:2" x14ac:dyDescent="0.3">
      <c r="A1195" t="s">
        <v>36</v>
      </c>
      <c r="B1195">
        <f>AVERAGEIF(Sheet1!B:B, A1195, Sheet1!J:J)</f>
        <v>109.23547400611621</v>
      </c>
    </row>
    <row r="1196" spans="1:2" x14ac:dyDescent="0.3">
      <c r="A1196" t="s">
        <v>36</v>
      </c>
      <c r="B1196">
        <f>AVERAGEIF(Sheet1!B:B, A1196, Sheet1!J:J)</f>
        <v>109.23547400611621</v>
      </c>
    </row>
    <row r="1197" spans="1:2" x14ac:dyDescent="0.3">
      <c r="A1197" t="s">
        <v>36</v>
      </c>
      <c r="B1197">
        <f>AVERAGEIF(Sheet1!B:B, A1197, Sheet1!J:J)</f>
        <v>109.23547400611621</v>
      </c>
    </row>
    <row r="1198" spans="1:2" x14ac:dyDescent="0.3">
      <c r="A1198" t="s">
        <v>36</v>
      </c>
      <c r="B1198">
        <f>AVERAGEIF(Sheet1!B:B, A1198, Sheet1!J:J)</f>
        <v>109.23547400611621</v>
      </c>
    </row>
    <row r="1199" spans="1:2" x14ac:dyDescent="0.3">
      <c r="A1199" t="s">
        <v>36</v>
      </c>
      <c r="B1199">
        <f>AVERAGEIF(Sheet1!B:B, A1199, Sheet1!J:J)</f>
        <v>109.23547400611621</v>
      </c>
    </row>
    <row r="1200" spans="1:2" x14ac:dyDescent="0.3">
      <c r="A1200" t="s">
        <v>36</v>
      </c>
      <c r="B1200">
        <f>AVERAGEIF(Sheet1!B:B, A1200, Sheet1!J:J)</f>
        <v>109.23547400611621</v>
      </c>
    </row>
    <row r="1201" spans="1:2" x14ac:dyDescent="0.3">
      <c r="A1201" t="s">
        <v>36</v>
      </c>
      <c r="B1201">
        <f>AVERAGEIF(Sheet1!B:B, A1201, Sheet1!J:J)</f>
        <v>109.23547400611621</v>
      </c>
    </row>
    <row r="1202" spans="1:2" x14ac:dyDescent="0.3">
      <c r="A1202" t="s">
        <v>36</v>
      </c>
      <c r="B1202">
        <f>AVERAGEIF(Sheet1!B:B, A1202, Sheet1!J:J)</f>
        <v>109.23547400611621</v>
      </c>
    </row>
    <row r="1203" spans="1:2" x14ac:dyDescent="0.3">
      <c r="A1203" t="s">
        <v>36</v>
      </c>
      <c r="B1203">
        <f>AVERAGEIF(Sheet1!B:B, A1203, Sheet1!J:J)</f>
        <v>109.23547400611621</v>
      </c>
    </row>
    <row r="1204" spans="1:2" x14ac:dyDescent="0.3">
      <c r="A1204" t="s">
        <v>36</v>
      </c>
      <c r="B1204">
        <f>AVERAGEIF(Sheet1!B:B, A1204, Sheet1!J:J)</f>
        <v>109.23547400611621</v>
      </c>
    </row>
    <row r="1205" spans="1:2" x14ac:dyDescent="0.3">
      <c r="A1205" t="s">
        <v>36</v>
      </c>
      <c r="B1205">
        <f>AVERAGEIF(Sheet1!B:B, A1205, Sheet1!J:J)</f>
        <v>109.23547400611621</v>
      </c>
    </row>
    <row r="1206" spans="1:2" x14ac:dyDescent="0.3">
      <c r="A1206" t="s">
        <v>36</v>
      </c>
      <c r="B1206">
        <f>AVERAGEIF(Sheet1!B:B, A1206, Sheet1!J:J)</f>
        <v>109.23547400611621</v>
      </c>
    </row>
    <row r="1207" spans="1:2" x14ac:dyDescent="0.3">
      <c r="A1207" t="s">
        <v>36</v>
      </c>
      <c r="B1207">
        <f>AVERAGEIF(Sheet1!B:B, A1207, Sheet1!J:J)</f>
        <v>109.23547400611621</v>
      </c>
    </row>
    <row r="1208" spans="1:2" x14ac:dyDescent="0.3">
      <c r="A1208" t="s">
        <v>36</v>
      </c>
      <c r="B1208">
        <f>AVERAGEIF(Sheet1!B:B, A1208, Sheet1!J:J)</f>
        <v>109.23547400611621</v>
      </c>
    </row>
    <row r="1209" spans="1:2" x14ac:dyDescent="0.3">
      <c r="A1209" t="s">
        <v>36</v>
      </c>
      <c r="B1209">
        <f>AVERAGEIF(Sheet1!B:B, A1209, Sheet1!J:J)</f>
        <v>109.23547400611621</v>
      </c>
    </row>
    <row r="1210" spans="1:2" x14ac:dyDescent="0.3">
      <c r="A1210" t="s">
        <v>36</v>
      </c>
      <c r="B1210">
        <f>AVERAGEIF(Sheet1!B:B, A1210, Sheet1!J:J)</f>
        <v>109.23547400611621</v>
      </c>
    </row>
    <row r="1211" spans="1:2" x14ac:dyDescent="0.3">
      <c r="A1211" t="s">
        <v>36</v>
      </c>
      <c r="B1211">
        <f>AVERAGEIF(Sheet1!B:B, A1211, Sheet1!J:J)</f>
        <v>109.23547400611621</v>
      </c>
    </row>
    <row r="1212" spans="1:2" x14ac:dyDescent="0.3">
      <c r="A1212" t="s">
        <v>36</v>
      </c>
      <c r="B1212">
        <f>AVERAGEIF(Sheet1!B:B, A1212, Sheet1!J:J)</f>
        <v>109.23547400611621</v>
      </c>
    </row>
    <row r="1213" spans="1:2" x14ac:dyDescent="0.3">
      <c r="A1213" t="s">
        <v>38</v>
      </c>
      <c r="B1213">
        <f>AVERAGEIF(Sheet1!B:B, A1213, Sheet1!J:J)</f>
        <v>67.710144927536234</v>
      </c>
    </row>
    <row r="1214" spans="1:2" x14ac:dyDescent="0.3">
      <c r="A1214" t="s">
        <v>38</v>
      </c>
      <c r="B1214">
        <f>AVERAGEIF(Sheet1!B:B, A1214, Sheet1!J:J)</f>
        <v>67.710144927536234</v>
      </c>
    </row>
    <row r="1215" spans="1:2" x14ac:dyDescent="0.3">
      <c r="A1215" t="s">
        <v>38</v>
      </c>
      <c r="B1215">
        <f>AVERAGEIF(Sheet1!B:B, A1215, Sheet1!J:J)</f>
        <v>67.710144927536234</v>
      </c>
    </row>
    <row r="1216" spans="1:2" x14ac:dyDescent="0.3">
      <c r="A1216" t="s">
        <v>38</v>
      </c>
      <c r="B1216">
        <f>AVERAGEIF(Sheet1!B:B, A1216, Sheet1!J:J)</f>
        <v>67.710144927536234</v>
      </c>
    </row>
    <row r="1217" spans="1:2" x14ac:dyDescent="0.3">
      <c r="A1217" t="s">
        <v>38</v>
      </c>
      <c r="B1217">
        <f>AVERAGEIF(Sheet1!B:B, A1217, Sheet1!J:J)</f>
        <v>67.710144927536234</v>
      </c>
    </row>
    <row r="1218" spans="1:2" x14ac:dyDescent="0.3">
      <c r="A1218" t="s">
        <v>38</v>
      </c>
      <c r="B1218">
        <f>AVERAGEIF(Sheet1!B:B, A1218, Sheet1!J:J)</f>
        <v>67.710144927536234</v>
      </c>
    </row>
    <row r="1219" spans="1:2" x14ac:dyDescent="0.3">
      <c r="A1219" t="s">
        <v>38</v>
      </c>
      <c r="B1219">
        <f>AVERAGEIF(Sheet1!B:B, A1219, Sheet1!J:J)</f>
        <v>67.710144927536234</v>
      </c>
    </row>
    <row r="1220" spans="1:2" x14ac:dyDescent="0.3">
      <c r="A1220" t="s">
        <v>38</v>
      </c>
      <c r="B1220">
        <f>AVERAGEIF(Sheet1!B:B, A1220, Sheet1!J:J)</f>
        <v>67.710144927536234</v>
      </c>
    </row>
    <row r="1221" spans="1:2" x14ac:dyDescent="0.3">
      <c r="A1221" t="s">
        <v>38</v>
      </c>
      <c r="B1221">
        <f>AVERAGEIF(Sheet1!B:B, A1221, Sheet1!J:J)</f>
        <v>67.710144927536234</v>
      </c>
    </row>
    <row r="1222" spans="1:2" x14ac:dyDescent="0.3">
      <c r="A1222" t="s">
        <v>38</v>
      </c>
      <c r="B1222">
        <f>AVERAGEIF(Sheet1!B:B, A1222, Sheet1!J:J)</f>
        <v>67.710144927536234</v>
      </c>
    </row>
    <row r="1223" spans="1:2" x14ac:dyDescent="0.3">
      <c r="A1223" t="s">
        <v>38</v>
      </c>
      <c r="B1223">
        <f>AVERAGEIF(Sheet1!B:B, A1223, Sheet1!J:J)</f>
        <v>67.710144927536234</v>
      </c>
    </row>
    <row r="1224" spans="1:2" x14ac:dyDescent="0.3">
      <c r="A1224" t="s">
        <v>38</v>
      </c>
      <c r="B1224">
        <f>AVERAGEIF(Sheet1!B:B, A1224, Sheet1!J:J)</f>
        <v>67.710144927536234</v>
      </c>
    </row>
    <row r="1225" spans="1:2" x14ac:dyDescent="0.3">
      <c r="A1225" t="s">
        <v>38</v>
      </c>
      <c r="B1225">
        <f>AVERAGEIF(Sheet1!B:B, A1225, Sheet1!J:J)</f>
        <v>67.710144927536234</v>
      </c>
    </row>
    <row r="1226" spans="1:2" x14ac:dyDescent="0.3">
      <c r="A1226" t="s">
        <v>38</v>
      </c>
      <c r="B1226">
        <f>AVERAGEIF(Sheet1!B:B, A1226, Sheet1!J:J)</f>
        <v>67.710144927536234</v>
      </c>
    </row>
    <row r="1227" spans="1:2" x14ac:dyDescent="0.3">
      <c r="A1227" t="s">
        <v>38</v>
      </c>
      <c r="B1227">
        <f>AVERAGEIF(Sheet1!B:B, A1227, Sheet1!J:J)</f>
        <v>67.710144927536234</v>
      </c>
    </row>
    <row r="1228" spans="1:2" x14ac:dyDescent="0.3">
      <c r="A1228" t="s">
        <v>38</v>
      </c>
      <c r="B1228">
        <f>AVERAGEIF(Sheet1!B:B, A1228, Sheet1!J:J)</f>
        <v>67.710144927536234</v>
      </c>
    </row>
    <row r="1229" spans="1:2" x14ac:dyDescent="0.3">
      <c r="A1229" t="s">
        <v>38</v>
      </c>
      <c r="B1229">
        <f>AVERAGEIF(Sheet1!B:B, A1229, Sheet1!J:J)</f>
        <v>67.710144927536234</v>
      </c>
    </row>
    <row r="1230" spans="1:2" x14ac:dyDescent="0.3">
      <c r="A1230" t="s">
        <v>38</v>
      </c>
      <c r="B1230">
        <f>AVERAGEIF(Sheet1!B:B, A1230, Sheet1!J:J)</f>
        <v>67.710144927536234</v>
      </c>
    </row>
    <row r="1231" spans="1:2" x14ac:dyDescent="0.3">
      <c r="A1231" t="s">
        <v>38</v>
      </c>
      <c r="B1231">
        <f>AVERAGEIF(Sheet1!B:B, A1231, Sheet1!J:J)</f>
        <v>67.710144927536234</v>
      </c>
    </row>
    <row r="1232" spans="1:2" x14ac:dyDescent="0.3">
      <c r="A1232" t="s">
        <v>38</v>
      </c>
      <c r="B1232">
        <f>AVERAGEIF(Sheet1!B:B, A1232, Sheet1!J:J)</f>
        <v>67.710144927536234</v>
      </c>
    </row>
    <row r="1233" spans="1:2" x14ac:dyDescent="0.3">
      <c r="A1233" t="s">
        <v>38</v>
      </c>
      <c r="B1233">
        <f>AVERAGEIF(Sheet1!B:B, A1233, Sheet1!J:J)</f>
        <v>67.710144927536234</v>
      </c>
    </row>
    <row r="1234" spans="1:2" x14ac:dyDescent="0.3">
      <c r="A1234" t="s">
        <v>38</v>
      </c>
      <c r="B1234">
        <f>AVERAGEIF(Sheet1!B:B, A1234, Sheet1!J:J)</f>
        <v>67.710144927536234</v>
      </c>
    </row>
    <row r="1235" spans="1:2" x14ac:dyDescent="0.3">
      <c r="A1235" t="s">
        <v>38</v>
      </c>
      <c r="B1235">
        <f>AVERAGEIF(Sheet1!B:B, A1235, Sheet1!J:J)</f>
        <v>67.710144927536234</v>
      </c>
    </row>
    <row r="1236" spans="1:2" x14ac:dyDescent="0.3">
      <c r="A1236" t="s">
        <v>38</v>
      </c>
      <c r="B1236">
        <f>AVERAGEIF(Sheet1!B:B, A1236, Sheet1!J:J)</f>
        <v>67.710144927536234</v>
      </c>
    </row>
    <row r="1237" spans="1:2" x14ac:dyDescent="0.3">
      <c r="A1237" t="s">
        <v>38</v>
      </c>
      <c r="B1237">
        <f>AVERAGEIF(Sheet1!B:B, A1237, Sheet1!J:J)</f>
        <v>67.710144927536234</v>
      </c>
    </row>
    <row r="1238" spans="1:2" x14ac:dyDescent="0.3">
      <c r="A1238" t="s">
        <v>38</v>
      </c>
      <c r="B1238">
        <f>AVERAGEIF(Sheet1!B:B, A1238, Sheet1!J:J)</f>
        <v>67.710144927536234</v>
      </c>
    </row>
    <row r="1239" spans="1:2" x14ac:dyDescent="0.3">
      <c r="A1239" t="s">
        <v>38</v>
      </c>
      <c r="B1239">
        <f>AVERAGEIF(Sheet1!B:B, A1239, Sheet1!J:J)</f>
        <v>67.710144927536234</v>
      </c>
    </row>
    <row r="1240" spans="1:2" x14ac:dyDescent="0.3">
      <c r="A1240" t="s">
        <v>38</v>
      </c>
      <c r="B1240">
        <f>AVERAGEIF(Sheet1!B:B, A1240, Sheet1!J:J)</f>
        <v>67.710144927536234</v>
      </c>
    </row>
    <row r="1241" spans="1:2" x14ac:dyDescent="0.3">
      <c r="A1241" t="s">
        <v>38</v>
      </c>
      <c r="B1241">
        <f>AVERAGEIF(Sheet1!B:B, A1241, Sheet1!J:J)</f>
        <v>67.710144927536234</v>
      </c>
    </row>
    <row r="1242" spans="1:2" x14ac:dyDescent="0.3">
      <c r="A1242" t="s">
        <v>38</v>
      </c>
      <c r="B1242">
        <f>AVERAGEIF(Sheet1!B:B, A1242, Sheet1!J:J)</f>
        <v>67.710144927536234</v>
      </c>
    </row>
    <row r="1243" spans="1:2" x14ac:dyDescent="0.3">
      <c r="A1243" t="s">
        <v>38</v>
      </c>
      <c r="B1243">
        <f>AVERAGEIF(Sheet1!B:B, A1243, Sheet1!J:J)</f>
        <v>67.710144927536234</v>
      </c>
    </row>
    <row r="1244" spans="1:2" x14ac:dyDescent="0.3">
      <c r="A1244" t="s">
        <v>38</v>
      </c>
      <c r="B1244">
        <f>AVERAGEIF(Sheet1!B:B, A1244, Sheet1!J:J)</f>
        <v>67.710144927536234</v>
      </c>
    </row>
    <row r="1245" spans="1:2" x14ac:dyDescent="0.3">
      <c r="A1245" t="s">
        <v>36</v>
      </c>
      <c r="B1245">
        <f>AVERAGEIF(Sheet1!B:B, A1245, Sheet1!J:J)</f>
        <v>109.23547400611621</v>
      </c>
    </row>
    <row r="1246" spans="1:2" x14ac:dyDescent="0.3">
      <c r="A1246" t="s">
        <v>36</v>
      </c>
      <c r="B1246">
        <f>AVERAGEIF(Sheet1!B:B, A1246, Sheet1!J:J)</f>
        <v>109.23547400611621</v>
      </c>
    </row>
    <row r="1247" spans="1:2" x14ac:dyDescent="0.3">
      <c r="A1247" t="s">
        <v>38</v>
      </c>
      <c r="B1247">
        <f>AVERAGEIF(Sheet1!B:B, A1247, Sheet1!J:J)</f>
        <v>67.710144927536234</v>
      </c>
    </row>
    <row r="1248" spans="1:2" x14ac:dyDescent="0.3">
      <c r="A1248" t="s">
        <v>37</v>
      </c>
      <c r="B1248">
        <f>AVERAGEIF(Sheet1!B:B, A1248, Sheet1!J:J)</f>
        <v>82.95</v>
      </c>
    </row>
    <row r="1249" spans="1:2" x14ac:dyDescent="0.3">
      <c r="A1249" t="s">
        <v>38</v>
      </c>
      <c r="B1249">
        <f>AVERAGEIF(Sheet1!B:B, A1249, Sheet1!J:J)</f>
        <v>67.710144927536234</v>
      </c>
    </row>
    <row r="1250" spans="1:2" x14ac:dyDescent="0.3">
      <c r="A1250" t="s">
        <v>14</v>
      </c>
      <c r="B1250">
        <f>AVERAGEIF(Sheet1!B:B, A1250, Sheet1!J:J)</f>
        <v>49.578313253012048</v>
      </c>
    </row>
    <row r="1251" spans="1:2" x14ac:dyDescent="0.3">
      <c r="A1251" t="s">
        <v>14</v>
      </c>
      <c r="B1251">
        <f>AVERAGEIF(Sheet1!B:B, A1251, Sheet1!J:J)</f>
        <v>49.578313253012048</v>
      </c>
    </row>
    <row r="1252" spans="1:2" x14ac:dyDescent="0.3">
      <c r="A1252" t="s">
        <v>14</v>
      </c>
      <c r="B1252">
        <f>AVERAGEIF(Sheet1!B:B, A1252, Sheet1!J:J)</f>
        <v>49.578313253012048</v>
      </c>
    </row>
    <row r="1253" spans="1:2" x14ac:dyDescent="0.3">
      <c r="A1253" t="s">
        <v>14</v>
      </c>
      <c r="B1253">
        <f>AVERAGEIF(Sheet1!B:B, A1253, Sheet1!J:J)</f>
        <v>49.578313253012048</v>
      </c>
    </row>
    <row r="1254" spans="1:2" x14ac:dyDescent="0.3">
      <c r="A1254" t="s">
        <v>14</v>
      </c>
      <c r="B1254">
        <f>AVERAGEIF(Sheet1!B:B, A1254, Sheet1!J:J)</f>
        <v>49.578313253012048</v>
      </c>
    </row>
    <row r="1255" spans="1:2" x14ac:dyDescent="0.3">
      <c r="A1255" t="s">
        <v>14</v>
      </c>
      <c r="B1255">
        <f>AVERAGEIF(Sheet1!B:B, A1255, Sheet1!J:J)</f>
        <v>49.578313253012048</v>
      </c>
    </row>
    <row r="1256" spans="1:2" x14ac:dyDescent="0.3">
      <c r="A1256" t="s">
        <v>14</v>
      </c>
      <c r="B1256">
        <f>AVERAGEIF(Sheet1!B:B, A1256, Sheet1!J:J)</f>
        <v>49.578313253012048</v>
      </c>
    </row>
    <row r="1257" spans="1:2" x14ac:dyDescent="0.3">
      <c r="A1257" t="s">
        <v>14</v>
      </c>
      <c r="B1257">
        <f>AVERAGEIF(Sheet1!B:B, A1257, Sheet1!J:J)</f>
        <v>49.578313253012048</v>
      </c>
    </row>
    <row r="1258" spans="1:2" x14ac:dyDescent="0.3">
      <c r="A1258" t="s">
        <v>14</v>
      </c>
      <c r="B1258">
        <f>AVERAGEIF(Sheet1!B:B, A1258, Sheet1!J:J)</f>
        <v>49.578313253012048</v>
      </c>
    </row>
    <row r="1259" spans="1:2" x14ac:dyDescent="0.3">
      <c r="A1259" t="s">
        <v>14</v>
      </c>
      <c r="B1259">
        <f>AVERAGEIF(Sheet1!B:B, A1259, Sheet1!J:J)</f>
        <v>49.578313253012048</v>
      </c>
    </row>
    <row r="1260" spans="1:2" x14ac:dyDescent="0.3">
      <c r="A1260" t="s">
        <v>14</v>
      </c>
      <c r="B1260">
        <f>AVERAGEIF(Sheet1!B:B, A1260, Sheet1!J:J)</f>
        <v>49.578313253012048</v>
      </c>
    </row>
    <row r="1261" spans="1:2" x14ac:dyDescent="0.3">
      <c r="A1261" t="s">
        <v>12</v>
      </c>
      <c r="B1261">
        <f>AVERAGEIF(Sheet1!B:B, A1261, Sheet1!J:J)</f>
        <v>74.65384615384616</v>
      </c>
    </row>
    <row r="1262" spans="1:2" x14ac:dyDescent="0.3">
      <c r="A1262" t="s">
        <v>12</v>
      </c>
      <c r="B1262">
        <f>AVERAGEIF(Sheet1!B:B, A1262, Sheet1!J:J)</f>
        <v>74.65384615384616</v>
      </c>
    </row>
    <row r="1263" spans="1:2" x14ac:dyDescent="0.3">
      <c r="A1263" t="s">
        <v>12</v>
      </c>
      <c r="B1263">
        <f>AVERAGEIF(Sheet1!B:B, A1263, Sheet1!J:J)</f>
        <v>74.65384615384616</v>
      </c>
    </row>
    <row r="1264" spans="1:2" x14ac:dyDescent="0.3">
      <c r="A1264" t="s">
        <v>12</v>
      </c>
      <c r="B1264">
        <f>AVERAGEIF(Sheet1!B:B, A1264, Sheet1!J:J)</f>
        <v>74.65384615384616</v>
      </c>
    </row>
    <row r="1265" spans="1:2" x14ac:dyDescent="0.3">
      <c r="A1265" t="s">
        <v>12</v>
      </c>
      <c r="B1265">
        <f>AVERAGEIF(Sheet1!B:B, A1265, Sheet1!J:J)</f>
        <v>74.65384615384616</v>
      </c>
    </row>
    <row r="1266" spans="1:2" x14ac:dyDescent="0.3">
      <c r="A1266" t="s">
        <v>12</v>
      </c>
      <c r="B1266">
        <f>AVERAGEIF(Sheet1!B:B, A1266, Sheet1!J:J)</f>
        <v>74.65384615384616</v>
      </c>
    </row>
    <row r="1267" spans="1:2" x14ac:dyDescent="0.3">
      <c r="A1267" t="s">
        <v>12</v>
      </c>
      <c r="B1267">
        <f>AVERAGEIF(Sheet1!B:B, A1267, Sheet1!J:J)</f>
        <v>74.65384615384616</v>
      </c>
    </row>
    <row r="1268" spans="1:2" x14ac:dyDescent="0.3">
      <c r="A1268" t="s">
        <v>14</v>
      </c>
      <c r="B1268">
        <f>AVERAGEIF(Sheet1!B:B, A1268, Sheet1!J:J)</f>
        <v>49.578313253012048</v>
      </c>
    </row>
    <row r="1269" spans="1:2" x14ac:dyDescent="0.3">
      <c r="A1269" t="s">
        <v>14</v>
      </c>
      <c r="B1269">
        <f>AVERAGEIF(Sheet1!B:B, A1269, Sheet1!J:J)</f>
        <v>49.578313253012048</v>
      </c>
    </row>
    <row r="1270" spans="1:2" x14ac:dyDescent="0.3">
      <c r="A1270" t="s">
        <v>14</v>
      </c>
      <c r="B1270">
        <f>AVERAGEIF(Sheet1!B:B, A1270, Sheet1!J:J)</f>
        <v>49.578313253012048</v>
      </c>
    </row>
    <row r="1271" spans="1:2" x14ac:dyDescent="0.3">
      <c r="A1271" t="s">
        <v>14</v>
      </c>
      <c r="B1271">
        <f>AVERAGEIF(Sheet1!B:B, A1271, Sheet1!J:J)</f>
        <v>49.578313253012048</v>
      </c>
    </row>
    <row r="1272" spans="1:2" x14ac:dyDescent="0.3">
      <c r="A1272" t="s">
        <v>14</v>
      </c>
      <c r="B1272">
        <f>AVERAGEIF(Sheet1!B:B, A1272, Sheet1!J:J)</f>
        <v>49.578313253012048</v>
      </c>
    </row>
    <row r="1273" spans="1:2" x14ac:dyDescent="0.3">
      <c r="A1273" t="s">
        <v>13</v>
      </c>
      <c r="B1273">
        <f>AVERAGEIF(Sheet1!B:B, A1273, Sheet1!J:J)</f>
        <v>89.015706806282722</v>
      </c>
    </row>
    <row r="1274" spans="1:2" x14ac:dyDescent="0.3">
      <c r="A1274" t="s">
        <v>13</v>
      </c>
      <c r="B1274">
        <f>AVERAGEIF(Sheet1!B:B, A1274, Sheet1!J:J)</f>
        <v>89.015706806282722</v>
      </c>
    </row>
    <row r="1275" spans="1:2" x14ac:dyDescent="0.3">
      <c r="A1275" t="s">
        <v>13</v>
      </c>
      <c r="B1275">
        <f>AVERAGEIF(Sheet1!B:B, A1275, Sheet1!J:J)</f>
        <v>89.015706806282722</v>
      </c>
    </row>
    <row r="1276" spans="1:2" x14ac:dyDescent="0.3">
      <c r="A1276" t="s">
        <v>13</v>
      </c>
      <c r="B1276">
        <f>AVERAGEIF(Sheet1!B:B, A1276, Sheet1!J:J)</f>
        <v>89.015706806282722</v>
      </c>
    </row>
    <row r="1277" spans="1:2" x14ac:dyDescent="0.3">
      <c r="A1277" t="s">
        <v>13</v>
      </c>
      <c r="B1277">
        <f>AVERAGEIF(Sheet1!B:B, A1277, Sheet1!J:J)</f>
        <v>89.015706806282722</v>
      </c>
    </row>
    <row r="1278" spans="1:2" x14ac:dyDescent="0.3">
      <c r="A1278" t="s">
        <v>13</v>
      </c>
      <c r="B1278">
        <f>AVERAGEIF(Sheet1!B:B, A1278, Sheet1!J:J)</f>
        <v>89.015706806282722</v>
      </c>
    </row>
    <row r="1279" spans="1:2" x14ac:dyDescent="0.3">
      <c r="A1279" t="s">
        <v>13</v>
      </c>
      <c r="B1279">
        <f>AVERAGEIF(Sheet1!B:B, A1279, Sheet1!J:J)</f>
        <v>89.015706806282722</v>
      </c>
    </row>
    <row r="1280" spans="1:2" x14ac:dyDescent="0.3">
      <c r="A1280" t="s">
        <v>13</v>
      </c>
      <c r="B1280">
        <f>AVERAGEIF(Sheet1!B:B, A1280, Sheet1!J:J)</f>
        <v>89.015706806282722</v>
      </c>
    </row>
    <row r="1281" spans="1:2" x14ac:dyDescent="0.3">
      <c r="A1281" t="s">
        <v>13</v>
      </c>
      <c r="B1281">
        <f>AVERAGEIF(Sheet1!B:B, A1281, Sheet1!J:J)</f>
        <v>89.015706806282722</v>
      </c>
    </row>
    <row r="1282" spans="1:2" x14ac:dyDescent="0.3">
      <c r="A1282" t="s">
        <v>14</v>
      </c>
      <c r="B1282">
        <f>AVERAGEIF(Sheet1!B:B, A1282, Sheet1!J:J)</f>
        <v>49.578313253012048</v>
      </c>
    </row>
    <row r="1283" spans="1:2" x14ac:dyDescent="0.3">
      <c r="A1283" t="s">
        <v>14</v>
      </c>
      <c r="B1283">
        <f>AVERAGEIF(Sheet1!B:B, A1283, Sheet1!J:J)</f>
        <v>49.578313253012048</v>
      </c>
    </row>
    <row r="1284" spans="1:2" x14ac:dyDescent="0.3">
      <c r="A1284" t="s">
        <v>14</v>
      </c>
      <c r="B1284">
        <f>AVERAGEIF(Sheet1!B:B, A1284, Sheet1!J:J)</f>
        <v>49.578313253012048</v>
      </c>
    </row>
    <row r="1285" spans="1:2" x14ac:dyDescent="0.3">
      <c r="A1285" t="s">
        <v>14</v>
      </c>
      <c r="B1285">
        <f>AVERAGEIF(Sheet1!B:B, A1285, Sheet1!J:J)</f>
        <v>49.578313253012048</v>
      </c>
    </row>
    <row r="1286" spans="1:2" x14ac:dyDescent="0.3">
      <c r="A1286" t="s">
        <v>14</v>
      </c>
      <c r="B1286">
        <f>AVERAGEIF(Sheet1!B:B, A1286, Sheet1!J:J)</f>
        <v>49.578313253012048</v>
      </c>
    </row>
    <row r="1287" spans="1:2" x14ac:dyDescent="0.3">
      <c r="A1287" t="s">
        <v>12</v>
      </c>
      <c r="B1287">
        <f>AVERAGEIF(Sheet1!B:B, A1287, Sheet1!J:J)</f>
        <v>74.65384615384616</v>
      </c>
    </row>
    <row r="1288" spans="1:2" x14ac:dyDescent="0.3">
      <c r="A1288" t="s">
        <v>12</v>
      </c>
      <c r="B1288">
        <f>AVERAGEIF(Sheet1!B:B, A1288, Sheet1!J:J)</f>
        <v>74.65384615384616</v>
      </c>
    </row>
    <row r="1289" spans="1:2" x14ac:dyDescent="0.3">
      <c r="A1289" t="s">
        <v>12</v>
      </c>
      <c r="B1289">
        <f>AVERAGEIF(Sheet1!B:B, A1289, Sheet1!J:J)</f>
        <v>74.65384615384616</v>
      </c>
    </row>
    <row r="1290" spans="1:2" x14ac:dyDescent="0.3">
      <c r="A1290" t="s">
        <v>15</v>
      </c>
      <c r="B1290">
        <f>AVERAGEIF(Sheet1!B:B, A1290, Sheet1!J:J)</f>
        <v>34.714285714285715</v>
      </c>
    </row>
    <row r="1291" spans="1:2" x14ac:dyDescent="0.3">
      <c r="A1291" t="s">
        <v>14</v>
      </c>
      <c r="B1291">
        <f>AVERAGEIF(Sheet1!B:B, A1291, Sheet1!J:J)</f>
        <v>49.578313253012048</v>
      </c>
    </row>
    <row r="1292" spans="1:2" x14ac:dyDescent="0.3">
      <c r="A1292" t="s">
        <v>13</v>
      </c>
      <c r="B1292">
        <f>AVERAGEIF(Sheet1!B:B, A1292, Sheet1!J:J)</f>
        <v>89.015706806282722</v>
      </c>
    </row>
    <row r="1293" spans="1:2" x14ac:dyDescent="0.3">
      <c r="A1293" t="s">
        <v>13</v>
      </c>
      <c r="B1293">
        <f>AVERAGEIF(Sheet1!B:B, A1293, Sheet1!J:J)</f>
        <v>89.015706806282722</v>
      </c>
    </row>
    <row r="1294" spans="1:2" x14ac:dyDescent="0.3">
      <c r="A1294" t="s">
        <v>13</v>
      </c>
      <c r="B1294">
        <f>AVERAGEIF(Sheet1!B:B, A1294, Sheet1!J:J)</f>
        <v>89.015706806282722</v>
      </c>
    </row>
    <row r="1295" spans="1:2" x14ac:dyDescent="0.3">
      <c r="A1295" t="s">
        <v>13</v>
      </c>
      <c r="B1295">
        <f>AVERAGEIF(Sheet1!B:B, A1295, Sheet1!J:J)</f>
        <v>89.015706806282722</v>
      </c>
    </row>
    <row r="1296" spans="1:2" x14ac:dyDescent="0.3">
      <c r="A1296" t="s">
        <v>13</v>
      </c>
      <c r="B1296">
        <f>AVERAGEIF(Sheet1!B:B, A1296, Sheet1!J:J)</f>
        <v>89.015706806282722</v>
      </c>
    </row>
    <row r="1297" spans="1:2" x14ac:dyDescent="0.3">
      <c r="A1297" t="s">
        <v>13</v>
      </c>
      <c r="B1297">
        <f>AVERAGEIF(Sheet1!B:B, A1297, Sheet1!J:J)</f>
        <v>89.015706806282722</v>
      </c>
    </row>
    <row r="1298" spans="1:2" x14ac:dyDescent="0.3">
      <c r="A1298" t="s">
        <v>13</v>
      </c>
      <c r="B1298">
        <f>AVERAGEIF(Sheet1!B:B, A1298, Sheet1!J:J)</f>
        <v>89.015706806282722</v>
      </c>
    </row>
    <row r="1299" spans="1:2" x14ac:dyDescent="0.3">
      <c r="A1299" t="s">
        <v>13</v>
      </c>
      <c r="B1299">
        <f>AVERAGEIF(Sheet1!B:B, A1299, Sheet1!J:J)</f>
        <v>89.015706806282722</v>
      </c>
    </row>
    <row r="1300" spans="1:2" x14ac:dyDescent="0.3">
      <c r="A1300" t="s">
        <v>13</v>
      </c>
      <c r="B1300">
        <f>AVERAGEIF(Sheet1!B:B, A1300, Sheet1!J:J)</f>
        <v>89.015706806282722</v>
      </c>
    </row>
    <row r="1301" spans="1:2" x14ac:dyDescent="0.3">
      <c r="A1301" t="s">
        <v>13</v>
      </c>
      <c r="B1301">
        <f>AVERAGEIF(Sheet1!B:B, A1301, Sheet1!J:J)</f>
        <v>89.015706806282722</v>
      </c>
    </row>
    <row r="1302" spans="1:2" x14ac:dyDescent="0.3">
      <c r="A1302" t="s">
        <v>13</v>
      </c>
      <c r="B1302">
        <f>AVERAGEIF(Sheet1!B:B, A1302, Sheet1!J:J)</f>
        <v>89.015706806282722</v>
      </c>
    </row>
    <row r="1303" spans="1:2" x14ac:dyDescent="0.3">
      <c r="A1303" t="s">
        <v>13</v>
      </c>
      <c r="B1303">
        <f>AVERAGEIF(Sheet1!B:B, A1303, Sheet1!J:J)</f>
        <v>89.015706806282722</v>
      </c>
    </row>
    <row r="1304" spans="1:2" x14ac:dyDescent="0.3">
      <c r="A1304" t="s">
        <v>13</v>
      </c>
      <c r="B1304">
        <f>AVERAGEIF(Sheet1!B:B, A1304, Sheet1!J:J)</f>
        <v>89.015706806282722</v>
      </c>
    </row>
    <row r="1305" spans="1:2" x14ac:dyDescent="0.3">
      <c r="A1305" t="s">
        <v>13</v>
      </c>
      <c r="B1305">
        <f>AVERAGEIF(Sheet1!B:B, A1305, Sheet1!J:J)</f>
        <v>89.015706806282722</v>
      </c>
    </row>
    <row r="1306" spans="1:2" x14ac:dyDescent="0.3">
      <c r="A1306" t="s">
        <v>13</v>
      </c>
      <c r="B1306">
        <f>AVERAGEIF(Sheet1!B:B, A1306, Sheet1!J:J)</f>
        <v>89.015706806282722</v>
      </c>
    </row>
    <row r="1307" spans="1:2" x14ac:dyDescent="0.3">
      <c r="A1307" t="s">
        <v>13</v>
      </c>
      <c r="B1307">
        <f>AVERAGEIF(Sheet1!B:B, A1307, Sheet1!J:J)</f>
        <v>89.015706806282722</v>
      </c>
    </row>
    <row r="1308" spans="1:2" x14ac:dyDescent="0.3">
      <c r="A1308" t="s">
        <v>13</v>
      </c>
      <c r="B1308">
        <f>AVERAGEIF(Sheet1!B:B, A1308, Sheet1!J:J)</f>
        <v>89.015706806282722</v>
      </c>
    </row>
    <row r="1309" spans="1:2" x14ac:dyDescent="0.3">
      <c r="A1309" t="s">
        <v>13</v>
      </c>
      <c r="B1309">
        <f>AVERAGEIF(Sheet1!B:B, A1309, Sheet1!J:J)</f>
        <v>89.015706806282722</v>
      </c>
    </row>
    <row r="1310" spans="1:2" x14ac:dyDescent="0.3">
      <c r="A1310" t="s">
        <v>13</v>
      </c>
      <c r="B1310">
        <f>AVERAGEIF(Sheet1!B:B, A1310, Sheet1!J:J)</f>
        <v>89.015706806282722</v>
      </c>
    </row>
    <row r="1311" spans="1:2" x14ac:dyDescent="0.3">
      <c r="A1311" t="s">
        <v>13</v>
      </c>
      <c r="B1311">
        <f>AVERAGEIF(Sheet1!B:B, A1311, Sheet1!J:J)</f>
        <v>89.015706806282722</v>
      </c>
    </row>
    <row r="1312" spans="1:2" x14ac:dyDescent="0.3">
      <c r="A1312" t="s">
        <v>13</v>
      </c>
      <c r="B1312">
        <f>AVERAGEIF(Sheet1!B:B, A1312, Sheet1!J:J)</f>
        <v>89.015706806282722</v>
      </c>
    </row>
    <row r="1313" spans="1:2" x14ac:dyDescent="0.3">
      <c r="A1313" t="s">
        <v>13</v>
      </c>
      <c r="B1313">
        <f>AVERAGEIF(Sheet1!B:B, A1313, Sheet1!J:J)</f>
        <v>89.015706806282722</v>
      </c>
    </row>
    <row r="1314" spans="1:2" x14ac:dyDescent="0.3">
      <c r="A1314" t="s">
        <v>13</v>
      </c>
      <c r="B1314">
        <f>AVERAGEIF(Sheet1!B:B, A1314, Sheet1!J:J)</f>
        <v>89.015706806282722</v>
      </c>
    </row>
    <row r="1315" spans="1:2" x14ac:dyDescent="0.3">
      <c r="A1315" t="s">
        <v>13</v>
      </c>
      <c r="B1315">
        <f>AVERAGEIF(Sheet1!B:B, A1315, Sheet1!J:J)</f>
        <v>89.015706806282722</v>
      </c>
    </row>
    <row r="1316" spans="1:2" x14ac:dyDescent="0.3">
      <c r="A1316" t="s">
        <v>13</v>
      </c>
      <c r="B1316">
        <f>AVERAGEIF(Sheet1!B:B, A1316, Sheet1!J:J)</f>
        <v>89.015706806282722</v>
      </c>
    </row>
    <row r="1317" spans="1:2" x14ac:dyDescent="0.3">
      <c r="A1317" t="s">
        <v>13</v>
      </c>
      <c r="B1317">
        <f>AVERAGEIF(Sheet1!B:B, A1317, Sheet1!J:J)</f>
        <v>89.015706806282722</v>
      </c>
    </row>
    <row r="1318" spans="1:2" x14ac:dyDescent="0.3">
      <c r="A1318" t="s">
        <v>13</v>
      </c>
      <c r="B1318">
        <f>AVERAGEIF(Sheet1!B:B, A1318, Sheet1!J:J)</f>
        <v>89.015706806282722</v>
      </c>
    </row>
    <row r="1319" spans="1:2" x14ac:dyDescent="0.3">
      <c r="A1319" t="s">
        <v>13</v>
      </c>
      <c r="B1319">
        <f>AVERAGEIF(Sheet1!B:B, A1319, Sheet1!J:J)</f>
        <v>89.015706806282722</v>
      </c>
    </row>
    <row r="1320" spans="1:2" x14ac:dyDescent="0.3">
      <c r="A1320" t="s">
        <v>13</v>
      </c>
      <c r="B1320">
        <f>AVERAGEIF(Sheet1!B:B, A1320, Sheet1!J:J)</f>
        <v>89.015706806282722</v>
      </c>
    </row>
    <row r="1321" spans="1:2" x14ac:dyDescent="0.3">
      <c r="A1321" t="s">
        <v>13</v>
      </c>
      <c r="B1321">
        <f>AVERAGEIF(Sheet1!B:B, A1321, Sheet1!J:J)</f>
        <v>89.015706806282722</v>
      </c>
    </row>
    <row r="1322" spans="1:2" x14ac:dyDescent="0.3">
      <c r="A1322" t="s">
        <v>13</v>
      </c>
      <c r="B1322">
        <f>AVERAGEIF(Sheet1!B:B, A1322, Sheet1!J:J)</f>
        <v>89.015706806282722</v>
      </c>
    </row>
    <row r="1323" spans="1:2" x14ac:dyDescent="0.3">
      <c r="A1323" t="s">
        <v>13</v>
      </c>
      <c r="B1323">
        <f>AVERAGEIF(Sheet1!B:B, A1323, Sheet1!J:J)</f>
        <v>89.015706806282722</v>
      </c>
    </row>
    <row r="1324" spans="1:2" x14ac:dyDescent="0.3">
      <c r="A1324" t="s">
        <v>13</v>
      </c>
      <c r="B1324">
        <f>AVERAGEIF(Sheet1!B:B, A1324, Sheet1!J:J)</f>
        <v>89.015706806282722</v>
      </c>
    </row>
    <row r="1325" spans="1:2" x14ac:dyDescent="0.3">
      <c r="A1325" t="s">
        <v>13</v>
      </c>
      <c r="B1325">
        <f>AVERAGEIF(Sheet1!B:B, A1325, Sheet1!J:J)</f>
        <v>89.015706806282722</v>
      </c>
    </row>
    <row r="1326" spans="1:2" x14ac:dyDescent="0.3">
      <c r="A1326" t="s">
        <v>13</v>
      </c>
      <c r="B1326">
        <f>AVERAGEIF(Sheet1!B:B, A1326, Sheet1!J:J)</f>
        <v>89.015706806282722</v>
      </c>
    </row>
    <row r="1327" spans="1:2" x14ac:dyDescent="0.3">
      <c r="A1327" t="s">
        <v>13</v>
      </c>
      <c r="B1327">
        <f>AVERAGEIF(Sheet1!B:B, A1327, Sheet1!J:J)</f>
        <v>89.015706806282722</v>
      </c>
    </row>
    <row r="1328" spans="1:2" x14ac:dyDescent="0.3">
      <c r="A1328" t="s">
        <v>13</v>
      </c>
      <c r="B1328">
        <f>AVERAGEIF(Sheet1!B:B, A1328, Sheet1!J:J)</f>
        <v>89.015706806282722</v>
      </c>
    </row>
    <row r="1329" spans="1:2" x14ac:dyDescent="0.3">
      <c r="A1329" t="s">
        <v>13</v>
      </c>
      <c r="B1329">
        <f>AVERAGEIF(Sheet1!B:B, A1329, Sheet1!J:J)</f>
        <v>89.015706806282722</v>
      </c>
    </row>
    <row r="1330" spans="1:2" x14ac:dyDescent="0.3">
      <c r="A1330" t="s">
        <v>13</v>
      </c>
      <c r="B1330">
        <f>AVERAGEIF(Sheet1!B:B, A1330, Sheet1!J:J)</f>
        <v>89.015706806282722</v>
      </c>
    </row>
    <row r="1331" spans="1:2" x14ac:dyDescent="0.3">
      <c r="A1331" t="s">
        <v>13</v>
      </c>
      <c r="B1331">
        <f>AVERAGEIF(Sheet1!B:B, A1331, Sheet1!J:J)</f>
        <v>89.015706806282722</v>
      </c>
    </row>
    <row r="1332" spans="1:2" x14ac:dyDescent="0.3">
      <c r="A1332" t="s">
        <v>13</v>
      </c>
      <c r="B1332">
        <f>AVERAGEIF(Sheet1!B:B, A1332, Sheet1!J:J)</f>
        <v>89.015706806282722</v>
      </c>
    </row>
    <row r="1333" spans="1:2" x14ac:dyDescent="0.3">
      <c r="A1333" t="s">
        <v>13</v>
      </c>
      <c r="B1333">
        <f>AVERAGEIF(Sheet1!B:B, A1333, Sheet1!J:J)</f>
        <v>89.015706806282722</v>
      </c>
    </row>
    <row r="1334" spans="1:2" x14ac:dyDescent="0.3">
      <c r="A1334" t="s">
        <v>13</v>
      </c>
      <c r="B1334">
        <f>AVERAGEIF(Sheet1!B:B, A1334, Sheet1!J:J)</f>
        <v>89.015706806282722</v>
      </c>
    </row>
    <row r="1335" spans="1:2" x14ac:dyDescent="0.3">
      <c r="A1335" t="s">
        <v>16</v>
      </c>
      <c r="B1335">
        <f>AVERAGEIF(Sheet1!B:B, A1335, Sheet1!J:J)</f>
        <v>79.902439024390247</v>
      </c>
    </row>
    <row r="1336" spans="1:2" x14ac:dyDescent="0.3">
      <c r="A1336" t="s">
        <v>16</v>
      </c>
      <c r="B1336">
        <f>AVERAGEIF(Sheet1!B:B, A1336, Sheet1!J:J)</f>
        <v>79.902439024390247</v>
      </c>
    </row>
    <row r="1337" spans="1:2" x14ac:dyDescent="0.3">
      <c r="A1337" t="s">
        <v>16</v>
      </c>
      <c r="B1337">
        <f>AVERAGEIF(Sheet1!B:B, A1337, Sheet1!J:J)</f>
        <v>79.902439024390247</v>
      </c>
    </row>
    <row r="1338" spans="1:2" x14ac:dyDescent="0.3">
      <c r="A1338" t="s">
        <v>16</v>
      </c>
      <c r="B1338">
        <f>AVERAGEIF(Sheet1!B:B, A1338, Sheet1!J:J)</f>
        <v>79.902439024390247</v>
      </c>
    </row>
    <row r="1339" spans="1:2" x14ac:dyDescent="0.3">
      <c r="A1339" t="s">
        <v>16</v>
      </c>
      <c r="B1339">
        <f>AVERAGEIF(Sheet1!B:B, A1339, Sheet1!J:J)</f>
        <v>79.902439024390247</v>
      </c>
    </row>
    <row r="1340" spans="1:2" x14ac:dyDescent="0.3">
      <c r="A1340" t="s">
        <v>16</v>
      </c>
      <c r="B1340">
        <f>AVERAGEIF(Sheet1!B:B, A1340, Sheet1!J:J)</f>
        <v>79.902439024390247</v>
      </c>
    </row>
    <row r="1341" spans="1:2" x14ac:dyDescent="0.3">
      <c r="A1341" t="s">
        <v>16</v>
      </c>
      <c r="B1341">
        <f>AVERAGEIF(Sheet1!B:B, A1341, Sheet1!J:J)</f>
        <v>79.902439024390247</v>
      </c>
    </row>
    <row r="1342" spans="1:2" x14ac:dyDescent="0.3">
      <c r="A1342" t="s">
        <v>16</v>
      </c>
      <c r="B1342">
        <f>AVERAGEIF(Sheet1!B:B, A1342, Sheet1!J:J)</f>
        <v>79.902439024390247</v>
      </c>
    </row>
    <row r="1343" spans="1:2" x14ac:dyDescent="0.3">
      <c r="A1343" t="s">
        <v>18</v>
      </c>
      <c r="B1343">
        <f>AVERAGEIF(Sheet1!B:B, A1343, Sheet1!J:J)</f>
        <v>172.40416666666667</v>
      </c>
    </row>
    <row r="1344" spans="1:2" x14ac:dyDescent="0.3">
      <c r="A1344" t="s">
        <v>18</v>
      </c>
      <c r="B1344">
        <f>AVERAGEIF(Sheet1!B:B, A1344, Sheet1!J:J)</f>
        <v>172.40416666666667</v>
      </c>
    </row>
    <row r="1345" spans="1:2" x14ac:dyDescent="0.3">
      <c r="A1345" t="s">
        <v>18</v>
      </c>
      <c r="B1345">
        <f>AVERAGEIF(Sheet1!B:B, A1345, Sheet1!J:J)</f>
        <v>172.40416666666667</v>
      </c>
    </row>
    <row r="1346" spans="1:2" x14ac:dyDescent="0.3">
      <c r="A1346" t="s">
        <v>18</v>
      </c>
      <c r="B1346">
        <f>AVERAGEIF(Sheet1!B:B, A1346, Sheet1!J:J)</f>
        <v>172.40416666666667</v>
      </c>
    </row>
    <row r="1347" spans="1:2" x14ac:dyDescent="0.3">
      <c r="A1347" t="s">
        <v>18</v>
      </c>
      <c r="B1347">
        <f>AVERAGEIF(Sheet1!B:B, A1347, Sheet1!J:J)</f>
        <v>172.40416666666667</v>
      </c>
    </row>
    <row r="1348" spans="1:2" x14ac:dyDescent="0.3">
      <c r="A1348" t="s">
        <v>18</v>
      </c>
      <c r="B1348">
        <f>AVERAGEIF(Sheet1!B:B, A1348, Sheet1!J:J)</f>
        <v>172.40416666666667</v>
      </c>
    </row>
    <row r="1349" spans="1:2" x14ac:dyDescent="0.3">
      <c r="A1349" t="s">
        <v>18</v>
      </c>
      <c r="B1349">
        <f>AVERAGEIF(Sheet1!B:B, A1349, Sheet1!J:J)</f>
        <v>172.40416666666667</v>
      </c>
    </row>
    <row r="1350" spans="1:2" x14ac:dyDescent="0.3">
      <c r="A1350" t="s">
        <v>16</v>
      </c>
      <c r="B1350">
        <f>AVERAGEIF(Sheet1!B:B, A1350, Sheet1!J:J)</f>
        <v>79.902439024390247</v>
      </c>
    </row>
    <row r="1351" spans="1:2" x14ac:dyDescent="0.3">
      <c r="A1351" t="s">
        <v>16</v>
      </c>
      <c r="B1351">
        <f>AVERAGEIF(Sheet1!B:B, A1351, Sheet1!J:J)</f>
        <v>79.902439024390247</v>
      </c>
    </row>
    <row r="1352" spans="1:2" x14ac:dyDescent="0.3">
      <c r="A1352" t="s">
        <v>16</v>
      </c>
      <c r="B1352">
        <f>AVERAGEIF(Sheet1!B:B, A1352, Sheet1!J:J)</f>
        <v>79.902439024390247</v>
      </c>
    </row>
    <row r="1353" spans="1:2" x14ac:dyDescent="0.3">
      <c r="A1353" t="s">
        <v>16</v>
      </c>
      <c r="B1353">
        <f>AVERAGEIF(Sheet1!B:B, A1353, Sheet1!J:J)</f>
        <v>79.902439024390247</v>
      </c>
    </row>
    <row r="1354" spans="1:2" x14ac:dyDescent="0.3">
      <c r="A1354" t="s">
        <v>16</v>
      </c>
      <c r="B1354">
        <f>AVERAGEIF(Sheet1!B:B, A1354, Sheet1!J:J)</f>
        <v>79.902439024390247</v>
      </c>
    </row>
    <row r="1355" spans="1:2" x14ac:dyDescent="0.3">
      <c r="A1355" t="s">
        <v>16</v>
      </c>
      <c r="B1355">
        <f>AVERAGEIF(Sheet1!B:B, A1355, Sheet1!J:J)</f>
        <v>79.902439024390247</v>
      </c>
    </row>
    <row r="1356" spans="1:2" x14ac:dyDescent="0.3">
      <c r="A1356" t="s">
        <v>17</v>
      </c>
      <c r="B1356">
        <f>AVERAGEIF(Sheet1!B:B, A1356, Sheet1!J:J)</f>
        <v>98.8125</v>
      </c>
    </row>
    <row r="1357" spans="1:2" x14ac:dyDescent="0.3">
      <c r="A1357" t="s">
        <v>16</v>
      </c>
      <c r="B1357">
        <f>AVERAGEIF(Sheet1!B:B, A1357, Sheet1!J:J)</f>
        <v>79.902439024390247</v>
      </c>
    </row>
    <row r="1358" spans="1:2" x14ac:dyDescent="0.3">
      <c r="A1358" t="s">
        <v>16</v>
      </c>
      <c r="B1358">
        <f>AVERAGEIF(Sheet1!B:B, A1358, Sheet1!J:J)</f>
        <v>79.902439024390247</v>
      </c>
    </row>
    <row r="1359" spans="1:2" x14ac:dyDescent="0.3">
      <c r="A1359" t="s">
        <v>16</v>
      </c>
      <c r="B1359">
        <f>AVERAGEIF(Sheet1!B:B, A1359, Sheet1!J:J)</f>
        <v>79.902439024390247</v>
      </c>
    </row>
    <row r="1360" spans="1:2" x14ac:dyDescent="0.3">
      <c r="A1360" t="s">
        <v>16</v>
      </c>
      <c r="B1360">
        <f>AVERAGEIF(Sheet1!B:B, A1360, Sheet1!J:J)</f>
        <v>79.902439024390247</v>
      </c>
    </row>
    <row r="1361" spans="1:2" x14ac:dyDescent="0.3">
      <c r="A1361" t="s">
        <v>16</v>
      </c>
      <c r="B1361">
        <f>AVERAGEIF(Sheet1!B:B, A1361, Sheet1!J:J)</f>
        <v>79.902439024390247</v>
      </c>
    </row>
    <row r="1362" spans="1:2" x14ac:dyDescent="0.3">
      <c r="A1362" t="s">
        <v>16</v>
      </c>
      <c r="B1362">
        <f>AVERAGEIF(Sheet1!B:B, A1362, Sheet1!J:J)</f>
        <v>79.902439024390247</v>
      </c>
    </row>
    <row r="1363" spans="1:2" x14ac:dyDescent="0.3">
      <c r="A1363" t="s">
        <v>18</v>
      </c>
      <c r="B1363">
        <f>AVERAGEIF(Sheet1!B:B, A1363, Sheet1!J:J)</f>
        <v>172.40416666666667</v>
      </c>
    </row>
    <row r="1364" spans="1:2" x14ac:dyDescent="0.3">
      <c r="A1364" t="s">
        <v>18</v>
      </c>
      <c r="B1364">
        <f>AVERAGEIF(Sheet1!B:B, A1364, Sheet1!J:J)</f>
        <v>172.40416666666667</v>
      </c>
    </row>
    <row r="1365" spans="1:2" x14ac:dyDescent="0.3">
      <c r="A1365" t="s">
        <v>18</v>
      </c>
      <c r="B1365">
        <f>AVERAGEIF(Sheet1!B:B, A1365, Sheet1!J:J)</f>
        <v>172.40416666666667</v>
      </c>
    </row>
    <row r="1366" spans="1:2" x14ac:dyDescent="0.3">
      <c r="A1366" t="s">
        <v>18</v>
      </c>
      <c r="B1366">
        <f>AVERAGEIF(Sheet1!B:B, A1366, Sheet1!J:J)</f>
        <v>172.40416666666667</v>
      </c>
    </row>
    <row r="1367" spans="1:2" x14ac:dyDescent="0.3">
      <c r="A1367" t="s">
        <v>13</v>
      </c>
      <c r="B1367">
        <f>AVERAGEIF(Sheet1!B:B, A1367, Sheet1!J:J)</f>
        <v>89.015706806282722</v>
      </c>
    </row>
    <row r="1368" spans="1:2" x14ac:dyDescent="0.3">
      <c r="A1368" t="s">
        <v>17</v>
      </c>
      <c r="B1368">
        <f>AVERAGEIF(Sheet1!B:B, A1368, Sheet1!J:J)</f>
        <v>98.8125</v>
      </c>
    </row>
    <row r="1369" spans="1:2" x14ac:dyDescent="0.3">
      <c r="A1369" t="s">
        <v>16</v>
      </c>
      <c r="B1369">
        <f>AVERAGEIF(Sheet1!B:B, A1369, Sheet1!J:J)</f>
        <v>79.902439024390247</v>
      </c>
    </row>
    <row r="1370" spans="1:2" x14ac:dyDescent="0.3">
      <c r="A1370" t="s">
        <v>13</v>
      </c>
      <c r="B1370">
        <f>AVERAGEIF(Sheet1!B:B, A1370, Sheet1!J:J)</f>
        <v>89.015706806282722</v>
      </c>
    </row>
    <row r="1371" spans="1:2" x14ac:dyDescent="0.3">
      <c r="A1371" t="s">
        <v>18</v>
      </c>
      <c r="B1371">
        <f>AVERAGEIF(Sheet1!B:B, A1371, Sheet1!J:J)</f>
        <v>172.40416666666667</v>
      </c>
    </row>
    <row r="1372" spans="1:2" x14ac:dyDescent="0.3">
      <c r="A1372" t="s">
        <v>18</v>
      </c>
      <c r="B1372">
        <f>AVERAGEIF(Sheet1!B:B, A1372, Sheet1!J:J)</f>
        <v>172.40416666666667</v>
      </c>
    </row>
    <row r="1373" spans="1:2" x14ac:dyDescent="0.3">
      <c r="A1373" t="s">
        <v>18</v>
      </c>
      <c r="B1373">
        <f>AVERAGEIF(Sheet1!B:B, A1373, Sheet1!J:J)</f>
        <v>172.40416666666667</v>
      </c>
    </row>
    <row r="1374" spans="1:2" x14ac:dyDescent="0.3">
      <c r="A1374" t="s">
        <v>18</v>
      </c>
      <c r="B1374">
        <f>AVERAGEIF(Sheet1!B:B, A1374, Sheet1!J:J)</f>
        <v>172.40416666666667</v>
      </c>
    </row>
    <row r="1375" spans="1:2" x14ac:dyDescent="0.3">
      <c r="A1375" t="s">
        <v>18</v>
      </c>
      <c r="B1375">
        <f>AVERAGEIF(Sheet1!B:B, A1375, Sheet1!J:J)</f>
        <v>172.40416666666667</v>
      </c>
    </row>
    <row r="1376" spans="1:2" x14ac:dyDescent="0.3">
      <c r="A1376" t="s">
        <v>18</v>
      </c>
      <c r="B1376">
        <f>AVERAGEIF(Sheet1!B:B, A1376, Sheet1!J:J)</f>
        <v>172.40416666666667</v>
      </c>
    </row>
    <row r="1377" spans="1:2" x14ac:dyDescent="0.3">
      <c r="A1377" t="s">
        <v>18</v>
      </c>
      <c r="B1377">
        <f>AVERAGEIF(Sheet1!B:B, A1377, Sheet1!J:J)</f>
        <v>172.40416666666667</v>
      </c>
    </row>
    <row r="1378" spans="1:2" x14ac:dyDescent="0.3">
      <c r="A1378" t="s">
        <v>18</v>
      </c>
      <c r="B1378">
        <f>AVERAGEIF(Sheet1!B:B, A1378, Sheet1!J:J)</f>
        <v>172.40416666666667</v>
      </c>
    </row>
    <row r="1379" spans="1:2" x14ac:dyDescent="0.3">
      <c r="A1379" t="s">
        <v>18</v>
      </c>
      <c r="B1379">
        <f>AVERAGEIF(Sheet1!B:B, A1379, Sheet1!J:J)</f>
        <v>172.40416666666667</v>
      </c>
    </row>
    <row r="1380" spans="1:2" x14ac:dyDescent="0.3">
      <c r="A1380" t="s">
        <v>18</v>
      </c>
      <c r="B1380">
        <f>AVERAGEIF(Sheet1!B:B, A1380, Sheet1!J:J)</f>
        <v>172.40416666666667</v>
      </c>
    </row>
    <row r="1381" spans="1:2" x14ac:dyDescent="0.3">
      <c r="A1381" t="s">
        <v>18</v>
      </c>
      <c r="B1381">
        <f>AVERAGEIF(Sheet1!B:B, A1381, Sheet1!J:J)</f>
        <v>172.40416666666667</v>
      </c>
    </row>
    <row r="1382" spans="1:2" x14ac:dyDescent="0.3">
      <c r="A1382" t="s">
        <v>18</v>
      </c>
      <c r="B1382">
        <f>AVERAGEIF(Sheet1!B:B, A1382, Sheet1!J:J)</f>
        <v>172.40416666666667</v>
      </c>
    </row>
    <row r="1383" spans="1:2" x14ac:dyDescent="0.3">
      <c r="A1383" t="s">
        <v>18</v>
      </c>
      <c r="B1383">
        <f>AVERAGEIF(Sheet1!B:B, A1383, Sheet1!J:J)</f>
        <v>172.40416666666667</v>
      </c>
    </row>
    <row r="1384" spans="1:2" x14ac:dyDescent="0.3">
      <c r="A1384" t="s">
        <v>18</v>
      </c>
      <c r="B1384">
        <f>AVERAGEIF(Sheet1!B:B, A1384, Sheet1!J:J)</f>
        <v>172.40416666666667</v>
      </c>
    </row>
    <row r="1385" spans="1:2" x14ac:dyDescent="0.3">
      <c r="A1385" t="s">
        <v>18</v>
      </c>
      <c r="B1385">
        <f>AVERAGEIF(Sheet1!B:B, A1385, Sheet1!J:J)</f>
        <v>172.40416666666667</v>
      </c>
    </row>
    <row r="1386" spans="1:2" x14ac:dyDescent="0.3">
      <c r="A1386" t="s">
        <v>18</v>
      </c>
      <c r="B1386">
        <f>AVERAGEIF(Sheet1!B:B, A1386, Sheet1!J:J)</f>
        <v>172.40416666666667</v>
      </c>
    </row>
    <row r="1387" spans="1:2" x14ac:dyDescent="0.3">
      <c r="A1387" t="s">
        <v>18</v>
      </c>
      <c r="B1387">
        <f>AVERAGEIF(Sheet1!B:B, A1387, Sheet1!J:J)</f>
        <v>172.40416666666667</v>
      </c>
    </row>
    <row r="1388" spans="1:2" x14ac:dyDescent="0.3">
      <c r="A1388" t="s">
        <v>18</v>
      </c>
      <c r="B1388">
        <f>AVERAGEIF(Sheet1!B:B, A1388, Sheet1!J:J)</f>
        <v>172.40416666666667</v>
      </c>
    </row>
    <row r="1389" spans="1:2" x14ac:dyDescent="0.3">
      <c r="A1389" t="s">
        <v>18</v>
      </c>
      <c r="B1389">
        <f>AVERAGEIF(Sheet1!B:B, A1389, Sheet1!J:J)</f>
        <v>172.40416666666667</v>
      </c>
    </row>
    <row r="1390" spans="1:2" x14ac:dyDescent="0.3">
      <c r="A1390" t="s">
        <v>18</v>
      </c>
      <c r="B1390">
        <f>AVERAGEIF(Sheet1!B:B, A1390, Sheet1!J:J)</f>
        <v>172.40416666666667</v>
      </c>
    </row>
    <row r="1391" spans="1:2" x14ac:dyDescent="0.3">
      <c r="A1391" t="s">
        <v>18</v>
      </c>
      <c r="B1391">
        <f>AVERAGEIF(Sheet1!B:B, A1391, Sheet1!J:J)</f>
        <v>172.40416666666667</v>
      </c>
    </row>
    <row r="1392" spans="1:2" x14ac:dyDescent="0.3">
      <c r="A1392" t="s">
        <v>18</v>
      </c>
      <c r="B1392">
        <f>AVERAGEIF(Sheet1!B:B, A1392, Sheet1!J:J)</f>
        <v>172.40416666666667</v>
      </c>
    </row>
    <row r="1393" spans="1:2" x14ac:dyDescent="0.3">
      <c r="A1393" t="s">
        <v>18</v>
      </c>
      <c r="B1393">
        <f>AVERAGEIF(Sheet1!B:B, A1393, Sheet1!J:J)</f>
        <v>172.40416666666667</v>
      </c>
    </row>
    <row r="1394" spans="1:2" x14ac:dyDescent="0.3">
      <c r="A1394" t="s">
        <v>18</v>
      </c>
      <c r="B1394">
        <f>AVERAGEIF(Sheet1!B:B, A1394, Sheet1!J:J)</f>
        <v>172.40416666666667</v>
      </c>
    </row>
    <row r="1395" spans="1:2" x14ac:dyDescent="0.3">
      <c r="A1395" t="s">
        <v>18</v>
      </c>
      <c r="B1395">
        <f>AVERAGEIF(Sheet1!B:B, A1395, Sheet1!J:J)</f>
        <v>172.40416666666667</v>
      </c>
    </row>
    <row r="1396" spans="1:2" x14ac:dyDescent="0.3">
      <c r="A1396" t="s">
        <v>18</v>
      </c>
      <c r="B1396">
        <f>AVERAGEIF(Sheet1!B:B, A1396, Sheet1!J:J)</f>
        <v>172.40416666666667</v>
      </c>
    </row>
    <row r="1397" spans="1:2" x14ac:dyDescent="0.3">
      <c r="A1397" t="s">
        <v>20</v>
      </c>
      <c r="B1397">
        <f>AVERAGEIF(Sheet1!B:B, A1397, Sheet1!J:J)</f>
        <v>133.42857142857142</v>
      </c>
    </row>
    <row r="1398" spans="1:2" x14ac:dyDescent="0.3">
      <c r="A1398" t="s">
        <v>21</v>
      </c>
      <c r="B1398">
        <f>AVERAGEIF(Sheet1!B:B, A1398, Sheet1!J:J)</f>
        <v>34.333333333333336</v>
      </c>
    </row>
    <row r="1399" spans="1:2" x14ac:dyDescent="0.3">
      <c r="A1399" t="s">
        <v>39</v>
      </c>
      <c r="B1399">
        <f>AVERAGEIF(Sheet1!B:B, A1399, Sheet1!J:J)</f>
        <v>161.6</v>
      </c>
    </row>
    <row r="1400" spans="1:2" x14ac:dyDescent="0.3">
      <c r="A1400" t="s">
        <v>39</v>
      </c>
      <c r="B1400">
        <f>AVERAGEIF(Sheet1!B:B, A1400, Sheet1!J:J)</f>
        <v>161.6</v>
      </c>
    </row>
    <row r="1401" spans="1:2" x14ac:dyDescent="0.3">
      <c r="A1401" t="s">
        <v>39</v>
      </c>
      <c r="B1401">
        <f>AVERAGEIF(Sheet1!B:B, A1401, Sheet1!J:J)</f>
        <v>161.6</v>
      </c>
    </row>
    <row r="1402" spans="1:2" x14ac:dyDescent="0.3">
      <c r="A1402" t="s">
        <v>22</v>
      </c>
      <c r="B1402">
        <f>AVERAGEIF(Sheet1!B:B, A1402, Sheet1!J:J)</f>
        <v>40.497326203208559</v>
      </c>
    </row>
    <row r="1403" spans="1:2" x14ac:dyDescent="0.3">
      <c r="A1403" t="s">
        <v>22</v>
      </c>
      <c r="B1403">
        <f>AVERAGEIF(Sheet1!B:B, A1403, Sheet1!J:J)</f>
        <v>40.497326203208559</v>
      </c>
    </row>
    <row r="1404" spans="1:2" x14ac:dyDescent="0.3">
      <c r="A1404" t="s">
        <v>19</v>
      </c>
      <c r="B1404">
        <f>AVERAGEIF(Sheet1!B:B, A1404, Sheet1!J:J)</f>
        <v>103.86734693877551</v>
      </c>
    </row>
    <row r="1405" spans="1:2" x14ac:dyDescent="0.3">
      <c r="A1405" t="s">
        <v>19</v>
      </c>
      <c r="B1405">
        <f>AVERAGEIF(Sheet1!B:B, A1405, Sheet1!J:J)</f>
        <v>103.86734693877551</v>
      </c>
    </row>
    <row r="1406" spans="1:2" x14ac:dyDescent="0.3">
      <c r="A1406" t="s">
        <v>19</v>
      </c>
      <c r="B1406">
        <f>AVERAGEIF(Sheet1!B:B, A1406, Sheet1!J:J)</f>
        <v>103.86734693877551</v>
      </c>
    </row>
    <row r="1407" spans="1:2" x14ac:dyDescent="0.3">
      <c r="A1407" t="s">
        <v>19</v>
      </c>
      <c r="B1407">
        <f>AVERAGEIF(Sheet1!B:B, A1407, Sheet1!J:J)</f>
        <v>103.86734693877551</v>
      </c>
    </row>
    <row r="1408" spans="1:2" x14ac:dyDescent="0.3">
      <c r="A1408" t="s">
        <v>19</v>
      </c>
      <c r="B1408">
        <f>AVERAGEIF(Sheet1!B:B, A1408, Sheet1!J:J)</f>
        <v>103.86734693877551</v>
      </c>
    </row>
    <row r="1409" spans="1:2" x14ac:dyDescent="0.3">
      <c r="A1409" t="s">
        <v>19</v>
      </c>
      <c r="B1409">
        <f>AVERAGEIF(Sheet1!B:B, A1409, Sheet1!J:J)</f>
        <v>103.86734693877551</v>
      </c>
    </row>
    <row r="1410" spans="1:2" x14ac:dyDescent="0.3">
      <c r="A1410" t="s">
        <v>19</v>
      </c>
      <c r="B1410">
        <f>AVERAGEIF(Sheet1!B:B, A1410, Sheet1!J:J)</f>
        <v>103.86734693877551</v>
      </c>
    </row>
    <row r="1411" spans="1:2" x14ac:dyDescent="0.3">
      <c r="A1411" t="s">
        <v>19</v>
      </c>
      <c r="B1411">
        <f>AVERAGEIF(Sheet1!B:B, A1411, Sheet1!J:J)</f>
        <v>103.86734693877551</v>
      </c>
    </row>
    <row r="1412" spans="1:2" x14ac:dyDescent="0.3">
      <c r="A1412" t="s">
        <v>19</v>
      </c>
      <c r="B1412">
        <f>AVERAGEIF(Sheet1!B:B, A1412, Sheet1!J:J)</f>
        <v>103.86734693877551</v>
      </c>
    </row>
    <row r="1413" spans="1:2" x14ac:dyDescent="0.3">
      <c r="A1413" t="s">
        <v>23</v>
      </c>
      <c r="B1413">
        <f>AVERAGEIF(Sheet1!B:B, A1413, Sheet1!J:J)</f>
        <v>100.58333333333333</v>
      </c>
    </row>
    <row r="1414" spans="1:2" x14ac:dyDescent="0.3">
      <c r="A1414" t="s">
        <v>23</v>
      </c>
      <c r="B1414">
        <f>AVERAGEIF(Sheet1!B:B, A1414, Sheet1!J:J)</f>
        <v>100.58333333333333</v>
      </c>
    </row>
    <row r="1415" spans="1:2" x14ac:dyDescent="0.3">
      <c r="A1415" t="s">
        <v>23</v>
      </c>
      <c r="B1415">
        <f>AVERAGEIF(Sheet1!B:B, A1415, Sheet1!J:J)</f>
        <v>100.58333333333333</v>
      </c>
    </row>
    <row r="1416" spans="1:2" x14ac:dyDescent="0.3">
      <c r="A1416" t="s">
        <v>19</v>
      </c>
      <c r="B1416">
        <f>AVERAGEIF(Sheet1!B:B, A1416, Sheet1!J:J)</f>
        <v>103.86734693877551</v>
      </c>
    </row>
    <row r="1417" spans="1:2" x14ac:dyDescent="0.3">
      <c r="A1417" t="s">
        <v>19</v>
      </c>
      <c r="B1417">
        <f>AVERAGEIF(Sheet1!B:B, A1417, Sheet1!J:J)</f>
        <v>103.86734693877551</v>
      </c>
    </row>
    <row r="1418" spans="1:2" x14ac:dyDescent="0.3">
      <c r="A1418" t="s">
        <v>19</v>
      </c>
      <c r="B1418">
        <f>AVERAGEIF(Sheet1!B:B, A1418, Sheet1!J:J)</f>
        <v>103.86734693877551</v>
      </c>
    </row>
    <row r="1419" spans="1:2" x14ac:dyDescent="0.3">
      <c r="A1419" t="s">
        <v>19</v>
      </c>
      <c r="B1419">
        <f>AVERAGEIF(Sheet1!B:B, A1419, Sheet1!J:J)</f>
        <v>103.86734693877551</v>
      </c>
    </row>
    <row r="1420" spans="1:2" x14ac:dyDescent="0.3">
      <c r="A1420" t="s">
        <v>19</v>
      </c>
      <c r="B1420">
        <f>AVERAGEIF(Sheet1!B:B, A1420, Sheet1!J:J)</f>
        <v>103.86734693877551</v>
      </c>
    </row>
    <row r="1421" spans="1:2" x14ac:dyDescent="0.3">
      <c r="A1421" t="s">
        <v>18</v>
      </c>
      <c r="B1421">
        <f>AVERAGEIF(Sheet1!B:B, A1421, Sheet1!J:J)</f>
        <v>172.40416666666667</v>
      </c>
    </row>
    <row r="1422" spans="1:2" x14ac:dyDescent="0.3">
      <c r="A1422" t="s">
        <v>18</v>
      </c>
      <c r="B1422">
        <f>AVERAGEIF(Sheet1!B:B, A1422, Sheet1!J:J)</f>
        <v>172.40416666666667</v>
      </c>
    </row>
    <row r="1423" spans="1:2" x14ac:dyDescent="0.3">
      <c r="A1423" t="s">
        <v>18</v>
      </c>
      <c r="B1423">
        <f>AVERAGEIF(Sheet1!B:B, A1423, Sheet1!J:J)</f>
        <v>172.40416666666667</v>
      </c>
    </row>
    <row r="1424" spans="1:2" x14ac:dyDescent="0.3">
      <c r="A1424" t="s">
        <v>18</v>
      </c>
      <c r="B1424">
        <f>AVERAGEIF(Sheet1!B:B, A1424, Sheet1!J:J)</f>
        <v>172.40416666666667</v>
      </c>
    </row>
    <row r="1425" spans="1:2" x14ac:dyDescent="0.3">
      <c r="A1425" t="s">
        <v>18</v>
      </c>
      <c r="B1425">
        <f>AVERAGEIF(Sheet1!B:B, A1425, Sheet1!J:J)</f>
        <v>172.40416666666667</v>
      </c>
    </row>
    <row r="1426" spans="1:2" x14ac:dyDescent="0.3">
      <c r="A1426" t="s">
        <v>19</v>
      </c>
      <c r="B1426">
        <f>AVERAGEIF(Sheet1!B:B, A1426, Sheet1!J:J)</f>
        <v>103.86734693877551</v>
      </c>
    </row>
    <row r="1427" spans="1:2" x14ac:dyDescent="0.3">
      <c r="A1427" t="s">
        <v>19</v>
      </c>
      <c r="B1427">
        <f>AVERAGEIF(Sheet1!B:B, A1427, Sheet1!J:J)</f>
        <v>103.86734693877551</v>
      </c>
    </row>
    <row r="1428" spans="1:2" x14ac:dyDescent="0.3">
      <c r="A1428" t="s">
        <v>19</v>
      </c>
      <c r="B1428">
        <f>AVERAGEIF(Sheet1!B:B, A1428, Sheet1!J:J)</f>
        <v>103.86734693877551</v>
      </c>
    </row>
    <row r="1429" spans="1:2" x14ac:dyDescent="0.3">
      <c r="A1429" t="s">
        <v>19</v>
      </c>
      <c r="B1429">
        <f>AVERAGEIF(Sheet1!B:B, A1429, Sheet1!J:J)</f>
        <v>103.86734693877551</v>
      </c>
    </row>
    <row r="1430" spans="1:2" x14ac:dyDescent="0.3">
      <c r="A1430" t="s">
        <v>22</v>
      </c>
      <c r="B1430">
        <f>AVERAGEIF(Sheet1!B:B, A1430, Sheet1!J:J)</f>
        <v>40.497326203208559</v>
      </c>
    </row>
    <row r="1431" spans="1:2" x14ac:dyDescent="0.3">
      <c r="A1431" t="s">
        <v>22</v>
      </c>
      <c r="B1431">
        <f>AVERAGEIF(Sheet1!B:B, A1431, Sheet1!J:J)</f>
        <v>40.497326203208559</v>
      </c>
    </row>
    <row r="1432" spans="1:2" x14ac:dyDescent="0.3">
      <c r="A1432" t="s">
        <v>22</v>
      </c>
      <c r="B1432">
        <f>AVERAGEIF(Sheet1!B:B, A1432, Sheet1!J:J)</f>
        <v>40.497326203208559</v>
      </c>
    </row>
    <row r="1433" spans="1:2" x14ac:dyDescent="0.3">
      <c r="A1433" t="s">
        <v>19</v>
      </c>
      <c r="B1433">
        <f>AVERAGEIF(Sheet1!B:B, A1433, Sheet1!J:J)</f>
        <v>103.86734693877551</v>
      </c>
    </row>
    <row r="1434" spans="1:2" x14ac:dyDescent="0.3">
      <c r="A1434" t="s">
        <v>19</v>
      </c>
      <c r="B1434">
        <f>AVERAGEIF(Sheet1!B:B, A1434, Sheet1!J:J)</f>
        <v>103.86734693877551</v>
      </c>
    </row>
    <row r="1435" spans="1:2" x14ac:dyDescent="0.3">
      <c r="A1435" t="s">
        <v>19</v>
      </c>
      <c r="B1435">
        <f>AVERAGEIF(Sheet1!B:B, A1435, Sheet1!J:J)</f>
        <v>103.86734693877551</v>
      </c>
    </row>
    <row r="1436" spans="1:2" x14ac:dyDescent="0.3">
      <c r="A1436" t="s">
        <v>19</v>
      </c>
      <c r="B1436">
        <f>AVERAGEIF(Sheet1!B:B, A1436, Sheet1!J:J)</f>
        <v>103.86734693877551</v>
      </c>
    </row>
    <row r="1437" spans="1:2" x14ac:dyDescent="0.3">
      <c r="A1437" t="s">
        <v>22</v>
      </c>
      <c r="B1437">
        <f>AVERAGEIF(Sheet1!B:B, A1437, Sheet1!J:J)</f>
        <v>40.497326203208559</v>
      </c>
    </row>
    <row r="1438" spans="1:2" x14ac:dyDescent="0.3">
      <c r="A1438" t="s">
        <v>22</v>
      </c>
      <c r="B1438">
        <f>AVERAGEIF(Sheet1!B:B, A1438, Sheet1!J:J)</f>
        <v>40.497326203208559</v>
      </c>
    </row>
    <row r="1439" spans="1:2" x14ac:dyDescent="0.3">
      <c r="A1439" t="s">
        <v>22</v>
      </c>
      <c r="B1439">
        <f>AVERAGEIF(Sheet1!B:B, A1439, Sheet1!J:J)</f>
        <v>40.497326203208559</v>
      </c>
    </row>
    <row r="1440" spans="1:2" x14ac:dyDescent="0.3">
      <c r="A1440" t="s">
        <v>22</v>
      </c>
      <c r="B1440">
        <f>AVERAGEIF(Sheet1!B:B, A1440, Sheet1!J:J)</f>
        <v>40.497326203208559</v>
      </c>
    </row>
    <row r="1441" spans="1:2" x14ac:dyDescent="0.3">
      <c r="A1441" t="s">
        <v>22</v>
      </c>
      <c r="B1441">
        <f>AVERAGEIF(Sheet1!B:B, A1441, Sheet1!J:J)</f>
        <v>40.497326203208559</v>
      </c>
    </row>
    <row r="1442" spans="1:2" x14ac:dyDescent="0.3">
      <c r="A1442" t="s">
        <v>22</v>
      </c>
      <c r="B1442">
        <f>AVERAGEIF(Sheet1!B:B, A1442, Sheet1!J:J)</f>
        <v>40.497326203208559</v>
      </c>
    </row>
    <row r="1443" spans="1:2" x14ac:dyDescent="0.3">
      <c r="A1443" t="s">
        <v>22</v>
      </c>
      <c r="B1443">
        <f>AVERAGEIF(Sheet1!B:B, A1443, Sheet1!J:J)</f>
        <v>40.497326203208559</v>
      </c>
    </row>
    <row r="1444" spans="1:2" x14ac:dyDescent="0.3">
      <c r="A1444" t="s">
        <v>22</v>
      </c>
      <c r="B1444">
        <f>AVERAGEIF(Sheet1!B:B, A1444, Sheet1!J:J)</f>
        <v>40.497326203208559</v>
      </c>
    </row>
    <row r="1445" spans="1:2" x14ac:dyDescent="0.3">
      <c r="A1445" t="s">
        <v>22</v>
      </c>
      <c r="B1445">
        <f>AVERAGEIF(Sheet1!B:B, A1445, Sheet1!J:J)</f>
        <v>40.497326203208559</v>
      </c>
    </row>
    <row r="1446" spans="1:2" x14ac:dyDescent="0.3">
      <c r="A1446" t="s">
        <v>22</v>
      </c>
      <c r="B1446">
        <f>AVERAGEIF(Sheet1!B:B, A1446, Sheet1!J:J)</f>
        <v>40.497326203208559</v>
      </c>
    </row>
    <row r="1447" spans="1:2" x14ac:dyDescent="0.3">
      <c r="A1447" t="s">
        <v>22</v>
      </c>
      <c r="B1447">
        <f>AVERAGEIF(Sheet1!B:B, A1447, Sheet1!J:J)</f>
        <v>40.497326203208559</v>
      </c>
    </row>
    <row r="1448" spans="1:2" x14ac:dyDescent="0.3">
      <c r="A1448" t="s">
        <v>22</v>
      </c>
      <c r="B1448">
        <f>AVERAGEIF(Sheet1!B:B, A1448, Sheet1!J:J)</f>
        <v>40.497326203208559</v>
      </c>
    </row>
    <row r="1449" spans="1:2" x14ac:dyDescent="0.3">
      <c r="A1449" t="s">
        <v>22</v>
      </c>
      <c r="B1449">
        <f>AVERAGEIF(Sheet1!B:B, A1449, Sheet1!J:J)</f>
        <v>40.497326203208559</v>
      </c>
    </row>
    <row r="1450" spans="1:2" x14ac:dyDescent="0.3">
      <c r="A1450" t="s">
        <v>22</v>
      </c>
      <c r="B1450">
        <f>AVERAGEIF(Sheet1!B:B, A1450, Sheet1!J:J)</f>
        <v>40.497326203208559</v>
      </c>
    </row>
    <row r="1451" spans="1:2" x14ac:dyDescent="0.3">
      <c r="A1451" t="s">
        <v>22</v>
      </c>
      <c r="B1451">
        <f>AVERAGEIF(Sheet1!B:B, A1451, Sheet1!J:J)</f>
        <v>40.497326203208559</v>
      </c>
    </row>
    <row r="1452" spans="1:2" x14ac:dyDescent="0.3">
      <c r="A1452" t="s">
        <v>22</v>
      </c>
      <c r="B1452">
        <f>AVERAGEIF(Sheet1!B:B, A1452, Sheet1!J:J)</f>
        <v>40.497326203208559</v>
      </c>
    </row>
    <row r="1453" spans="1:2" x14ac:dyDescent="0.3">
      <c r="A1453" t="s">
        <v>22</v>
      </c>
      <c r="B1453">
        <f>AVERAGEIF(Sheet1!B:B, A1453, Sheet1!J:J)</f>
        <v>40.497326203208559</v>
      </c>
    </row>
    <row r="1454" spans="1:2" x14ac:dyDescent="0.3">
      <c r="A1454" t="s">
        <v>22</v>
      </c>
      <c r="B1454">
        <f>AVERAGEIF(Sheet1!B:B, A1454, Sheet1!J:J)</f>
        <v>40.497326203208559</v>
      </c>
    </row>
    <row r="1455" spans="1:2" x14ac:dyDescent="0.3">
      <c r="A1455" t="s">
        <v>22</v>
      </c>
      <c r="B1455">
        <f>AVERAGEIF(Sheet1!B:B, A1455, Sheet1!J:J)</f>
        <v>40.497326203208559</v>
      </c>
    </row>
    <row r="1456" spans="1:2" x14ac:dyDescent="0.3">
      <c r="A1456" t="s">
        <v>22</v>
      </c>
      <c r="B1456">
        <f>AVERAGEIF(Sheet1!B:B, A1456, Sheet1!J:J)</f>
        <v>40.497326203208559</v>
      </c>
    </row>
    <row r="1457" spans="1:2" x14ac:dyDescent="0.3">
      <c r="A1457" t="s">
        <v>22</v>
      </c>
      <c r="B1457">
        <f>AVERAGEIF(Sheet1!B:B, A1457, Sheet1!J:J)</f>
        <v>40.497326203208559</v>
      </c>
    </row>
    <row r="1458" spans="1:2" x14ac:dyDescent="0.3">
      <c r="A1458" t="s">
        <v>22</v>
      </c>
      <c r="B1458">
        <f>AVERAGEIF(Sheet1!B:B, A1458, Sheet1!J:J)</f>
        <v>40.497326203208559</v>
      </c>
    </row>
    <row r="1459" spans="1:2" x14ac:dyDescent="0.3">
      <c r="A1459" t="s">
        <v>22</v>
      </c>
      <c r="B1459">
        <f>AVERAGEIF(Sheet1!B:B, A1459, Sheet1!J:J)</f>
        <v>40.497326203208559</v>
      </c>
    </row>
    <row r="1460" spans="1:2" x14ac:dyDescent="0.3">
      <c r="A1460" t="s">
        <v>22</v>
      </c>
      <c r="B1460">
        <f>AVERAGEIF(Sheet1!B:B, A1460, Sheet1!J:J)</f>
        <v>40.497326203208559</v>
      </c>
    </row>
    <row r="1461" spans="1:2" x14ac:dyDescent="0.3">
      <c r="A1461" t="s">
        <v>22</v>
      </c>
      <c r="B1461">
        <f>AVERAGEIF(Sheet1!B:B, A1461, Sheet1!J:J)</f>
        <v>40.497326203208559</v>
      </c>
    </row>
    <row r="1462" spans="1:2" x14ac:dyDescent="0.3">
      <c r="A1462" t="s">
        <v>22</v>
      </c>
      <c r="B1462">
        <f>AVERAGEIF(Sheet1!B:B, A1462, Sheet1!J:J)</f>
        <v>40.497326203208559</v>
      </c>
    </row>
    <row r="1463" spans="1:2" x14ac:dyDescent="0.3">
      <c r="A1463" t="s">
        <v>22</v>
      </c>
      <c r="B1463">
        <f>AVERAGEIF(Sheet1!B:B, A1463, Sheet1!J:J)</f>
        <v>40.497326203208559</v>
      </c>
    </row>
    <row r="1464" spans="1:2" x14ac:dyDescent="0.3">
      <c r="A1464" t="s">
        <v>22</v>
      </c>
      <c r="B1464">
        <f>AVERAGEIF(Sheet1!B:B, A1464, Sheet1!J:J)</f>
        <v>40.497326203208559</v>
      </c>
    </row>
    <row r="1465" spans="1:2" x14ac:dyDescent="0.3">
      <c r="A1465" t="s">
        <v>22</v>
      </c>
      <c r="B1465">
        <f>AVERAGEIF(Sheet1!B:B, A1465, Sheet1!J:J)</f>
        <v>40.497326203208559</v>
      </c>
    </row>
    <row r="1466" spans="1:2" x14ac:dyDescent="0.3">
      <c r="A1466" t="s">
        <v>22</v>
      </c>
      <c r="B1466">
        <f>AVERAGEIF(Sheet1!B:B, A1466, Sheet1!J:J)</f>
        <v>40.497326203208559</v>
      </c>
    </row>
    <row r="1467" spans="1:2" x14ac:dyDescent="0.3">
      <c r="A1467" t="s">
        <v>22</v>
      </c>
      <c r="B1467">
        <f>AVERAGEIF(Sheet1!B:B, A1467, Sheet1!J:J)</f>
        <v>40.497326203208559</v>
      </c>
    </row>
    <row r="1468" spans="1:2" x14ac:dyDescent="0.3">
      <c r="A1468" t="s">
        <v>24</v>
      </c>
      <c r="B1468">
        <f>AVERAGEIF(Sheet1!B:B, A1468, Sheet1!J:J)</f>
        <v>29.818181818181817</v>
      </c>
    </row>
    <row r="1469" spans="1:2" x14ac:dyDescent="0.3">
      <c r="A1469" t="s">
        <v>24</v>
      </c>
      <c r="B1469">
        <f>AVERAGEIF(Sheet1!B:B, A1469, Sheet1!J:J)</f>
        <v>29.818181818181817</v>
      </c>
    </row>
    <row r="1470" spans="1:2" x14ac:dyDescent="0.3">
      <c r="A1470" t="s">
        <v>24</v>
      </c>
      <c r="B1470">
        <f>AVERAGEIF(Sheet1!B:B, A1470, Sheet1!J:J)</f>
        <v>29.818181818181817</v>
      </c>
    </row>
    <row r="1471" spans="1:2" x14ac:dyDescent="0.3">
      <c r="A1471" t="s">
        <v>24</v>
      </c>
      <c r="B1471">
        <f>AVERAGEIF(Sheet1!B:B, A1471, Sheet1!J:J)</f>
        <v>29.818181818181817</v>
      </c>
    </row>
    <row r="1472" spans="1:2" x14ac:dyDescent="0.3">
      <c r="A1472" t="s">
        <v>25</v>
      </c>
      <c r="B1472">
        <f>AVERAGEIF(Sheet1!B:B, A1472, Sheet1!J:J)</f>
        <v>107.49685534591195</v>
      </c>
    </row>
    <row r="1473" spans="1:2" x14ac:dyDescent="0.3">
      <c r="A1473" t="s">
        <v>25</v>
      </c>
      <c r="B1473">
        <f>AVERAGEIF(Sheet1!B:B, A1473, Sheet1!J:J)</f>
        <v>107.49685534591195</v>
      </c>
    </row>
    <row r="1474" spans="1:2" x14ac:dyDescent="0.3">
      <c r="A1474" t="s">
        <v>25</v>
      </c>
      <c r="B1474">
        <f>AVERAGEIF(Sheet1!B:B, A1474, Sheet1!J:J)</f>
        <v>107.49685534591195</v>
      </c>
    </row>
    <row r="1475" spans="1:2" x14ac:dyDescent="0.3">
      <c r="A1475" t="s">
        <v>25</v>
      </c>
      <c r="B1475">
        <f>AVERAGEIF(Sheet1!B:B, A1475, Sheet1!J:J)</f>
        <v>107.49685534591195</v>
      </c>
    </row>
    <row r="1476" spans="1:2" x14ac:dyDescent="0.3">
      <c r="A1476" t="s">
        <v>25</v>
      </c>
      <c r="B1476">
        <f>AVERAGEIF(Sheet1!B:B, A1476, Sheet1!J:J)</f>
        <v>107.49685534591195</v>
      </c>
    </row>
    <row r="1477" spans="1:2" x14ac:dyDescent="0.3">
      <c r="A1477" t="s">
        <v>25</v>
      </c>
      <c r="B1477">
        <f>AVERAGEIF(Sheet1!B:B, A1477, Sheet1!J:J)</f>
        <v>107.49685534591195</v>
      </c>
    </row>
    <row r="1478" spans="1:2" x14ac:dyDescent="0.3">
      <c r="A1478" t="s">
        <v>25</v>
      </c>
      <c r="B1478">
        <f>AVERAGEIF(Sheet1!B:B, A1478, Sheet1!J:J)</f>
        <v>107.49685534591195</v>
      </c>
    </row>
    <row r="1479" spans="1:2" x14ac:dyDescent="0.3">
      <c r="A1479" t="s">
        <v>25</v>
      </c>
      <c r="B1479">
        <f>AVERAGEIF(Sheet1!B:B, A1479, Sheet1!J:J)</f>
        <v>107.49685534591195</v>
      </c>
    </row>
    <row r="1480" spans="1:2" x14ac:dyDescent="0.3">
      <c r="A1480" t="s">
        <v>25</v>
      </c>
      <c r="B1480">
        <f>AVERAGEIF(Sheet1!B:B, A1480, Sheet1!J:J)</f>
        <v>107.49685534591195</v>
      </c>
    </row>
    <row r="1481" spans="1:2" x14ac:dyDescent="0.3">
      <c r="A1481" t="s">
        <v>25</v>
      </c>
      <c r="B1481">
        <f>AVERAGEIF(Sheet1!B:B, A1481, Sheet1!J:J)</f>
        <v>107.49685534591195</v>
      </c>
    </row>
    <row r="1482" spans="1:2" x14ac:dyDescent="0.3">
      <c r="A1482" t="s">
        <v>25</v>
      </c>
      <c r="B1482">
        <f>AVERAGEIF(Sheet1!B:B, A1482, Sheet1!J:J)</f>
        <v>107.49685534591195</v>
      </c>
    </row>
    <row r="1483" spans="1:2" x14ac:dyDescent="0.3">
      <c r="A1483" t="s">
        <v>25</v>
      </c>
      <c r="B1483">
        <f>AVERAGEIF(Sheet1!B:B, A1483, Sheet1!J:J)</f>
        <v>107.49685534591195</v>
      </c>
    </row>
    <row r="1484" spans="1:2" x14ac:dyDescent="0.3">
      <c r="A1484" t="s">
        <v>25</v>
      </c>
      <c r="B1484">
        <f>AVERAGEIF(Sheet1!B:B, A1484, Sheet1!J:J)</f>
        <v>107.49685534591195</v>
      </c>
    </row>
    <row r="1485" spans="1:2" x14ac:dyDescent="0.3">
      <c r="A1485" t="s">
        <v>25</v>
      </c>
      <c r="B1485">
        <f>AVERAGEIF(Sheet1!B:B, A1485, Sheet1!J:J)</f>
        <v>107.49685534591195</v>
      </c>
    </row>
    <row r="1486" spans="1:2" x14ac:dyDescent="0.3">
      <c r="A1486" t="s">
        <v>25</v>
      </c>
      <c r="B1486">
        <f>AVERAGEIF(Sheet1!B:B, A1486, Sheet1!J:J)</f>
        <v>107.49685534591195</v>
      </c>
    </row>
    <row r="1487" spans="1:2" x14ac:dyDescent="0.3">
      <c r="A1487" t="s">
        <v>25</v>
      </c>
      <c r="B1487">
        <f>AVERAGEIF(Sheet1!B:B, A1487, Sheet1!J:J)</f>
        <v>107.49685534591195</v>
      </c>
    </row>
    <row r="1488" spans="1:2" x14ac:dyDescent="0.3">
      <c r="A1488" t="s">
        <v>26</v>
      </c>
      <c r="B1488">
        <f>AVERAGEIF(Sheet1!B:B, A1488, Sheet1!J:J)</f>
        <v>81.180582524271841</v>
      </c>
    </row>
    <row r="1489" spans="1:2" x14ac:dyDescent="0.3">
      <c r="A1489" t="s">
        <v>26</v>
      </c>
      <c r="B1489">
        <f>AVERAGEIF(Sheet1!B:B, A1489, Sheet1!J:J)</f>
        <v>81.180582524271841</v>
      </c>
    </row>
    <row r="1490" spans="1:2" x14ac:dyDescent="0.3">
      <c r="A1490" t="s">
        <v>26</v>
      </c>
      <c r="B1490">
        <f>AVERAGEIF(Sheet1!B:B, A1490, Sheet1!J:J)</f>
        <v>81.180582524271841</v>
      </c>
    </row>
    <row r="1491" spans="1:2" x14ac:dyDescent="0.3">
      <c r="A1491" t="s">
        <v>26</v>
      </c>
      <c r="B1491">
        <f>AVERAGEIF(Sheet1!B:B, A1491, Sheet1!J:J)</f>
        <v>81.180582524271841</v>
      </c>
    </row>
    <row r="1492" spans="1:2" x14ac:dyDescent="0.3">
      <c r="A1492" t="s">
        <v>26</v>
      </c>
      <c r="B1492">
        <f>AVERAGEIF(Sheet1!B:B, A1492, Sheet1!J:J)</f>
        <v>81.180582524271841</v>
      </c>
    </row>
    <row r="1493" spans="1:2" x14ac:dyDescent="0.3">
      <c r="A1493" t="s">
        <v>24</v>
      </c>
      <c r="B1493">
        <f>AVERAGEIF(Sheet1!B:B, A1493, Sheet1!J:J)</f>
        <v>29.818181818181817</v>
      </c>
    </row>
    <row r="1494" spans="1:2" x14ac:dyDescent="0.3">
      <c r="A1494" t="s">
        <v>24</v>
      </c>
      <c r="B1494">
        <f>AVERAGEIF(Sheet1!B:B, A1494, Sheet1!J:J)</f>
        <v>29.818181818181817</v>
      </c>
    </row>
    <row r="1495" spans="1:2" x14ac:dyDescent="0.3">
      <c r="A1495" t="s">
        <v>24</v>
      </c>
      <c r="B1495">
        <f>AVERAGEIF(Sheet1!B:B, A1495, Sheet1!J:J)</f>
        <v>29.818181818181817</v>
      </c>
    </row>
    <row r="1496" spans="1:2" x14ac:dyDescent="0.3">
      <c r="A1496" t="s">
        <v>24</v>
      </c>
      <c r="B1496">
        <f>AVERAGEIF(Sheet1!B:B, A1496, Sheet1!J:J)</f>
        <v>29.818181818181817</v>
      </c>
    </row>
    <row r="1497" spans="1:2" x14ac:dyDescent="0.3">
      <c r="A1497" t="s">
        <v>24</v>
      </c>
      <c r="B1497">
        <f>AVERAGEIF(Sheet1!B:B, A1497, Sheet1!J:J)</f>
        <v>29.818181818181817</v>
      </c>
    </row>
    <row r="1498" spans="1:2" x14ac:dyDescent="0.3">
      <c r="A1498" t="s">
        <v>25</v>
      </c>
      <c r="B1498">
        <f>AVERAGEIF(Sheet1!B:B, A1498, Sheet1!J:J)</f>
        <v>107.49685534591195</v>
      </c>
    </row>
    <row r="1499" spans="1:2" x14ac:dyDescent="0.3">
      <c r="A1499" t="s">
        <v>25</v>
      </c>
      <c r="B1499">
        <f>AVERAGEIF(Sheet1!B:B, A1499, Sheet1!J:J)</f>
        <v>107.49685534591195</v>
      </c>
    </row>
    <row r="1500" spans="1:2" x14ac:dyDescent="0.3">
      <c r="A1500" t="s">
        <v>25</v>
      </c>
      <c r="B1500">
        <f>AVERAGEIF(Sheet1!B:B, A1500, Sheet1!J:J)</f>
        <v>107.49685534591195</v>
      </c>
    </row>
    <row r="1501" spans="1:2" x14ac:dyDescent="0.3">
      <c r="A1501" t="s">
        <v>25</v>
      </c>
      <c r="B1501">
        <f>AVERAGEIF(Sheet1!B:B, A1501, Sheet1!J:J)</f>
        <v>107.49685534591195</v>
      </c>
    </row>
    <row r="1502" spans="1:2" x14ac:dyDescent="0.3">
      <c r="A1502" t="s">
        <v>25</v>
      </c>
      <c r="B1502">
        <f>AVERAGEIF(Sheet1!B:B, A1502, Sheet1!J:J)</f>
        <v>107.49685534591195</v>
      </c>
    </row>
    <row r="1503" spans="1:2" x14ac:dyDescent="0.3">
      <c r="A1503" t="s">
        <v>25</v>
      </c>
      <c r="B1503">
        <f>AVERAGEIF(Sheet1!B:B, A1503, Sheet1!J:J)</f>
        <v>107.49685534591195</v>
      </c>
    </row>
    <row r="1504" spans="1:2" x14ac:dyDescent="0.3">
      <c r="A1504" t="s">
        <v>25</v>
      </c>
      <c r="B1504">
        <f>AVERAGEIF(Sheet1!B:B, A1504, Sheet1!J:J)</f>
        <v>107.49685534591195</v>
      </c>
    </row>
    <row r="1505" spans="1:2" x14ac:dyDescent="0.3">
      <c r="A1505" t="s">
        <v>25</v>
      </c>
      <c r="B1505">
        <f>AVERAGEIF(Sheet1!B:B, A1505, Sheet1!J:J)</f>
        <v>107.49685534591195</v>
      </c>
    </row>
    <row r="1506" spans="1:2" x14ac:dyDescent="0.3">
      <c r="A1506" t="s">
        <v>25</v>
      </c>
      <c r="B1506">
        <f>AVERAGEIF(Sheet1!B:B, A1506, Sheet1!J:J)</f>
        <v>107.49685534591195</v>
      </c>
    </row>
    <row r="1507" spans="1:2" x14ac:dyDescent="0.3">
      <c r="A1507" t="s">
        <v>25</v>
      </c>
      <c r="B1507">
        <f>AVERAGEIF(Sheet1!B:B, A1507, Sheet1!J:J)</f>
        <v>107.49685534591195</v>
      </c>
    </row>
    <row r="1508" spans="1:2" x14ac:dyDescent="0.3">
      <c r="A1508" t="s">
        <v>25</v>
      </c>
      <c r="B1508">
        <f>AVERAGEIF(Sheet1!B:B, A1508, Sheet1!J:J)</f>
        <v>107.49685534591195</v>
      </c>
    </row>
    <row r="1509" spans="1:2" x14ac:dyDescent="0.3">
      <c r="A1509" t="s">
        <v>25</v>
      </c>
      <c r="B1509">
        <f>AVERAGEIF(Sheet1!B:B, A1509, Sheet1!J:J)</f>
        <v>107.49685534591195</v>
      </c>
    </row>
    <row r="1510" spans="1:2" x14ac:dyDescent="0.3">
      <c r="A1510" t="s">
        <v>25</v>
      </c>
      <c r="B1510">
        <f>AVERAGEIF(Sheet1!B:B, A1510, Sheet1!J:J)</f>
        <v>107.49685534591195</v>
      </c>
    </row>
    <row r="1511" spans="1:2" x14ac:dyDescent="0.3">
      <c r="A1511" t="s">
        <v>25</v>
      </c>
      <c r="B1511">
        <f>AVERAGEIF(Sheet1!B:B, A1511, Sheet1!J:J)</f>
        <v>107.49685534591195</v>
      </c>
    </row>
    <row r="1512" spans="1:2" x14ac:dyDescent="0.3">
      <c r="A1512" t="s">
        <v>25</v>
      </c>
      <c r="B1512">
        <f>AVERAGEIF(Sheet1!B:B, A1512, Sheet1!J:J)</f>
        <v>107.49685534591195</v>
      </c>
    </row>
    <row r="1513" spans="1:2" x14ac:dyDescent="0.3">
      <c r="A1513" t="s">
        <v>25</v>
      </c>
      <c r="B1513">
        <f>AVERAGEIF(Sheet1!B:B, A1513, Sheet1!J:J)</f>
        <v>107.49685534591195</v>
      </c>
    </row>
    <row r="1514" spans="1:2" x14ac:dyDescent="0.3">
      <c r="A1514" t="s">
        <v>26</v>
      </c>
      <c r="B1514">
        <f>AVERAGEIF(Sheet1!B:B, A1514, Sheet1!J:J)</f>
        <v>81.180582524271841</v>
      </c>
    </row>
    <row r="1515" spans="1:2" x14ac:dyDescent="0.3">
      <c r="A1515" t="s">
        <v>26</v>
      </c>
      <c r="B1515">
        <f>AVERAGEIF(Sheet1!B:B, A1515, Sheet1!J:J)</f>
        <v>81.180582524271841</v>
      </c>
    </row>
    <row r="1516" spans="1:2" x14ac:dyDescent="0.3">
      <c r="A1516" t="s">
        <v>26</v>
      </c>
      <c r="B1516">
        <f>AVERAGEIF(Sheet1!B:B, A1516, Sheet1!J:J)</f>
        <v>81.180582524271841</v>
      </c>
    </row>
    <row r="1517" spans="1:2" x14ac:dyDescent="0.3">
      <c r="A1517" t="s">
        <v>26</v>
      </c>
      <c r="B1517">
        <f>AVERAGEIF(Sheet1!B:B, A1517, Sheet1!J:J)</f>
        <v>81.180582524271841</v>
      </c>
    </row>
    <row r="1518" spans="1:2" x14ac:dyDescent="0.3">
      <c r="A1518" t="s">
        <v>26</v>
      </c>
      <c r="B1518">
        <f>AVERAGEIF(Sheet1!B:B, A1518, Sheet1!J:J)</f>
        <v>81.180582524271841</v>
      </c>
    </row>
    <row r="1519" spans="1:2" x14ac:dyDescent="0.3">
      <c r="A1519" t="s">
        <v>26</v>
      </c>
      <c r="B1519">
        <f>AVERAGEIF(Sheet1!B:B, A1519, Sheet1!J:J)</f>
        <v>81.180582524271841</v>
      </c>
    </row>
    <row r="1520" spans="1:2" x14ac:dyDescent="0.3">
      <c r="A1520" t="s">
        <v>26</v>
      </c>
      <c r="B1520">
        <f>AVERAGEIF(Sheet1!B:B, A1520, Sheet1!J:J)</f>
        <v>81.180582524271841</v>
      </c>
    </row>
    <row r="1521" spans="1:2" x14ac:dyDescent="0.3">
      <c r="A1521" t="s">
        <v>26</v>
      </c>
      <c r="B1521">
        <f>AVERAGEIF(Sheet1!B:B, A1521, Sheet1!J:J)</f>
        <v>81.180582524271841</v>
      </c>
    </row>
    <row r="1522" spans="1:2" x14ac:dyDescent="0.3">
      <c r="A1522" t="s">
        <v>26</v>
      </c>
      <c r="B1522">
        <f>AVERAGEIF(Sheet1!B:B, A1522, Sheet1!J:J)</f>
        <v>81.180582524271841</v>
      </c>
    </row>
    <row r="1523" spans="1:2" x14ac:dyDescent="0.3">
      <c r="A1523" t="s">
        <v>26</v>
      </c>
      <c r="B1523">
        <f>AVERAGEIF(Sheet1!B:B, A1523, Sheet1!J:J)</f>
        <v>81.180582524271841</v>
      </c>
    </row>
    <row r="1524" spans="1:2" x14ac:dyDescent="0.3">
      <c r="A1524" t="s">
        <v>26</v>
      </c>
      <c r="B1524">
        <f>AVERAGEIF(Sheet1!B:B, A1524, Sheet1!J:J)</f>
        <v>81.180582524271841</v>
      </c>
    </row>
    <row r="1525" spans="1:2" x14ac:dyDescent="0.3">
      <c r="A1525" t="s">
        <v>26</v>
      </c>
      <c r="B1525">
        <f>AVERAGEIF(Sheet1!B:B, A1525, Sheet1!J:J)</f>
        <v>81.180582524271841</v>
      </c>
    </row>
    <row r="1526" spans="1:2" x14ac:dyDescent="0.3">
      <c r="A1526" t="s">
        <v>26</v>
      </c>
      <c r="B1526">
        <f>AVERAGEIF(Sheet1!B:B, A1526, Sheet1!J:J)</f>
        <v>81.180582524271841</v>
      </c>
    </row>
    <row r="1527" spans="1:2" x14ac:dyDescent="0.3">
      <c r="A1527" t="s">
        <v>26</v>
      </c>
      <c r="B1527">
        <f>AVERAGEIF(Sheet1!B:B, A1527, Sheet1!J:J)</f>
        <v>81.180582524271841</v>
      </c>
    </row>
    <row r="1528" spans="1:2" x14ac:dyDescent="0.3">
      <c r="A1528" t="s">
        <v>26</v>
      </c>
      <c r="B1528">
        <f>AVERAGEIF(Sheet1!B:B, A1528, Sheet1!J:J)</f>
        <v>81.180582524271841</v>
      </c>
    </row>
    <row r="1529" spans="1:2" x14ac:dyDescent="0.3">
      <c r="A1529" t="s">
        <v>26</v>
      </c>
      <c r="B1529">
        <f>AVERAGEIF(Sheet1!B:B, A1529, Sheet1!J:J)</f>
        <v>81.180582524271841</v>
      </c>
    </row>
    <row r="1530" spans="1:2" x14ac:dyDescent="0.3">
      <c r="A1530" t="s">
        <v>26</v>
      </c>
      <c r="B1530">
        <f>AVERAGEIF(Sheet1!B:B, A1530, Sheet1!J:J)</f>
        <v>81.180582524271841</v>
      </c>
    </row>
    <row r="1531" spans="1:2" x14ac:dyDescent="0.3">
      <c r="A1531" t="s">
        <v>26</v>
      </c>
      <c r="B1531">
        <f>AVERAGEIF(Sheet1!B:B, A1531, Sheet1!J:J)</f>
        <v>81.180582524271841</v>
      </c>
    </row>
    <row r="1532" spans="1:2" x14ac:dyDescent="0.3">
      <c r="A1532" t="s">
        <v>26</v>
      </c>
      <c r="B1532">
        <f>AVERAGEIF(Sheet1!B:B, A1532, Sheet1!J:J)</f>
        <v>81.180582524271841</v>
      </c>
    </row>
    <row r="1533" spans="1:2" x14ac:dyDescent="0.3">
      <c r="A1533" t="s">
        <v>26</v>
      </c>
      <c r="B1533">
        <f>AVERAGEIF(Sheet1!B:B, A1533, Sheet1!J:J)</f>
        <v>81.180582524271841</v>
      </c>
    </row>
    <row r="1534" spans="1:2" x14ac:dyDescent="0.3">
      <c r="A1534" t="s">
        <v>26</v>
      </c>
      <c r="B1534">
        <f>AVERAGEIF(Sheet1!B:B, A1534, Sheet1!J:J)</f>
        <v>81.180582524271841</v>
      </c>
    </row>
    <row r="1535" spans="1:2" x14ac:dyDescent="0.3">
      <c r="A1535" t="s">
        <v>26</v>
      </c>
      <c r="B1535">
        <f>AVERAGEIF(Sheet1!B:B, A1535, Sheet1!J:J)</f>
        <v>81.180582524271841</v>
      </c>
    </row>
    <row r="1536" spans="1:2" x14ac:dyDescent="0.3">
      <c r="A1536" t="s">
        <v>26</v>
      </c>
      <c r="B1536">
        <f>AVERAGEIF(Sheet1!B:B, A1536, Sheet1!J:J)</f>
        <v>81.180582524271841</v>
      </c>
    </row>
    <row r="1537" spans="1:2" x14ac:dyDescent="0.3">
      <c r="A1537" t="s">
        <v>26</v>
      </c>
      <c r="B1537">
        <f>AVERAGEIF(Sheet1!B:B, A1537, Sheet1!J:J)</f>
        <v>81.180582524271841</v>
      </c>
    </row>
    <row r="1538" spans="1:2" x14ac:dyDescent="0.3">
      <c r="A1538" t="s">
        <v>26</v>
      </c>
      <c r="B1538">
        <f>AVERAGEIF(Sheet1!B:B, A1538, Sheet1!J:J)</f>
        <v>81.180582524271841</v>
      </c>
    </row>
    <row r="1539" spans="1:2" x14ac:dyDescent="0.3">
      <c r="A1539" t="s">
        <v>26</v>
      </c>
      <c r="B1539">
        <f>AVERAGEIF(Sheet1!B:B, A1539, Sheet1!J:J)</f>
        <v>81.180582524271841</v>
      </c>
    </row>
    <row r="1540" spans="1:2" x14ac:dyDescent="0.3">
      <c r="A1540" t="s">
        <v>26</v>
      </c>
      <c r="B1540">
        <f>AVERAGEIF(Sheet1!B:B, A1540, Sheet1!J:J)</f>
        <v>81.180582524271841</v>
      </c>
    </row>
    <row r="1541" spans="1:2" x14ac:dyDescent="0.3">
      <c r="A1541" t="s">
        <v>26</v>
      </c>
      <c r="B1541">
        <f>AVERAGEIF(Sheet1!B:B, A1541, Sheet1!J:J)</f>
        <v>81.180582524271841</v>
      </c>
    </row>
    <row r="1542" spans="1:2" x14ac:dyDescent="0.3">
      <c r="A1542" t="s">
        <v>26</v>
      </c>
      <c r="B1542">
        <f>AVERAGEIF(Sheet1!B:B, A1542, Sheet1!J:J)</f>
        <v>81.180582524271841</v>
      </c>
    </row>
    <row r="1543" spans="1:2" x14ac:dyDescent="0.3">
      <c r="A1543" t="s">
        <v>26</v>
      </c>
      <c r="B1543">
        <f>AVERAGEIF(Sheet1!B:B, A1543, Sheet1!J:J)</f>
        <v>81.180582524271841</v>
      </c>
    </row>
    <row r="1544" spans="1:2" x14ac:dyDescent="0.3">
      <c r="A1544" t="s">
        <v>26</v>
      </c>
      <c r="B1544">
        <f>AVERAGEIF(Sheet1!B:B, A1544, Sheet1!J:J)</f>
        <v>81.180582524271841</v>
      </c>
    </row>
    <row r="1545" spans="1:2" x14ac:dyDescent="0.3">
      <c r="A1545" t="s">
        <v>26</v>
      </c>
      <c r="B1545">
        <f>AVERAGEIF(Sheet1!B:B, A1545, Sheet1!J:J)</f>
        <v>81.180582524271841</v>
      </c>
    </row>
    <row r="1546" spans="1:2" x14ac:dyDescent="0.3">
      <c r="A1546" t="s">
        <v>26</v>
      </c>
      <c r="B1546">
        <f>AVERAGEIF(Sheet1!B:B, A1546, Sheet1!J:J)</f>
        <v>81.180582524271841</v>
      </c>
    </row>
    <row r="1547" spans="1:2" x14ac:dyDescent="0.3">
      <c r="A1547" t="s">
        <v>26</v>
      </c>
      <c r="B1547">
        <f>AVERAGEIF(Sheet1!B:B, A1547, Sheet1!J:J)</f>
        <v>81.180582524271841</v>
      </c>
    </row>
    <row r="1548" spans="1:2" x14ac:dyDescent="0.3">
      <c r="A1548" t="s">
        <v>26</v>
      </c>
      <c r="B1548">
        <f>AVERAGEIF(Sheet1!B:B, A1548, Sheet1!J:J)</f>
        <v>81.180582524271841</v>
      </c>
    </row>
    <row r="1549" spans="1:2" x14ac:dyDescent="0.3">
      <c r="A1549" t="s">
        <v>26</v>
      </c>
      <c r="B1549">
        <f>AVERAGEIF(Sheet1!B:B, A1549, Sheet1!J:J)</f>
        <v>81.180582524271841</v>
      </c>
    </row>
    <row r="1550" spans="1:2" x14ac:dyDescent="0.3">
      <c r="A1550" t="s">
        <v>26</v>
      </c>
      <c r="B1550">
        <f>AVERAGEIF(Sheet1!B:B, A1550, Sheet1!J:J)</f>
        <v>81.180582524271841</v>
      </c>
    </row>
    <row r="1551" spans="1:2" x14ac:dyDescent="0.3">
      <c r="A1551" t="s">
        <v>26</v>
      </c>
      <c r="B1551">
        <f>AVERAGEIF(Sheet1!B:B, A1551, Sheet1!J:J)</f>
        <v>81.180582524271841</v>
      </c>
    </row>
    <row r="1552" spans="1:2" x14ac:dyDescent="0.3">
      <c r="A1552" t="s">
        <v>26</v>
      </c>
      <c r="B1552">
        <f>AVERAGEIF(Sheet1!B:B, A1552, Sheet1!J:J)</f>
        <v>81.180582524271841</v>
      </c>
    </row>
    <row r="1553" spans="1:2" x14ac:dyDescent="0.3">
      <c r="A1553" t="s">
        <v>26</v>
      </c>
      <c r="B1553">
        <f>AVERAGEIF(Sheet1!B:B, A1553, Sheet1!J:J)</f>
        <v>81.180582524271841</v>
      </c>
    </row>
    <row r="1554" spans="1:2" x14ac:dyDescent="0.3">
      <c r="A1554" t="s">
        <v>26</v>
      </c>
      <c r="B1554">
        <f>AVERAGEIF(Sheet1!B:B, A1554, Sheet1!J:J)</f>
        <v>81.180582524271841</v>
      </c>
    </row>
    <row r="1555" spans="1:2" x14ac:dyDescent="0.3">
      <c r="A1555" t="s">
        <v>26</v>
      </c>
      <c r="B1555">
        <f>AVERAGEIF(Sheet1!B:B, A1555, Sheet1!J:J)</f>
        <v>81.180582524271841</v>
      </c>
    </row>
    <row r="1556" spans="1:2" x14ac:dyDescent="0.3">
      <c r="A1556" t="s">
        <v>26</v>
      </c>
      <c r="B1556">
        <f>AVERAGEIF(Sheet1!B:B, A1556, Sheet1!J:J)</f>
        <v>81.180582524271841</v>
      </c>
    </row>
    <row r="1557" spans="1:2" x14ac:dyDescent="0.3">
      <c r="A1557" t="s">
        <v>26</v>
      </c>
      <c r="B1557">
        <f>AVERAGEIF(Sheet1!B:B, A1557, Sheet1!J:J)</f>
        <v>81.180582524271841</v>
      </c>
    </row>
    <row r="1558" spans="1:2" x14ac:dyDescent="0.3">
      <c r="A1558" t="s">
        <v>26</v>
      </c>
      <c r="B1558">
        <f>AVERAGEIF(Sheet1!B:B, A1558, Sheet1!J:J)</f>
        <v>81.180582524271841</v>
      </c>
    </row>
    <row r="1559" spans="1:2" x14ac:dyDescent="0.3">
      <c r="A1559" t="s">
        <v>26</v>
      </c>
      <c r="B1559">
        <f>AVERAGEIF(Sheet1!B:B, A1559, Sheet1!J:J)</f>
        <v>81.180582524271841</v>
      </c>
    </row>
    <row r="1560" spans="1:2" x14ac:dyDescent="0.3">
      <c r="A1560" t="s">
        <v>26</v>
      </c>
      <c r="B1560">
        <f>AVERAGEIF(Sheet1!B:B, A1560, Sheet1!J:J)</f>
        <v>81.180582524271841</v>
      </c>
    </row>
    <row r="1561" spans="1:2" x14ac:dyDescent="0.3">
      <c r="A1561" t="s">
        <v>26</v>
      </c>
      <c r="B1561">
        <f>AVERAGEIF(Sheet1!B:B, A1561, Sheet1!J:J)</f>
        <v>81.180582524271841</v>
      </c>
    </row>
    <row r="1562" spans="1:2" x14ac:dyDescent="0.3">
      <c r="A1562" t="s">
        <v>26</v>
      </c>
      <c r="B1562">
        <f>AVERAGEIF(Sheet1!B:B, A1562, Sheet1!J:J)</f>
        <v>81.180582524271841</v>
      </c>
    </row>
    <row r="1563" spans="1:2" x14ac:dyDescent="0.3">
      <c r="A1563" t="s">
        <v>26</v>
      </c>
      <c r="B1563">
        <f>AVERAGEIF(Sheet1!B:B, A1563, Sheet1!J:J)</f>
        <v>81.180582524271841</v>
      </c>
    </row>
    <row r="1564" spans="1:2" x14ac:dyDescent="0.3">
      <c r="A1564" t="s">
        <v>26</v>
      </c>
      <c r="B1564">
        <f>AVERAGEIF(Sheet1!B:B, A1564, Sheet1!J:J)</f>
        <v>81.180582524271841</v>
      </c>
    </row>
    <row r="1565" spans="1:2" x14ac:dyDescent="0.3">
      <c r="A1565" t="s">
        <v>26</v>
      </c>
      <c r="B1565">
        <f>AVERAGEIF(Sheet1!B:B, A1565, Sheet1!J:J)</f>
        <v>81.180582524271841</v>
      </c>
    </row>
    <row r="1566" spans="1:2" x14ac:dyDescent="0.3">
      <c r="A1566" t="s">
        <v>26</v>
      </c>
      <c r="B1566">
        <f>AVERAGEIF(Sheet1!B:B, A1566, Sheet1!J:J)</f>
        <v>81.180582524271841</v>
      </c>
    </row>
    <row r="1567" spans="1:2" x14ac:dyDescent="0.3">
      <c r="A1567" t="s">
        <v>26</v>
      </c>
      <c r="B1567">
        <f>AVERAGEIF(Sheet1!B:B, A1567, Sheet1!J:J)</f>
        <v>81.180582524271841</v>
      </c>
    </row>
    <row r="1568" spans="1:2" x14ac:dyDescent="0.3">
      <c r="A1568" t="s">
        <v>26</v>
      </c>
      <c r="B1568">
        <f>AVERAGEIF(Sheet1!B:B, A1568, Sheet1!J:J)</f>
        <v>81.180582524271841</v>
      </c>
    </row>
    <row r="1569" spans="1:2" x14ac:dyDescent="0.3">
      <c r="A1569" t="s">
        <v>26</v>
      </c>
      <c r="B1569">
        <f>AVERAGEIF(Sheet1!B:B, A1569, Sheet1!J:J)</f>
        <v>81.180582524271841</v>
      </c>
    </row>
    <row r="1570" spans="1:2" x14ac:dyDescent="0.3">
      <c r="A1570" t="s">
        <v>26</v>
      </c>
      <c r="B1570">
        <f>AVERAGEIF(Sheet1!B:B, A1570, Sheet1!J:J)</f>
        <v>81.180582524271841</v>
      </c>
    </row>
    <row r="1571" spans="1:2" x14ac:dyDescent="0.3">
      <c r="A1571" t="s">
        <v>26</v>
      </c>
      <c r="B1571">
        <f>AVERAGEIF(Sheet1!B:B, A1571, Sheet1!J:J)</f>
        <v>81.180582524271841</v>
      </c>
    </row>
    <row r="1572" spans="1:2" x14ac:dyDescent="0.3">
      <c r="A1572" t="s">
        <v>26</v>
      </c>
      <c r="B1572">
        <f>AVERAGEIF(Sheet1!B:B, A1572, Sheet1!J:J)</f>
        <v>81.180582524271841</v>
      </c>
    </row>
    <row r="1573" spans="1:2" x14ac:dyDescent="0.3">
      <c r="A1573" t="s">
        <v>26</v>
      </c>
      <c r="B1573">
        <f>AVERAGEIF(Sheet1!B:B, A1573, Sheet1!J:J)</f>
        <v>81.180582524271841</v>
      </c>
    </row>
    <row r="1574" spans="1:2" x14ac:dyDescent="0.3">
      <c r="A1574" t="s">
        <v>26</v>
      </c>
      <c r="B1574">
        <f>AVERAGEIF(Sheet1!B:B, A1574, Sheet1!J:J)</f>
        <v>81.180582524271841</v>
      </c>
    </row>
    <row r="1575" spans="1:2" x14ac:dyDescent="0.3">
      <c r="A1575" t="s">
        <v>26</v>
      </c>
      <c r="B1575">
        <f>AVERAGEIF(Sheet1!B:B, A1575, Sheet1!J:J)</f>
        <v>81.180582524271841</v>
      </c>
    </row>
    <row r="1576" spans="1:2" x14ac:dyDescent="0.3">
      <c r="A1576" t="s">
        <v>26</v>
      </c>
      <c r="B1576">
        <f>AVERAGEIF(Sheet1!B:B, A1576, Sheet1!J:J)</f>
        <v>81.180582524271841</v>
      </c>
    </row>
    <row r="1577" spans="1:2" x14ac:dyDescent="0.3">
      <c r="A1577" t="s">
        <v>26</v>
      </c>
      <c r="B1577">
        <f>AVERAGEIF(Sheet1!B:B, A1577, Sheet1!J:J)</f>
        <v>81.180582524271841</v>
      </c>
    </row>
    <row r="1578" spans="1:2" x14ac:dyDescent="0.3">
      <c r="A1578" t="s">
        <v>26</v>
      </c>
      <c r="B1578">
        <f>AVERAGEIF(Sheet1!B:B, A1578, Sheet1!J:J)</f>
        <v>81.180582524271841</v>
      </c>
    </row>
    <row r="1579" spans="1:2" x14ac:dyDescent="0.3">
      <c r="A1579" t="s">
        <v>26</v>
      </c>
      <c r="B1579">
        <f>AVERAGEIF(Sheet1!B:B, A1579, Sheet1!J:J)</f>
        <v>81.180582524271841</v>
      </c>
    </row>
    <row r="1580" spans="1:2" x14ac:dyDescent="0.3">
      <c r="A1580" t="s">
        <v>26</v>
      </c>
      <c r="B1580">
        <f>AVERAGEIF(Sheet1!B:B, A1580, Sheet1!J:J)</f>
        <v>81.180582524271841</v>
      </c>
    </row>
    <row r="1581" spans="1:2" x14ac:dyDescent="0.3">
      <c r="A1581" t="s">
        <v>26</v>
      </c>
      <c r="B1581">
        <f>AVERAGEIF(Sheet1!B:B, A1581, Sheet1!J:J)</f>
        <v>81.180582524271841</v>
      </c>
    </row>
    <row r="1582" spans="1:2" x14ac:dyDescent="0.3">
      <c r="A1582" t="s">
        <v>26</v>
      </c>
      <c r="B1582">
        <f>AVERAGEIF(Sheet1!B:B, A1582, Sheet1!J:J)</f>
        <v>81.180582524271841</v>
      </c>
    </row>
    <row r="1583" spans="1:2" x14ac:dyDescent="0.3">
      <c r="A1583" t="s">
        <v>26</v>
      </c>
      <c r="B1583">
        <f>AVERAGEIF(Sheet1!B:B, A1583, Sheet1!J:J)</f>
        <v>81.180582524271841</v>
      </c>
    </row>
    <row r="1584" spans="1:2" x14ac:dyDescent="0.3">
      <c r="A1584" t="s">
        <v>26</v>
      </c>
      <c r="B1584">
        <f>AVERAGEIF(Sheet1!B:B, A1584, Sheet1!J:J)</f>
        <v>81.180582524271841</v>
      </c>
    </row>
    <row r="1585" spans="1:2" x14ac:dyDescent="0.3">
      <c r="A1585" t="s">
        <v>26</v>
      </c>
      <c r="B1585">
        <f>AVERAGEIF(Sheet1!B:B, A1585, Sheet1!J:J)</f>
        <v>81.180582524271841</v>
      </c>
    </row>
    <row r="1586" spans="1:2" x14ac:dyDescent="0.3">
      <c r="A1586" t="s">
        <v>41</v>
      </c>
      <c r="B1586">
        <f>AVERAGEIF(Sheet1!B:B, A1586, Sheet1!J:J)</f>
        <v>87.222222222222229</v>
      </c>
    </row>
    <row r="1587" spans="1:2" x14ac:dyDescent="0.3">
      <c r="A1587" t="s">
        <v>41</v>
      </c>
      <c r="B1587">
        <f>AVERAGEIF(Sheet1!B:B, A1587, Sheet1!J:J)</f>
        <v>87.222222222222229</v>
      </c>
    </row>
    <row r="1588" spans="1:2" x14ac:dyDescent="0.3">
      <c r="A1588" t="s">
        <v>41</v>
      </c>
      <c r="B1588">
        <f>AVERAGEIF(Sheet1!B:B, A1588, Sheet1!J:J)</f>
        <v>87.222222222222229</v>
      </c>
    </row>
    <row r="1589" spans="1:2" x14ac:dyDescent="0.3">
      <c r="A1589" t="s">
        <v>29</v>
      </c>
      <c r="B1589">
        <f>AVERAGEIF(Sheet1!B:B, A1589, Sheet1!J:J)</f>
        <v>28.166666666666668</v>
      </c>
    </row>
    <row r="1590" spans="1:2" x14ac:dyDescent="0.3">
      <c r="A1590" t="s">
        <v>29</v>
      </c>
      <c r="B1590">
        <f>AVERAGEIF(Sheet1!B:B, A1590, Sheet1!J:J)</f>
        <v>28.166666666666668</v>
      </c>
    </row>
    <row r="1591" spans="1:2" x14ac:dyDescent="0.3">
      <c r="A1591" t="s">
        <v>27</v>
      </c>
      <c r="B1591">
        <f>AVERAGEIF(Sheet1!B:B, A1591, Sheet1!J:J)</f>
        <v>82.383177570093451</v>
      </c>
    </row>
    <row r="1592" spans="1:2" x14ac:dyDescent="0.3">
      <c r="A1592" t="s">
        <v>27</v>
      </c>
      <c r="B1592">
        <f>AVERAGEIF(Sheet1!B:B, A1592, Sheet1!J:J)</f>
        <v>82.383177570093451</v>
      </c>
    </row>
    <row r="1593" spans="1:2" x14ac:dyDescent="0.3">
      <c r="A1593" t="s">
        <v>26</v>
      </c>
      <c r="B1593">
        <f>AVERAGEIF(Sheet1!B:B, A1593, Sheet1!J:J)</f>
        <v>81.180582524271841</v>
      </c>
    </row>
    <row r="1594" spans="1:2" x14ac:dyDescent="0.3">
      <c r="A1594" t="s">
        <v>26</v>
      </c>
      <c r="B1594">
        <f>AVERAGEIF(Sheet1!B:B, A1594, Sheet1!J:J)</f>
        <v>81.180582524271841</v>
      </c>
    </row>
    <row r="1595" spans="1:2" x14ac:dyDescent="0.3">
      <c r="A1595" t="s">
        <v>26</v>
      </c>
      <c r="B1595">
        <f>AVERAGEIF(Sheet1!B:B, A1595, Sheet1!J:J)</f>
        <v>81.180582524271841</v>
      </c>
    </row>
    <row r="1596" spans="1:2" x14ac:dyDescent="0.3">
      <c r="A1596" t="s">
        <v>26</v>
      </c>
      <c r="B1596">
        <f>AVERAGEIF(Sheet1!B:B, A1596, Sheet1!J:J)</f>
        <v>81.180582524271841</v>
      </c>
    </row>
    <row r="1597" spans="1:2" x14ac:dyDescent="0.3">
      <c r="A1597" t="s">
        <v>26</v>
      </c>
      <c r="B1597">
        <f>AVERAGEIF(Sheet1!B:B, A1597, Sheet1!J:J)</f>
        <v>81.180582524271841</v>
      </c>
    </row>
    <row r="1598" spans="1:2" x14ac:dyDescent="0.3">
      <c r="A1598" t="s">
        <v>26</v>
      </c>
      <c r="B1598">
        <f>AVERAGEIF(Sheet1!B:B, A1598, Sheet1!J:J)</f>
        <v>81.180582524271841</v>
      </c>
    </row>
    <row r="1599" spans="1:2" x14ac:dyDescent="0.3">
      <c r="A1599" t="s">
        <v>26</v>
      </c>
      <c r="B1599">
        <f>AVERAGEIF(Sheet1!B:B, A1599, Sheet1!J:J)</f>
        <v>81.180582524271841</v>
      </c>
    </row>
    <row r="1600" spans="1:2" x14ac:dyDescent="0.3">
      <c r="A1600" t="s">
        <v>26</v>
      </c>
      <c r="B1600">
        <f>AVERAGEIF(Sheet1!B:B, A1600, Sheet1!J:J)</f>
        <v>81.180582524271841</v>
      </c>
    </row>
    <row r="1601" spans="1:2" x14ac:dyDescent="0.3">
      <c r="A1601" t="s">
        <v>26</v>
      </c>
      <c r="B1601">
        <f>AVERAGEIF(Sheet1!B:B, A1601, Sheet1!J:J)</f>
        <v>81.180582524271841</v>
      </c>
    </row>
    <row r="1602" spans="1:2" x14ac:dyDescent="0.3">
      <c r="A1602" t="s">
        <v>26</v>
      </c>
      <c r="B1602">
        <f>AVERAGEIF(Sheet1!B:B, A1602, Sheet1!J:J)</f>
        <v>81.180582524271841</v>
      </c>
    </row>
    <row r="1603" spans="1:2" x14ac:dyDescent="0.3">
      <c r="A1603" t="s">
        <v>26</v>
      </c>
      <c r="B1603">
        <f>AVERAGEIF(Sheet1!B:B, A1603, Sheet1!J:J)</f>
        <v>81.180582524271841</v>
      </c>
    </row>
    <row r="1604" spans="1:2" x14ac:dyDescent="0.3">
      <c r="A1604" t="s">
        <v>28</v>
      </c>
      <c r="B1604" t="e">
        <f>AVERAGEIF(Sheet1!B:B, A1604, Sheet1!J:J)</f>
        <v>#DIV/0!</v>
      </c>
    </row>
    <row r="1605" spans="1:2" x14ac:dyDescent="0.3">
      <c r="A1605" t="s">
        <v>28</v>
      </c>
      <c r="B1605" t="e">
        <f>AVERAGEIF(Sheet1!B:B, A1605, Sheet1!J:J)</f>
        <v>#DIV/0!</v>
      </c>
    </row>
    <row r="1606" spans="1:2" x14ac:dyDescent="0.3">
      <c r="A1606" t="s">
        <v>26</v>
      </c>
      <c r="B1606">
        <f>AVERAGEIF(Sheet1!B:B, A1606, Sheet1!J:J)</f>
        <v>81.180582524271841</v>
      </c>
    </row>
    <row r="1607" spans="1:2" x14ac:dyDescent="0.3">
      <c r="A1607" t="s">
        <v>26</v>
      </c>
      <c r="B1607">
        <f>AVERAGEIF(Sheet1!B:B, A1607, Sheet1!J:J)</f>
        <v>81.180582524271841</v>
      </c>
    </row>
    <row r="1608" spans="1:2" x14ac:dyDescent="0.3">
      <c r="A1608" t="s">
        <v>26</v>
      </c>
      <c r="B1608">
        <f>AVERAGEIF(Sheet1!B:B, A1608, Sheet1!J:J)</f>
        <v>81.180582524271841</v>
      </c>
    </row>
    <row r="1609" spans="1:2" x14ac:dyDescent="0.3">
      <c r="A1609" t="s">
        <v>26</v>
      </c>
      <c r="B1609">
        <f>AVERAGEIF(Sheet1!B:B, A1609, Sheet1!J:J)</f>
        <v>81.180582524271841</v>
      </c>
    </row>
    <row r="1610" spans="1:2" x14ac:dyDescent="0.3">
      <c r="A1610" t="s">
        <v>26</v>
      </c>
      <c r="B1610">
        <f>AVERAGEIF(Sheet1!B:B, A1610, Sheet1!J:J)</f>
        <v>81.180582524271841</v>
      </c>
    </row>
    <row r="1611" spans="1:2" x14ac:dyDescent="0.3">
      <c r="A1611" t="s">
        <v>26</v>
      </c>
      <c r="B1611">
        <f>AVERAGEIF(Sheet1!B:B, A1611, Sheet1!J:J)</f>
        <v>81.180582524271841</v>
      </c>
    </row>
    <row r="1612" spans="1:2" x14ac:dyDescent="0.3">
      <c r="A1612" t="s">
        <v>26</v>
      </c>
      <c r="B1612">
        <f>AVERAGEIF(Sheet1!B:B, A1612, Sheet1!J:J)</f>
        <v>81.180582524271841</v>
      </c>
    </row>
    <row r="1613" spans="1:2" x14ac:dyDescent="0.3">
      <c r="A1613" t="s">
        <v>26</v>
      </c>
      <c r="B1613">
        <f>AVERAGEIF(Sheet1!B:B, A1613, Sheet1!J:J)</f>
        <v>81.180582524271841</v>
      </c>
    </row>
    <row r="1614" spans="1:2" x14ac:dyDescent="0.3">
      <c r="A1614" t="s">
        <v>26</v>
      </c>
      <c r="B1614">
        <f>AVERAGEIF(Sheet1!B:B, A1614, Sheet1!J:J)</f>
        <v>81.180582524271841</v>
      </c>
    </row>
    <row r="1615" spans="1:2" x14ac:dyDescent="0.3">
      <c r="A1615" t="s">
        <v>26</v>
      </c>
      <c r="B1615">
        <f>AVERAGEIF(Sheet1!B:B, A1615, Sheet1!J:J)</f>
        <v>81.180582524271841</v>
      </c>
    </row>
    <row r="1616" spans="1:2" x14ac:dyDescent="0.3">
      <c r="A1616" t="s">
        <v>26</v>
      </c>
      <c r="B1616">
        <f>AVERAGEIF(Sheet1!B:B, A1616, Sheet1!J:J)</f>
        <v>81.180582524271841</v>
      </c>
    </row>
    <row r="1617" spans="1:2" x14ac:dyDescent="0.3">
      <c r="A1617" t="s">
        <v>26</v>
      </c>
      <c r="B1617">
        <f>AVERAGEIF(Sheet1!B:B, A1617, Sheet1!J:J)</f>
        <v>81.180582524271841</v>
      </c>
    </row>
    <row r="1618" spans="1:2" x14ac:dyDescent="0.3">
      <c r="A1618" t="s">
        <v>26</v>
      </c>
      <c r="B1618">
        <f>AVERAGEIF(Sheet1!B:B, A1618, Sheet1!J:J)</f>
        <v>81.180582524271841</v>
      </c>
    </row>
    <row r="1619" spans="1:2" x14ac:dyDescent="0.3">
      <c r="A1619" t="s">
        <v>26</v>
      </c>
      <c r="B1619">
        <f>AVERAGEIF(Sheet1!B:B, A1619, Sheet1!J:J)</f>
        <v>81.180582524271841</v>
      </c>
    </row>
    <row r="1620" spans="1:2" x14ac:dyDescent="0.3">
      <c r="A1620" t="s">
        <v>26</v>
      </c>
      <c r="B1620">
        <f>AVERAGEIF(Sheet1!B:B, A1620, Sheet1!J:J)</f>
        <v>81.180582524271841</v>
      </c>
    </row>
    <row r="1621" spans="1:2" x14ac:dyDescent="0.3">
      <c r="A1621" t="s">
        <v>26</v>
      </c>
      <c r="B1621">
        <f>AVERAGEIF(Sheet1!B:B, A1621, Sheet1!J:J)</f>
        <v>81.180582524271841</v>
      </c>
    </row>
    <row r="1622" spans="1:2" x14ac:dyDescent="0.3">
      <c r="A1622" t="s">
        <v>26</v>
      </c>
      <c r="B1622">
        <f>AVERAGEIF(Sheet1!B:B, A1622, Sheet1!J:J)</f>
        <v>81.180582524271841</v>
      </c>
    </row>
    <row r="1623" spans="1:2" x14ac:dyDescent="0.3">
      <c r="A1623" t="s">
        <v>26</v>
      </c>
      <c r="B1623">
        <f>AVERAGEIF(Sheet1!B:B, A1623, Sheet1!J:J)</f>
        <v>81.180582524271841</v>
      </c>
    </row>
    <row r="1624" spans="1:2" x14ac:dyDescent="0.3">
      <c r="A1624" t="s">
        <v>26</v>
      </c>
      <c r="B1624">
        <f>AVERAGEIF(Sheet1!B:B, A1624, Sheet1!J:J)</f>
        <v>81.180582524271841</v>
      </c>
    </row>
    <row r="1625" spans="1:2" x14ac:dyDescent="0.3">
      <c r="A1625" t="s">
        <v>26</v>
      </c>
      <c r="B1625">
        <f>AVERAGEIF(Sheet1!B:B, A1625, Sheet1!J:J)</f>
        <v>81.180582524271841</v>
      </c>
    </row>
    <row r="1626" spans="1:2" x14ac:dyDescent="0.3">
      <c r="A1626" t="s">
        <v>27</v>
      </c>
      <c r="B1626">
        <f>AVERAGEIF(Sheet1!B:B, A1626, Sheet1!J:J)</f>
        <v>82.383177570093451</v>
      </c>
    </row>
    <row r="1627" spans="1:2" x14ac:dyDescent="0.3">
      <c r="A1627" t="s">
        <v>27</v>
      </c>
      <c r="B1627">
        <f>AVERAGEIF(Sheet1!B:B, A1627, Sheet1!J:J)</f>
        <v>82.383177570093451</v>
      </c>
    </row>
    <row r="1628" spans="1:2" x14ac:dyDescent="0.3">
      <c r="A1628" t="s">
        <v>27</v>
      </c>
      <c r="B1628">
        <f>AVERAGEIF(Sheet1!B:B, A1628, Sheet1!J:J)</f>
        <v>82.383177570093451</v>
      </c>
    </row>
    <row r="1629" spans="1:2" x14ac:dyDescent="0.3">
      <c r="A1629" t="s">
        <v>27</v>
      </c>
      <c r="B1629">
        <f>AVERAGEIF(Sheet1!B:B, A1629, Sheet1!J:J)</f>
        <v>82.383177570093451</v>
      </c>
    </row>
    <row r="1630" spans="1:2" x14ac:dyDescent="0.3">
      <c r="A1630" t="s">
        <v>27</v>
      </c>
      <c r="B1630">
        <f>AVERAGEIF(Sheet1!B:B, A1630, Sheet1!J:J)</f>
        <v>82.383177570093451</v>
      </c>
    </row>
    <row r="1631" spans="1:2" x14ac:dyDescent="0.3">
      <c r="A1631" t="s">
        <v>27</v>
      </c>
      <c r="B1631">
        <f>AVERAGEIF(Sheet1!B:B, A1631, Sheet1!J:J)</f>
        <v>82.383177570093451</v>
      </c>
    </row>
    <row r="1632" spans="1:2" x14ac:dyDescent="0.3">
      <c r="A1632" t="s">
        <v>27</v>
      </c>
      <c r="B1632">
        <f>AVERAGEIF(Sheet1!B:B, A1632, Sheet1!J:J)</f>
        <v>82.383177570093451</v>
      </c>
    </row>
    <row r="1633" spans="1:2" x14ac:dyDescent="0.3">
      <c r="A1633" t="s">
        <v>30</v>
      </c>
      <c r="B1633">
        <f>AVERAGEIF(Sheet1!B:B, A1633, Sheet1!J:J)</f>
        <v>83.958333333333329</v>
      </c>
    </row>
    <row r="1634" spans="1:2" x14ac:dyDescent="0.3">
      <c r="A1634" t="s">
        <v>30</v>
      </c>
      <c r="B1634">
        <f>AVERAGEIF(Sheet1!B:B, A1634, Sheet1!J:J)</f>
        <v>83.958333333333329</v>
      </c>
    </row>
    <row r="1635" spans="1:2" x14ac:dyDescent="0.3">
      <c r="A1635" t="s">
        <v>30</v>
      </c>
      <c r="B1635">
        <f>AVERAGEIF(Sheet1!B:B, A1635, Sheet1!J:J)</f>
        <v>83.958333333333329</v>
      </c>
    </row>
    <row r="1636" spans="1:2" x14ac:dyDescent="0.3">
      <c r="A1636" t="s">
        <v>30</v>
      </c>
      <c r="B1636">
        <f>AVERAGEIF(Sheet1!B:B, A1636, Sheet1!J:J)</f>
        <v>83.958333333333329</v>
      </c>
    </row>
    <row r="1637" spans="1:2" x14ac:dyDescent="0.3">
      <c r="A1637" t="s">
        <v>31</v>
      </c>
      <c r="B1637">
        <f>AVERAGEIF(Sheet1!B:B, A1637, Sheet1!J:J)</f>
        <v>111.49520766773163</v>
      </c>
    </row>
    <row r="1638" spans="1:2" x14ac:dyDescent="0.3">
      <c r="A1638" t="s">
        <v>30</v>
      </c>
      <c r="B1638">
        <f>AVERAGEIF(Sheet1!B:B, A1638, Sheet1!J:J)</f>
        <v>83.958333333333329</v>
      </c>
    </row>
    <row r="1639" spans="1:2" x14ac:dyDescent="0.3">
      <c r="A1639" t="s">
        <v>30</v>
      </c>
      <c r="B1639">
        <f>AVERAGEIF(Sheet1!B:B, A1639, Sheet1!J:J)</f>
        <v>83.958333333333329</v>
      </c>
    </row>
    <row r="1640" spans="1:2" x14ac:dyDescent="0.3">
      <c r="A1640" t="s">
        <v>30</v>
      </c>
      <c r="B1640">
        <f>AVERAGEIF(Sheet1!B:B, A1640, Sheet1!J:J)</f>
        <v>83.958333333333329</v>
      </c>
    </row>
    <row r="1641" spans="1:2" x14ac:dyDescent="0.3">
      <c r="A1641" t="s">
        <v>30</v>
      </c>
      <c r="B1641">
        <f>AVERAGEIF(Sheet1!B:B, A1641, Sheet1!J:J)</f>
        <v>83.958333333333329</v>
      </c>
    </row>
    <row r="1642" spans="1:2" x14ac:dyDescent="0.3">
      <c r="A1642" t="s">
        <v>30</v>
      </c>
      <c r="B1642">
        <f>AVERAGEIF(Sheet1!B:B, A1642, Sheet1!J:J)</f>
        <v>83.958333333333329</v>
      </c>
    </row>
    <row r="1643" spans="1:2" x14ac:dyDescent="0.3">
      <c r="A1643" t="s">
        <v>27</v>
      </c>
      <c r="B1643">
        <f>AVERAGEIF(Sheet1!B:B, A1643, Sheet1!J:J)</f>
        <v>82.383177570093451</v>
      </c>
    </row>
    <row r="1644" spans="1:2" x14ac:dyDescent="0.3">
      <c r="A1644" t="s">
        <v>27</v>
      </c>
      <c r="B1644">
        <f>AVERAGEIF(Sheet1!B:B, A1644, Sheet1!J:J)</f>
        <v>82.383177570093451</v>
      </c>
    </row>
    <row r="1645" spans="1:2" x14ac:dyDescent="0.3">
      <c r="A1645" t="s">
        <v>27</v>
      </c>
      <c r="B1645">
        <f>AVERAGEIF(Sheet1!B:B, A1645, Sheet1!J:J)</f>
        <v>82.383177570093451</v>
      </c>
    </row>
    <row r="1646" spans="1:2" x14ac:dyDescent="0.3">
      <c r="A1646" t="s">
        <v>27</v>
      </c>
      <c r="B1646">
        <f>AVERAGEIF(Sheet1!B:B, A1646, Sheet1!J:J)</f>
        <v>82.383177570093451</v>
      </c>
    </row>
    <row r="1647" spans="1:2" x14ac:dyDescent="0.3">
      <c r="A1647" t="s">
        <v>27</v>
      </c>
      <c r="B1647">
        <f>AVERAGEIF(Sheet1!B:B, A1647, Sheet1!J:J)</f>
        <v>82.383177570093451</v>
      </c>
    </row>
    <row r="1648" spans="1:2" x14ac:dyDescent="0.3">
      <c r="A1648" t="s">
        <v>27</v>
      </c>
      <c r="B1648">
        <f>AVERAGEIF(Sheet1!B:B, A1648, Sheet1!J:J)</f>
        <v>82.383177570093451</v>
      </c>
    </row>
    <row r="1649" spans="1:2" x14ac:dyDescent="0.3">
      <c r="A1649" t="s">
        <v>27</v>
      </c>
      <c r="B1649">
        <f>AVERAGEIF(Sheet1!B:B, A1649, Sheet1!J:J)</f>
        <v>82.383177570093451</v>
      </c>
    </row>
    <row r="1650" spans="1:2" x14ac:dyDescent="0.3">
      <c r="A1650" t="s">
        <v>27</v>
      </c>
      <c r="B1650">
        <f>AVERAGEIF(Sheet1!B:B, A1650, Sheet1!J:J)</f>
        <v>82.383177570093451</v>
      </c>
    </row>
    <row r="1651" spans="1:2" x14ac:dyDescent="0.3">
      <c r="A1651" t="s">
        <v>27</v>
      </c>
      <c r="B1651">
        <f>AVERAGEIF(Sheet1!B:B, A1651, Sheet1!J:J)</f>
        <v>82.383177570093451</v>
      </c>
    </row>
    <row r="1652" spans="1:2" x14ac:dyDescent="0.3">
      <c r="A1652" t="s">
        <v>27</v>
      </c>
      <c r="B1652">
        <f>AVERAGEIF(Sheet1!B:B, A1652, Sheet1!J:J)</f>
        <v>82.383177570093451</v>
      </c>
    </row>
    <row r="1653" spans="1:2" x14ac:dyDescent="0.3">
      <c r="A1653" t="s">
        <v>27</v>
      </c>
      <c r="B1653">
        <f>AVERAGEIF(Sheet1!B:B, A1653, Sheet1!J:J)</f>
        <v>82.383177570093451</v>
      </c>
    </row>
    <row r="1654" spans="1:2" x14ac:dyDescent="0.3">
      <c r="A1654" t="s">
        <v>27</v>
      </c>
      <c r="B1654">
        <f>AVERAGEIF(Sheet1!B:B, A1654, Sheet1!J:J)</f>
        <v>82.383177570093451</v>
      </c>
    </row>
    <row r="1655" spans="1:2" x14ac:dyDescent="0.3">
      <c r="A1655" t="s">
        <v>27</v>
      </c>
      <c r="B1655">
        <f>AVERAGEIF(Sheet1!B:B, A1655, Sheet1!J:J)</f>
        <v>82.383177570093451</v>
      </c>
    </row>
    <row r="1656" spans="1:2" x14ac:dyDescent="0.3">
      <c r="A1656" t="s">
        <v>27</v>
      </c>
      <c r="B1656">
        <f>AVERAGEIF(Sheet1!B:B, A1656, Sheet1!J:J)</f>
        <v>82.383177570093451</v>
      </c>
    </row>
    <row r="1657" spans="1:2" x14ac:dyDescent="0.3">
      <c r="A1657" t="s">
        <v>31</v>
      </c>
      <c r="B1657">
        <f>AVERAGEIF(Sheet1!B:B, A1657, Sheet1!J:J)</f>
        <v>111.49520766773163</v>
      </c>
    </row>
    <row r="1658" spans="1:2" x14ac:dyDescent="0.3">
      <c r="A1658" t="s">
        <v>31</v>
      </c>
      <c r="B1658">
        <f>AVERAGEIF(Sheet1!B:B, A1658, Sheet1!J:J)</f>
        <v>111.49520766773163</v>
      </c>
    </row>
    <row r="1659" spans="1:2" x14ac:dyDescent="0.3">
      <c r="A1659" t="s">
        <v>31</v>
      </c>
      <c r="B1659">
        <f>AVERAGEIF(Sheet1!B:B, A1659, Sheet1!J:J)</f>
        <v>111.49520766773163</v>
      </c>
    </row>
    <row r="1660" spans="1:2" x14ac:dyDescent="0.3">
      <c r="A1660" t="s">
        <v>31</v>
      </c>
      <c r="B1660">
        <f>AVERAGEIF(Sheet1!B:B, A1660, Sheet1!J:J)</f>
        <v>111.49520766773163</v>
      </c>
    </row>
    <row r="1661" spans="1:2" x14ac:dyDescent="0.3">
      <c r="A1661" t="s">
        <v>31</v>
      </c>
      <c r="B1661">
        <f>AVERAGEIF(Sheet1!B:B, A1661, Sheet1!J:J)</f>
        <v>111.49520766773163</v>
      </c>
    </row>
    <row r="1662" spans="1:2" x14ac:dyDescent="0.3">
      <c r="A1662" t="s">
        <v>31</v>
      </c>
      <c r="B1662">
        <f>AVERAGEIF(Sheet1!B:B, A1662, Sheet1!J:J)</f>
        <v>111.49520766773163</v>
      </c>
    </row>
    <row r="1663" spans="1:2" x14ac:dyDescent="0.3">
      <c r="A1663" t="s">
        <v>31</v>
      </c>
      <c r="B1663">
        <f>AVERAGEIF(Sheet1!B:B, A1663, Sheet1!J:J)</f>
        <v>111.49520766773163</v>
      </c>
    </row>
    <row r="1664" spans="1:2" x14ac:dyDescent="0.3">
      <c r="A1664" t="s">
        <v>31</v>
      </c>
      <c r="B1664">
        <f>AVERAGEIF(Sheet1!B:B, A1664, Sheet1!J:J)</f>
        <v>111.49520766773163</v>
      </c>
    </row>
    <row r="1665" spans="1:2" x14ac:dyDescent="0.3">
      <c r="A1665" t="s">
        <v>31</v>
      </c>
      <c r="B1665">
        <f>AVERAGEIF(Sheet1!B:B, A1665, Sheet1!J:J)</f>
        <v>111.49520766773163</v>
      </c>
    </row>
    <row r="1666" spans="1:2" x14ac:dyDescent="0.3">
      <c r="A1666" t="s">
        <v>31</v>
      </c>
      <c r="B1666">
        <f>AVERAGEIF(Sheet1!B:B, A1666, Sheet1!J:J)</f>
        <v>111.49520766773163</v>
      </c>
    </row>
    <row r="1667" spans="1:2" x14ac:dyDescent="0.3">
      <c r="A1667" t="s">
        <v>31</v>
      </c>
      <c r="B1667">
        <f>AVERAGEIF(Sheet1!B:B, A1667, Sheet1!J:J)</f>
        <v>111.49520766773163</v>
      </c>
    </row>
    <row r="1668" spans="1:2" x14ac:dyDescent="0.3">
      <c r="A1668" t="s">
        <v>31</v>
      </c>
      <c r="B1668">
        <f>AVERAGEIF(Sheet1!B:B, A1668, Sheet1!J:J)</f>
        <v>111.49520766773163</v>
      </c>
    </row>
    <row r="1669" spans="1:2" x14ac:dyDescent="0.3">
      <c r="A1669" t="s">
        <v>31</v>
      </c>
      <c r="B1669">
        <f>AVERAGEIF(Sheet1!B:B, A1669, Sheet1!J:J)</f>
        <v>111.49520766773163</v>
      </c>
    </row>
    <row r="1670" spans="1:2" x14ac:dyDescent="0.3">
      <c r="A1670" t="s">
        <v>31</v>
      </c>
      <c r="B1670">
        <f>AVERAGEIF(Sheet1!B:B, A1670, Sheet1!J:J)</f>
        <v>111.49520766773163</v>
      </c>
    </row>
    <row r="1671" spans="1:2" x14ac:dyDescent="0.3">
      <c r="A1671" t="s">
        <v>31</v>
      </c>
      <c r="B1671">
        <f>AVERAGEIF(Sheet1!B:B, A1671, Sheet1!J:J)</f>
        <v>111.49520766773163</v>
      </c>
    </row>
    <row r="1672" spans="1:2" x14ac:dyDescent="0.3">
      <c r="A1672" t="s">
        <v>31</v>
      </c>
      <c r="B1672">
        <f>AVERAGEIF(Sheet1!B:B, A1672, Sheet1!J:J)</f>
        <v>111.49520766773163</v>
      </c>
    </row>
    <row r="1673" spans="1:2" x14ac:dyDescent="0.3">
      <c r="A1673" t="s">
        <v>31</v>
      </c>
      <c r="B1673">
        <f>AVERAGEIF(Sheet1!B:B, A1673, Sheet1!J:J)</f>
        <v>111.49520766773163</v>
      </c>
    </row>
    <row r="1674" spans="1:2" x14ac:dyDescent="0.3">
      <c r="A1674" t="s">
        <v>31</v>
      </c>
      <c r="B1674">
        <f>AVERAGEIF(Sheet1!B:B, A1674, Sheet1!J:J)</f>
        <v>111.49520766773163</v>
      </c>
    </row>
    <row r="1675" spans="1:2" x14ac:dyDescent="0.3">
      <c r="A1675" t="s">
        <v>31</v>
      </c>
      <c r="B1675">
        <f>AVERAGEIF(Sheet1!B:B, A1675, Sheet1!J:J)</f>
        <v>111.49520766773163</v>
      </c>
    </row>
    <row r="1676" spans="1:2" x14ac:dyDescent="0.3">
      <c r="A1676" t="s">
        <v>31</v>
      </c>
      <c r="B1676">
        <f>AVERAGEIF(Sheet1!B:B, A1676, Sheet1!J:J)</f>
        <v>111.49520766773163</v>
      </c>
    </row>
    <row r="1677" spans="1:2" x14ac:dyDescent="0.3">
      <c r="A1677" t="s">
        <v>31</v>
      </c>
      <c r="B1677">
        <f>AVERAGEIF(Sheet1!B:B, A1677, Sheet1!J:J)</f>
        <v>111.49520766773163</v>
      </c>
    </row>
    <row r="1678" spans="1:2" x14ac:dyDescent="0.3">
      <c r="A1678" t="s">
        <v>31</v>
      </c>
      <c r="B1678">
        <f>AVERAGEIF(Sheet1!B:B, A1678, Sheet1!J:J)</f>
        <v>111.49520766773163</v>
      </c>
    </row>
    <row r="1679" spans="1:2" x14ac:dyDescent="0.3">
      <c r="A1679" t="s">
        <v>31</v>
      </c>
      <c r="B1679">
        <f>AVERAGEIF(Sheet1!B:B, A1679, Sheet1!J:J)</f>
        <v>111.49520766773163</v>
      </c>
    </row>
    <row r="1680" spans="1:2" x14ac:dyDescent="0.3">
      <c r="A1680" t="s">
        <v>31</v>
      </c>
      <c r="B1680">
        <f>AVERAGEIF(Sheet1!B:B, A1680, Sheet1!J:J)</f>
        <v>111.49520766773163</v>
      </c>
    </row>
    <row r="1681" spans="1:2" x14ac:dyDescent="0.3">
      <c r="A1681" t="s">
        <v>31</v>
      </c>
      <c r="B1681">
        <f>AVERAGEIF(Sheet1!B:B, A1681, Sheet1!J:J)</f>
        <v>111.49520766773163</v>
      </c>
    </row>
    <row r="1682" spans="1:2" x14ac:dyDescent="0.3">
      <c r="A1682" t="s">
        <v>31</v>
      </c>
      <c r="B1682">
        <f>AVERAGEIF(Sheet1!B:B, A1682, Sheet1!J:J)</f>
        <v>111.49520766773163</v>
      </c>
    </row>
    <row r="1683" spans="1:2" x14ac:dyDescent="0.3">
      <c r="A1683" t="s">
        <v>31</v>
      </c>
      <c r="B1683">
        <f>AVERAGEIF(Sheet1!B:B, A1683, Sheet1!J:J)</f>
        <v>111.49520766773163</v>
      </c>
    </row>
    <row r="1684" spans="1:2" x14ac:dyDescent="0.3">
      <c r="A1684" t="s">
        <v>31</v>
      </c>
      <c r="B1684">
        <f>AVERAGEIF(Sheet1!B:B, A1684, Sheet1!J:J)</f>
        <v>111.49520766773163</v>
      </c>
    </row>
    <row r="1685" spans="1:2" x14ac:dyDescent="0.3">
      <c r="A1685" t="s">
        <v>31</v>
      </c>
      <c r="B1685">
        <f>AVERAGEIF(Sheet1!B:B, A1685, Sheet1!J:J)</f>
        <v>111.49520766773163</v>
      </c>
    </row>
    <row r="1686" spans="1:2" x14ac:dyDescent="0.3">
      <c r="A1686" t="s">
        <v>31</v>
      </c>
      <c r="B1686">
        <f>AVERAGEIF(Sheet1!B:B, A1686, Sheet1!J:J)</f>
        <v>111.49520766773163</v>
      </c>
    </row>
    <row r="1687" spans="1:2" x14ac:dyDescent="0.3">
      <c r="A1687" t="s">
        <v>31</v>
      </c>
      <c r="B1687">
        <f>AVERAGEIF(Sheet1!B:B, A1687, Sheet1!J:J)</f>
        <v>111.49520766773163</v>
      </c>
    </row>
    <row r="1688" spans="1:2" x14ac:dyDescent="0.3">
      <c r="A1688" t="s">
        <v>31</v>
      </c>
      <c r="B1688">
        <f>AVERAGEIF(Sheet1!B:B, A1688, Sheet1!J:J)</f>
        <v>111.49520766773163</v>
      </c>
    </row>
    <row r="1689" spans="1:2" x14ac:dyDescent="0.3">
      <c r="A1689" t="s">
        <v>31</v>
      </c>
      <c r="B1689">
        <f>AVERAGEIF(Sheet1!B:B, A1689, Sheet1!J:J)</f>
        <v>111.49520766773163</v>
      </c>
    </row>
    <row r="1690" spans="1:2" x14ac:dyDescent="0.3">
      <c r="A1690" t="s">
        <v>31</v>
      </c>
      <c r="B1690">
        <f>AVERAGEIF(Sheet1!B:B, A1690, Sheet1!J:J)</f>
        <v>111.49520766773163</v>
      </c>
    </row>
    <row r="1691" spans="1:2" x14ac:dyDescent="0.3">
      <c r="A1691" t="s">
        <v>31</v>
      </c>
      <c r="B1691">
        <f>AVERAGEIF(Sheet1!B:B, A1691, Sheet1!J:J)</f>
        <v>111.49520766773163</v>
      </c>
    </row>
    <row r="1692" spans="1:2" x14ac:dyDescent="0.3">
      <c r="A1692" t="s">
        <v>31</v>
      </c>
      <c r="B1692">
        <f>AVERAGEIF(Sheet1!B:B, A1692, Sheet1!J:J)</f>
        <v>111.49520766773163</v>
      </c>
    </row>
    <row r="1693" spans="1:2" x14ac:dyDescent="0.3">
      <c r="A1693" t="s">
        <v>31</v>
      </c>
      <c r="B1693">
        <f>AVERAGEIF(Sheet1!B:B, A1693, Sheet1!J:J)</f>
        <v>111.49520766773163</v>
      </c>
    </row>
    <row r="1694" spans="1:2" x14ac:dyDescent="0.3">
      <c r="A1694" t="s">
        <v>31</v>
      </c>
      <c r="B1694">
        <f>AVERAGEIF(Sheet1!B:B, A1694, Sheet1!J:J)</f>
        <v>111.49520766773163</v>
      </c>
    </row>
    <row r="1695" spans="1:2" x14ac:dyDescent="0.3">
      <c r="A1695" t="s">
        <v>31</v>
      </c>
      <c r="B1695">
        <f>AVERAGEIF(Sheet1!B:B, A1695, Sheet1!J:J)</f>
        <v>111.49520766773163</v>
      </c>
    </row>
    <row r="1696" spans="1:2" x14ac:dyDescent="0.3">
      <c r="A1696" t="s">
        <v>31</v>
      </c>
      <c r="B1696">
        <f>AVERAGEIF(Sheet1!B:B, A1696, Sheet1!J:J)</f>
        <v>111.49520766773163</v>
      </c>
    </row>
    <row r="1697" spans="1:2" x14ac:dyDescent="0.3">
      <c r="A1697" t="s">
        <v>31</v>
      </c>
      <c r="B1697">
        <f>AVERAGEIF(Sheet1!B:B, A1697, Sheet1!J:J)</f>
        <v>111.49520766773163</v>
      </c>
    </row>
    <row r="1698" spans="1:2" x14ac:dyDescent="0.3">
      <c r="A1698" t="s">
        <v>31</v>
      </c>
      <c r="B1698">
        <f>AVERAGEIF(Sheet1!B:B, A1698, Sheet1!J:J)</f>
        <v>111.49520766773163</v>
      </c>
    </row>
    <row r="1699" spans="1:2" x14ac:dyDescent="0.3">
      <c r="A1699" t="s">
        <v>31</v>
      </c>
      <c r="B1699">
        <f>AVERAGEIF(Sheet1!B:B, A1699, Sheet1!J:J)</f>
        <v>111.49520766773163</v>
      </c>
    </row>
    <row r="1700" spans="1:2" x14ac:dyDescent="0.3">
      <c r="A1700" t="s">
        <v>31</v>
      </c>
      <c r="B1700">
        <f>AVERAGEIF(Sheet1!B:B, A1700, Sheet1!J:J)</f>
        <v>111.49520766773163</v>
      </c>
    </row>
    <row r="1701" spans="1:2" x14ac:dyDescent="0.3">
      <c r="A1701" t="s">
        <v>31</v>
      </c>
      <c r="B1701">
        <f>AVERAGEIF(Sheet1!B:B, A1701, Sheet1!J:J)</f>
        <v>111.49520766773163</v>
      </c>
    </row>
    <row r="1702" spans="1:2" x14ac:dyDescent="0.3">
      <c r="A1702" t="s">
        <v>31</v>
      </c>
      <c r="B1702">
        <f>AVERAGEIF(Sheet1!B:B, A1702, Sheet1!J:J)</f>
        <v>111.49520766773163</v>
      </c>
    </row>
    <row r="1703" spans="1:2" x14ac:dyDescent="0.3">
      <c r="A1703" t="s">
        <v>31</v>
      </c>
      <c r="B1703">
        <f>AVERAGEIF(Sheet1!B:B, A1703, Sheet1!J:J)</f>
        <v>111.49520766773163</v>
      </c>
    </row>
    <row r="1704" spans="1:2" x14ac:dyDescent="0.3">
      <c r="A1704" t="s">
        <v>31</v>
      </c>
      <c r="B1704">
        <f>AVERAGEIF(Sheet1!B:B, A1704, Sheet1!J:J)</f>
        <v>111.49520766773163</v>
      </c>
    </row>
    <row r="1705" spans="1:2" x14ac:dyDescent="0.3">
      <c r="A1705" t="s">
        <v>31</v>
      </c>
      <c r="B1705">
        <f>AVERAGEIF(Sheet1!B:B, A1705, Sheet1!J:J)</f>
        <v>111.49520766773163</v>
      </c>
    </row>
    <row r="1706" spans="1:2" x14ac:dyDescent="0.3">
      <c r="A1706" t="s">
        <v>31</v>
      </c>
      <c r="B1706">
        <f>AVERAGEIF(Sheet1!B:B, A1706, Sheet1!J:J)</f>
        <v>111.49520766773163</v>
      </c>
    </row>
    <row r="1707" spans="1:2" x14ac:dyDescent="0.3">
      <c r="A1707" t="s">
        <v>31</v>
      </c>
      <c r="B1707">
        <f>AVERAGEIF(Sheet1!B:B, A1707, Sheet1!J:J)</f>
        <v>111.49520766773163</v>
      </c>
    </row>
    <row r="1708" spans="1:2" x14ac:dyDescent="0.3">
      <c r="A1708" t="s">
        <v>31</v>
      </c>
      <c r="B1708">
        <f>AVERAGEIF(Sheet1!B:B, A1708, Sheet1!J:J)</f>
        <v>111.49520766773163</v>
      </c>
    </row>
    <row r="1709" spans="1:2" x14ac:dyDescent="0.3">
      <c r="A1709" t="s">
        <v>31</v>
      </c>
      <c r="B1709">
        <f>AVERAGEIF(Sheet1!B:B, A1709, Sheet1!J:J)</f>
        <v>111.49520766773163</v>
      </c>
    </row>
    <row r="1710" spans="1:2" x14ac:dyDescent="0.3">
      <c r="A1710" t="s">
        <v>31</v>
      </c>
      <c r="B1710">
        <f>AVERAGEIF(Sheet1!B:B, A1710, Sheet1!J:J)</f>
        <v>111.49520766773163</v>
      </c>
    </row>
    <row r="1711" spans="1:2" x14ac:dyDescent="0.3">
      <c r="A1711" t="s">
        <v>33</v>
      </c>
      <c r="B1711">
        <f>AVERAGEIF(Sheet1!B:B, A1711, Sheet1!J:J)</f>
        <v>34.873096446700508</v>
      </c>
    </row>
    <row r="1712" spans="1:2" x14ac:dyDescent="0.3">
      <c r="A1712" t="s">
        <v>33</v>
      </c>
      <c r="B1712">
        <f>AVERAGEIF(Sheet1!B:B, A1712, Sheet1!J:J)</f>
        <v>34.873096446700508</v>
      </c>
    </row>
    <row r="1713" spans="1:2" x14ac:dyDescent="0.3">
      <c r="A1713" t="s">
        <v>33</v>
      </c>
      <c r="B1713">
        <f>AVERAGEIF(Sheet1!B:B, A1713, Sheet1!J:J)</f>
        <v>34.873096446700508</v>
      </c>
    </row>
    <row r="1714" spans="1:2" x14ac:dyDescent="0.3">
      <c r="A1714" t="s">
        <v>33</v>
      </c>
      <c r="B1714">
        <f>AVERAGEIF(Sheet1!B:B, A1714, Sheet1!J:J)</f>
        <v>34.873096446700508</v>
      </c>
    </row>
    <row r="1715" spans="1:2" x14ac:dyDescent="0.3">
      <c r="A1715" t="s">
        <v>33</v>
      </c>
      <c r="B1715">
        <f>AVERAGEIF(Sheet1!B:B, A1715, Sheet1!J:J)</f>
        <v>34.873096446700508</v>
      </c>
    </row>
    <row r="1716" spans="1:2" x14ac:dyDescent="0.3">
      <c r="A1716" t="s">
        <v>33</v>
      </c>
      <c r="B1716">
        <f>AVERAGEIF(Sheet1!B:B, A1716, Sheet1!J:J)</f>
        <v>34.873096446700508</v>
      </c>
    </row>
    <row r="1717" spans="1:2" x14ac:dyDescent="0.3">
      <c r="A1717" t="s">
        <v>33</v>
      </c>
      <c r="B1717">
        <f>AVERAGEIF(Sheet1!B:B, A1717, Sheet1!J:J)</f>
        <v>34.873096446700508</v>
      </c>
    </row>
    <row r="1718" spans="1:2" x14ac:dyDescent="0.3">
      <c r="A1718" t="s">
        <v>31</v>
      </c>
      <c r="B1718">
        <f>AVERAGEIF(Sheet1!B:B, A1718, Sheet1!J:J)</f>
        <v>111.49520766773163</v>
      </c>
    </row>
    <row r="1719" spans="1:2" x14ac:dyDescent="0.3">
      <c r="A1719" t="s">
        <v>31</v>
      </c>
      <c r="B1719">
        <f>AVERAGEIF(Sheet1!B:B, A1719, Sheet1!J:J)</f>
        <v>111.49520766773163</v>
      </c>
    </row>
    <row r="1720" spans="1:2" x14ac:dyDescent="0.3">
      <c r="A1720" t="s">
        <v>31</v>
      </c>
      <c r="B1720">
        <f>AVERAGEIF(Sheet1!B:B, A1720, Sheet1!J:J)</f>
        <v>111.49520766773163</v>
      </c>
    </row>
    <row r="1721" spans="1:2" x14ac:dyDescent="0.3">
      <c r="A1721" t="s">
        <v>31</v>
      </c>
      <c r="B1721">
        <f>AVERAGEIF(Sheet1!B:B, A1721, Sheet1!J:J)</f>
        <v>111.49520766773163</v>
      </c>
    </row>
    <row r="1722" spans="1:2" x14ac:dyDescent="0.3">
      <c r="A1722" t="s">
        <v>31</v>
      </c>
      <c r="B1722">
        <f>AVERAGEIF(Sheet1!B:B, A1722, Sheet1!J:J)</f>
        <v>111.49520766773163</v>
      </c>
    </row>
    <row r="1723" spans="1:2" x14ac:dyDescent="0.3">
      <c r="A1723" t="s">
        <v>31</v>
      </c>
      <c r="B1723">
        <f>AVERAGEIF(Sheet1!B:B, A1723, Sheet1!J:J)</f>
        <v>111.49520766773163</v>
      </c>
    </row>
    <row r="1724" spans="1:2" x14ac:dyDescent="0.3">
      <c r="A1724" t="s">
        <v>31</v>
      </c>
      <c r="B1724">
        <f>AVERAGEIF(Sheet1!B:B, A1724, Sheet1!J:J)</f>
        <v>111.49520766773163</v>
      </c>
    </row>
    <row r="1725" spans="1:2" x14ac:dyDescent="0.3">
      <c r="A1725" t="s">
        <v>33</v>
      </c>
      <c r="B1725">
        <f>AVERAGEIF(Sheet1!B:B, A1725, Sheet1!J:J)</f>
        <v>34.873096446700508</v>
      </c>
    </row>
    <row r="1726" spans="1:2" x14ac:dyDescent="0.3">
      <c r="A1726" t="s">
        <v>33</v>
      </c>
      <c r="B1726">
        <f>AVERAGEIF(Sheet1!B:B, A1726, Sheet1!J:J)</f>
        <v>34.873096446700508</v>
      </c>
    </row>
    <row r="1727" spans="1:2" x14ac:dyDescent="0.3">
      <c r="A1727" t="s">
        <v>33</v>
      </c>
      <c r="B1727">
        <f>AVERAGEIF(Sheet1!B:B, A1727, Sheet1!J:J)</f>
        <v>34.873096446700508</v>
      </c>
    </row>
    <row r="1728" spans="1:2" x14ac:dyDescent="0.3">
      <c r="A1728" t="s">
        <v>33</v>
      </c>
      <c r="B1728">
        <f>AVERAGEIF(Sheet1!B:B, A1728, Sheet1!J:J)</f>
        <v>34.873096446700508</v>
      </c>
    </row>
    <row r="1729" spans="1:2" x14ac:dyDescent="0.3">
      <c r="A1729" t="s">
        <v>33</v>
      </c>
      <c r="B1729">
        <f>AVERAGEIF(Sheet1!B:B, A1729, Sheet1!J:J)</f>
        <v>34.873096446700508</v>
      </c>
    </row>
    <row r="1730" spans="1:2" x14ac:dyDescent="0.3">
      <c r="A1730" t="s">
        <v>33</v>
      </c>
      <c r="B1730">
        <f>AVERAGEIF(Sheet1!B:B, A1730, Sheet1!J:J)</f>
        <v>34.873096446700508</v>
      </c>
    </row>
    <row r="1731" spans="1:2" x14ac:dyDescent="0.3">
      <c r="A1731" t="s">
        <v>33</v>
      </c>
      <c r="B1731">
        <f>AVERAGEIF(Sheet1!B:B, A1731, Sheet1!J:J)</f>
        <v>34.873096446700508</v>
      </c>
    </row>
    <row r="1732" spans="1:2" x14ac:dyDescent="0.3">
      <c r="A1732" t="s">
        <v>33</v>
      </c>
      <c r="B1732">
        <f>AVERAGEIF(Sheet1!B:B, A1732, Sheet1!J:J)</f>
        <v>34.873096446700508</v>
      </c>
    </row>
    <row r="1733" spans="1:2" x14ac:dyDescent="0.3">
      <c r="A1733" t="s">
        <v>33</v>
      </c>
      <c r="B1733">
        <f>AVERAGEIF(Sheet1!B:B, A1733, Sheet1!J:J)</f>
        <v>34.873096446700508</v>
      </c>
    </row>
    <row r="1734" spans="1:2" x14ac:dyDescent="0.3">
      <c r="A1734" t="s">
        <v>33</v>
      </c>
      <c r="B1734">
        <f>AVERAGEIF(Sheet1!B:B, A1734, Sheet1!J:J)</f>
        <v>34.873096446700508</v>
      </c>
    </row>
    <row r="1735" spans="1:2" x14ac:dyDescent="0.3">
      <c r="A1735" t="s">
        <v>33</v>
      </c>
      <c r="B1735">
        <f>AVERAGEIF(Sheet1!B:B, A1735, Sheet1!J:J)</f>
        <v>34.873096446700508</v>
      </c>
    </row>
    <row r="1736" spans="1:2" x14ac:dyDescent="0.3">
      <c r="A1736" t="s">
        <v>33</v>
      </c>
      <c r="B1736">
        <f>AVERAGEIF(Sheet1!B:B, A1736, Sheet1!J:J)</f>
        <v>34.873096446700508</v>
      </c>
    </row>
    <row r="1737" spans="1:2" x14ac:dyDescent="0.3">
      <c r="A1737" t="s">
        <v>33</v>
      </c>
      <c r="B1737">
        <f>AVERAGEIF(Sheet1!B:B, A1737, Sheet1!J:J)</f>
        <v>34.873096446700508</v>
      </c>
    </row>
    <row r="1738" spans="1:2" x14ac:dyDescent="0.3">
      <c r="A1738" t="s">
        <v>33</v>
      </c>
      <c r="B1738">
        <f>AVERAGEIF(Sheet1!B:B, A1738, Sheet1!J:J)</f>
        <v>34.873096446700508</v>
      </c>
    </row>
    <row r="1739" spans="1:2" x14ac:dyDescent="0.3">
      <c r="A1739" t="s">
        <v>33</v>
      </c>
      <c r="B1739">
        <f>AVERAGEIF(Sheet1!B:B, A1739, Sheet1!J:J)</f>
        <v>34.873096446700508</v>
      </c>
    </row>
    <row r="1740" spans="1:2" x14ac:dyDescent="0.3">
      <c r="A1740" t="s">
        <v>33</v>
      </c>
      <c r="B1740">
        <f>AVERAGEIF(Sheet1!B:B, A1740, Sheet1!J:J)</f>
        <v>34.873096446700508</v>
      </c>
    </row>
    <row r="1741" spans="1:2" x14ac:dyDescent="0.3">
      <c r="A1741" t="s">
        <v>33</v>
      </c>
      <c r="B1741">
        <f>AVERAGEIF(Sheet1!B:B, A1741, Sheet1!J:J)</f>
        <v>34.873096446700508</v>
      </c>
    </row>
    <row r="1742" spans="1:2" x14ac:dyDescent="0.3">
      <c r="A1742" t="s">
        <v>33</v>
      </c>
      <c r="B1742">
        <f>AVERAGEIF(Sheet1!B:B, A1742, Sheet1!J:J)</f>
        <v>34.873096446700508</v>
      </c>
    </row>
    <row r="1743" spans="1:2" x14ac:dyDescent="0.3">
      <c r="A1743" t="s">
        <v>33</v>
      </c>
      <c r="B1743">
        <f>AVERAGEIF(Sheet1!B:B, A1743, Sheet1!J:J)</f>
        <v>34.873096446700508</v>
      </c>
    </row>
    <row r="1744" spans="1:2" x14ac:dyDescent="0.3">
      <c r="A1744" t="s">
        <v>33</v>
      </c>
      <c r="B1744">
        <f>AVERAGEIF(Sheet1!B:B, A1744, Sheet1!J:J)</f>
        <v>34.873096446700508</v>
      </c>
    </row>
    <row r="1745" spans="1:2" x14ac:dyDescent="0.3">
      <c r="A1745" t="s">
        <v>33</v>
      </c>
      <c r="B1745">
        <f>AVERAGEIF(Sheet1!B:B, A1745, Sheet1!J:J)</f>
        <v>34.873096446700508</v>
      </c>
    </row>
    <row r="1746" spans="1:2" x14ac:dyDescent="0.3">
      <c r="A1746" t="s">
        <v>33</v>
      </c>
      <c r="B1746">
        <f>AVERAGEIF(Sheet1!B:B, A1746, Sheet1!J:J)</f>
        <v>34.873096446700508</v>
      </c>
    </row>
    <row r="1747" spans="1:2" x14ac:dyDescent="0.3">
      <c r="A1747" t="s">
        <v>33</v>
      </c>
      <c r="B1747">
        <f>AVERAGEIF(Sheet1!B:B, A1747, Sheet1!J:J)</f>
        <v>34.873096446700508</v>
      </c>
    </row>
    <row r="1748" spans="1:2" x14ac:dyDescent="0.3">
      <c r="A1748" t="s">
        <v>33</v>
      </c>
      <c r="B1748">
        <f>AVERAGEIF(Sheet1!B:B, A1748, Sheet1!J:J)</f>
        <v>34.873096446700508</v>
      </c>
    </row>
    <row r="1749" spans="1:2" x14ac:dyDescent="0.3">
      <c r="A1749" t="s">
        <v>33</v>
      </c>
      <c r="B1749">
        <f>AVERAGEIF(Sheet1!B:B, A1749, Sheet1!J:J)</f>
        <v>34.873096446700508</v>
      </c>
    </row>
    <row r="1750" spans="1:2" x14ac:dyDescent="0.3">
      <c r="A1750" t="s">
        <v>35</v>
      </c>
      <c r="B1750">
        <f>AVERAGEIF(Sheet1!B:B, A1750, Sheet1!J:J)</f>
        <v>51.028169014084504</v>
      </c>
    </row>
    <row r="1751" spans="1:2" x14ac:dyDescent="0.3">
      <c r="A1751" t="s">
        <v>35</v>
      </c>
      <c r="B1751">
        <f>AVERAGEIF(Sheet1!B:B, A1751, Sheet1!J:J)</f>
        <v>51.028169014084504</v>
      </c>
    </row>
    <row r="1752" spans="1:2" x14ac:dyDescent="0.3">
      <c r="A1752" t="s">
        <v>35</v>
      </c>
      <c r="B1752">
        <f>AVERAGEIF(Sheet1!B:B, A1752, Sheet1!J:J)</f>
        <v>51.028169014084504</v>
      </c>
    </row>
    <row r="1753" spans="1:2" x14ac:dyDescent="0.3">
      <c r="A1753" t="s">
        <v>35</v>
      </c>
      <c r="B1753">
        <f>AVERAGEIF(Sheet1!B:B, A1753, Sheet1!J:J)</f>
        <v>51.028169014084504</v>
      </c>
    </row>
    <row r="1754" spans="1:2" x14ac:dyDescent="0.3">
      <c r="A1754" t="s">
        <v>35</v>
      </c>
      <c r="B1754">
        <f>AVERAGEIF(Sheet1!B:B, A1754, Sheet1!J:J)</f>
        <v>51.028169014084504</v>
      </c>
    </row>
    <row r="1755" spans="1:2" x14ac:dyDescent="0.3">
      <c r="A1755" t="s">
        <v>35</v>
      </c>
      <c r="B1755">
        <f>AVERAGEIF(Sheet1!B:B, A1755, Sheet1!J:J)</f>
        <v>51.028169014084504</v>
      </c>
    </row>
    <row r="1756" spans="1:2" x14ac:dyDescent="0.3">
      <c r="A1756" t="s">
        <v>35</v>
      </c>
      <c r="B1756">
        <f>AVERAGEIF(Sheet1!B:B, A1756, Sheet1!J:J)</f>
        <v>51.028169014084504</v>
      </c>
    </row>
    <row r="1757" spans="1:2" x14ac:dyDescent="0.3">
      <c r="A1757" t="s">
        <v>35</v>
      </c>
      <c r="B1757">
        <f>AVERAGEIF(Sheet1!B:B, A1757, Sheet1!J:J)</f>
        <v>51.028169014084504</v>
      </c>
    </row>
    <row r="1758" spans="1:2" x14ac:dyDescent="0.3">
      <c r="A1758" t="s">
        <v>35</v>
      </c>
      <c r="B1758">
        <f>AVERAGEIF(Sheet1!B:B, A1758, Sheet1!J:J)</f>
        <v>51.028169014084504</v>
      </c>
    </row>
    <row r="1759" spans="1:2" x14ac:dyDescent="0.3">
      <c r="A1759" t="s">
        <v>35</v>
      </c>
      <c r="B1759">
        <f>AVERAGEIF(Sheet1!B:B, A1759, Sheet1!J:J)</f>
        <v>51.028169014084504</v>
      </c>
    </row>
    <row r="1760" spans="1:2" x14ac:dyDescent="0.3">
      <c r="A1760" t="s">
        <v>33</v>
      </c>
      <c r="B1760">
        <f>AVERAGEIF(Sheet1!B:B, A1760, Sheet1!J:J)</f>
        <v>34.873096446700508</v>
      </c>
    </row>
    <row r="1761" spans="1:2" x14ac:dyDescent="0.3">
      <c r="A1761" t="s">
        <v>33</v>
      </c>
      <c r="B1761">
        <f>AVERAGEIF(Sheet1!B:B, A1761, Sheet1!J:J)</f>
        <v>34.873096446700508</v>
      </c>
    </row>
    <row r="1762" spans="1:2" x14ac:dyDescent="0.3">
      <c r="A1762" t="s">
        <v>33</v>
      </c>
      <c r="B1762">
        <f>AVERAGEIF(Sheet1!B:B, A1762, Sheet1!J:J)</f>
        <v>34.873096446700508</v>
      </c>
    </row>
    <row r="1763" spans="1:2" x14ac:dyDescent="0.3">
      <c r="A1763" t="s">
        <v>33</v>
      </c>
      <c r="B1763">
        <f>AVERAGEIF(Sheet1!B:B, A1763, Sheet1!J:J)</f>
        <v>34.873096446700508</v>
      </c>
    </row>
    <row r="1764" spans="1:2" x14ac:dyDescent="0.3">
      <c r="A1764" t="s">
        <v>33</v>
      </c>
      <c r="B1764">
        <f>AVERAGEIF(Sheet1!B:B, A1764, Sheet1!J:J)</f>
        <v>34.873096446700508</v>
      </c>
    </row>
    <row r="1765" spans="1:2" x14ac:dyDescent="0.3">
      <c r="A1765" t="s">
        <v>35</v>
      </c>
      <c r="B1765">
        <f>AVERAGEIF(Sheet1!B:B, A1765, Sheet1!J:J)</f>
        <v>51.028169014084504</v>
      </c>
    </row>
    <row r="1766" spans="1:2" x14ac:dyDescent="0.3">
      <c r="A1766" t="s">
        <v>35</v>
      </c>
      <c r="B1766">
        <f>AVERAGEIF(Sheet1!B:B, A1766, Sheet1!J:J)</f>
        <v>51.028169014084504</v>
      </c>
    </row>
    <row r="1767" spans="1:2" x14ac:dyDescent="0.3">
      <c r="A1767" t="s">
        <v>35</v>
      </c>
      <c r="B1767">
        <f>AVERAGEIF(Sheet1!B:B, A1767, Sheet1!J:J)</f>
        <v>51.028169014084504</v>
      </c>
    </row>
    <row r="1768" spans="1:2" x14ac:dyDescent="0.3">
      <c r="A1768" t="s">
        <v>35</v>
      </c>
      <c r="B1768">
        <f>AVERAGEIF(Sheet1!B:B, A1768, Sheet1!J:J)</f>
        <v>51.028169014084504</v>
      </c>
    </row>
    <row r="1769" spans="1:2" x14ac:dyDescent="0.3">
      <c r="A1769" t="s">
        <v>35</v>
      </c>
      <c r="B1769">
        <f>AVERAGEIF(Sheet1!B:B, A1769, Sheet1!J:J)</f>
        <v>51.028169014084504</v>
      </c>
    </row>
    <row r="1770" spans="1:2" x14ac:dyDescent="0.3">
      <c r="A1770" t="s">
        <v>35</v>
      </c>
      <c r="B1770">
        <f>AVERAGEIF(Sheet1!B:B, A1770, Sheet1!J:J)</f>
        <v>51.028169014084504</v>
      </c>
    </row>
    <row r="1771" spans="1:2" x14ac:dyDescent="0.3">
      <c r="A1771" t="s">
        <v>33</v>
      </c>
      <c r="B1771">
        <f>AVERAGEIF(Sheet1!B:B, A1771, Sheet1!J:J)</f>
        <v>34.873096446700508</v>
      </c>
    </row>
    <row r="1772" spans="1:2" x14ac:dyDescent="0.3">
      <c r="A1772" t="s">
        <v>33</v>
      </c>
      <c r="B1772">
        <f>AVERAGEIF(Sheet1!B:B, A1772, Sheet1!J:J)</f>
        <v>34.873096446700508</v>
      </c>
    </row>
    <row r="1773" spans="1:2" x14ac:dyDescent="0.3">
      <c r="A1773" t="s">
        <v>33</v>
      </c>
      <c r="B1773">
        <f>AVERAGEIF(Sheet1!B:B, A1773, Sheet1!J:J)</f>
        <v>34.873096446700508</v>
      </c>
    </row>
    <row r="1774" spans="1:2" x14ac:dyDescent="0.3">
      <c r="A1774" t="s">
        <v>33</v>
      </c>
      <c r="B1774">
        <f>AVERAGEIF(Sheet1!B:B, A1774, Sheet1!J:J)</f>
        <v>34.873096446700508</v>
      </c>
    </row>
    <row r="1775" spans="1:2" x14ac:dyDescent="0.3">
      <c r="A1775" t="s">
        <v>36</v>
      </c>
      <c r="B1775">
        <f>AVERAGEIF(Sheet1!B:B, A1775, Sheet1!J:J)</f>
        <v>109.23547400611621</v>
      </c>
    </row>
    <row r="1776" spans="1:2" x14ac:dyDescent="0.3">
      <c r="A1776" t="s">
        <v>36</v>
      </c>
      <c r="B1776">
        <f>AVERAGEIF(Sheet1!B:B, A1776, Sheet1!J:J)</f>
        <v>109.23547400611621</v>
      </c>
    </row>
    <row r="1777" spans="1:2" x14ac:dyDescent="0.3">
      <c r="A1777" t="s">
        <v>36</v>
      </c>
      <c r="B1777">
        <f>AVERAGEIF(Sheet1!B:B, A1777, Sheet1!J:J)</f>
        <v>109.23547400611621</v>
      </c>
    </row>
    <row r="1778" spans="1:2" x14ac:dyDescent="0.3">
      <c r="A1778" t="s">
        <v>35</v>
      </c>
      <c r="B1778">
        <f>AVERAGEIF(Sheet1!B:B, A1778, Sheet1!J:J)</f>
        <v>51.028169014084504</v>
      </c>
    </row>
    <row r="1779" spans="1:2" x14ac:dyDescent="0.3">
      <c r="A1779" t="s">
        <v>35</v>
      </c>
      <c r="B1779">
        <f>AVERAGEIF(Sheet1!B:B, A1779, Sheet1!J:J)</f>
        <v>51.028169014084504</v>
      </c>
    </row>
    <row r="1780" spans="1:2" x14ac:dyDescent="0.3">
      <c r="A1780" t="s">
        <v>36</v>
      </c>
      <c r="B1780">
        <f>AVERAGEIF(Sheet1!B:B, A1780, Sheet1!J:J)</f>
        <v>109.23547400611621</v>
      </c>
    </row>
    <row r="1781" spans="1:2" x14ac:dyDescent="0.3">
      <c r="A1781" t="s">
        <v>36</v>
      </c>
      <c r="B1781">
        <f>AVERAGEIF(Sheet1!B:B, A1781, Sheet1!J:J)</f>
        <v>109.23547400611621</v>
      </c>
    </row>
    <row r="1782" spans="1:2" x14ac:dyDescent="0.3">
      <c r="A1782" t="s">
        <v>36</v>
      </c>
      <c r="B1782">
        <f>AVERAGEIF(Sheet1!B:B, A1782, Sheet1!J:J)</f>
        <v>109.23547400611621</v>
      </c>
    </row>
    <row r="1783" spans="1:2" x14ac:dyDescent="0.3">
      <c r="A1783" t="s">
        <v>36</v>
      </c>
      <c r="B1783">
        <f>AVERAGEIF(Sheet1!B:B, A1783, Sheet1!J:J)</f>
        <v>109.23547400611621</v>
      </c>
    </row>
    <row r="1784" spans="1:2" x14ac:dyDescent="0.3">
      <c r="A1784" t="s">
        <v>36</v>
      </c>
      <c r="B1784">
        <f>AVERAGEIF(Sheet1!B:B, A1784, Sheet1!J:J)</f>
        <v>109.23547400611621</v>
      </c>
    </row>
    <row r="1785" spans="1:2" x14ac:dyDescent="0.3">
      <c r="A1785" t="s">
        <v>36</v>
      </c>
      <c r="B1785">
        <f>AVERAGEIF(Sheet1!B:B, A1785, Sheet1!J:J)</f>
        <v>109.23547400611621</v>
      </c>
    </row>
    <row r="1786" spans="1:2" x14ac:dyDescent="0.3">
      <c r="A1786" t="s">
        <v>36</v>
      </c>
      <c r="B1786">
        <f>AVERAGEIF(Sheet1!B:B, A1786, Sheet1!J:J)</f>
        <v>109.23547400611621</v>
      </c>
    </row>
    <row r="1787" spans="1:2" x14ac:dyDescent="0.3">
      <c r="A1787" t="s">
        <v>36</v>
      </c>
      <c r="B1787">
        <f>AVERAGEIF(Sheet1!B:B, A1787, Sheet1!J:J)</f>
        <v>109.23547400611621</v>
      </c>
    </row>
    <row r="1788" spans="1:2" x14ac:dyDescent="0.3">
      <c r="A1788" t="s">
        <v>36</v>
      </c>
      <c r="B1788">
        <f>AVERAGEIF(Sheet1!B:B, A1788, Sheet1!J:J)</f>
        <v>109.23547400611621</v>
      </c>
    </row>
    <row r="1789" spans="1:2" x14ac:dyDescent="0.3">
      <c r="A1789" t="s">
        <v>36</v>
      </c>
      <c r="B1789">
        <f>AVERAGEIF(Sheet1!B:B, A1789, Sheet1!J:J)</f>
        <v>109.23547400611621</v>
      </c>
    </row>
    <row r="1790" spans="1:2" x14ac:dyDescent="0.3">
      <c r="A1790" t="s">
        <v>36</v>
      </c>
      <c r="B1790">
        <f>AVERAGEIF(Sheet1!B:B, A1790, Sheet1!J:J)</f>
        <v>109.23547400611621</v>
      </c>
    </row>
    <row r="1791" spans="1:2" x14ac:dyDescent="0.3">
      <c r="A1791" t="s">
        <v>36</v>
      </c>
      <c r="B1791">
        <f>AVERAGEIF(Sheet1!B:B, A1791, Sheet1!J:J)</f>
        <v>109.23547400611621</v>
      </c>
    </row>
    <row r="1792" spans="1:2" x14ac:dyDescent="0.3">
      <c r="A1792" t="s">
        <v>36</v>
      </c>
      <c r="B1792">
        <f>AVERAGEIF(Sheet1!B:B, A1792, Sheet1!J:J)</f>
        <v>109.23547400611621</v>
      </c>
    </row>
    <row r="1793" spans="1:2" x14ac:dyDescent="0.3">
      <c r="A1793" t="s">
        <v>36</v>
      </c>
      <c r="B1793">
        <f>AVERAGEIF(Sheet1!B:B, A1793, Sheet1!J:J)</f>
        <v>109.23547400611621</v>
      </c>
    </row>
    <row r="1794" spans="1:2" x14ac:dyDescent="0.3">
      <c r="A1794" t="s">
        <v>36</v>
      </c>
      <c r="B1794">
        <f>AVERAGEIF(Sheet1!B:B, A1794, Sheet1!J:J)</f>
        <v>109.23547400611621</v>
      </c>
    </row>
    <row r="1795" spans="1:2" x14ac:dyDescent="0.3">
      <c r="A1795" t="s">
        <v>36</v>
      </c>
      <c r="B1795">
        <f>AVERAGEIF(Sheet1!B:B, A1795, Sheet1!J:J)</f>
        <v>109.23547400611621</v>
      </c>
    </row>
    <row r="1796" spans="1:2" x14ac:dyDescent="0.3">
      <c r="A1796" t="s">
        <v>36</v>
      </c>
      <c r="B1796">
        <f>AVERAGEIF(Sheet1!B:B, A1796, Sheet1!J:J)</f>
        <v>109.23547400611621</v>
      </c>
    </row>
    <row r="1797" spans="1:2" x14ac:dyDescent="0.3">
      <c r="A1797" t="s">
        <v>36</v>
      </c>
      <c r="B1797">
        <f>AVERAGEIF(Sheet1!B:B, A1797, Sheet1!J:J)</f>
        <v>109.23547400611621</v>
      </c>
    </row>
    <row r="1798" spans="1:2" x14ac:dyDescent="0.3">
      <c r="A1798" t="s">
        <v>36</v>
      </c>
      <c r="B1798">
        <f>AVERAGEIF(Sheet1!B:B, A1798, Sheet1!J:J)</f>
        <v>109.23547400611621</v>
      </c>
    </row>
    <row r="1799" spans="1:2" x14ac:dyDescent="0.3">
      <c r="A1799" t="s">
        <v>36</v>
      </c>
      <c r="B1799">
        <f>AVERAGEIF(Sheet1!B:B, A1799, Sheet1!J:J)</f>
        <v>109.23547400611621</v>
      </c>
    </row>
    <row r="1800" spans="1:2" x14ac:dyDescent="0.3">
      <c r="A1800" t="s">
        <v>36</v>
      </c>
      <c r="B1800">
        <f>AVERAGEIF(Sheet1!B:B, A1800, Sheet1!J:J)</f>
        <v>109.23547400611621</v>
      </c>
    </row>
    <row r="1801" spans="1:2" x14ac:dyDescent="0.3">
      <c r="A1801" t="s">
        <v>36</v>
      </c>
      <c r="B1801">
        <f>AVERAGEIF(Sheet1!B:B, A1801, Sheet1!J:J)</f>
        <v>109.23547400611621</v>
      </c>
    </row>
    <row r="1802" spans="1:2" x14ac:dyDescent="0.3">
      <c r="A1802" t="s">
        <v>36</v>
      </c>
      <c r="B1802">
        <f>AVERAGEIF(Sheet1!B:B, A1802, Sheet1!J:J)</f>
        <v>109.23547400611621</v>
      </c>
    </row>
    <row r="1803" spans="1:2" x14ac:dyDescent="0.3">
      <c r="A1803" t="s">
        <v>36</v>
      </c>
      <c r="B1803">
        <f>AVERAGEIF(Sheet1!B:B, A1803, Sheet1!J:J)</f>
        <v>109.23547400611621</v>
      </c>
    </row>
    <row r="1804" spans="1:2" x14ac:dyDescent="0.3">
      <c r="A1804" t="s">
        <v>36</v>
      </c>
      <c r="B1804">
        <f>AVERAGEIF(Sheet1!B:B, A1804, Sheet1!J:J)</f>
        <v>109.23547400611621</v>
      </c>
    </row>
    <row r="1805" spans="1:2" x14ac:dyDescent="0.3">
      <c r="A1805" t="s">
        <v>36</v>
      </c>
      <c r="B1805">
        <f>AVERAGEIF(Sheet1!B:B, A1805, Sheet1!J:J)</f>
        <v>109.23547400611621</v>
      </c>
    </row>
    <row r="1806" spans="1:2" x14ac:dyDescent="0.3">
      <c r="A1806" t="s">
        <v>36</v>
      </c>
      <c r="B1806">
        <f>AVERAGEIF(Sheet1!B:B, A1806, Sheet1!J:J)</f>
        <v>109.23547400611621</v>
      </c>
    </row>
    <row r="1807" spans="1:2" x14ac:dyDescent="0.3">
      <c r="A1807" t="s">
        <v>36</v>
      </c>
      <c r="B1807">
        <f>AVERAGEIF(Sheet1!B:B, A1807, Sheet1!J:J)</f>
        <v>109.23547400611621</v>
      </c>
    </row>
    <row r="1808" spans="1:2" x14ac:dyDescent="0.3">
      <c r="A1808" t="s">
        <v>36</v>
      </c>
      <c r="B1808">
        <f>AVERAGEIF(Sheet1!B:B, A1808, Sheet1!J:J)</f>
        <v>109.23547400611621</v>
      </c>
    </row>
    <row r="1809" spans="1:2" x14ac:dyDescent="0.3">
      <c r="A1809" t="s">
        <v>36</v>
      </c>
      <c r="B1809">
        <f>AVERAGEIF(Sheet1!B:B, A1809, Sheet1!J:J)</f>
        <v>109.23547400611621</v>
      </c>
    </row>
    <row r="1810" spans="1:2" x14ac:dyDescent="0.3">
      <c r="A1810" t="s">
        <v>36</v>
      </c>
      <c r="B1810">
        <f>AVERAGEIF(Sheet1!B:B, A1810, Sheet1!J:J)</f>
        <v>109.23547400611621</v>
      </c>
    </row>
    <row r="1811" spans="1:2" x14ac:dyDescent="0.3">
      <c r="A1811" t="s">
        <v>36</v>
      </c>
      <c r="B1811">
        <f>AVERAGEIF(Sheet1!B:B, A1811, Sheet1!J:J)</f>
        <v>109.23547400611621</v>
      </c>
    </row>
    <row r="1812" spans="1:2" x14ac:dyDescent="0.3">
      <c r="A1812" t="s">
        <v>36</v>
      </c>
      <c r="B1812">
        <f>AVERAGEIF(Sheet1!B:B, A1812, Sheet1!J:J)</f>
        <v>109.23547400611621</v>
      </c>
    </row>
    <row r="1813" spans="1:2" x14ac:dyDescent="0.3">
      <c r="A1813" t="s">
        <v>36</v>
      </c>
      <c r="B1813">
        <f>AVERAGEIF(Sheet1!B:B, A1813, Sheet1!J:J)</f>
        <v>109.23547400611621</v>
      </c>
    </row>
    <row r="1814" spans="1:2" x14ac:dyDescent="0.3">
      <c r="A1814" t="s">
        <v>36</v>
      </c>
      <c r="B1814">
        <f>AVERAGEIF(Sheet1!B:B, A1814, Sheet1!J:J)</f>
        <v>109.23547400611621</v>
      </c>
    </row>
    <row r="1815" spans="1:2" x14ac:dyDescent="0.3">
      <c r="A1815" t="s">
        <v>36</v>
      </c>
      <c r="B1815">
        <f>AVERAGEIF(Sheet1!B:B, A1815, Sheet1!J:J)</f>
        <v>109.23547400611621</v>
      </c>
    </row>
    <row r="1816" spans="1:2" x14ac:dyDescent="0.3">
      <c r="A1816" t="s">
        <v>36</v>
      </c>
      <c r="B1816">
        <f>AVERAGEIF(Sheet1!B:B, A1816, Sheet1!J:J)</f>
        <v>109.23547400611621</v>
      </c>
    </row>
    <row r="1817" spans="1:2" x14ac:dyDescent="0.3">
      <c r="A1817" t="s">
        <v>36</v>
      </c>
      <c r="B1817">
        <f>AVERAGEIF(Sheet1!B:B, A1817, Sheet1!J:J)</f>
        <v>109.23547400611621</v>
      </c>
    </row>
    <row r="1818" spans="1:2" x14ac:dyDescent="0.3">
      <c r="A1818" t="s">
        <v>36</v>
      </c>
      <c r="B1818">
        <f>AVERAGEIF(Sheet1!B:B, A1818, Sheet1!J:J)</f>
        <v>109.23547400611621</v>
      </c>
    </row>
    <row r="1819" spans="1:2" x14ac:dyDescent="0.3">
      <c r="A1819" t="s">
        <v>36</v>
      </c>
      <c r="B1819">
        <f>AVERAGEIF(Sheet1!B:B, A1819, Sheet1!J:J)</f>
        <v>109.23547400611621</v>
      </c>
    </row>
    <row r="1820" spans="1:2" x14ac:dyDescent="0.3">
      <c r="A1820" t="s">
        <v>36</v>
      </c>
      <c r="B1820">
        <f>AVERAGEIF(Sheet1!B:B, A1820, Sheet1!J:J)</f>
        <v>109.23547400611621</v>
      </c>
    </row>
    <row r="1821" spans="1:2" x14ac:dyDescent="0.3">
      <c r="A1821" t="s">
        <v>36</v>
      </c>
      <c r="B1821">
        <f>AVERAGEIF(Sheet1!B:B, A1821, Sheet1!J:J)</f>
        <v>109.23547400611621</v>
      </c>
    </row>
    <row r="1822" spans="1:2" x14ac:dyDescent="0.3">
      <c r="A1822" t="s">
        <v>36</v>
      </c>
      <c r="B1822">
        <f>AVERAGEIF(Sheet1!B:B, A1822, Sheet1!J:J)</f>
        <v>109.23547400611621</v>
      </c>
    </row>
    <row r="1823" spans="1:2" x14ac:dyDescent="0.3">
      <c r="A1823" t="s">
        <v>36</v>
      </c>
      <c r="B1823">
        <f>AVERAGEIF(Sheet1!B:B, A1823, Sheet1!J:J)</f>
        <v>109.23547400611621</v>
      </c>
    </row>
    <row r="1824" spans="1:2" x14ac:dyDescent="0.3">
      <c r="A1824" t="s">
        <v>36</v>
      </c>
      <c r="B1824">
        <f>AVERAGEIF(Sheet1!B:B, A1824, Sheet1!J:J)</f>
        <v>109.23547400611621</v>
      </c>
    </row>
    <row r="1825" spans="1:2" x14ac:dyDescent="0.3">
      <c r="A1825" t="s">
        <v>36</v>
      </c>
      <c r="B1825">
        <f>AVERAGEIF(Sheet1!B:B, A1825, Sheet1!J:J)</f>
        <v>109.23547400611621</v>
      </c>
    </row>
    <row r="1826" spans="1:2" x14ac:dyDescent="0.3">
      <c r="A1826" t="s">
        <v>36</v>
      </c>
      <c r="B1826">
        <f>AVERAGEIF(Sheet1!B:B, A1826, Sheet1!J:J)</f>
        <v>109.23547400611621</v>
      </c>
    </row>
    <row r="1827" spans="1:2" x14ac:dyDescent="0.3">
      <c r="A1827" t="s">
        <v>36</v>
      </c>
      <c r="B1827">
        <f>AVERAGEIF(Sheet1!B:B, A1827, Sheet1!J:J)</f>
        <v>109.23547400611621</v>
      </c>
    </row>
    <row r="1828" spans="1:2" x14ac:dyDescent="0.3">
      <c r="A1828" t="s">
        <v>36</v>
      </c>
      <c r="B1828">
        <f>AVERAGEIF(Sheet1!B:B, A1828, Sheet1!J:J)</f>
        <v>109.23547400611621</v>
      </c>
    </row>
    <row r="1829" spans="1:2" x14ac:dyDescent="0.3">
      <c r="A1829" t="s">
        <v>36</v>
      </c>
      <c r="B1829">
        <f>AVERAGEIF(Sheet1!B:B, A1829, Sheet1!J:J)</f>
        <v>109.23547400611621</v>
      </c>
    </row>
    <row r="1830" spans="1:2" x14ac:dyDescent="0.3">
      <c r="A1830" t="s">
        <v>36</v>
      </c>
      <c r="B1830">
        <f>AVERAGEIF(Sheet1!B:B, A1830, Sheet1!J:J)</f>
        <v>109.23547400611621</v>
      </c>
    </row>
    <row r="1831" spans="1:2" x14ac:dyDescent="0.3">
      <c r="A1831" t="s">
        <v>36</v>
      </c>
      <c r="B1831">
        <f>AVERAGEIF(Sheet1!B:B, A1831, Sheet1!J:J)</f>
        <v>109.23547400611621</v>
      </c>
    </row>
    <row r="1832" spans="1:2" x14ac:dyDescent="0.3">
      <c r="A1832" t="s">
        <v>38</v>
      </c>
      <c r="B1832">
        <f>AVERAGEIF(Sheet1!B:B, A1832, Sheet1!J:J)</f>
        <v>67.710144927536234</v>
      </c>
    </row>
    <row r="1833" spans="1:2" x14ac:dyDescent="0.3">
      <c r="A1833" t="s">
        <v>38</v>
      </c>
      <c r="B1833">
        <f>AVERAGEIF(Sheet1!B:B, A1833, Sheet1!J:J)</f>
        <v>67.710144927536234</v>
      </c>
    </row>
    <row r="1834" spans="1:2" x14ac:dyDescent="0.3">
      <c r="A1834" t="s">
        <v>38</v>
      </c>
      <c r="B1834">
        <f>AVERAGEIF(Sheet1!B:B, A1834, Sheet1!J:J)</f>
        <v>67.710144927536234</v>
      </c>
    </row>
    <row r="1835" spans="1:2" x14ac:dyDescent="0.3">
      <c r="A1835" t="s">
        <v>38</v>
      </c>
      <c r="B1835">
        <f>AVERAGEIF(Sheet1!B:B, A1835, Sheet1!J:J)</f>
        <v>67.710144927536234</v>
      </c>
    </row>
    <row r="1836" spans="1:2" x14ac:dyDescent="0.3">
      <c r="A1836" t="s">
        <v>38</v>
      </c>
      <c r="B1836">
        <f>AVERAGEIF(Sheet1!B:B, A1836, Sheet1!J:J)</f>
        <v>67.710144927536234</v>
      </c>
    </row>
    <row r="1837" spans="1:2" x14ac:dyDescent="0.3">
      <c r="A1837" t="s">
        <v>38</v>
      </c>
      <c r="B1837">
        <f>AVERAGEIF(Sheet1!B:B, A1837, Sheet1!J:J)</f>
        <v>67.710144927536234</v>
      </c>
    </row>
    <row r="1838" spans="1:2" x14ac:dyDescent="0.3">
      <c r="A1838" t="s">
        <v>38</v>
      </c>
      <c r="B1838">
        <f>AVERAGEIF(Sheet1!B:B, A1838, Sheet1!J:J)</f>
        <v>67.710144927536234</v>
      </c>
    </row>
    <row r="1839" spans="1:2" x14ac:dyDescent="0.3">
      <c r="A1839" t="s">
        <v>38</v>
      </c>
      <c r="B1839">
        <f>AVERAGEIF(Sheet1!B:B, A1839, Sheet1!J:J)</f>
        <v>67.710144927536234</v>
      </c>
    </row>
    <row r="1840" spans="1:2" x14ac:dyDescent="0.3">
      <c r="A1840" t="s">
        <v>38</v>
      </c>
      <c r="B1840">
        <f>AVERAGEIF(Sheet1!B:B, A1840, Sheet1!J:J)</f>
        <v>67.710144927536234</v>
      </c>
    </row>
    <row r="1841" spans="1:2" x14ac:dyDescent="0.3">
      <c r="A1841" t="s">
        <v>38</v>
      </c>
      <c r="B1841">
        <f>AVERAGEIF(Sheet1!B:B, A1841, Sheet1!J:J)</f>
        <v>67.710144927536234</v>
      </c>
    </row>
    <row r="1842" spans="1:2" x14ac:dyDescent="0.3">
      <c r="A1842" t="s">
        <v>38</v>
      </c>
      <c r="B1842">
        <f>AVERAGEIF(Sheet1!B:B, A1842, Sheet1!J:J)</f>
        <v>67.710144927536234</v>
      </c>
    </row>
    <row r="1843" spans="1:2" x14ac:dyDescent="0.3">
      <c r="A1843" t="s">
        <v>38</v>
      </c>
      <c r="B1843">
        <f>AVERAGEIF(Sheet1!B:B, A1843, Sheet1!J:J)</f>
        <v>67.710144927536234</v>
      </c>
    </row>
    <row r="1844" spans="1:2" x14ac:dyDescent="0.3">
      <c r="A1844" t="s">
        <v>36</v>
      </c>
      <c r="B1844">
        <f>AVERAGEIF(Sheet1!B:B, A1844, Sheet1!J:J)</f>
        <v>109.23547400611621</v>
      </c>
    </row>
    <row r="1845" spans="1:2" x14ac:dyDescent="0.3">
      <c r="A1845" t="s">
        <v>37</v>
      </c>
      <c r="B1845">
        <f>AVERAGEIF(Sheet1!B:B, A1845, Sheet1!J:J)</f>
        <v>82.95</v>
      </c>
    </row>
    <row r="1846" spans="1:2" x14ac:dyDescent="0.3">
      <c r="A1846" t="s">
        <v>37</v>
      </c>
      <c r="B1846">
        <f>AVERAGEIF(Sheet1!B:B, A1846, Sheet1!J:J)</f>
        <v>82.95</v>
      </c>
    </row>
    <row r="1847" spans="1:2" x14ac:dyDescent="0.3">
      <c r="A1847" t="s">
        <v>37</v>
      </c>
      <c r="B1847">
        <f>AVERAGEIF(Sheet1!B:B, A1847, Sheet1!J:J)</f>
        <v>82.95</v>
      </c>
    </row>
    <row r="1848" spans="1:2" x14ac:dyDescent="0.3">
      <c r="A1848" t="s">
        <v>37</v>
      </c>
      <c r="B1848">
        <f>AVERAGEIF(Sheet1!B:B, A1848, Sheet1!J:J)</f>
        <v>82.95</v>
      </c>
    </row>
    <row r="1849" spans="1:2" x14ac:dyDescent="0.3">
      <c r="A1849" t="s">
        <v>38</v>
      </c>
      <c r="B1849">
        <f>AVERAGEIF(Sheet1!B:B, A1849, Sheet1!J:J)</f>
        <v>67.710144927536234</v>
      </c>
    </row>
    <row r="1850" spans="1:2" x14ac:dyDescent="0.3">
      <c r="A1850" t="s">
        <v>38</v>
      </c>
      <c r="B1850">
        <f>AVERAGEIF(Sheet1!B:B, A1850, Sheet1!J:J)</f>
        <v>67.710144927536234</v>
      </c>
    </row>
    <row r="1851" spans="1:2" x14ac:dyDescent="0.3">
      <c r="A1851" t="s">
        <v>38</v>
      </c>
      <c r="B1851">
        <f>AVERAGEIF(Sheet1!B:B, A1851, Sheet1!J:J)</f>
        <v>67.710144927536234</v>
      </c>
    </row>
    <row r="1852" spans="1:2" x14ac:dyDescent="0.3">
      <c r="A1852" t="s">
        <v>38</v>
      </c>
      <c r="B1852">
        <f>AVERAGEIF(Sheet1!B:B, A1852, Sheet1!J:J)</f>
        <v>67.710144927536234</v>
      </c>
    </row>
    <row r="1853" spans="1:2" x14ac:dyDescent="0.3">
      <c r="A1853" t="s">
        <v>37</v>
      </c>
      <c r="B1853">
        <f>AVERAGEIF(Sheet1!B:B, A1853, Sheet1!J:J)</f>
        <v>82.95</v>
      </c>
    </row>
    <row r="1854" spans="1:2" x14ac:dyDescent="0.3">
      <c r="A1854" t="s">
        <v>38</v>
      </c>
      <c r="B1854">
        <f>AVERAGEIF(Sheet1!B:B, A1854, Sheet1!J:J)</f>
        <v>67.710144927536234</v>
      </c>
    </row>
    <row r="1855" spans="1:2" x14ac:dyDescent="0.3">
      <c r="A1855" t="s">
        <v>36</v>
      </c>
      <c r="B1855">
        <f>AVERAGEIF(Sheet1!B:B, A1855, Sheet1!J:J)</f>
        <v>109.23547400611621</v>
      </c>
    </row>
    <row r="1856" spans="1:2" x14ac:dyDescent="0.3">
      <c r="A1856" t="s">
        <v>38</v>
      </c>
      <c r="B1856">
        <f>AVERAGEIF(Sheet1!B:B, A1856, Sheet1!J:J)</f>
        <v>67.710144927536234</v>
      </c>
    </row>
    <row r="1857" spans="1:2" x14ac:dyDescent="0.3">
      <c r="A1857" t="s">
        <v>38</v>
      </c>
      <c r="B1857">
        <f>AVERAGEIF(Sheet1!B:B, A1857, Sheet1!J:J)</f>
        <v>67.710144927536234</v>
      </c>
    </row>
    <row r="1858" spans="1:2" x14ac:dyDescent="0.3">
      <c r="A1858" t="s">
        <v>38</v>
      </c>
      <c r="B1858">
        <f>AVERAGEIF(Sheet1!B:B, A1858, Sheet1!J:J)</f>
        <v>67.710144927536234</v>
      </c>
    </row>
    <row r="1859" spans="1:2" x14ac:dyDescent="0.3">
      <c r="A1859" t="s">
        <v>38</v>
      </c>
      <c r="B1859">
        <f>AVERAGEIF(Sheet1!B:B, A1859, Sheet1!J:J)</f>
        <v>67.710144927536234</v>
      </c>
    </row>
    <row r="1860" spans="1:2" x14ac:dyDescent="0.3">
      <c r="A1860" t="s">
        <v>38</v>
      </c>
      <c r="B1860">
        <f>AVERAGEIF(Sheet1!B:B, A1860, Sheet1!J:J)</f>
        <v>67.710144927536234</v>
      </c>
    </row>
    <row r="1861" spans="1:2" x14ac:dyDescent="0.3">
      <c r="A1861" t="s">
        <v>38</v>
      </c>
      <c r="B1861">
        <f>AVERAGEIF(Sheet1!B:B, A1861, Sheet1!J:J)</f>
        <v>67.710144927536234</v>
      </c>
    </row>
    <row r="1862" spans="1:2" x14ac:dyDescent="0.3">
      <c r="A1862" t="s">
        <v>38</v>
      </c>
      <c r="B1862">
        <f>AVERAGEIF(Sheet1!B:B, A1862, Sheet1!J:J)</f>
        <v>67.710144927536234</v>
      </c>
    </row>
    <row r="1863" spans="1:2" x14ac:dyDescent="0.3">
      <c r="A1863" t="s">
        <v>38</v>
      </c>
      <c r="B1863">
        <f>AVERAGEIF(Sheet1!B:B, A1863, Sheet1!J:J)</f>
        <v>67.710144927536234</v>
      </c>
    </row>
    <row r="1864" spans="1:2" x14ac:dyDescent="0.3">
      <c r="A1864" t="s">
        <v>38</v>
      </c>
      <c r="B1864">
        <f>AVERAGEIF(Sheet1!B:B, A1864, Sheet1!J:J)</f>
        <v>67.710144927536234</v>
      </c>
    </row>
    <row r="1865" spans="1:2" x14ac:dyDescent="0.3">
      <c r="A1865" t="s">
        <v>38</v>
      </c>
      <c r="B1865">
        <f>AVERAGEIF(Sheet1!B:B, A1865, Sheet1!J:J)</f>
        <v>67.710144927536234</v>
      </c>
    </row>
    <row r="1866" spans="1:2" x14ac:dyDescent="0.3">
      <c r="A1866" t="s">
        <v>38</v>
      </c>
      <c r="B1866">
        <f>AVERAGEIF(Sheet1!B:B, A1866, Sheet1!J:J)</f>
        <v>67.710144927536234</v>
      </c>
    </row>
    <row r="1867" spans="1:2" x14ac:dyDescent="0.3">
      <c r="A1867" t="s">
        <v>38</v>
      </c>
      <c r="B1867">
        <f>AVERAGEIF(Sheet1!B:B, A1867, Sheet1!J:J)</f>
        <v>67.710144927536234</v>
      </c>
    </row>
    <row r="1868" spans="1:2" x14ac:dyDescent="0.3">
      <c r="A1868" t="s">
        <v>38</v>
      </c>
      <c r="B1868">
        <f>AVERAGEIF(Sheet1!B:B, A1868, Sheet1!J:J)</f>
        <v>67.710144927536234</v>
      </c>
    </row>
    <row r="1869" spans="1:2" x14ac:dyDescent="0.3">
      <c r="A1869" t="s">
        <v>14</v>
      </c>
      <c r="B1869">
        <f>AVERAGEIF(Sheet1!B:B, A1869, Sheet1!J:J)</f>
        <v>49.578313253012048</v>
      </c>
    </row>
    <row r="1870" spans="1:2" x14ac:dyDescent="0.3">
      <c r="A1870" t="s">
        <v>14</v>
      </c>
      <c r="B1870">
        <f>AVERAGEIF(Sheet1!B:B, A1870, Sheet1!J:J)</f>
        <v>49.578313253012048</v>
      </c>
    </row>
    <row r="1871" spans="1:2" x14ac:dyDescent="0.3">
      <c r="A1871" t="s">
        <v>14</v>
      </c>
      <c r="B1871">
        <f>AVERAGEIF(Sheet1!B:B, A1871, Sheet1!J:J)</f>
        <v>49.578313253012048</v>
      </c>
    </row>
    <row r="1872" spans="1:2" x14ac:dyDescent="0.3">
      <c r="A1872" t="s">
        <v>14</v>
      </c>
      <c r="B1872">
        <f>AVERAGEIF(Sheet1!B:B, A1872, Sheet1!J:J)</f>
        <v>49.578313253012048</v>
      </c>
    </row>
    <row r="1873" spans="1:2" x14ac:dyDescent="0.3">
      <c r="A1873" t="s">
        <v>14</v>
      </c>
      <c r="B1873">
        <f>AVERAGEIF(Sheet1!B:B, A1873, Sheet1!J:J)</f>
        <v>49.578313253012048</v>
      </c>
    </row>
    <row r="1874" spans="1:2" x14ac:dyDescent="0.3">
      <c r="A1874" t="s">
        <v>14</v>
      </c>
      <c r="B1874">
        <f>AVERAGEIF(Sheet1!B:B, A1874, Sheet1!J:J)</f>
        <v>49.578313253012048</v>
      </c>
    </row>
    <row r="1875" spans="1:2" x14ac:dyDescent="0.3">
      <c r="A1875" t="s">
        <v>14</v>
      </c>
      <c r="B1875">
        <f>AVERAGEIF(Sheet1!B:B, A1875, Sheet1!J:J)</f>
        <v>49.578313253012048</v>
      </c>
    </row>
    <row r="1876" spans="1:2" x14ac:dyDescent="0.3">
      <c r="A1876" t="s">
        <v>12</v>
      </c>
      <c r="B1876">
        <f>AVERAGEIF(Sheet1!B:B, A1876, Sheet1!J:J)</f>
        <v>74.65384615384616</v>
      </c>
    </row>
    <row r="1877" spans="1:2" x14ac:dyDescent="0.3">
      <c r="A1877" t="s">
        <v>12</v>
      </c>
      <c r="B1877">
        <f>AVERAGEIF(Sheet1!B:B, A1877, Sheet1!J:J)</f>
        <v>74.65384615384616</v>
      </c>
    </row>
    <row r="1878" spans="1:2" x14ac:dyDescent="0.3">
      <c r="A1878" t="s">
        <v>12</v>
      </c>
      <c r="B1878">
        <f>AVERAGEIF(Sheet1!B:B, A1878, Sheet1!J:J)</f>
        <v>74.65384615384616</v>
      </c>
    </row>
    <row r="1879" spans="1:2" x14ac:dyDescent="0.3">
      <c r="A1879" t="s">
        <v>12</v>
      </c>
      <c r="B1879">
        <f>AVERAGEIF(Sheet1!B:B, A1879, Sheet1!J:J)</f>
        <v>74.65384615384616</v>
      </c>
    </row>
    <row r="1880" spans="1:2" x14ac:dyDescent="0.3">
      <c r="A1880" t="s">
        <v>12</v>
      </c>
      <c r="B1880">
        <f>AVERAGEIF(Sheet1!B:B, A1880, Sheet1!J:J)</f>
        <v>74.65384615384616</v>
      </c>
    </row>
    <row r="1881" spans="1:2" x14ac:dyDescent="0.3">
      <c r="A1881" t="s">
        <v>12</v>
      </c>
      <c r="B1881">
        <f>AVERAGEIF(Sheet1!B:B, A1881, Sheet1!J:J)</f>
        <v>74.65384615384616</v>
      </c>
    </row>
    <row r="1882" spans="1:2" x14ac:dyDescent="0.3">
      <c r="A1882" t="s">
        <v>12</v>
      </c>
      <c r="B1882">
        <f>AVERAGEIF(Sheet1!B:B, A1882, Sheet1!J:J)</f>
        <v>74.65384615384616</v>
      </c>
    </row>
    <row r="1883" spans="1:2" x14ac:dyDescent="0.3">
      <c r="A1883" t="s">
        <v>12</v>
      </c>
      <c r="B1883">
        <f>AVERAGEIF(Sheet1!B:B, A1883, Sheet1!J:J)</f>
        <v>74.65384615384616</v>
      </c>
    </row>
    <row r="1884" spans="1:2" x14ac:dyDescent="0.3">
      <c r="A1884" t="s">
        <v>14</v>
      </c>
      <c r="B1884">
        <f>AVERAGEIF(Sheet1!B:B, A1884, Sheet1!J:J)</f>
        <v>49.578313253012048</v>
      </c>
    </row>
    <row r="1885" spans="1:2" x14ac:dyDescent="0.3">
      <c r="A1885" t="s">
        <v>14</v>
      </c>
      <c r="B1885">
        <f>AVERAGEIF(Sheet1!B:B, A1885, Sheet1!J:J)</f>
        <v>49.578313253012048</v>
      </c>
    </row>
    <row r="1886" spans="1:2" x14ac:dyDescent="0.3">
      <c r="A1886" t="s">
        <v>14</v>
      </c>
      <c r="B1886">
        <f>AVERAGEIF(Sheet1!B:B, A1886, Sheet1!J:J)</f>
        <v>49.578313253012048</v>
      </c>
    </row>
    <row r="1887" spans="1:2" x14ac:dyDescent="0.3">
      <c r="A1887" t="s">
        <v>14</v>
      </c>
      <c r="B1887">
        <f>AVERAGEIF(Sheet1!B:B, A1887, Sheet1!J:J)</f>
        <v>49.578313253012048</v>
      </c>
    </row>
    <row r="1888" spans="1:2" x14ac:dyDescent="0.3">
      <c r="A1888" t="s">
        <v>14</v>
      </c>
      <c r="B1888">
        <f>AVERAGEIF(Sheet1!B:B, A1888, Sheet1!J:J)</f>
        <v>49.578313253012048</v>
      </c>
    </row>
    <row r="1889" spans="1:2" x14ac:dyDescent="0.3">
      <c r="A1889" t="s">
        <v>14</v>
      </c>
      <c r="B1889">
        <f>AVERAGEIF(Sheet1!B:B, A1889, Sheet1!J:J)</f>
        <v>49.578313253012048</v>
      </c>
    </row>
    <row r="1890" spans="1:2" x14ac:dyDescent="0.3">
      <c r="A1890" t="s">
        <v>14</v>
      </c>
      <c r="B1890">
        <f>AVERAGEIF(Sheet1!B:B, A1890, Sheet1!J:J)</f>
        <v>49.578313253012048</v>
      </c>
    </row>
    <row r="1891" spans="1:2" x14ac:dyDescent="0.3">
      <c r="A1891" t="s">
        <v>14</v>
      </c>
      <c r="B1891">
        <f>AVERAGEIF(Sheet1!B:B, A1891, Sheet1!J:J)</f>
        <v>49.578313253012048</v>
      </c>
    </row>
    <row r="1892" spans="1:2" x14ac:dyDescent="0.3">
      <c r="A1892" t="s">
        <v>14</v>
      </c>
      <c r="B1892">
        <f>AVERAGEIF(Sheet1!B:B, A1892, Sheet1!J:J)</f>
        <v>49.578313253012048</v>
      </c>
    </row>
    <row r="1893" spans="1:2" x14ac:dyDescent="0.3">
      <c r="A1893" t="s">
        <v>12</v>
      </c>
      <c r="B1893">
        <f>AVERAGEIF(Sheet1!B:B, A1893, Sheet1!J:J)</f>
        <v>74.65384615384616</v>
      </c>
    </row>
    <row r="1894" spans="1:2" x14ac:dyDescent="0.3">
      <c r="A1894" t="s">
        <v>12</v>
      </c>
      <c r="B1894">
        <f>AVERAGEIF(Sheet1!B:B, A1894, Sheet1!J:J)</f>
        <v>74.65384615384616</v>
      </c>
    </row>
    <row r="1895" spans="1:2" x14ac:dyDescent="0.3">
      <c r="A1895" t="s">
        <v>12</v>
      </c>
      <c r="B1895">
        <f>AVERAGEIF(Sheet1!B:B, A1895, Sheet1!J:J)</f>
        <v>74.65384615384616</v>
      </c>
    </row>
    <row r="1896" spans="1:2" x14ac:dyDescent="0.3">
      <c r="A1896" t="s">
        <v>12</v>
      </c>
      <c r="B1896">
        <f>AVERAGEIF(Sheet1!B:B, A1896, Sheet1!J:J)</f>
        <v>74.65384615384616</v>
      </c>
    </row>
    <row r="1897" spans="1:2" x14ac:dyDescent="0.3">
      <c r="A1897" t="s">
        <v>13</v>
      </c>
      <c r="B1897">
        <f>AVERAGEIF(Sheet1!B:B, A1897, Sheet1!J:J)</f>
        <v>89.015706806282722</v>
      </c>
    </row>
    <row r="1898" spans="1:2" x14ac:dyDescent="0.3">
      <c r="A1898" t="s">
        <v>13</v>
      </c>
      <c r="B1898">
        <f>AVERAGEIF(Sheet1!B:B, A1898, Sheet1!J:J)</f>
        <v>89.015706806282722</v>
      </c>
    </row>
    <row r="1899" spans="1:2" x14ac:dyDescent="0.3">
      <c r="A1899" t="s">
        <v>13</v>
      </c>
      <c r="B1899">
        <f>AVERAGEIF(Sheet1!B:B, A1899, Sheet1!J:J)</f>
        <v>89.015706806282722</v>
      </c>
    </row>
    <row r="1900" spans="1:2" x14ac:dyDescent="0.3">
      <c r="A1900" t="s">
        <v>13</v>
      </c>
      <c r="B1900">
        <f>AVERAGEIF(Sheet1!B:B, A1900, Sheet1!J:J)</f>
        <v>89.015706806282722</v>
      </c>
    </row>
    <row r="1901" spans="1:2" x14ac:dyDescent="0.3">
      <c r="A1901" t="s">
        <v>15</v>
      </c>
      <c r="B1901">
        <f>AVERAGEIF(Sheet1!B:B, A1901, Sheet1!J:J)</f>
        <v>34.714285714285715</v>
      </c>
    </row>
    <row r="1902" spans="1:2" x14ac:dyDescent="0.3">
      <c r="A1902" t="s">
        <v>15</v>
      </c>
      <c r="B1902">
        <f>AVERAGEIF(Sheet1!B:B, A1902, Sheet1!J:J)</f>
        <v>34.714285714285715</v>
      </c>
    </row>
    <row r="1903" spans="1:2" x14ac:dyDescent="0.3">
      <c r="A1903" t="s">
        <v>15</v>
      </c>
      <c r="B1903">
        <f>AVERAGEIF(Sheet1!B:B, A1903, Sheet1!J:J)</f>
        <v>34.714285714285715</v>
      </c>
    </row>
    <row r="1904" spans="1:2" x14ac:dyDescent="0.3">
      <c r="A1904" t="s">
        <v>14</v>
      </c>
      <c r="B1904">
        <f>AVERAGEIF(Sheet1!B:B, A1904, Sheet1!J:J)</f>
        <v>49.578313253012048</v>
      </c>
    </row>
    <row r="1905" spans="1:2" x14ac:dyDescent="0.3">
      <c r="A1905" t="s">
        <v>12</v>
      </c>
      <c r="B1905">
        <f>AVERAGEIF(Sheet1!B:B, A1905, Sheet1!J:J)</f>
        <v>74.65384615384616</v>
      </c>
    </row>
    <row r="1906" spans="1:2" x14ac:dyDescent="0.3">
      <c r="A1906" t="s">
        <v>12</v>
      </c>
      <c r="B1906">
        <f>AVERAGEIF(Sheet1!B:B, A1906, Sheet1!J:J)</f>
        <v>74.65384615384616</v>
      </c>
    </row>
    <row r="1907" spans="1:2" x14ac:dyDescent="0.3">
      <c r="A1907" t="s">
        <v>12</v>
      </c>
      <c r="B1907">
        <f>AVERAGEIF(Sheet1!B:B, A1907, Sheet1!J:J)</f>
        <v>74.65384615384616</v>
      </c>
    </row>
    <row r="1908" spans="1:2" x14ac:dyDescent="0.3">
      <c r="A1908" t="s">
        <v>12</v>
      </c>
      <c r="B1908">
        <f>AVERAGEIF(Sheet1!B:B, A1908, Sheet1!J:J)</f>
        <v>74.65384615384616</v>
      </c>
    </row>
    <row r="1909" spans="1:2" x14ac:dyDescent="0.3">
      <c r="A1909" t="s">
        <v>13</v>
      </c>
      <c r="B1909">
        <f>AVERAGEIF(Sheet1!B:B, A1909, Sheet1!J:J)</f>
        <v>89.015706806282722</v>
      </c>
    </row>
    <row r="1910" spans="1:2" x14ac:dyDescent="0.3">
      <c r="A1910" t="s">
        <v>13</v>
      </c>
      <c r="B1910">
        <f>AVERAGEIF(Sheet1!B:B, A1910, Sheet1!J:J)</f>
        <v>89.015706806282722</v>
      </c>
    </row>
    <row r="1911" spans="1:2" x14ac:dyDescent="0.3">
      <c r="A1911" t="s">
        <v>14</v>
      </c>
      <c r="B1911">
        <f>AVERAGEIF(Sheet1!B:B, A1911, Sheet1!J:J)</f>
        <v>49.578313253012048</v>
      </c>
    </row>
    <row r="1912" spans="1:2" x14ac:dyDescent="0.3">
      <c r="A1912" t="s">
        <v>12</v>
      </c>
      <c r="B1912">
        <f>AVERAGEIF(Sheet1!B:B, A1912, Sheet1!J:J)</f>
        <v>74.65384615384616</v>
      </c>
    </row>
    <row r="1913" spans="1:2" x14ac:dyDescent="0.3">
      <c r="A1913" t="s">
        <v>13</v>
      </c>
      <c r="B1913">
        <f>AVERAGEIF(Sheet1!B:B, A1913, Sheet1!J:J)</f>
        <v>89.015706806282722</v>
      </c>
    </row>
    <row r="1914" spans="1:2" x14ac:dyDescent="0.3">
      <c r="A1914" t="s">
        <v>13</v>
      </c>
      <c r="B1914">
        <f>AVERAGEIF(Sheet1!B:B, A1914, Sheet1!J:J)</f>
        <v>89.015706806282722</v>
      </c>
    </row>
    <row r="1915" spans="1:2" x14ac:dyDescent="0.3">
      <c r="A1915" t="s">
        <v>13</v>
      </c>
      <c r="B1915">
        <f>AVERAGEIF(Sheet1!B:B, A1915, Sheet1!J:J)</f>
        <v>89.015706806282722</v>
      </c>
    </row>
    <row r="1916" spans="1:2" x14ac:dyDescent="0.3">
      <c r="A1916" t="s">
        <v>13</v>
      </c>
      <c r="B1916">
        <f>AVERAGEIF(Sheet1!B:B, A1916, Sheet1!J:J)</f>
        <v>89.015706806282722</v>
      </c>
    </row>
    <row r="1917" spans="1:2" x14ac:dyDescent="0.3">
      <c r="A1917" t="s">
        <v>13</v>
      </c>
      <c r="B1917">
        <f>AVERAGEIF(Sheet1!B:B, A1917, Sheet1!J:J)</f>
        <v>89.015706806282722</v>
      </c>
    </row>
    <row r="1918" spans="1:2" x14ac:dyDescent="0.3">
      <c r="A1918" t="s">
        <v>13</v>
      </c>
      <c r="B1918">
        <f>AVERAGEIF(Sheet1!B:B, A1918, Sheet1!J:J)</f>
        <v>89.015706806282722</v>
      </c>
    </row>
    <row r="1919" spans="1:2" x14ac:dyDescent="0.3">
      <c r="A1919" t="s">
        <v>13</v>
      </c>
      <c r="B1919">
        <f>AVERAGEIF(Sheet1!B:B, A1919, Sheet1!J:J)</f>
        <v>89.015706806282722</v>
      </c>
    </row>
    <row r="1920" spans="1:2" x14ac:dyDescent="0.3">
      <c r="A1920" t="s">
        <v>13</v>
      </c>
      <c r="B1920">
        <f>AVERAGEIF(Sheet1!B:B, A1920, Sheet1!J:J)</f>
        <v>89.015706806282722</v>
      </c>
    </row>
    <row r="1921" spans="1:2" x14ac:dyDescent="0.3">
      <c r="A1921" t="s">
        <v>13</v>
      </c>
      <c r="B1921">
        <f>AVERAGEIF(Sheet1!B:B, A1921, Sheet1!J:J)</f>
        <v>89.015706806282722</v>
      </c>
    </row>
    <row r="1922" spans="1:2" x14ac:dyDescent="0.3">
      <c r="A1922" t="s">
        <v>13</v>
      </c>
      <c r="B1922">
        <f>AVERAGEIF(Sheet1!B:B, A1922, Sheet1!J:J)</f>
        <v>89.015706806282722</v>
      </c>
    </row>
    <row r="1923" spans="1:2" x14ac:dyDescent="0.3">
      <c r="A1923" t="s">
        <v>13</v>
      </c>
      <c r="B1923">
        <f>AVERAGEIF(Sheet1!B:B, A1923, Sheet1!J:J)</f>
        <v>89.015706806282722</v>
      </c>
    </row>
    <row r="1924" spans="1:2" x14ac:dyDescent="0.3">
      <c r="A1924" t="s">
        <v>13</v>
      </c>
      <c r="B1924">
        <f>AVERAGEIF(Sheet1!B:B, A1924, Sheet1!J:J)</f>
        <v>89.015706806282722</v>
      </c>
    </row>
    <row r="1925" spans="1:2" x14ac:dyDescent="0.3">
      <c r="A1925" t="s">
        <v>13</v>
      </c>
      <c r="B1925">
        <f>AVERAGEIF(Sheet1!B:B, A1925, Sheet1!J:J)</f>
        <v>89.015706806282722</v>
      </c>
    </row>
    <row r="1926" spans="1:2" x14ac:dyDescent="0.3">
      <c r="A1926" t="s">
        <v>13</v>
      </c>
      <c r="B1926">
        <f>AVERAGEIF(Sheet1!B:B, A1926, Sheet1!J:J)</f>
        <v>89.015706806282722</v>
      </c>
    </row>
    <row r="1927" spans="1:2" x14ac:dyDescent="0.3">
      <c r="A1927" t="s">
        <v>13</v>
      </c>
      <c r="B1927">
        <f>AVERAGEIF(Sheet1!B:B, A1927, Sheet1!J:J)</f>
        <v>89.015706806282722</v>
      </c>
    </row>
    <row r="1928" spans="1:2" x14ac:dyDescent="0.3">
      <c r="A1928" t="s">
        <v>13</v>
      </c>
      <c r="B1928">
        <f>AVERAGEIF(Sheet1!B:B, A1928, Sheet1!J:J)</f>
        <v>89.015706806282722</v>
      </c>
    </row>
    <row r="1929" spans="1:2" x14ac:dyDescent="0.3">
      <c r="A1929" t="s">
        <v>13</v>
      </c>
      <c r="B1929">
        <f>AVERAGEIF(Sheet1!B:B, A1929, Sheet1!J:J)</f>
        <v>89.015706806282722</v>
      </c>
    </row>
    <row r="1930" spans="1:2" x14ac:dyDescent="0.3">
      <c r="A1930" t="s">
        <v>13</v>
      </c>
      <c r="B1930">
        <f>AVERAGEIF(Sheet1!B:B, A1930, Sheet1!J:J)</f>
        <v>89.015706806282722</v>
      </c>
    </row>
    <row r="1931" spans="1:2" x14ac:dyDescent="0.3">
      <c r="A1931" t="s">
        <v>13</v>
      </c>
      <c r="B1931">
        <f>AVERAGEIF(Sheet1!B:B, A1931, Sheet1!J:J)</f>
        <v>89.015706806282722</v>
      </c>
    </row>
    <row r="1932" spans="1:2" x14ac:dyDescent="0.3">
      <c r="A1932" t="s">
        <v>13</v>
      </c>
      <c r="B1932">
        <f>AVERAGEIF(Sheet1!B:B, A1932, Sheet1!J:J)</f>
        <v>89.015706806282722</v>
      </c>
    </row>
    <row r="1933" spans="1:2" x14ac:dyDescent="0.3">
      <c r="A1933" t="s">
        <v>13</v>
      </c>
      <c r="B1933">
        <f>AVERAGEIF(Sheet1!B:B, A1933, Sheet1!J:J)</f>
        <v>89.015706806282722</v>
      </c>
    </row>
    <row r="1934" spans="1:2" x14ac:dyDescent="0.3">
      <c r="A1934" t="s">
        <v>13</v>
      </c>
      <c r="B1934">
        <f>AVERAGEIF(Sheet1!B:B, A1934, Sheet1!J:J)</f>
        <v>89.015706806282722</v>
      </c>
    </row>
    <row r="1935" spans="1:2" x14ac:dyDescent="0.3">
      <c r="A1935" t="s">
        <v>13</v>
      </c>
      <c r="B1935">
        <f>AVERAGEIF(Sheet1!B:B, A1935, Sheet1!J:J)</f>
        <v>89.015706806282722</v>
      </c>
    </row>
    <row r="1936" spans="1:2" x14ac:dyDescent="0.3">
      <c r="A1936" t="s">
        <v>13</v>
      </c>
      <c r="B1936">
        <f>AVERAGEIF(Sheet1!B:B, A1936, Sheet1!J:J)</f>
        <v>89.015706806282722</v>
      </c>
    </row>
    <row r="1937" spans="1:2" x14ac:dyDescent="0.3">
      <c r="A1937" t="s">
        <v>13</v>
      </c>
      <c r="B1937">
        <f>AVERAGEIF(Sheet1!B:B, A1937, Sheet1!J:J)</f>
        <v>89.015706806282722</v>
      </c>
    </row>
    <row r="1938" spans="1:2" x14ac:dyDescent="0.3">
      <c r="A1938" t="s">
        <v>13</v>
      </c>
      <c r="B1938">
        <f>AVERAGEIF(Sheet1!B:B, A1938, Sheet1!J:J)</f>
        <v>89.015706806282722</v>
      </c>
    </row>
    <row r="1939" spans="1:2" x14ac:dyDescent="0.3">
      <c r="A1939" t="s">
        <v>16</v>
      </c>
      <c r="B1939">
        <f>AVERAGEIF(Sheet1!B:B, A1939, Sheet1!J:J)</f>
        <v>79.902439024390247</v>
      </c>
    </row>
    <row r="1940" spans="1:2" x14ac:dyDescent="0.3">
      <c r="A1940" t="s">
        <v>16</v>
      </c>
      <c r="B1940">
        <f>AVERAGEIF(Sheet1!B:B, A1940, Sheet1!J:J)</f>
        <v>79.902439024390247</v>
      </c>
    </row>
    <row r="1941" spans="1:2" x14ac:dyDescent="0.3">
      <c r="A1941" t="s">
        <v>16</v>
      </c>
      <c r="B1941">
        <f>AVERAGEIF(Sheet1!B:B, A1941, Sheet1!J:J)</f>
        <v>79.902439024390247</v>
      </c>
    </row>
    <row r="1942" spans="1:2" x14ac:dyDescent="0.3">
      <c r="A1942" t="s">
        <v>16</v>
      </c>
      <c r="B1942">
        <f>AVERAGEIF(Sheet1!B:B, A1942, Sheet1!J:J)</f>
        <v>79.902439024390247</v>
      </c>
    </row>
    <row r="1943" spans="1:2" x14ac:dyDescent="0.3">
      <c r="A1943" t="s">
        <v>16</v>
      </c>
      <c r="B1943">
        <f>AVERAGEIF(Sheet1!B:B, A1943, Sheet1!J:J)</f>
        <v>79.902439024390247</v>
      </c>
    </row>
    <row r="1944" spans="1:2" x14ac:dyDescent="0.3">
      <c r="A1944" t="s">
        <v>16</v>
      </c>
      <c r="B1944">
        <f>AVERAGEIF(Sheet1!B:B, A1944, Sheet1!J:J)</f>
        <v>79.902439024390247</v>
      </c>
    </row>
    <row r="1945" spans="1:2" x14ac:dyDescent="0.3">
      <c r="A1945" t="s">
        <v>16</v>
      </c>
      <c r="B1945">
        <f>AVERAGEIF(Sheet1!B:B, A1945, Sheet1!J:J)</f>
        <v>79.902439024390247</v>
      </c>
    </row>
    <row r="1946" spans="1:2" x14ac:dyDescent="0.3">
      <c r="A1946" t="s">
        <v>16</v>
      </c>
      <c r="B1946">
        <f>AVERAGEIF(Sheet1!B:B, A1946, Sheet1!J:J)</f>
        <v>79.902439024390247</v>
      </c>
    </row>
    <row r="1947" spans="1:2" x14ac:dyDescent="0.3">
      <c r="A1947" t="s">
        <v>16</v>
      </c>
      <c r="B1947">
        <f>AVERAGEIF(Sheet1!B:B, A1947, Sheet1!J:J)</f>
        <v>79.902439024390247</v>
      </c>
    </row>
    <row r="1948" spans="1:2" x14ac:dyDescent="0.3">
      <c r="A1948" t="s">
        <v>18</v>
      </c>
      <c r="B1948">
        <f>AVERAGEIF(Sheet1!B:B, A1948, Sheet1!J:J)</f>
        <v>172.40416666666667</v>
      </c>
    </row>
    <row r="1949" spans="1:2" x14ac:dyDescent="0.3">
      <c r="A1949" t="s">
        <v>17</v>
      </c>
      <c r="B1949">
        <f>AVERAGEIF(Sheet1!B:B, A1949, Sheet1!J:J)</f>
        <v>98.8125</v>
      </c>
    </row>
    <row r="1950" spans="1:2" x14ac:dyDescent="0.3">
      <c r="A1950" t="s">
        <v>17</v>
      </c>
      <c r="B1950">
        <f>AVERAGEIF(Sheet1!B:B, A1950, Sheet1!J:J)</f>
        <v>98.8125</v>
      </c>
    </row>
    <row r="1951" spans="1:2" x14ac:dyDescent="0.3">
      <c r="A1951" t="s">
        <v>16</v>
      </c>
      <c r="B1951">
        <f>AVERAGEIF(Sheet1!B:B, A1951, Sheet1!J:J)</f>
        <v>79.902439024390247</v>
      </c>
    </row>
    <row r="1952" spans="1:2" x14ac:dyDescent="0.3">
      <c r="A1952" t="s">
        <v>16</v>
      </c>
      <c r="B1952">
        <f>AVERAGEIF(Sheet1!B:B, A1952, Sheet1!J:J)</f>
        <v>79.902439024390247</v>
      </c>
    </row>
    <row r="1953" spans="1:2" x14ac:dyDescent="0.3">
      <c r="A1953" t="s">
        <v>16</v>
      </c>
      <c r="B1953">
        <f>AVERAGEIF(Sheet1!B:B, A1953, Sheet1!J:J)</f>
        <v>79.902439024390247</v>
      </c>
    </row>
    <row r="1954" spans="1:2" x14ac:dyDescent="0.3">
      <c r="A1954" t="s">
        <v>16</v>
      </c>
      <c r="B1954">
        <f>AVERAGEIF(Sheet1!B:B, A1954, Sheet1!J:J)</f>
        <v>79.902439024390247</v>
      </c>
    </row>
    <row r="1955" spans="1:2" x14ac:dyDescent="0.3">
      <c r="A1955" t="s">
        <v>16</v>
      </c>
      <c r="B1955">
        <f>AVERAGEIF(Sheet1!B:B, A1955, Sheet1!J:J)</f>
        <v>79.902439024390247</v>
      </c>
    </row>
    <row r="1956" spans="1:2" x14ac:dyDescent="0.3">
      <c r="A1956" t="s">
        <v>16</v>
      </c>
      <c r="B1956">
        <f>AVERAGEIF(Sheet1!B:B, A1956, Sheet1!J:J)</f>
        <v>79.902439024390247</v>
      </c>
    </row>
    <row r="1957" spans="1:2" x14ac:dyDescent="0.3">
      <c r="A1957" t="s">
        <v>16</v>
      </c>
      <c r="B1957">
        <f>AVERAGEIF(Sheet1!B:B, A1957, Sheet1!J:J)</f>
        <v>79.902439024390247</v>
      </c>
    </row>
    <row r="1958" spans="1:2" x14ac:dyDescent="0.3">
      <c r="A1958" t="s">
        <v>16</v>
      </c>
      <c r="B1958">
        <f>AVERAGEIF(Sheet1!B:B, A1958, Sheet1!J:J)</f>
        <v>79.902439024390247</v>
      </c>
    </row>
    <row r="1959" spans="1:2" x14ac:dyDescent="0.3">
      <c r="A1959" t="s">
        <v>16</v>
      </c>
      <c r="B1959">
        <f>AVERAGEIF(Sheet1!B:B, A1959, Sheet1!J:J)</f>
        <v>79.902439024390247</v>
      </c>
    </row>
    <row r="1960" spans="1:2" x14ac:dyDescent="0.3">
      <c r="A1960" t="s">
        <v>16</v>
      </c>
      <c r="B1960">
        <f>AVERAGEIF(Sheet1!B:B, A1960, Sheet1!J:J)</f>
        <v>79.902439024390247</v>
      </c>
    </row>
    <row r="1961" spans="1:2" x14ac:dyDescent="0.3">
      <c r="A1961" t="s">
        <v>16</v>
      </c>
      <c r="B1961">
        <f>AVERAGEIF(Sheet1!B:B, A1961, Sheet1!J:J)</f>
        <v>79.902439024390247</v>
      </c>
    </row>
    <row r="1962" spans="1:2" x14ac:dyDescent="0.3">
      <c r="A1962" t="s">
        <v>16</v>
      </c>
      <c r="B1962">
        <f>AVERAGEIF(Sheet1!B:B, A1962, Sheet1!J:J)</f>
        <v>79.902439024390247</v>
      </c>
    </row>
    <row r="1963" spans="1:2" x14ac:dyDescent="0.3">
      <c r="A1963" t="s">
        <v>13</v>
      </c>
      <c r="B1963">
        <f>AVERAGEIF(Sheet1!B:B, A1963, Sheet1!J:J)</f>
        <v>89.015706806282722</v>
      </c>
    </row>
    <row r="1964" spans="1:2" x14ac:dyDescent="0.3">
      <c r="A1964" t="s">
        <v>13</v>
      </c>
      <c r="B1964">
        <f>AVERAGEIF(Sheet1!B:B, A1964, Sheet1!J:J)</f>
        <v>89.015706806282722</v>
      </c>
    </row>
    <row r="1965" spans="1:2" x14ac:dyDescent="0.3">
      <c r="A1965" t="s">
        <v>18</v>
      </c>
      <c r="B1965">
        <f>AVERAGEIF(Sheet1!B:B, A1965, Sheet1!J:J)</f>
        <v>172.40416666666667</v>
      </c>
    </row>
    <row r="1966" spans="1:2" x14ac:dyDescent="0.3">
      <c r="A1966" t="s">
        <v>18</v>
      </c>
      <c r="B1966">
        <f>AVERAGEIF(Sheet1!B:B, A1966, Sheet1!J:J)</f>
        <v>172.40416666666667</v>
      </c>
    </row>
    <row r="1967" spans="1:2" x14ac:dyDescent="0.3">
      <c r="A1967" t="s">
        <v>18</v>
      </c>
      <c r="B1967">
        <f>AVERAGEIF(Sheet1!B:B, A1967, Sheet1!J:J)</f>
        <v>172.40416666666667</v>
      </c>
    </row>
    <row r="1968" spans="1:2" x14ac:dyDescent="0.3">
      <c r="A1968" t="s">
        <v>18</v>
      </c>
      <c r="B1968">
        <f>AVERAGEIF(Sheet1!B:B, A1968, Sheet1!J:J)</f>
        <v>172.40416666666667</v>
      </c>
    </row>
    <row r="1969" spans="1:2" x14ac:dyDescent="0.3">
      <c r="A1969" t="s">
        <v>18</v>
      </c>
      <c r="B1969">
        <f>AVERAGEIF(Sheet1!B:B, A1969, Sheet1!J:J)</f>
        <v>172.40416666666667</v>
      </c>
    </row>
    <row r="1970" spans="1:2" x14ac:dyDescent="0.3">
      <c r="A1970" t="s">
        <v>18</v>
      </c>
      <c r="B1970">
        <f>AVERAGEIF(Sheet1!B:B, A1970, Sheet1!J:J)</f>
        <v>172.40416666666667</v>
      </c>
    </row>
    <row r="1971" spans="1:2" x14ac:dyDescent="0.3">
      <c r="A1971" t="s">
        <v>18</v>
      </c>
      <c r="B1971">
        <f>AVERAGEIF(Sheet1!B:B, A1971, Sheet1!J:J)</f>
        <v>172.40416666666667</v>
      </c>
    </row>
    <row r="1972" spans="1:2" x14ac:dyDescent="0.3">
      <c r="A1972" t="s">
        <v>18</v>
      </c>
      <c r="B1972">
        <f>AVERAGEIF(Sheet1!B:B, A1972, Sheet1!J:J)</f>
        <v>172.40416666666667</v>
      </c>
    </row>
    <row r="1973" spans="1:2" x14ac:dyDescent="0.3">
      <c r="A1973" t="s">
        <v>18</v>
      </c>
      <c r="B1973">
        <f>AVERAGEIF(Sheet1!B:B, A1973, Sheet1!J:J)</f>
        <v>172.40416666666667</v>
      </c>
    </row>
    <row r="1974" spans="1:2" x14ac:dyDescent="0.3">
      <c r="A1974" t="s">
        <v>18</v>
      </c>
      <c r="B1974">
        <f>AVERAGEIF(Sheet1!B:B, A1974, Sheet1!J:J)</f>
        <v>172.40416666666667</v>
      </c>
    </row>
    <row r="1975" spans="1:2" x14ac:dyDescent="0.3">
      <c r="A1975" t="s">
        <v>18</v>
      </c>
      <c r="B1975">
        <f>AVERAGEIF(Sheet1!B:B, A1975, Sheet1!J:J)</f>
        <v>172.40416666666667</v>
      </c>
    </row>
    <row r="1976" spans="1:2" x14ac:dyDescent="0.3">
      <c r="A1976" t="s">
        <v>18</v>
      </c>
      <c r="B1976">
        <f>AVERAGEIF(Sheet1!B:B, A1976, Sheet1!J:J)</f>
        <v>172.40416666666667</v>
      </c>
    </row>
    <row r="1977" spans="1:2" x14ac:dyDescent="0.3">
      <c r="A1977" t="s">
        <v>18</v>
      </c>
      <c r="B1977">
        <f>AVERAGEIF(Sheet1!B:B, A1977, Sheet1!J:J)</f>
        <v>172.40416666666667</v>
      </c>
    </row>
    <row r="1978" spans="1:2" x14ac:dyDescent="0.3">
      <c r="A1978" t="s">
        <v>18</v>
      </c>
      <c r="B1978">
        <f>AVERAGEIF(Sheet1!B:B, A1978, Sheet1!J:J)</f>
        <v>172.40416666666667</v>
      </c>
    </row>
    <row r="1979" spans="1:2" x14ac:dyDescent="0.3">
      <c r="A1979" t="s">
        <v>18</v>
      </c>
      <c r="B1979">
        <f>AVERAGEIF(Sheet1!B:B, A1979, Sheet1!J:J)</f>
        <v>172.40416666666667</v>
      </c>
    </row>
    <row r="1980" spans="1:2" x14ac:dyDescent="0.3">
      <c r="A1980" t="s">
        <v>18</v>
      </c>
      <c r="B1980">
        <f>AVERAGEIF(Sheet1!B:B, A1980, Sheet1!J:J)</f>
        <v>172.40416666666667</v>
      </c>
    </row>
    <row r="1981" spans="1:2" x14ac:dyDescent="0.3">
      <c r="A1981" t="s">
        <v>18</v>
      </c>
      <c r="B1981">
        <f>AVERAGEIF(Sheet1!B:B, A1981, Sheet1!J:J)</f>
        <v>172.40416666666667</v>
      </c>
    </row>
    <row r="1982" spans="1:2" x14ac:dyDescent="0.3">
      <c r="A1982" t="s">
        <v>18</v>
      </c>
      <c r="B1982">
        <f>AVERAGEIF(Sheet1!B:B, A1982, Sheet1!J:J)</f>
        <v>172.40416666666667</v>
      </c>
    </row>
    <row r="1983" spans="1:2" x14ac:dyDescent="0.3">
      <c r="A1983" t="s">
        <v>18</v>
      </c>
      <c r="B1983">
        <f>AVERAGEIF(Sheet1!B:B, A1983, Sheet1!J:J)</f>
        <v>172.40416666666667</v>
      </c>
    </row>
    <row r="1984" spans="1:2" x14ac:dyDescent="0.3">
      <c r="A1984" t="s">
        <v>18</v>
      </c>
      <c r="B1984">
        <f>AVERAGEIF(Sheet1!B:B, A1984, Sheet1!J:J)</f>
        <v>172.40416666666667</v>
      </c>
    </row>
    <row r="1985" spans="1:2" x14ac:dyDescent="0.3">
      <c r="A1985" t="s">
        <v>18</v>
      </c>
      <c r="B1985">
        <f>AVERAGEIF(Sheet1!B:B, A1985, Sheet1!J:J)</f>
        <v>172.40416666666667</v>
      </c>
    </row>
    <row r="1986" spans="1:2" x14ac:dyDescent="0.3">
      <c r="A1986" t="s">
        <v>18</v>
      </c>
      <c r="B1986">
        <f>AVERAGEIF(Sheet1!B:B, A1986, Sheet1!J:J)</f>
        <v>172.40416666666667</v>
      </c>
    </row>
    <row r="1987" spans="1:2" x14ac:dyDescent="0.3">
      <c r="A1987" t="s">
        <v>18</v>
      </c>
      <c r="B1987">
        <f>AVERAGEIF(Sheet1!B:B, A1987, Sheet1!J:J)</f>
        <v>172.40416666666667</v>
      </c>
    </row>
    <row r="1988" spans="1:2" x14ac:dyDescent="0.3">
      <c r="A1988" t="s">
        <v>18</v>
      </c>
      <c r="B1988">
        <f>AVERAGEIF(Sheet1!B:B, A1988, Sheet1!J:J)</f>
        <v>172.40416666666667</v>
      </c>
    </row>
    <row r="1989" spans="1:2" x14ac:dyDescent="0.3">
      <c r="A1989" t="s">
        <v>18</v>
      </c>
      <c r="B1989">
        <f>AVERAGEIF(Sheet1!B:B, A1989, Sheet1!J:J)</f>
        <v>172.40416666666667</v>
      </c>
    </row>
    <row r="1990" spans="1:2" x14ac:dyDescent="0.3">
      <c r="A1990" t="s">
        <v>18</v>
      </c>
      <c r="B1990">
        <f>AVERAGEIF(Sheet1!B:B, A1990, Sheet1!J:J)</f>
        <v>172.40416666666667</v>
      </c>
    </row>
    <row r="1991" spans="1:2" x14ac:dyDescent="0.3">
      <c r="A1991" t="s">
        <v>18</v>
      </c>
      <c r="B1991">
        <f>AVERAGEIF(Sheet1!B:B, A1991, Sheet1!J:J)</f>
        <v>172.40416666666667</v>
      </c>
    </row>
    <row r="1992" spans="1:2" x14ac:dyDescent="0.3">
      <c r="A1992" t="s">
        <v>18</v>
      </c>
      <c r="B1992">
        <f>AVERAGEIF(Sheet1!B:B, A1992, Sheet1!J:J)</f>
        <v>172.40416666666667</v>
      </c>
    </row>
    <row r="1993" spans="1:2" x14ac:dyDescent="0.3">
      <c r="A1993" t="s">
        <v>18</v>
      </c>
      <c r="B1993">
        <f>AVERAGEIF(Sheet1!B:B, A1993, Sheet1!J:J)</f>
        <v>172.40416666666667</v>
      </c>
    </row>
    <row r="1994" spans="1:2" x14ac:dyDescent="0.3">
      <c r="A1994" t="s">
        <v>18</v>
      </c>
      <c r="B1994">
        <f>AVERAGEIF(Sheet1!B:B, A1994, Sheet1!J:J)</f>
        <v>172.40416666666667</v>
      </c>
    </row>
    <row r="1995" spans="1:2" x14ac:dyDescent="0.3">
      <c r="A1995" t="s">
        <v>18</v>
      </c>
      <c r="B1995">
        <f>AVERAGEIF(Sheet1!B:B, A1995, Sheet1!J:J)</f>
        <v>172.40416666666667</v>
      </c>
    </row>
    <row r="1996" spans="1:2" x14ac:dyDescent="0.3">
      <c r="A1996" t="s">
        <v>18</v>
      </c>
      <c r="B1996">
        <f>AVERAGEIF(Sheet1!B:B, A1996, Sheet1!J:J)</f>
        <v>172.40416666666667</v>
      </c>
    </row>
    <row r="1997" spans="1:2" x14ac:dyDescent="0.3">
      <c r="A1997" t="s">
        <v>18</v>
      </c>
      <c r="B1997">
        <f>AVERAGEIF(Sheet1!B:B, A1997, Sheet1!J:J)</f>
        <v>172.40416666666667</v>
      </c>
    </row>
    <row r="1998" spans="1:2" x14ac:dyDescent="0.3">
      <c r="A1998" t="s">
        <v>18</v>
      </c>
      <c r="B1998">
        <f>AVERAGEIF(Sheet1!B:B, A1998, Sheet1!J:J)</f>
        <v>172.40416666666667</v>
      </c>
    </row>
    <row r="1999" spans="1:2" x14ac:dyDescent="0.3">
      <c r="A1999" t="s">
        <v>22</v>
      </c>
      <c r="B1999">
        <f>AVERAGEIF(Sheet1!B:B, A1999, Sheet1!J:J)</f>
        <v>40.497326203208559</v>
      </c>
    </row>
    <row r="2000" spans="1:2" x14ac:dyDescent="0.3">
      <c r="A2000" t="s">
        <v>22</v>
      </c>
      <c r="B2000">
        <f>AVERAGEIF(Sheet1!B:B, A2000, Sheet1!J:J)</f>
        <v>40.497326203208559</v>
      </c>
    </row>
    <row r="2001" spans="1:2" x14ac:dyDescent="0.3">
      <c r="A2001" t="s">
        <v>22</v>
      </c>
      <c r="B2001">
        <f>AVERAGEIF(Sheet1!B:B, A2001, Sheet1!J:J)</f>
        <v>40.497326203208559</v>
      </c>
    </row>
    <row r="2002" spans="1:2" x14ac:dyDescent="0.3">
      <c r="A2002" t="s">
        <v>22</v>
      </c>
      <c r="B2002">
        <f>AVERAGEIF(Sheet1!B:B, A2002, Sheet1!J:J)</f>
        <v>40.497326203208559</v>
      </c>
    </row>
    <row r="2003" spans="1:2" x14ac:dyDescent="0.3">
      <c r="A2003" t="s">
        <v>22</v>
      </c>
      <c r="B2003">
        <f>AVERAGEIF(Sheet1!B:B, A2003, Sheet1!J:J)</f>
        <v>40.497326203208559</v>
      </c>
    </row>
    <row r="2004" spans="1:2" x14ac:dyDescent="0.3">
      <c r="A2004" t="s">
        <v>22</v>
      </c>
      <c r="B2004">
        <f>AVERAGEIF(Sheet1!B:B, A2004, Sheet1!J:J)</f>
        <v>40.497326203208559</v>
      </c>
    </row>
    <row r="2005" spans="1:2" x14ac:dyDescent="0.3">
      <c r="A2005" t="s">
        <v>22</v>
      </c>
      <c r="B2005">
        <f>AVERAGEIF(Sheet1!B:B, A2005, Sheet1!J:J)</f>
        <v>40.497326203208559</v>
      </c>
    </row>
    <row r="2006" spans="1:2" x14ac:dyDescent="0.3">
      <c r="A2006" t="s">
        <v>22</v>
      </c>
      <c r="B2006">
        <f>AVERAGEIF(Sheet1!B:B, A2006, Sheet1!J:J)</f>
        <v>40.497326203208559</v>
      </c>
    </row>
    <row r="2007" spans="1:2" x14ac:dyDescent="0.3">
      <c r="A2007" t="s">
        <v>22</v>
      </c>
      <c r="B2007">
        <f>AVERAGEIF(Sheet1!B:B, A2007, Sheet1!J:J)</f>
        <v>40.497326203208559</v>
      </c>
    </row>
    <row r="2008" spans="1:2" x14ac:dyDescent="0.3">
      <c r="A2008" t="s">
        <v>19</v>
      </c>
      <c r="B2008">
        <f>AVERAGEIF(Sheet1!B:B, A2008, Sheet1!J:J)</f>
        <v>103.86734693877551</v>
      </c>
    </row>
    <row r="2009" spans="1:2" x14ac:dyDescent="0.3">
      <c r="A2009" t="s">
        <v>19</v>
      </c>
      <c r="B2009">
        <f>AVERAGEIF(Sheet1!B:B, A2009, Sheet1!J:J)</f>
        <v>103.86734693877551</v>
      </c>
    </row>
    <row r="2010" spans="1:2" x14ac:dyDescent="0.3">
      <c r="A2010" t="s">
        <v>19</v>
      </c>
      <c r="B2010">
        <f>AVERAGEIF(Sheet1!B:B, A2010, Sheet1!J:J)</f>
        <v>103.86734693877551</v>
      </c>
    </row>
    <row r="2011" spans="1:2" x14ac:dyDescent="0.3">
      <c r="A2011" t="s">
        <v>19</v>
      </c>
      <c r="B2011">
        <f>AVERAGEIF(Sheet1!B:B, A2011, Sheet1!J:J)</f>
        <v>103.86734693877551</v>
      </c>
    </row>
    <row r="2012" spans="1:2" x14ac:dyDescent="0.3">
      <c r="A2012" t="s">
        <v>19</v>
      </c>
      <c r="B2012">
        <f>AVERAGEIF(Sheet1!B:B, A2012, Sheet1!J:J)</f>
        <v>103.86734693877551</v>
      </c>
    </row>
    <row r="2013" spans="1:2" x14ac:dyDescent="0.3">
      <c r="A2013" t="s">
        <v>19</v>
      </c>
      <c r="B2013">
        <f>AVERAGEIF(Sheet1!B:B, A2013, Sheet1!J:J)</f>
        <v>103.86734693877551</v>
      </c>
    </row>
    <row r="2014" spans="1:2" x14ac:dyDescent="0.3">
      <c r="A2014" t="s">
        <v>19</v>
      </c>
      <c r="B2014">
        <f>AVERAGEIF(Sheet1!B:B, A2014, Sheet1!J:J)</f>
        <v>103.86734693877551</v>
      </c>
    </row>
    <row r="2015" spans="1:2" x14ac:dyDescent="0.3">
      <c r="A2015" t="s">
        <v>20</v>
      </c>
      <c r="B2015">
        <f>AVERAGEIF(Sheet1!B:B, A2015, Sheet1!J:J)</f>
        <v>133.42857142857142</v>
      </c>
    </row>
    <row r="2016" spans="1:2" x14ac:dyDescent="0.3">
      <c r="A2016" t="s">
        <v>21</v>
      </c>
      <c r="B2016">
        <f>AVERAGEIF(Sheet1!B:B, A2016, Sheet1!J:J)</f>
        <v>34.333333333333336</v>
      </c>
    </row>
    <row r="2017" spans="1:2" x14ac:dyDescent="0.3">
      <c r="A2017" t="s">
        <v>21</v>
      </c>
      <c r="B2017">
        <f>AVERAGEIF(Sheet1!B:B, A2017, Sheet1!J:J)</f>
        <v>34.333333333333336</v>
      </c>
    </row>
    <row r="2018" spans="1:2" x14ac:dyDescent="0.3">
      <c r="A2018" t="s">
        <v>39</v>
      </c>
      <c r="B2018">
        <f>AVERAGEIF(Sheet1!B:B, A2018, Sheet1!J:J)</f>
        <v>161.6</v>
      </c>
    </row>
    <row r="2019" spans="1:2" x14ac:dyDescent="0.3">
      <c r="A2019" t="s">
        <v>39</v>
      </c>
      <c r="B2019">
        <f>AVERAGEIF(Sheet1!B:B, A2019, Sheet1!J:J)</f>
        <v>161.6</v>
      </c>
    </row>
    <row r="2020" spans="1:2" x14ac:dyDescent="0.3">
      <c r="A2020" t="s">
        <v>19</v>
      </c>
      <c r="B2020">
        <f>AVERAGEIF(Sheet1!B:B, A2020, Sheet1!J:J)</f>
        <v>103.86734693877551</v>
      </c>
    </row>
    <row r="2021" spans="1:2" x14ac:dyDescent="0.3">
      <c r="A2021" t="s">
        <v>19</v>
      </c>
      <c r="B2021">
        <f>AVERAGEIF(Sheet1!B:B, A2021, Sheet1!J:J)</f>
        <v>103.86734693877551</v>
      </c>
    </row>
    <row r="2022" spans="1:2" x14ac:dyDescent="0.3">
      <c r="A2022" t="s">
        <v>19</v>
      </c>
      <c r="B2022">
        <f>AVERAGEIF(Sheet1!B:B, A2022, Sheet1!J:J)</f>
        <v>103.86734693877551</v>
      </c>
    </row>
    <row r="2023" spans="1:2" x14ac:dyDescent="0.3">
      <c r="A2023" t="s">
        <v>19</v>
      </c>
      <c r="B2023">
        <f>AVERAGEIF(Sheet1!B:B, A2023, Sheet1!J:J)</f>
        <v>103.86734693877551</v>
      </c>
    </row>
    <row r="2024" spans="1:2" x14ac:dyDescent="0.3">
      <c r="A2024" t="s">
        <v>19</v>
      </c>
      <c r="B2024">
        <f>AVERAGEIF(Sheet1!B:B, A2024, Sheet1!J:J)</f>
        <v>103.86734693877551</v>
      </c>
    </row>
    <row r="2025" spans="1:2" x14ac:dyDescent="0.3">
      <c r="A2025" t="s">
        <v>19</v>
      </c>
      <c r="B2025">
        <f>AVERAGEIF(Sheet1!B:B, A2025, Sheet1!J:J)</f>
        <v>103.86734693877551</v>
      </c>
    </row>
    <row r="2026" spans="1:2" x14ac:dyDescent="0.3">
      <c r="A2026" t="s">
        <v>19</v>
      </c>
      <c r="B2026">
        <f>AVERAGEIF(Sheet1!B:B, A2026, Sheet1!J:J)</f>
        <v>103.86734693877551</v>
      </c>
    </row>
    <row r="2027" spans="1:2" x14ac:dyDescent="0.3">
      <c r="A2027" t="s">
        <v>19</v>
      </c>
      <c r="B2027">
        <f>AVERAGEIF(Sheet1!B:B, A2027, Sheet1!J:J)</f>
        <v>103.86734693877551</v>
      </c>
    </row>
    <row r="2028" spans="1:2" x14ac:dyDescent="0.3">
      <c r="A2028" t="s">
        <v>19</v>
      </c>
      <c r="B2028">
        <f>AVERAGEIF(Sheet1!B:B, A2028, Sheet1!J:J)</f>
        <v>103.86734693877551</v>
      </c>
    </row>
    <row r="2029" spans="1:2" x14ac:dyDescent="0.3">
      <c r="A2029" t="s">
        <v>19</v>
      </c>
      <c r="B2029">
        <f>AVERAGEIF(Sheet1!B:B, A2029, Sheet1!J:J)</f>
        <v>103.86734693877551</v>
      </c>
    </row>
    <row r="2030" spans="1:2" x14ac:dyDescent="0.3">
      <c r="A2030" t="s">
        <v>19</v>
      </c>
      <c r="B2030">
        <f>AVERAGEIF(Sheet1!B:B, A2030, Sheet1!J:J)</f>
        <v>103.86734693877551</v>
      </c>
    </row>
    <row r="2031" spans="1:2" x14ac:dyDescent="0.3">
      <c r="A2031" t="s">
        <v>19</v>
      </c>
      <c r="B2031">
        <f>AVERAGEIF(Sheet1!B:B, A2031, Sheet1!J:J)</f>
        <v>103.86734693877551</v>
      </c>
    </row>
    <row r="2032" spans="1:2" x14ac:dyDescent="0.3">
      <c r="A2032" t="s">
        <v>19</v>
      </c>
      <c r="B2032">
        <f>AVERAGEIF(Sheet1!B:B, A2032, Sheet1!J:J)</f>
        <v>103.86734693877551</v>
      </c>
    </row>
    <row r="2033" spans="1:2" x14ac:dyDescent="0.3">
      <c r="A2033" t="s">
        <v>19</v>
      </c>
      <c r="B2033">
        <f>AVERAGEIF(Sheet1!B:B, A2033, Sheet1!J:J)</f>
        <v>103.86734693877551</v>
      </c>
    </row>
    <row r="2034" spans="1:2" x14ac:dyDescent="0.3">
      <c r="A2034" t="s">
        <v>23</v>
      </c>
      <c r="B2034">
        <f>AVERAGEIF(Sheet1!B:B, A2034, Sheet1!J:J)</f>
        <v>100.58333333333333</v>
      </c>
    </row>
    <row r="2035" spans="1:2" x14ac:dyDescent="0.3">
      <c r="A2035" t="s">
        <v>18</v>
      </c>
      <c r="B2035">
        <f>AVERAGEIF(Sheet1!B:B, A2035, Sheet1!J:J)</f>
        <v>172.40416666666667</v>
      </c>
    </row>
    <row r="2036" spans="1:2" x14ac:dyDescent="0.3">
      <c r="A2036" t="s">
        <v>18</v>
      </c>
      <c r="B2036">
        <f>AVERAGEIF(Sheet1!B:B, A2036, Sheet1!J:J)</f>
        <v>172.40416666666667</v>
      </c>
    </row>
    <row r="2037" spans="1:2" x14ac:dyDescent="0.3">
      <c r="A2037" t="s">
        <v>19</v>
      </c>
      <c r="B2037">
        <f>AVERAGEIF(Sheet1!B:B, A2037, Sheet1!J:J)</f>
        <v>103.86734693877551</v>
      </c>
    </row>
    <row r="2038" spans="1:2" x14ac:dyDescent="0.3">
      <c r="A2038" t="s">
        <v>19</v>
      </c>
      <c r="B2038">
        <f>AVERAGEIF(Sheet1!B:B, A2038, Sheet1!J:J)</f>
        <v>103.86734693877551</v>
      </c>
    </row>
    <row r="2039" spans="1:2" x14ac:dyDescent="0.3">
      <c r="A2039" t="s">
        <v>22</v>
      </c>
      <c r="B2039">
        <f>AVERAGEIF(Sheet1!B:B, A2039, Sheet1!J:J)</f>
        <v>40.497326203208559</v>
      </c>
    </row>
    <row r="2040" spans="1:2" x14ac:dyDescent="0.3">
      <c r="A2040" t="s">
        <v>22</v>
      </c>
      <c r="B2040">
        <f>AVERAGEIF(Sheet1!B:B, A2040, Sheet1!J:J)</f>
        <v>40.497326203208559</v>
      </c>
    </row>
    <row r="2041" spans="1:2" x14ac:dyDescent="0.3">
      <c r="A2041" t="s">
        <v>22</v>
      </c>
      <c r="B2041">
        <f>AVERAGEIF(Sheet1!B:B, A2041, Sheet1!J:J)</f>
        <v>40.497326203208559</v>
      </c>
    </row>
    <row r="2042" spans="1:2" x14ac:dyDescent="0.3">
      <c r="A2042" t="s">
        <v>22</v>
      </c>
      <c r="B2042">
        <f>AVERAGEIF(Sheet1!B:B, A2042, Sheet1!J:J)</f>
        <v>40.497326203208559</v>
      </c>
    </row>
    <row r="2043" spans="1:2" x14ac:dyDescent="0.3">
      <c r="A2043" t="s">
        <v>22</v>
      </c>
      <c r="B2043">
        <f>AVERAGEIF(Sheet1!B:B, A2043, Sheet1!J:J)</f>
        <v>40.497326203208559</v>
      </c>
    </row>
    <row r="2044" spans="1:2" x14ac:dyDescent="0.3">
      <c r="A2044" t="s">
        <v>22</v>
      </c>
      <c r="B2044">
        <f>AVERAGEIF(Sheet1!B:B, A2044, Sheet1!J:J)</f>
        <v>40.497326203208559</v>
      </c>
    </row>
    <row r="2045" spans="1:2" x14ac:dyDescent="0.3">
      <c r="A2045" t="s">
        <v>22</v>
      </c>
      <c r="B2045">
        <f>AVERAGEIF(Sheet1!B:B, A2045, Sheet1!J:J)</f>
        <v>40.497326203208559</v>
      </c>
    </row>
    <row r="2046" spans="1:2" x14ac:dyDescent="0.3">
      <c r="A2046" t="s">
        <v>22</v>
      </c>
      <c r="B2046">
        <f>AVERAGEIF(Sheet1!B:B, A2046, Sheet1!J:J)</f>
        <v>40.497326203208559</v>
      </c>
    </row>
    <row r="2047" spans="1:2" x14ac:dyDescent="0.3">
      <c r="A2047" t="s">
        <v>22</v>
      </c>
      <c r="B2047">
        <f>AVERAGEIF(Sheet1!B:B, A2047, Sheet1!J:J)</f>
        <v>40.497326203208559</v>
      </c>
    </row>
    <row r="2048" spans="1:2" x14ac:dyDescent="0.3">
      <c r="A2048" t="s">
        <v>22</v>
      </c>
      <c r="B2048">
        <f>AVERAGEIF(Sheet1!B:B, A2048, Sheet1!J:J)</f>
        <v>40.497326203208559</v>
      </c>
    </row>
    <row r="2049" spans="1:2" x14ac:dyDescent="0.3">
      <c r="A2049" t="s">
        <v>22</v>
      </c>
      <c r="B2049">
        <f>AVERAGEIF(Sheet1!B:B, A2049, Sheet1!J:J)</f>
        <v>40.497326203208559</v>
      </c>
    </row>
    <row r="2050" spans="1:2" x14ac:dyDescent="0.3">
      <c r="A2050" t="s">
        <v>22</v>
      </c>
      <c r="B2050">
        <f>AVERAGEIF(Sheet1!B:B, A2050, Sheet1!J:J)</f>
        <v>40.497326203208559</v>
      </c>
    </row>
    <row r="2051" spans="1:2" x14ac:dyDescent="0.3">
      <c r="A2051" t="s">
        <v>22</v>
      </c>
      <c r="B2051">
        <f>AVERAGEIF(Sheet1!B:B, A2051, Sheet1!J:J)</f>
        <v>40.497326203208559</v>
      </c>
    </row>
    <row r="2052" spans="1:2" x14ac:dyDescent="0.3">
      <c r="A2052" t="s">
        <v>22</v>
      </c>
      <c r="B2052">
        <f>AVERAGEIF(Sheet1!B:B, A2052, Sheet1!J:J)</f>
        <v>40.497326203208559</v>
      </c>
    </row>
    <row r="2053" spans="1:2" x14ac:dyDescent="0.3">
      <c r="A2053" t="s">
        <v>22</v>
      </c>
      <c r="B2053">
        <f>AVERAGEIF(Sheet1!B:B, A2053, Sheet1!J:J)</f>
        <v>40.497326203208559</v>
      </c>
    </row>
    <row r="2054" spans="1:2" x14ac:dyDescent="0.3">
      <c r="A2054" t="s">
        <v>22</v>
      </c>
      <c r="B2054">
        <f>AVERAGEIF(Sheet1!B:B, A2054, Sheet1!J:J)</f>
        <v>40.497326203208559</v>
      </c>
    </row>
    <row r="2055" spans="1:2" x14ac:dyDescent="0.3">
      <c r="A2055" t="s">
        <v>22</v>
      </c>
      <c r="B2055">
        <f>AVERAGEIF(Sheet1!B:B, A2055, Sheet1!J:J)</f>
        <v>40.497326203208559</v>
      </c>
    </row>
    <row r="2056" spans="1:2" x14ac:dyDescent="0.3">
      <c r="A2056" t="s">
        <v>22</v>
      </c>
      <c r="B2056">
        <f>AVERAGEIF(Sheet1!B:B, A2056, Sheet1!J:J)</f>
        <v>40.497326203208559</v>
      </c>
    </row>
    <row r="2057" spans="1:2" x14ac:dyDescent="0.3">
      <c r="A2057" t="s">
        <v>22</v>
      </c>
      <c r="B2057">
        <f>AVERAGEIF(Sheet1!B:B, A2057, Sheet1!J:J)</f>
        <v>40.497326203208559</v>
      </c>
    </row>
    <row r="2058" spans="1:2" x14ac:dyDescent="0.3">
      <c r="A2058" t="s">
        <v>22</v>
      </c>
      <c r="B2058">
        <f>AVERAGEIF(Sheet1!B:B, A2058, Sheet1!J:J)</f>
        <v>40.497326203208559</v>
      </c>
    </row>
    <row r="2059" spans="1:2" x14ac:dyDescent="0.3">
      <c r="A2059" t="s">
        <v>22</v>
      </c>
      <c r="B2059">
        <f>AVERAGEIF(Sheet1!B:B, A2059, Sheet1!J:J)</f>
        <v>40.497326203208559</v>
      </c>
    </row>
    <row r="2060" spans="1:2" x14ac:dyDescent="0.3">
      <c r="A2060" t="s">
        <v>22</v>
      </c>
      <c r="B2060">
        <f>AVERAGEIF(Sheet1!B:B, A2060, Sheet1!J:J)</f>
        <v>40.497326203208559</v>
      </c>
    </row>
    <row r="2061" spans="1:2" x14ac:dyDescent="0.3">
      <c r="A2061" t="s">
        <v>22</v>
      </c>
      <c r="B2061">
        <f>AVERAGEIF(Sheet1!B:B, A2061, Sheet1!J:J)</f>
        <v>40.497326203208559</v>
      </c>
    </row>
    <row r="2062" spans="1:2" x14ac:dyDescent="0.3">
      <c r="A2062" t="s">
        <v>22</v>
      </c>
      <c r="B2062">
        <f>AVERAGEIF(Sheet1!B:B, A2062, Sheet1!J:J)</f>
        <v>40.497326203208559</v>
      </c>
    </row>
    <row r="2063" spans="1:2" x14ac:dyDescent="0.3">
      <c r="A2063" t="s">
        <v>22</v>
      </c>
      <c r="B2063">
        <f>AVERAGEIF(Sheet1!B:B, A2063, Sheet1!J:J)</f>
        <v>40.497326203208559</v>
      </c>
    </row>
    <row r="2064" spans="1:2" x14ac:dyDescent="0.3">
      <c r="A2064" t="s">
        <v>22</v>
      </c>
      <c r="B2064">
        <f>AVERAGEIF(Sheet1!B:B, A2064, Sheet1!J:J)</f>
        <v>40.497326203208559</v>
      </c>
    </row>
    <row r="2065" spans="1:2" x14ac:dyDescent="0.3">
      <c r="A2065" t="s">
        <v>22</v>
      </c>
      <c r="B2065">
        <f>AVERAGEIF(Sheet1!B:B, A2065, Sheet1!J:J)</f>
        <v>40.497326203208559</v>
      </c>
    </row>
    <row r="2066" spans="1:2" x14ac:dyDescent="0.3">
      <c r="A2066" t="s">
        <v>22</v>
      </c>
      <c r="B2066">
        <f>AVERAGEIF(Sheet1!B:B, A2066, Sheet1!J:J)</f>
        <v>40.497326203208559</v>
      </c>
    </row>
    <row r="2067" spans="1:2" x14ac:dyDescent="0.3">
      <c r="A2067" t="s">
        <v>22</v>
      </c>
      <c r="B2067">
        <f>AVERAGEIF(Sheet1!B:B, A2067, Sheet1!J:J)</f>
        <v>40.497326203208559</v>
      </c>
    </row>
    <row r="2068" spans="1:2" x14ac:dyDescent="0.3">
      <c r="A2068" t="s">
        <v>25</v>
      </c>
      <c r="B2068">
        <f>AVERAGEIF(Sheet1!B:B, A2068, Sheet1!J:J)</f>
        <v>107.49685534591195</v>
      </c>
    </row>
    <row r="2069" spans="1:2" x14ac:dyDescent="0.3">
      <c r="A2069" t="s">
        <v>25</v>
      </c>
      <c r="B2069">
        <f>AVERAGEIF(Sheet1!B:B, A2069, Sheet1!J:J)</f>
        <v>107.49685534591195</v>
      </c>
    </row>
    <row r="2070" spans="1:2" x14ac:dyDescent="0.3">
      <c r="A2070" t="s">
        <v>25</v>
      </c>
      <c r="B2070">
        <f>AVERAGEIF(Sheet1!B:B, A2070, Sheet1!J:J)</f>
        <v>107.49685534591195</v>
      </c>
    </row>
    <row r="2071" spans="1:2" x14ac:dyDescent="0.3">
      <c r="A2071" t="s">
        <v>25</v>
      </c>
      <c r="B2071">
        <f>AVERAGEIF(Sheet1!B:B, A2071, Sheet1!J:J)</f>
        <v>107.49685534591195</v>
      </c>
    </row>
    <row r="2072" spans="1:2" x14ac:dyDescent="0.3">
      <c r="A2072" t="s">
        <v>25</v>
      </c>
      <c r="B2072">
        <f>AVERAGEIF(Sheet1!B:B, A2072, Sheet1!J:J)</f>
        <v>107.49685534591195</v>
      </c>
    </row>
    <row r="2073" spans="1:2" x14ac:dyDescent="0.3">
      <c r="A2073" t="s">
        <v>25</v>
      </c>
      <c r="B2073">
        <f>AVERAGEIF(Sheet1!B:B, A2073, Sheet1!J:J)</f>
        <v>107.49685534591195</v>
      </c>
    </row>
    <row r="2074" spans="1:2" x14ac:dyDescent="0.3">
      <c r="A2074" t="s">
        <v>25</v>
      </c>
      <c r="B2074">
        <f>AVERAGEIF(Sheet1!B:B, A2074, Sheet1!J:J)</f>
        <v>107.49685534591195</v>
      </c>
    </row>
    <row r="2075" spans="1:2" x14ac:dyDescent="0.3">
      <c r="A2075" t="s">
        <v>25</v>
      </c>
      <c r="B2075">
        <f>AVERAGEIF(Sheet1!B:B, A2075, Sheet1!J:J)</f>
        <v>107.49685534591195</v>
      </c>
    </row>
    <row r="2076" spans="1:2" x14ac:dyDescent="0.3">
      <c r="A2076" t="s">
        <v>25</v>
      </c>
      <c r="B2076">
        <f>AVERAGEIF(Sheet1!B:B, A2076, Sheet1!J:J)</f>
        <v>107.49685534591195</v>
      </c>
    </row>
    <row r="2077" spans="1:2" x14ac:dyDescent="0.3">
      <c r="A2077" t="s">
        <v>25</v>
      </c>
      <c r="B2077">
        <f>AVERAGEIF(Sheet1!B:B, A2077, Sheet1!J:J)</f>
        <v>107.49685534591195</v>
      </c>
    </row>
    <row r="2078" spans="1:2" x14ac:dyDescent="0.3">
      <c r="A2078" t="s">
        <v>25</v>
      </c>
      <c r="B2078">
        <f>AVERAGEIF(Sheet1!B:B, A2078, Sheet1!J:J)</f>
        <v>107.49685534591195</v>
      </c>
    </row>
    <row r="2079" spans="1:2" x14ac:dyDescent="0.3">
      <c r="A2079" t="s">
        <v>25</v>
      </c>
      <c r="B2079">
        <f>AVERAGEIF(Sheet1!B:B, A2079, Sheet1!J:J)</f>
        <v>107.49685534591195</v>
      </c>
    </row>
    <row r="2080" spans="1:2" x14ac:dyDescent="0.3">
      <c r="A2080" t="s">
        <v>25</v>
      </c>
      <c r="B2080">
        <f>AVERAGEIF(Sheet1!B:B, A2080, Sheet1!J:J)</f>
        <v>107.49685534591195</v>
      </c>
    </row>
    <row r="2081" spans="1:2" x14ac:dyDescent="0.3">
      <c r="A2081" t="s">
        <v>25</v>
      </c>
      <c r="B2081">
        <f>AVERAGEIF(Sheet1!B:B, A2081, Sheet1!J:J)</f>
        <v>107.49685534591195</v>
      </c>
    </row>
    <row r="2082" spans="1:2" x14ac:dyDescent="0.3">
      <c r="A2082" t="s">
        <v>26</v>
      </c>
      <c r="B2082">
        <f>AVERAGEIF(Sheet1!B:B, A2082, Sheet1!J:J)</f>
        <v>81.180582524271841</v>
      </c>
    </row>
    <row r="2083" spans="1:2" x14ac:dyDescent="0.3">
      <c r="A2083" t="s">
        <v>26</v>
      </c>
      <c r="B2083">
        <f>AVERAGEIF(Sheet1!B:B, A2083, Sheet1!J:J)</f>
        <v>81.180582524271841</v>
      </c>
    </row>
    <row r="2084" spans="1:2" x14ac:dyDescent="0.3">
      <c r="A2084" t="s">
        <v>25</v>
      </c>
      <c r="B2084">
        <f>AVERAGEIF(Sheet1!B:B, A2084, Sheet1!J:J)</f>
        <v>107.49685534591195</v>
      </c>
    </row>
    <row r="2085" spans="1:2" x14ac:dyDescent="0.3">
      <c r="A2085" t="s">
        <v>25</v>
      </c>
      <c r="B2085">
        <f>AVERAGEIF(Sheet1!B:B, A2085, Sheet1!J:J)</f>
        <v>107.49685534591195</v>
      </c>
    </row>
    <row r="2086" spans="1:2" x14ac:dyDescent="0.3">
      <c r="A2086" t="s">
        <v>25</v>
      </c>
      <c r="B2086">
        <f>AVERAGEIF(Sheet1!B:B, A2086, Sheet1!J:J)</f>
        <v>107.49685534591195</v>
      </c>
    </row>
    <row r="2087" spans="1:2" x14ac:dyDescent="0.3">
      <c r="A2087" t="s">
        <v>25</v>
      </c>
      <c r="B2087">
        <f>AVERAGEIF(Sheet1!B:B, A2087, Sheet1!J:J)</f>
        <v>107.49685534591195</v>
      </c>
    </row>
    <row r="2088" spans="1:2" x14ac:dyDescent="0.3">
      <c r="A2088" t="s">
        <v>25</v>
      </c>
      <c r="B2088">
        <f>AVERAGEIF(Sheet1!B:B, A2088, Sheet1!J:J)</f>
        <v>107.49685534591195</v>
      </c>
    </row>
    <row r="2089" spans="1:2" x14ac:dyDescent="0.3">
      <c r="A2089" t="s">
        <v>24</v>
      </c>
      <c r="B2089">
        <f>AVERAGEIF(Sheet1!B:B, A2089, Sheet1!J:J)</f>
        <v>29.818181818181817</v>
      </c>
    </row>
    <row r="2090" spans="1:2" x14ac:dyDescent="0.3">
      <c r="A2090" t="s">
        <v>24</v>
      </c>
      <c r="B2090">
        <f>AVERAGEIF(Sheet1!B:B, A2090, Sheet1!J:J)</f>
        <v>29.818181818181817</v>
      </c>
    </row>
    <row r="2091" spans="1:2" x14ac:dyDescent="0.3">
      <c r="A2091" t="s">
        <v>25</v>
      </c>
      <c r="B2091">
        <f>AVERAGEIF(Sheet1!B:B, A2091, Sheet1!J:J)</f>
        <v>107.49685534591195</v>
      </c>
    </row>
    <row r="2092" spans="1:2" x14ac:dyDescent="0.3">
      <c r="A2092" t="s">
        <v>25</v>
      </c>
      <c r="B2092">
        <f>AVERAGEIF(Sheet1!B:B, A2092, Sheet1!J:J)</f>
        <v>107.49685534591195</v>
      </c>
    </row>
    <row r="2093" spans="1:2" x14ac:dyDescent="0.3">
      <c r="A2093" t="s">
        <v>25</v>
      </c>
      <c r="B2093">
        <f>AVERAGEIF(Sheet1!B:B, A2093, Sheet1!J:J)</f>
        <v>107.49685534591195</v>
      </c>
    </row>
    <row r="2094" spans="1:2" x14ac:dyDescent="0.3">
      <c r="A2094" t="s">
        <v>25</v>
      </c>
      <c r="B2094">
        <f>AVERAGEIF(Sheet1!B:B, A2094, Sheet1!J:J)</f>
        <v>107.49685534591195</v>
      </c>
    </row>
    <row r="2095" spans="1:2" x14ac:dyDescent="0.3">
      <c r="A2095" t="s">
        <v>25</v>
      </c>
      <c r="B2095">
        <f>AVERAGEIF(Sheet1!B:B, A2095, Sheet1!J:J)</f>
        <v>107.49685534591195</v>
      </c>
    </row>
    <row r="2096" spans="1:2" x14ac:dyDescent="0.3">
      <c r="A2096" t="s">
        <v>25</v>
      </c>
      <c r="B2096">
        <f>AVERAGEIF(Sheet1!B:B, A2096, Sheet1!J:J)</f>
        <v>107.49685534591195</v>
      </c>
    </row>
    <row r="2097" spans="1:2" x14ac:dyDescent="0.3">
      <c r="A2097" t="s">
        <v>25</v>
      </c>
      <c r="B2097">
        <f>AVERAGEIF(Sheet1!B:B, A2097, Sheet1!J:J)</f>
        <v>107.49685534591195</v>
      </c>
    </row>
    <row r="2098" spans="1:2" x14ac:dyDescent="0.3">
      <c r="A2098" t="s">
        <v>25</v>
      </c>
      <c r="B2098">
        <f>AVERAGEIF(Sheet1!B:B, A2098, Sheet1!J:J)</f>
        <v>107.49685534591195</v>
      </c>
    </row>
    <row r="2099" spans="1:2" x14ac:dyDescent="0.3">
      <c r="A2099" t="s">
        <v>25</v>
      </c>
      <c r="B2099">
        <f>AVERAGEIF(Sheet1!B:B, A2099, Sheet1!J:J)</f>
        <v>107.49685534591195</v>
      </c>
    </row>
    <row r="2100" spans="1:2" x14ac:dyDescent="0.3">
      <c r="A2100" t="s">
        <v>25</v>
      </c>
      <c r="B2100">
        <f>AVERAGEIF(Sheet1!B:B, A2100, Sheet1!J:J)</f>
        <v>107.49685534591195</v>
      </c>
    </row>
    <row r="2101" spans="1:2" x14ac:dyDescent="0.3">
      <c r="A2101" t="s">
        <v>25</v>
      </c>
      <c r="B2101">
        <f>AVERAGEIF(Sheet1!B:B, A2101, Sheet1!J:J)</f>
        <v>107.49685534591195</v>
      </c>
    </row>
    <row r="2102" spans="1:2" x14ac:dyDescent="0.3">
      <c r="A2102" t="s">
        <v>25</v>
      </c>
      <c r="B2102">
        <f>AVERAGEIF(Sheet1!B:B, A2102, Sheet1!J:J)</f>
        <v>107.49685534591195</v>
      </c>
    </row>
    <row r="2103" spans="1:2" x14ac:dyDescent="0.3">
      <c r="A2103" t="s">
        <v>22</v>
      </c>
      <c r="B2103">
        <f>AVERAGEIF(Sheet1!B:B, A2103, Sheet1!J:J)</f>
        <v>40.497326203208559</v>
      </c>
    </row>
    <row r="2104" spans="1:2" x14ac:dyDescent="0.3">
      <c r="A2104" t="s">
        <v>24</v>
      </c>
      <c r="B2104">
        <f>AVERAGEIF(Sheet1!B:B, A2104, Sheet1!J:J)</f>
        <v>29.818181818181817</v>
      </c>
    </row>
    <row r="2105" spans="1:2" x14ac:dyDescent="0.3">
      <c r="A2105" t="s">
        <v>24</v>
      </c>
      <c r="B2105">
        <f>AVERAGEIF(Sheet1!B:B, A2105, Sheet1!J:J)</f>
        <v>29.818181818181817</v>
      </c>
    </row>
    <row r="2106" spans="1:2" x14ac:dyDescent="0.3">
      <c r="A2106" t="s">
        <v>25</v>
      </c>
      <c r="B2106">
        <f>AVERAGEIF(Sheet1!B:B, A2106, Sheet1!J:J)</f>
        <v>107.49685534591195</v>
      </c>
    </row>
    <row r="2107" spans="1:2" x14ac:dyDescent="0.3">
      <c r="A2107" t="s">
        <v>24</v>
      </c>
      <c r="B2107">
        <f>AVERAGEIF(Sheet1!B:B, A2107, Sheet1!J:J)</f>
        <v>29.818181818181817</v>
      </c>
    </row>
    <row r="2108" spans="1:2" x14ac:dyDescent="0.3">
      <c r="A2108" t="s">
        <v>26</v>
      </c>
      <c r="B2108">
        <f>AVERAGEIF(Sheet1!B:B, A2108, Sheet1!J:J)</f>
        <v>81.180582524271841</v>
      </c>
    </row>
    <row r="2109" spans="1:2" x14ac:dyDescent="0.3">
      <c r="A2109" t="s">
        <v>26</v>
      </c>
      <c r="B2109">
        <f>AVERAGEIF(Sheet1!B:B, A2109, Sheet1!J:J)</f>
        <v>81.180582524271841</v>
      </c>
    </row>
    <row r="2110" spans="1:2" x14ac:dyDescent="0.3">
      <c r="A2110" t="s">
        <v>26</v>
      </c>
      <c r="B2110">
        <f>AVERAGEIF(Sheet1!B:B, A2110, Sheet1!J:J)</f>
        <v>81.180582524271841</v>
      </c>
    </row>
    <row r="2111" spans="1:2" x14ac:dyDescent="0.3">
      <c r="A2111" t="s">
        <v>26</v>
      </c>
      <c r="B2111">
        <f>AVERAGEIF(Sheet1!B:B, A2111, Sheet1!J:J)</f>
        <v>81.180582524271841</v>
      </c>
    </row>
    <row r="2112" spans="1:2" x14ac:dyDescent="0.3">
      <c r="A2112" t="s">
        <v>26</v>
      </c>
      <c r="B2112">
        <f>AVERAGEIF(Sheet1!B:B, A2112, Sheet1!J:J)</f>
        <v>81.180582524271841</v>
      </c>
    </row>
    <row r="2113" spans="1:2" x14ac:dyDescent="0.3">
      <c r="A2113" t="s">
        <v>26</v>
      </c>
      <c r="B2113">
        <f>AVERAGEIF(Sheet1!B:B, A2113, Sheet1!J:J)</f>
        <v>81.180582524271841</v>
      </c>
    </row>
    <row r="2114" spans="1:2" x14ac:dyDescent="0.3">
      <c r="A2114" t="s">
        <v>26</v>
      </c>
      <c r="B2114">
        <f>AVERAGEIF(Sheet1!B:B, A2114, Sheet1!J:J)</f>
        <v>81.180582524271841</v>
      </c>
    </row>
    <row r="2115" spans="1:2" x14ac:dyDescent="0.3">
      <c r="A2115" t="s">
        <v>26</v>
      </c>
      <c r="B2115">
        <f>AVERAGEIF(Sheet1!B:B, A2115, Sheet1!J:J)</f>
        <v>81.180582524271841</v>
      </c>
    </row>
    <row r="2116" spans="1:2" x14ac:dyDescent="0.3">
      <c r="A2116" t="s">
        <v>26</v>
      </c>
      <c r="B2116">
        <f>AVERAGEIF(Sheet1!B:B, A2116, Sheet1!J:J)</f>
        <v>81.180582524271841</v>
      </c>
    </row>
    <row r="2117" spans="1:2" x14ac:dyDescent="0.3">
      <c r="A2117" t="s">
        <v>26</v>
      </c>
      <c r="B2117">
        <f>AVERAGEIF(Sheet1!B:B, A2117, Sheet1!J:J)</f>
        <v>81.180582524271841</v>
      </c>
    </row>
    <row r="2118" spans="1:2" x14ac:dyDescent="0.3">
      <c r="A2118" t="s">
        <v>26</v>
      </c>
      <c r="B2118">
        <f>AVERAGEIF(Sheet1!B:B, A2118, Sheet1!J:J)</f>
        <v>81.180582524271841</v>
      </c>
    </row>
    <row r="2119" spans="1:2" x14ac:dyDescent="0.3">
      <c r="A2119" t="s">
        <v>26</v>
      </c>
      <c r="B2119">
        <f>AVERAGEIF(Sheet1!B:B, A2119, Sheet1!J:J)</f>
        <v>81.180582524271841</v>
      </c>
    </row>
    <row r="2120" spans="1:2" x14ac:dyDescent="0.3">
      <c r="A2120" t="s">
        <v>26</v>
      </c>
      <c r="B2120">
        <f>AVERAGEIF(Sheet1!B:B, A2120, Sheet1!J:J)</f>
        <v>81.180582524271841</v>
      </c>
    </row>
    <row r="2121" spans="1:2" x14ac:dyDescent="0.3">
      <c r="A2121" t="s">
        <v>26</v>
      </c>
      <c r="B2121">
        <f>AVERAGEIF(Sheet1!B:B, A2121, Sheet1!J:J)</f>
        <v>81.180582524271841</v>
      </c>
    </row>
    <row r="2122" spans="1:2" x14ac:dyDescent="0.3">
      <c r="A2122" t="s">
        <v>26</v>
      </c>
      <c r="B2122">
        <f>AVERAGEIF(Sheet1!B:B, A2122, Sheet1!J:J)</f>
        <v>81.180582524271841</v>
      </c>
    </row>
    <row r="2123" spans="1:2" x14ac:dyDescent="0.3">
      <c r="A2123" t="s">
        <v>26</v>
      </c>
      <c r="B2123">
        <f>AVERAGEIF(Sheet1!B:B, A2123, Sheet1!J:J)</f>
        <v>81.180582524271841</v>
      </c>
    </row>
    <row r="2124" spans="1:2" x14ac:dyDescent="0.3">
      <c r="A2124" t="s">
        <v>26</v>
      </c>
      <c r="B2124">
        <f>AVERAGEIF(Sheet1!B:B, A2124, Sheet1!J:J)</f>
        <v>81.180582524271841</v>
      </c>
    </row>
    <row r="2125" spans="1:2" x14ac:dyDescent="0.3">
      <c r="A2125" t="s">
        <v>26</v>
      </c>
      <c r="B2125">
        <f>AVERAGEIF(Sheet1!B:B, A2125, Sheet1!J:J)</f>
        <v>81.180582524271841</v>
      </c>
    </row>
    <row r="2126" spans="1:2" x14ac:dyDescent="0.3">
      <c r="A2126" t="s">
        <v>26</v>
      </c>
      <c r="B2126">
        <f>AVERAGEIF(Sheet1!B:B, A2126, Sheet1!J:J)</f>
        <v>81.180582524271841</v>
      </c>
    </row>
    <row r="2127" spans="1:2" x14ac:dyDescent="0.3">
      <c r="A2127" t="s">
        <v>26</v>
      </c>
      <c r="B2127">
        <f>AVERAGEIF(Sheet1!B:B, A2127, Sheet1!J:J)</f>
        <v>81.180582524271841</v>
      </c>
    </row>
    <row r="2128" spans="1:2" x14ac:dyDescent="0.3">
      <c r="A2128" t="s">
        <v>26</v>
      </c>
      <c r="B2128">
        <f>AVERAGEIF(Sheet1!B:B, A2128, Sheet1!J:J)</f>
        <v>81.180582524271841</v>
      </c>
    </row>
    <row r="2129" spans="1:2" x14ac:dyDescent="0.3">
      <c r="A2129" t="s">
        <v>26</v>
      </c>
      <c r="B2129">
        <f>AVERAGEIF(Sheet1!B:B, A2129, Sheet1!J:J)</f>
        <v>81.180582524271841</v>
      </c>
    </row>
    <row r="2130" spans="1:2" x14ac:dyDescent="0.3">
      <c r="A2130" t="s">
        <v>26</v>
      </c>
      <c r="B2130">
        <f>AVERAGEIF(Sheet1!B:B, A2130, Sheet1!J:J)</f>
        <v>81.180582524271841</v>
      </c>
    </row>
    <row r="2131" spans="1:2" x14ac:dyDescent="0.3">
      <c r="A2131" t="s">
        <v>26</v>
      </c>
      <c r="B2131">
        <f>AVERAGEIF(Sheet1!B:B, A2131, Sheet1!J:J)</f>
        <v>81.180582524271841</v>
      </c>
    </row>
    <row r="2132" spans="1:2" x14ac:dyDescent="0.3">
      <c r="A2132" t="s">
        <v>26</v>
      </c>
      <c r="B2132">
        <f>AVERAGEIF(Sheet1!B:B, A2132, Sheet1!J:J)</f>
        <v>81.180582524271841</v>
      </c>
    </row>
    <row r="2133" spans="1:2" x14ac:dyDescent="0.3">
      <c r="A2133" t="s">
        <v>26</v>
      </c>
      <c r="B2133">
        <f>AVERAGEIF(Sheet1!B:B, A2133, Sheet1!J:J)</f>
        <v>81.180582524271841</v>
      </c>
    </row>
    <row r="2134" spans="1:2" x14ac:dyDescent="0.3">
      <c r="A2134" t="s">
        <v>26</v>
      </c>
      <c r="B2134">
        <f>AVERAGEIF(Sheet1!B:B, A2134, Sheet1!J:J)</f>
        <v>81.180582524271841</v>
      </c>
    </row>
    <row r="2135" spans="1:2" x14ac:dyDescent="0.3">
      <c r="A2135" t="s">
        <v>26</v>
      </c>
      <c r="B2135">
        <f>AVERAGEIF(Sheet1!B:B, A2135, Sheet1!J:J)</f>
        <v>81.180582524271841</v>
      </c>
    </row>
    <row r="2136" spans="1:2" x14ac:dyDescent="0.3">
      <c r="A2136" t="s">
        <v>26</v>
      </c>
      <c r="B2136">
        <f>AVERAGEIF(Sheet1!B:B, A2136, Sheet1!J:J)</f>
        <v>81.180582524271841</v>
      </c>
    </row>
    <row r="2137" spans="1:2" x14ac:dyDescent="0.3">
      <c r="A2137" t="s">
        <v>26</v>
      </c>
      <c r="B2137">
        <f>AVERAGEIF(Sheet1!B:B, A2137, Sheet1!J:J)</f>
        <v>81.180582524271841</v>
      </c>
    </row>
    <row r="2138" spans="1:2" x14ac:dyDescent="0.3">
      <c r="A2138" t="s">
        <v>26</v>
      </c>
      <c r="B2138">
        <f>AVERAGEIF(Sheet1!B:B, A2138, Sheet1!J:J)</f>
        <v>81.180582524271841</v>
      </c>
    </row>
    <row r="2139" spans="1:2" x14ac:dyDescent="0.3">
      <c r="A2139" t="s">
        <v>26</v>
      </c>
      <c r="B2139">
        <f>AVERAGEIF(Sheet1!B:B, A2139, Sheet1!J:J)</f>
        <v>81.180582524271841</v>
      </c>
    </row>
    <row r="2140" spans="1:2" x14ac:dyDescent="0.3">
      <c r="A2140" t="s">
        <v>26</v>
      </c>
      <c r="B2140">
        <f>AVERAGEIF(Sheet1!B:B, A2140, Sheet1!J:J)</f>
        <v>81.180582524271841</v>
      </c>
    </row>
    <row r="2141" spans="1:2" x14ac:dyDescent="0.3">
      <c r="A2141" t="s">
        <v>26</v>
      </c>
      <c r="B2141">
        <f>AVERAGEIF(Sheet1!B:B, A2141, Sheet1!J:J)</f>
        <v>81.180582524271841</v>
      </c>
    </row>
    <row r="2142" spans="1:2" x14ac:dyDescent="0.3">
      <c r="A2142" t="s">
        <v>26</v>
      </c>
      <c r="B2142">
        <f>AVERAGEIF(Sheet1!B:B, A2142, Sheet1!J:J)</f>
        <v>81.180582524271841</v>
      </c>
    </row>
    <row r="2143" spans="1:2" x14ac:dyDescent="0.3">
      <c r="A2143" t="s">
        <v>26</v>
      </c>
      <c r="B2143">
        <f>AVERAGEIF(Sheet1!B:B, A2143, Sheet1!J:J)</f>
        <v>81.180582524271841</v>
      </c>
    </row>
    <row r="2144" spans="1:2" x14ac:dyDescent="0.3">
      <c r="A2144" t="s">
        <v>26</v>
      </c>
      <c r="B2144">
        <f>AVERAGEIF(Sheet1!B:B, A2144, Sheet1!J:J)</f>
        <v>81.180582524271841</v>
      </c>
    </row>
    <row r="2145" spans="1:2" x14ac:dyDescent="0.3">
      <c r="A2145" t="s">
        <v>26</v>
      </c>
      <c r="B2145">
        <f>AVERAGEIF(Sheet1!B:B, A2145, Sheet1!J:J)</f>
        <v>81.180582524271841</v>
      </c>
    </row>
    <row r="2146" spans="1:2" x14ac:dyDescent="0.3">
      <c r="A2146" t="s">
        <v>26</v>
      </c>
      <c r="B2146">
        <f>AVERAGEIF(Sheet1!B:B, A2146, Sheet1!J:J)</f>
        <v>81.180582524271841</v>
      </c>
    </row>
    <row r="2147" spans="1:2" x14ac:dyDescent="0.3">
      <c r="A2147" t="s">
        <v>26</v>
      </c>
      <c r="B2147">
        <f>AVERAGEIF(Sheet1!B:B, A2147, Sheet1!J:J)</f>
        <v>81.180582524271841</v>
      </c>
    </row>
    <row r="2148" spans="1:2" x14ac:dyDescent="0.3">
      <c r="A2148" t="s">
        <v>26</v>
      </c>
      <c r="B2148">
        <f>AVERAGEIF(Sheet1!B:B, A2148, Sheet1!J:J)</f>
        <v>81.180582524271841</v>
      </c>
    </row>
    <row r="2149" spans="1:2" x14ac:dyDescent="0.3">
      <c r="A2149" t="s">
        <v>26</v>
      </c>
      <c r="B2149">
        <f>AVERAGEIF(Sheet1!B:B, A2149, Sheet1!J:J)</f>
        <v>81.180582524271841</v>
      </c>
    </row>
    <row r="2150" spans="1:2" x14ac:dyDescent="0.3">
      <c r="A2150" t="s">
        <v>26</v>
      </c>
      <c r="B2150">
        <f>AVERAGEIF(Sheet1!B:B, A2150, Sheet1!J:J)</f>
        <v>81.180582524271841</v>
      </c>
    </row>
    <row r="2151" spans="1:2" x14ac:dyDescent="0.3">
      <c r="A2151" t="s">
        <v>26</v>
      </c>
      <c r="B2151">
        <f>AVERAGEIF(Sheet1!B:B, A2151, Sheet1!J:J)</f>
        <v>81.180582524271841</v>
      </c>
    </row>
    <row r="2152" spans="1:2" x14ac:dyDescent="0.3">
      <c r="A2152" t="s">
        <v>26</v>
      </c>
      <c r="B2152">
        <f>AVERAGEIF(Sheet1!B:B, A2152, Sheet1!J:J)</f>
        <v>81.180582524271841</v>
      </c>
    </row>
    <row r="2153" spans="1:2" x14ac:dyDescent="0.3">
      <c r="A2153" t="s">
        <v>26</v>
      </c>
      <c r="B2153">
        <f>AVERAGEIF(Sheet1!B:B, A2153, Sheet1!J:J)</f>
        <v>81.180582524271841</v>
      </c>
    </row>
    <row r="2154" spans="1:2" x14ac:dyDescent="0.3">
      <c r="A2154" t="s">
        <v>26</v>
      </c>
      <c r="B2154">
        <f>AVERAGEIF(Sheet1!B:B, A2154, Sheet1!J:J)</f>
        <v>81.180582524271841</v>
      </c>
    </row>
    <row r="2155" spans="1:2" x14ac:dyDescent="0.3">
      <c r="A2155" t="s">
        <v>26</v>
      </c>
      <c r="B2155">
        <f>AVERAGEIF(Sheet1!B:B, A2155, Sheet1!J:J)</f>
        <v>81.180582524271841</v>
      </c>
    </row>
    <row r="2156" spans="1:2" x14ac:dyDescent="0.3">
      <c r="A2156" t="s">
        <v>26</v>
      </c>
      <c r="B2156">
        <f>AVERAGEIF(Sheet1!B:B, A2156, Sheet1!J:J)</f>
        <v>81.180582524271841</v>
      </c>
    </row>
    <row r="2157" spans="1:2" x14ac:dyDescent="0.3">
      <c r="A2157" t="s">
        <v>26</v>
      </c>
      <c r="B2157">
        <f>AVERAGEIF(Sheet1!B:B, A2157, Sheet1!J:J)</f>
        <v>81.180582524271841</v>
      </c>
    </row>
    <row r="2158" spans="1:2" x14ac:dyDescent="0.3">
      <c r="A2158" t="s">
        <v>26</v>
      </c>
      <c r="B2158">
        <f>AVERAGEIF(Sheet1!B:B, A2158, Sheet1!J:J)</f>
        <v>81.180582524271841</v>
      </c>
    </row>
    <row r="2159" spans="1:2" x14ac:dyDescent="0.3">
      <c r="A2159" t="s">
        <v>26</v>
      </c>
      <c r="B2159">
        <f>AVERAGEIF(Sheet1!B:B, A2159, Sheet1!J:J)</f>
        <v>81.180582524271841</v>
      </c>
    </row>
    <row r="2160" spans="1:2" x14ac:dyDescent="0.3">
      <c r="A2160" t="s">
        <v>26</v>
      </c>
      <c r="B2160">
        <f>AVERAGEIF(Sheet1!B:B, A2160, Sheet1!J:J)</f>
        <v>81.180582524271841</v>
      </c>
    </row>
    <row r="2161" spans="1:2" x14ac:dyDescent="0.3">
      <c r="A2161" t="s">
        <v>26</v>
      </c>
      <c r="B2161">
        <f>AVERAGEIF(Sheet1!B:B, A2161, Sheet1!J:J)</f>
        <v>81.180582524271841</v>
      </c>
    </row>
    <row r="2162" spans="1:2" x14ac:dyDescent="0.3">
      <c r="A2162" t="s">
        <v>26</v>
      </c>
      <c r="B2162">
        <f>AVERAGEIF(Sheet1!B:B, A2162, Sheet1!J:J)</f>
        <v>81.180582524271841</v>
      </c>
    </row>
    <row r="2163" spans="1:2" x14ac:dyDescent="0.3">
      <c r="A2163" t="s">
        <v>26</v>
      </c>
      <c r="B2163">
        <f>AVERAGEIF(Sheet1!B:B, A2163, Sheet1!J:J)</f>
        <v>81.180582524271841</v>
      </c>
    </row>
    <row r="2164" spans="1:2" x14ac:dyDescent="0.3">
      <c r="A2164" t="s">
        <v>26</v>
      </c>
      <c r="B2164">
        <f>AVERAGEIF(Sheet1!B:B, A2164, Sheet1!J:J)</f>
        <v>81.180582524271841</v>
      </c>
    </row>
    <row r="2165" spans="1:2" x14ac:dyDescent="0.3">
      <c r="A2165" t="s">
        <v>26</v>
      </c>
      <c r="B2165">
        <f>AVERAGEIF(Sheet1!B:B, A2165, Sheet1!J:J)</f>
        <v>81.180582524271841</v>
      </c>
    </row>
    <row r="2166" spans="1:2" x14ac:dyDescent="0.3">
      <c r="A2166" t="s">
        <v>26</v>
      </c>
      <c r="B2166">
        <f>AVERAGEIF(Sheet1!B:B, A2166, Sheet1!J:J)</f>
        <v>81.180582524271841</v>
      </c>
    </row>
    <row r="2167" spans="1:2" x14ac:dyDescent="0.3">
      <c r="A2167" t="s">
        <v>26</v>
      </c>
      <c r="B2167">
        <f>AVERAGEIF(Sheet1!B:B, A2167, Sheet1!J:J)</f>
        <v>81.180582524271841</v>
      </c>
    </row>
    <row r="2168" spans="1:2" x14ac:dyDescent="0.3">
      <c r="A2168" t="s">
        <v>26</v>
      </c>
      <c r="B2168">
        <f>AVERAGEIF(Sheet1!B:B, A2168, Sheet1!J:J)</f>
        <v>81.180582524271841</v>
      </c>
    </row>
    <row r="2169" spans="1:2" x14ac:dyDescent="0.3">
      <c r="A2169" t="s">
        <v>26</v>
      </c>
      <c r="B2169">
        <f>AVERAGEIF(Sheet1!B:B, A2169, Sheet1!J:J)</f>
        <v>81.180582524271841</v>
      </c>
    </row>
    <row r="2170" spans="1:2" x14ac:dyDescent="0.3">
      <c r="A2170" t="s">
        <v>26</v>
      </c>
      <c r="B2170">
        <f>AVERAGEIF(Sheet1!B:B, A2170, Sheet1!J:J)</f>
        <v>81.180582524271841</v>
      </c>
    </row>
    <row r="2171" spans="1:2" x14ac:dyDescent="0.3">
      <c r="A2171" t="s">
        <v>26</v>
      </c>
      <c r="B2171">
        <f>AVERAGEIF(Sheet1!B:B, A2171, Sheet1!J:J)</f>
        <v>81.180582524271841</v>
      </c>
    </row>
    <row r="2172" spans="1:2" x14ac:dyDescent="0.3">
      <c r="A2172" t="s">
        <v>26</v>
      </c>
      <c r="B2172">
        <f>AVERAGEIF(Sheet1!B:B, A2172, Sheet1!J:J)</f>
        <v>81.180582524271841</v>
      </c>
    </row>
    <row r="2173" spans="1:2" x14ac:dyDescent="0.3">
      <c r="A2173" t="s">
        <v>26</v>
      </c>
      <c r="B2173">
        <f>AVERAGEIF(Sheet1!B:B, A2173, Sheet1!J:J)</f>
        <v>81.180582524271841</v>
      </c>
    </row>
    <row r="2174" spans="1:2" x14ac:dyDescent="0.3">
      <c r="A2174" t="s">
        <v>26</v>
      </c>
      <c r="B2174">
        <f>AVERAGEIF(Sheet1!B:B, A2174, Sheet1!J:J)</f>
        <v>81.180582524271841</v>
      </c>
    </row>
    <row r="2175" spans="1:2" x14ac:dyDescent="0.3">
      <c r="A2175" t="s">
        <v>26</v>
      </c>
      <c r="B2175">
        <f>AVERAGEIF(Sheet1!B:B, A2175, Sheet1!J:J)</f>
        <v>81.180582524271841</v>
      </c>
    </row>
    <row r="2176" spans="1:2" x14ac:dyDescent="0.3">
      <c r="A2176" t="s">
        <v>26</v>
      </c>
      <c r="B2176">
        <f>AVERAGEIF(Sheet1!B:B, A2176, Sheet1!J:J)</f>
        <v>81.180582524271841</v>
      </c>
    </row>
    <row r="2177" spans="1:2" x14ac:dyDescent="0.3">
      <c r="A2177" t="s">
        <v>26</v>
      </c>
      <c r="B2177">
        <f>AVERAGEIF(Sheet1!B:B, A2177, Sheet1!J:J)</f>
        <v>81.180582524271841</v>
      </c>
    </row>
    <row r="2178" spans="1:2" x14ac:dyDescent="0.3">
      <c r="A2178" t="s">
        <v>26</v>
      </c>
      <c r="B2178">
        <f>AVERAGEIF(Sheet1!B:B, A2178, Sheet1!J:J)</f>
        <v>81.180582524271841</v>
      </c>
    </row>
    <row r="2179" spans="1:2" x14ac:dyDescent="0.3">
      <c r="A2179" t="s">
        <v>26</v>
      </c>
      <c r="B2179">
        <f>AVERAGEIF(Sheet1!B:B, A2179, Sheet1!J:J)</f>
        <v>81.180582524271841</v>
      </c>
    </row>
    <row r="2180" spans="1:2" x14ac:dyDescent="0.3">
      <c r="A2180" t="s">
        <v>26</v>
      </c>
      <c r="B2180">
        <f>AVERAGEIF(Sheet1!B:B, A2180, Sheet1!J:J)</f>
        <v>81.180582524271841</v>
      </c>
    </row>
    <row r="2181" spans="1:2" x14ac:dyDescent="0.3">
      <c r="A2181" t="s">
        <v>26</v>
      </c>
      <c r="B2181">
        <f>AVERAGEIF(Sheet1!B:B, A2181, Sheet1!J:J)</f>
        <v>81.180582524271841</v>
      </c>
    </row>
    <row r="2182" spans="1:2" x14ac:dyDescent="0.3">
      <c r="A2182" t="s">
        <v>26</v>
      </c>
      <c r="B2182">
        <f>AVERAGEIF(Sheet1!B:B, A2182, Sheet1!J:J)</f>
        <v>81.180582524271841</v>
      </c>
    </row>
    <row r="2183" spans="1:2" x14ac:dyDescent="0.3">
      <c r="A2183" t="s">
        <v>26</v>
      </c>
      <c r="B2183">
        <f>AVERAGEIF(Sheet1!B:B, A2183, Sheet1!J:J)</f>
        <v>81.180582524271841</v>
      </c>
    </row>
    <row r="2184" spans="1:2" x14ac:dyDescent="0.3">
      <c r="A2184" t="s">
        <v>26</v>
      </c>
      <c r="B2184">
        <f>AVERAGEIF(Sheet1!B:B, A2184, Sheet1!J:J)</f>
        <v>81.180582524271841</v>
      </c>
    </row>
    <row r="2185" spans="1:2" x14ac:dyDescent="0.3">
      <c r="A2185" t="s">
        <v>26</v>
      </c>
      <c r="B2185">
        <f>AVERAGEIF(Sheet1!B:B, A2185, Sheet1!J:J)</f>
        <v>81.180582524271841</v>
      </c>
    </row>
    <row r="2186" spans="1:2" x14ac:dyDescent="0.3">
      <c r="A2186" t="s">
        <v>26</v>
      </c>
      <c r="B2186">
        <f>AVERAGEIF(Sheet1!B:B, A2186, Sheet1!J:J)</f>
        <v>81.180582524271841</v>
      </c>
    </row>
    <row r="2187" spans="1:2" x14ac:dyDescent="0.3">
      <c r="A2187" t="s">
        <v>26</v>
      </c>
      <c r="B2187">
        <f>AVERAGEIF(Sheet1!B:B, A2187, Sheet1!J:J)</f>
        <v>81.180582524271841</v>
      </c>
    </row>
    <row r="2188" spans="1:2" x14ac:dyDescent="0.3">
      <c r="A2188" t="s">
        <v>26</v>
      </c>
      <c r="B2188">
        <f>AVERAGEIF(Sheet1!B:B, A2188, Sheet1!J:J)</f>
        <v>81.180582524271841</v>
      </c>
    </row>
    <row r="2189" spans="1:2" x14ac:dyDescent="0.3">
      <c r="A2189" t="s">
        <v>26</v>
      </c>
      <c r="B2189">
        <f>AVERAGEIF(Sheet1!B:B, A2189, Sheet1!J:J)</f>
        <v>81.180582524271841</v>
      </c>
    </row>
    <row r="2190" spans="1:2" x14ac:dyDescent="0.3">
      <c r="A2190" t="s">
        <v>26</v>
      </c>
      <c r="B2190">
        <f>AVERAGEIF(Sheet1!B:B, A2190, Sheet1!J:J)</f>
        <v>81.180582524271841</v>
      </c>
    </row>
    <row r="2191" spans="1:2" x14ac:dyDescent="0.3">
      <c r="A2191" t="s">
        <v>26</v>
      </c>
      <c r="B2191">
        <f>AVERAGEIF(Sheet1!B:B, A2191, Sheet1!J:J)</f>
        <v>81.180582524271841</v>
      </c>
    </row>
    <row r="2192" spans="1:2" x14ac:dyDescent="0.3">
      <c r="A2192" t="s">
        <v>26</v>
      </c>
      <c r="B2192">
        <f>AVERAGEIF(Sheet1!B:B, A2192, Sheet1!J:J)</f>
        <v>81.180582524271841</v>
      </c>
    </row>
    <row r="2193" spans="1:2" x14ac:dyDescent="0.3">
      <c r="A2193" t="s">
        <v>26</v>
      </c>
      <c r="B2193">
        <f>AVERAGEIF(Sheet1!B:B, A2193, Sheet1!J:J)</f>
        <v>81.180582524271841</v>
      </c>
    </row>
    <row r="2194" spans="1:2" x14ac:dyDescent="0.3">
      <c r="A2194" t="s">
        <v>26</v>
      </c>
      <c r="B2194">
        <f>AVERAGEIF(Sheet1!B:B, A2194, Sheet1!J:J)</f>
        <v>81.180582524271841</v>
      </c>
    </row>
    <row r="2195" spans="1:2" x14ac:dyDescent="0.3">
      <c r="A2195" t="s">
        <v>26</v>
      </c>
      <c r="B2195">
        <f>AVERAGEIF(Sheet1!B:B, A2195, Sheet1!J:J)</f>
        <v>81.180582524271841</v>
      </c>
    </row>
    <row r="2196" spans="1:2" x14ac:dyDescent="0.3">
      <c r="A2196" t="s">
        <v>26</v>
      </c>
      <c r="B2196">
        <f>AVERAGEIF(Sheet1!B:B, A2196, Sheet1!J:J)</f>
        <v>81.180582524271841</v>
      </c>
    </row>
    <row r="2197" spans="1:2" x14ac:dyDescent="0.3">
      <c r="A2197" t="s">
        <v>26</v>
      </c>
      <c r="B2197">
        <f>AVERAGEIF(Sheet1!B:B, A2197, Sheet1!J:J)</f>
        <v>81.180582524271841</v>
      </c>
    </row>
    <row r="2198" spans="1:2" x14ac:dyDescent="0.3">
      <c r="A2198" t="s">
        <v>26</v>
      </c>
      <c r="B2198">
        <f>AVERAGEIF(Sheet1!B:B, A2198, Sheet1!J:J)</f>
        <v>81.180582524271841</v>
      </c>
    </row>
    <row r="2199" spans="1:2" x14ac:dyDescent="0.3">
      <c r="A2199" t="s">
        <v>26</v>
      </c>
      <c r="B2199">
        <f>AVERAGEIF(Sheet1!B:B, A2199, Sheet1!J:J)</f>
        <v>81.180582524271841</v>
      </c>
    </row>
    <row r="2200" spans="1:2" x14ac:dyDescent="0.3">
      <c r="A2200" t="s">
        <v>26</v>
      </c>
      <c r="B2200">
        <f>AVERAGEIF(Sheet1!B:B, A2200, Sheet1!J:J)</f>
        <v>81.180582524271841</v>
      </c>
    </row>
    <row r="2201" spans="1:2" x14ac:dyDescent="0.3">
      <c r="A2201" t="s">
        <v>26</v>
      </c>
      <c r="B2201">
        <f>AVERAGEIF(Sheet1!B:B, A2201, Sheet1!J:J)</f>
        <v>81.180582524271841</v>
      </c>
    </row>
    <row r="2202" spans="1:2" x14ac:dyDescent="0.3">
      <c r="A2202" t="s">
        <v>26</v>
      </c>
      <c r="B2202">
        <f>AVERAGEIF(Sheet1!B:B, A2202, Sheet1!J:J)</f>
        <v>81.180582524271841</v>
      </c>
    </row>
    <row r="2203" spans="1:2" x14ac:dyDescent="0.3">
      <c r="A2203" t="s">
        <v>26</v>
      </c>
      <c r="B2203">
        <f>AVERAGEIF(Sheet1!B:B, A2203, Sheet1!J:J)</f>
        <v>81.180582524271841</v>
      </c>
    </row>
    <row r="2204" spans="1:2" x14ac:dyDescent="0.3">
      <c r="A2204" t="s">
        <v>26</v>
      </c>
      <c r="B2204">
        <f>AVERAGEIF(Sheet1!B:B, A2204, Sheet1!J:J)</f>
        <v>81.180582524271841</v>
      </c>
    </row>
    <row r="2205" spans="1:2" x14ac:dyDescent="0.3">
      <c r="A2205" t="s">
        <v>26</v>
      </c>
      <c r="B2205">
        <f>AVERAGEIF(Sheet1!B:B, A2205, Sheet1!J:J)</f>
        <v>81.180582524271841</v>
      </c>
    </row>
    <row r="2206" spans="1:2" x14ac:dyDescent="0.3">
      <c r="A2206" t="s">
        <v>26</v>
      </c>
      <c r="B2206">
        <f>AVERAGEIF(Sheet1!B:B, A2206, Sheet1!J:J)</f>
        <v>81.180582524271841</v>
      </c>
    </row>
    <row r="2207" spans="1:2" x14ac:dyDescent="0.3">
      <c r="A2207" t="s">
        <v>26</v>
      </c>
      <c r="B2207">
        <f>AVERAGEIF(Sheet1!B:B, A2207, Sheet1!J:J)</f>
        <v>81.180582524271841</v>
      </c>
    </row>
    <row r="2208" spans="1:2" x14ac:dyDescent="0.3">
      <c r="A2208" t="s">
        <v>26</v>
      </c>
      <c r="B2208">
        <f>AVERAGEIF(Sheet1!B:B, A2208, Sheet1!J:J)</f>
        <v>81.180582524271841</v>
      </c>
    </row>
    <row r="2209" spans="1:2" x14ac:dyDescent="0.3">
      <c r="A2209" t="s">
        <v>26</v>
      </c>
      <c r="B2209">
        <f>AVERAGEIF(Sheet1!B:B, A2209, Sheet1!J:J)</f>
        <v>81.180582524271841</v>
      </c>
    </row>
    <row r="2210" spans="1:2" x14ac:dyDescent="0.3">
      <c r="A2210" t="s">
        <v>26</v>
      </c>
      <c r="B2210">
        <f>AVERAGEIF(Sheet1!B:B, A2210, Sheet1!J:J)</f>
        <v>81.180582524271841</v>
      </c>
    </row>
    <row r="2211" spans="1:2" x14ac:dyDescent="0.3">
      <c r="A2211" t="s">
        <v>28</v>
      </c>
      <c r="B2211" t="e">
        <f>AVERAGEIF(Sheet1!B:B, A2211, Sheet1!J:J)</f>
        <v>#DIV/0!</v>
      </c>
    </row>
    <row r="2212" spans="1:2" x14ac:dyDescent="0.3">
      <c r="A2212" t="s">
        <v>41</v>
      </c>
      <c r="B2212">
        <f>AVERAGEIF(Sheet1!B:B, A2212, Sheet1!J:J)</f>
        <v>87.222222222222229</v>
      </c>
    </row>
    <row r="2213" spans="1:2" x14ac:dyDescent="0.3">
      <c r="A2213" t="s">
        <v>41</v>
      </c>
      <c r="B2213">
        <f>AVERAGEIF(Sheet1!B:B, A2213, Sheet1!J:J)</f>
        <v>87.222222222222229</v>
      </c>
    </row>
    <row r="2214" spans="1:2" x14ac:dyDescent="0.3">
      <c r="A2214" t="s">
        <v>41</v>
      </c>
      <c r="B2214">
        <f>AVERAGEIF(Sheet1!B:B, A2214, Sheet1!J:J)</f>
        <v>87.222222222222229</v>
      </c>
    </row>
    <row r="2215" spans="1:2" x14ac:dyDescent="0.3">
      <c r="A2215" t="s">
        <v>41</v>
      </c>
      <c r="B2215">
        <f>AVERAGEIF(Sheet1!B:B, A2215, Sheet1!J:J)</f>
        <v>87.222222222222229</v>
      </c>
    </row>
    <row r="2216" spans="1:2" x14ac:dyDescent="0.3">
      <c r="A2216" t="s">
        <v>29</v>
      </c>
      <c r="B2216">
        <f>AVERAGEIF(Sheet1!B:B, A2216, Sheet1!J:J)</f>
        <v>28.166666666666668</v>
      </c>
    </row>
    <row r="2217" spans="1:2" x14ac:dyDescent="0.3">
      <c r="A2217" t="s">
        <v>29</v>
      </c>
      <c r="B2217">
        <f>AVERAGEIF(Sheet1!B:B, A2217, Sheet1!J:J)</f>
        <v>28.166666666666668</v>
      </c>
    </row>
    <row r="2218" spans="1:2" x14ac:dyDescent="0.3">
      <c r="A2218" t="s">
        <v>40</v>
      </c>
      <c r="B2218">
        <f>AVERAGEIF(Sheet1!B:B, A2218, Sheet1!J:J)</f>
        <v>83.857142857142861</v>
      </c>
    </row>
    <row r="2219" spans="1:2" x14ac:dyDescent="0.3">
      <c r="A2219" t="s">
        <v>27</v>
      </c>
      <c r="B2219">
        <f>AVERAGEIF(Sheet1!B:B, A2219, Sheet1!J:J)</f>
        <v>82.383177570093451</v>
      </c>
    </row>
    <row r="2220" spans="1:2" x14ac:dyDescent="0.3">
      <c r="A2220" t="s">
        <v>27</v>
      </c>
      <c r="B2220">
        <f>AVERAGEIF(Sheet1!B:B, A2220, Sheet1!J:J)</f>
        <v>82.383177570093451</v>
      </c>
    </row>
    <row r="2221" spans="1:2" x14ac:dyDescent="0.3">
      <c r="A2221" t="s">
        <v>27</v>
      </c>
      <c r="B2221">
        <f>AVERAGEIF(Sheet1!B:B, A2221, Sheet1!J:J)</f>
        <v>82.383177570093451</v>
      </c>
    </row>
    <row r="2222" spans="1:2" x14ac:dyDescent="0.3">
      <c r="A2222" t="s">
        <v>27</v>
      </c>
      <c r="B2222">
        <f>AVERAGEIF(Sheet1!B:B, A2222, Sheet1!J:J)</f>
        <v>82.383177570093451</v>
      </c>
    </row>
    <row r="2223" spans="1:2" x14ac:dyDescent="0.3">
      <c r="A2223" t="s">
        <v>27</v>
      </c>
      <c r="B2223">
        <f>AVERAGEIF(Sheet1!B:B, A2223, Sheet1!J:J)</f>
        <v>82.383177570093451</v>
      </c>
    </row>
    <row r="2224" spans="1:2" x14ac:dyDescent="0.3">
      <c r="A2224" t="s">
        <v>27</v>
      </c>
      <c r="B2224">
        <f>AVERAGEIF(Sheet1!B:B, A2224, Sheet1!J:J)</f>
        <v>82.383177570093451</v>
      </c>
    </row>
    <row r="2225" spans="1:2" x14ac:dyDescent="0.3">
      <c r="A2225" t="s">
        <v>27</v>
      </c>
      <c r="B2225">
        <f>AVERAGEIF(Sheet1!B:B, A2225, Sheet1!J:J)</f>
        <v>82.383177570093451</v>
      </c>
    </row>
    <row r="2226" spans="1:2" x14ac:dyDescent="0.3">
      <c r="A2226" t="s">
        <v>27</v>
      </c>
      <c r="B2226">
        <f>AVERAGEIF(Sheet1!B:B, A2226, Sheet1!J:J)</f>
        <v>82.383177570093451</v>
      </c>
    </row>
    <row r="2227" spans="1:2" x14ac:dyDescent="0.3">
      <c r="A2227" t="s">
        <v>27</v>
      </c>
      <c r="B2227">
        <f>AVERAGEIF(Sheet1!B:B, A2227, Sheet1!J:J)</f>
        <v>82.383177570093451</v>
      </c>
    </row>
    <row r="2228" spans="1:2" x14ac:dyDescent="0.3">
      <c r="A2228" t="s">
        <v>32</v>
      </c>
      <c r="B2228">
        <f>AVERAGEIF(Sheet1!B:B, A2228, Sheet1!J:J)</f>
        <v>43.571428571428569</v>
      </c>
    </row>
    <row r="2229" spans="1:2" x14ac:dyDescent="0.3">
      <c r="A2229" t="s">
        <v>30</v>
      </c>
      <c r="B2229">
        <f>AVERAGEIF(Sheet1!B:B, A2229, Sheet1!J:J)</f>
        <v>83.958333333333329</v>
      </c>
    </row>
    <row r="2230" spans="1:2" x14ac:dyDescent="0.3">
      <c r="A2230" t="s">
        <v>30</v>
      </c>
      <c r="B2230">
        <f>AVERAGEIF(Sheet1!B:B, A2230, Sheet1!J:J)</f>
        <v>83.958333333333329</v>
      </c>
    </row>
    <row r="2231" spans="1:2" x14ac:dyDescent="0.3">
      <c r="A2231" t="s">
        <v>30</v>
      </c>
      <c r="B2231">
        <f>AVERAGEIF(Sheet1!B:B, A2231, Sheet1!J:J)</f>
        <v>83.958333333333329</v>
      </c>
    </row>
    <row r="2232" spans="1:2" x14ac:dyDescent="0.3">
      <c r="A2232" t="s">
        <v>30</v>
      </c>
      <c r="B2232">
        <f>AVERAGEIF(Sheet1!B:B, A2232, Sheet1!J:J)</f>
        <v>83.958333333333329</v>
      </c>
    </row>
    <row r="2233" spans="1:2" x14ac:dyDescent="0.3">
      <c r="A2233" t="s">
        <v>30</v>
      </c>
      <c r="B2233">
        <f>AVERAGEIF(Sheet1!B:B, A2233, Sheet1!J:J)</f>
        <v>83.958333333333329</v>
      </c>
    </row>
    <row r="2234" spans="1:2" x14ac:dyDescent="0.3">
      <c r="A2234" t="s">
        <v>40</v>
      </c>
      <c r="B2234">
        <f>AVERAGEIF(Sheet1!B:B, A2234, Sheet1!J:J)</f>
        <v>83.857142857142861</v>
      </c>
    </row>
    <row r="2235" spans="1:2" x14ac:dyDescent="0.3">
      <c r="A2235" t="s">
        <v>40</v>
      </c>
      <c r="B2235">
        <f>AVERAGEIF(Sheet1!B:B, A2235, Sheet1!J:J)</f>
        <v>83.857142857142861</v>
      </c>
    </row>
    <row r="2236" spans="1:2" x14ac:dyDescent="0.3">
      <c r="A2236" t="s">
        <v>27</v>
      </c>
      <c r="B2236">
        <f>AVERAGEIF(Sheet1!B:B, A2236, Sheet1!J:J)</f>
        <v>82.383177570093451</v>
      </c>
    </row>
    <row r="2237" spans="1:2" x14ac:dyDescent="0.3">
      <c r="A2237" t="s">
        <v>27</v>
      </c>
      <c r="B2237">
        <f>AVERAGEIF(Sheet1!B:B, A2237, Sheet1!J:J)</f>
        <v>82.383177570093451</v>
      </c>
    </row>
    <row r="2238" spans="1:2" x14ac:dyDescent="0.3">
      <c r="A2238" t="s">
        <v>27</v>
      </c>
      <c r="B2238">
        <f>AVERAGEIF(Sheet1!B:B, A2238, Sheet1!J:J)</f>
        <v>82.383177570093451</v>
      </c>
    </row>
    <row r="2239" spans="1:2" x14ac:dyDescent="0.3">
      <c r="A2239" t="s">
        <v>26</v>
      </c>
      <c r="B2239">
        <f>AVERAGEIF(Sheet1!B:B, A2239, Sheet1!J:J)</f>
        <v>81.180582524271841</v>
      </c>
    </row>
    <row r="2240" spans="1:2" x14ac:dyDescent="0.3">
      <c r="A2240" t="s">
        <v>26</v>
      </c>
      <c r="B2240">
        <f>AVERAGEIF(Sheet1!B:B, A2240, Sheet1!J:J)</f>
        <v>81.180582524271841</v>
      </c>
    </row>
    <row r="2241" spans="1:2" x14ac:dyDescent="0.3">
      <c r="A2241" t="s">
        <v>26</v>
      </c>
      <c r="B2241">
        <f>AVERAGEIF(Sheet1!B:B, A2241, Sheet1!J:J)</f>
        <v>81.180582524271841</v>
      </c>
    </row>
    <row r="2242" spans="1:2" x14ac:dyDescent="0.3">
      <c r="A2242" t="s">
        <v>26</v>
      </c>
      <c r="B2242">
        <f>AVERAGEIF(Sheet1!B:B, A2242, Sheet1!J:J)</f>
        <v>81.180582524271841</v>
      </c>
    </row>
    <row r="2243" spans="1:2" x14ac:dyDescent="0.3">
      <c r="A2243" t="s">
        <v>27</v>
      </c>
      <c r="B2243">
        <f>AVERAGEIF(Sheet1!B:B, A2243, Sheet1!J:J)</f>
        <v>82.383177570093451</v>
      </c>
    </row>
    <row r="2244" spans="1:2" x14ac:dyDescent="0.3">
      <c r="A2244" t="s">
        <v>27</v>
      </c>
      <c r="B2244">
        <f>AVERAGEIF(Sheet1!B:B, A2244, Sheet1!J:J)</f>
        <v>82.383177570093451</v>
      </c>
    </row>
    <row r="2245" spans="1:2" x14ac:dyDescent="0.3">
      <c r="A2245" t="s">
        <v>27</v>
      </c>
      <c r="B2245">
        <f>AVERAGEIF(Sheet1!B:B, A2245, Sheet1!J:J)</f>
        <v>82.383177570093451</v>
      </c>
    </row>
    <row r="2246" spans="1:2" x14ac:dyDescent="0.3">
      <c r="A2246" t="s">
        <v>27</v>
      </c>
      <c r="B2246">
        <f>AVERAGEIF(Sheet1!B:B, A2246, Sheet1!J:J)</f>
        <v>82.383177570093451</v>
      </c>
    </row>
    <row r="2247" spans="1:2" x14ac:dyDescent="0.3">
      <c r="A2247" t="s">
        <v>26</v>
      </c>
      <c r="B2247">
        <f>AVERAGEIF(Sheet1!B:B, A2247, Sheet1!J:J)</f>
        <v>81.180582524271841</v>
      </c>
    </row>
    <row r="2248" spans="1:2" x14ac:dyDescent="0.3">
      <c r="A2248" t="s">
        <v>26</v>
      </c>
      <c r="B2248">
        <f>AVERAGEIF(Sheet1!B:B, A2248, Sheet1!J:J)</f>
        <v>81.180582524271841</v>
      </c>
    </row>
    <row r="2249" spans="1:2" x14ac:dyDescent="0.3">
      <c r="A2249" t="s">
        <v>26</v>
      </c>
      <c r="B2249">
        <f>AVERAGEIF(Sheet1!B:B, A2249, Sheet1!J:J)</f>
        <v>81.180582524271841</v>
      </c>
    </row>
    <row r="2250" spans="1:2" x14ac:dyDescent="0.3">
      <c r="A2250" t="s">
        <v>27</v>
      </c>
      <c r="B2250">
        <f>AVERAGEIF(Sheet1!B:B, A2250, Sheet1!J:J)</f>
        <v>82.383177570093451</v>
      </c>
    </row>
    <row r="2251" spans="1:2" x14ac:dyDescent="0.3">
      <c r="A2251" t="s">
        <v>27</v>
      </c>
      <c r="B2251">
        <f>AVERAGEIF(Sheet1!B:B, A2251, Sheet1!J:J)</f>
        <v>82.383177570093451</v>
      </c>
    </row>
    <row r="2252" spans="1:2" x14ac:dyDescent="0.3">
      <c r="A2252" t="s">
        <v>26</v>
      </c>
      <c r="B2252">
        <f>AVERAGEIF(Sheet1!B:B, A2252, Sheet1!J:J)</f>
        <v>81.180582524271841</v>
      </c>
    </row>
    <row r="2253" spans="1:2" x14ac:dyDescent="0.3">
      <c r="A2253" t="s">
        <v>26</v>
      </c>
      <c r="B2253">
        <f>AVERAGEIF(Sheet1!B:B, A2253, Sheet1!J:J)</f>
        <v>81.180582524271841</v>
      </c>
    </row>
    <row r="2254" spans="1:2" x14ac:dyDescent="0.3">
      <c r="A2254" t="s">
        <v>31</v>
      </c>
      <c r="B2254">
        <f>AVERAGEIF(Sheet1!B:B, A2254, Sheet1!J:J)</f>
        <v>111.49520766773163</v>
      </c>
    </row>
    <row r="2255" spans="1:2" x14ac:dyDescent="0.3">
      <c r="A2255" t="s">
        <v>31</v>
      </c>
      <c r="B2255">
        <f>AVERAGEIF(Sheet1!B:B, A2255, Sheet1!J:J)</f>
        <v>111.49520766773163</v>
      </c>
    </row>
    <row r="2256" spans="1:2" x14ac:dyDescent="0.3">
      <c r="A2256" t="s">
        <v>31</v>
      </c>
      <c r="B2256">
        <f>AVERAGEIF(Sheet1!B:B, A2256, Sheet1!J:J)</f>
        <v>111.49520766773163</v>
      </c>
    </row>
    <row r="2257" spans="1:2" x14ac:dyDescent="0.3">
      <c r="A2257" t="s">
        <v>31</v>
      </c>
      <c r="B2257">
        <f>AVERAGEIF(Sheet1!B:B, A2257, Sheet1!J:J)</f>
        <v>111.49520766773163</v>
      </c>
    </row>
    <row r="2258" spans="1:2" x14ac:dyDescent="0.3">
      <c r="A2258" t="s">
        <v>31</v>
      </c>
      <c r="B2258">
        <f>AVERAGEIF(Sheet1!B:B, A2258, Sheet1!J:J)</f>
        <v>111.49520766773163</v>
      </c>
    </row>
    <row r="2259" spans="1:2" x14ac:dyDescent="0.3">
      <c r="A2259" t="s">
        <v>31</v>
      </c>
      <c r="B2259">
        <f>AVERAGEIF(Sheet1!B:B, A2259, Sheet1!J:J)</f>
        <v>111.49520766773163</v>
      </c>
    </row>
    <row r="2260" spans="1:2" x14ac:dyDescent="0.3">
      <c r="A2260" t="s">
        <v>31</v>
      </c>
      <c r="B2260">
        <f>AVERAGEIF(Sheet1!B:B, A2260, Sheet1!J:J)</f>
        <v>111.49520766773163</v>
      </c>
    </row>
    <row r="2261" spans="1:2" x14ac:dyDescent="0.3">
      <c r="A2261" t="s">
        <v>31</v>
      </c>
      <c r="B2261">
        <f>AVERAGEIF(Sheet1!B:B, A2261, Sheet1!J:J)</f>
        <v>111.49520766773163</v>
      </c>
    </row>
    <row r="2262" spans="1:2" x14ac:dyDescent="0.3">
      <c r="A2262" t="s">
        <v>31</v>
      </c>
      <c r="B2262">
        <f>AVERAGEIF(Sheet1!B:B, A2262, Sheet1!J:J)</f>
        <v>111.49520766773163</v>
      </c>
    </row>
    <row r="2263" spans="1:2" x14ac:dyDescent="0.3">
      <c r="A2263" t="s">
        <v>31</v>
      </c>
      <c r="B2263">
        <f>AVERAGEIF(Sheet1!B:B, A2263, Sheet1!J:J)</f>
        <v>111.49520766773163</v>
      </c>
    </row>
    <row r="2264" spans="1:2" x14ac:dyDescent="0.3">
      <c r="A2264" t="s">
        <v>31</v>
      </c>
      <c r="B2264">
        <f>AVERAGEIF(Sheet1!B:B, A2264, Sheet1!J:J)</f>
        <v>111.49520766773163</v>
      </c>
    </row>
    <row r="2265" spans="1:2" x14ac:dyDescent="0.3">
      <c r="A2265" t="s">
        <v>30</v>
      </c>
      <c r="B2265">
        <f>AVERAGEIF(Sheet1!B:B, A2265, Sheet1!J:J)</f>
        <v>83.958333333333329</v>
      </c>
    </row>
    <row r="2266" spans="1:2" x14ac:dyDescent="0.3">
      <c r="A2266" t="s">
        <v>30</v>
      </c>
      <c r="B2266">
        <f>AVERAGEIF(Sheet1!B:B, A2266, Sheet1!J:J)</f>
        <v>83.958333333333329</v>
      </c>
    </row>
    <row r="2267" spans="1:2" x14ac:dyDescent="0.3">
      <c r="A2267" t="s">
        <v>30</v>
      </c>
      <c r="B2267">
        <f>AVERAGEIF(Sheet1!B:B, A2267, Sheet1!J:J)</f>
        <v>83.958333333333329</v>
      </c>
    </row>
    <row r="2268" spans="1:2" x14ac:dyDescent="0.3">
      <c r="A2268" t="s">
        <v>31</v>
      </c>
      <c r="B2268">
        <f>AVERAGEIF(Sheet1!B:B, A2268, Sheet1!J:J)</f>
        <v>111.49520766773163</v>
      </c>
    </row>
    <row r="2269" spans="1:2" x14ac:dyDescent="0.3">
      <c r="A2269" t="s">
        <v>31</v>
      </c>
      <c r="B2269">
        <f>AVERAGEIF(Sheet1!B:B, A2269, Sheet1!J:J)</f>
        <v>111.49520766773163</v>
      </c>
    </row>
    <row r="2270" spans="1:2" x14ac:dyDescent="0.3">
      <c r="A2270" t="s">
        <v>31</v>
      </c>
      <c r="B2270">
        <f>AVERAGEIF(Sheet1!B:B, A2270, Sheet1!J:J)</f>
        <v>111.49520766773163</v>
      </c>
    </row>
    <row r="2271" spans="1:2" x14ac:dyDescent="0.3">
      <c r="A2271" t="s">
        <v>30</v>
      </c>
      <c r="B2271">
        <f>AVERAGEIF(Sheet1!B:B, A2271, Sheet1!J:J)</f>
        <v>83.958333333333329</v>
      </c>
    </row>
    <row r="2272" spans="1:2" x14ac:dyDescent="0.3">
      <c r="A2272" t="s">
        <v>30</v>
      </c>
      <c r="B2272">
        <f>AVERAGEIF(Sheet1!B:B, A2272, Sheet1!J:J)</f>
        <v>83.958333333333329</v>
      </c>
    </row>
    <row r="2273" spans="1:2" x14ac:dyDescent="0.3">
      <c r="A2273" t="s">
        <v>31</v>
      </c>
      <c r="B2273">
        <f>AVERAGEIF(Sheet1!B:B, A2273, Sheet1!J:J)</f>
        <v>111.49520766773163</v>
      </c>
    </row>
    <row r="2274" spans="1:2" x14ac:dyDescent="0.3">
      <c r="A2274" t="s">
        <v>31</v>
      </c>
      <c r="B2274">
        <f>AVERAGEIF(Sheet1!B:B, A2274, Sheet1!J:J)</f>
        <v>111.49520766773163</v>
      </c>
    </row>
    <row r="2275" spans="1:2" x14ac:dyDescent="0.3">
      <c r="A2275" t="s">
        <v>31</v>
      </c>
      <c r="B2275">
        <f>AVERAGEIF(Sheet1!B:B, A2275, Sheet1!J:J)</f>
        <v>111.49520766773163</v>
      </c>
    </row>
    <row r="2276" spans="1:2" x14ac:dyDescent="0.3">
      <c r="A2276" t="s">
        <v>31</v>
      </c>
      <c r="B2276">
        <f>AVERAGEIF(Sheet1!B:B, A2276, Sheet1!J:J)</f>
        <v>111.49520766773163</v>
      </c>
    </row>
    <row r="2277" spans="1:2" x14ac:dyDescent="0.3">
      <c r="A2277" t="s">
        <v>31</v>
      </c>
      <c r="B2277">
        <f>AVERAGEIF(Sheet1!B:B, A2277, Sheet1!J:J)</f>
        <v>111.49520766773163</v>
      </c>
    </row>
    <row r="2278" spans="1:2" x14ac:dyDescent="0.3">
      <c r="A2278" t="s">
        <v>31</v>
      </c>
      <c r="B2278">
        <f>AVERAGEIF(Sheet1!B:B, A2278, Sheet1!J:J)</f>
        <v>111.49520766773163</v>
      </c>
    </row>
    <row r="2279" spans="1:2" x14ac:dyDescent="0.3">
      <c r="A2279" t="s">
        <v>31</v>
      </c>
      <c r="B2279">
        <f>AVERAGEIF(Sheet1!B:B, A2279, Sheet1!J:J)</f>
        <v>111.49520766773163</v>
      </c>
    </row>
    <row r="2280" spans="1:2" x14ac:dyDescent="0.3">
      <c r="A2280" t="s">
        <v>31</v>
      </c>
      <c r="B2280">
        <f>AVERAGEIF(Sheet1!B:B, A2280, Sheet1!J:J)</f>
        <v>111.49520766773163</v>
      </c>
    </row>
    <row r="2281" spans="1:2" x14ac:dyDescent="0.3">
      <c r="A2281" t="s">
        <v>31</v>
      </c>
      <c r="B2281">
        <f>AVERAGEIF(Sheet1!B:B, A2281, Sheet1!J:J)</f>
        <v>111.49520766773163</v>
      </c>
    </row>
    <row r="2282" spans="1:2" x14ac:dyDescent="0.3">
      <c r="A2282" t="s">
        <v>31</v>
      </c>
      <c r="B2282">
        <f>AVERAGEIF(Sheet1!B:B, A2282, Sheet1!J:J)</f>
        <v>111.49520766773163</v>
      </c>
    </row>
    <row r="2283" spans="1:2" x14ac:dyDescent="0.3">
      <c r="A2283" t="s">
        <v>31</v>
      </c>
      <c r="B2283">
        <f>AVERAGEIF(Sheet1!B:B, A2283, Sheet1!J:J)</f>
        <v>111.49520766773163</v>
      </c>
    </row>
    <row r="2284" spans="1:2" x14ac:dyDescent="0.3">
      <c r="A2284" t="s">
        <v>31</v>
      </c>
      <c r="B2284">
        <f>AVERAGEIF(Sheet1!B:B, A2284, Sheet1!J:J)</f>
        <v>111.49520766773163</v>
      </c>
    </row>
    <row r="2285" spans="1:2" x14ac:dyDescent="0.3">
      <c r="A2285" t="s">
        <v>31</v>
      </c>
      <c r="B2285">
        <f>AVERAGEIF(Sheet1!B:B, A2285, Sheet1!J:J)</f>
        <v>111.49520766773163</v>
      </c>
    </row>
    <row r="2286" spans="1:2" x14ac:dyDescent="0.3">
      <c r="A2286" t="s">
        <v>31</v>
      </c>
      <c r="B2286">
        <f>AVERAGEIF(Sheet1!B:B, A2286, Sheet1!J:J)</f>
        <v>111.49520766773163</v>
      </c>
    </row>
    <row r="2287" spans="1:2" x14ac:dyDescent="0.3">
      <c r="A2287" t="s">
        <v>31</v>
      </c>
      <c r="B2287">
        <f>AVERAGEIF(Sheet1!B:B, A2287, Sheet1!J:J)</f>
        <v>111.49520766773163</v>
      </c>
    </row>
    <row r="2288" spans="1:2" x14ac:dyDescent="0.3">
      <c r="A2288" t="s">
        <v>31</v>
      </c>
      <c r="B2288">
        <f>AVERAGEIF(Sheet1!B:B, A2288, Sheet1!J:J)</f>
        <v>111.49520766773163</v>
      </c>
    </row>
    <row r="2289" spans="1:2" x14ac:dyDescent="0.3">
      <c r="A2289" t="s">
        <v>31</v>
      </c>
      <c r="B2289">
        <f>AVERAGEIF(Sheet1!B:B, A2289, Sheet1!J:J)</f>
        <v>111.49520766773163</v>
      </c>
    </row>
    <row r="2290" spans="1:2" x14ac:dyDescent="0.3">
      <c r="A2290" t="s">
        <v>31</v>
      </c>
      <c r="B2290">
        <f>AVERAGEIF(Sheet1!B:B, A2290, Sheet1!J:J)</f>
        <v>111.49520766773163</v>
      </c>
    </row>
    <row r="2291" spans="1:2" x14ac:dyDescent="0.3">
      <c r="A2291" t="s">
        <v>31</v>
      </c>
      <c r="B2291">
        <f>AVERAGEIF(Sheet1!B:B, A2291, Sheet1!J:J)</f>
        <v>111.49520766773163</v>
      </c>
    </row>
    <row r="2292" spans="1:2" x14ac:dyDescent="0.3">
      <c r="A2292" t="s">
        <v>31</v>
      </c>
      <c r="B2292">
        <f>AVERAGEIF(Sheet1!B:B, A2292, Sheet1!J:J)</f>
        <v>111.49520766773163</v>
      </c>
    </row>
    <row r="2293" spans="1:2" x14ac:dyDescent="0.3">
      <c r="A2293" t="s">
        <v>31</v>
      </c>
      <c r="B2293">
        <f>AVERAGEIF(Sheet1!B:B, A2293, Sheet1!J:J)</f>
        <v>111.49520766773163</v>
      </c>
    </row>
    <row r="2294" spans="1:2" x14ac:dyDescent="0.3">
      <c r="A2294" t="s">
        <v>31</v>
      </c>
      <c r="B2294">
        <f>AVERAGEIF(Sheet1!B:B, A2294, Sheet1!J:J)</f>
        <v>111.49520766773163</v>
      </c>
    </row>
    <row r="2295" spans="1:2" x14ac:dyDescent="0.3">
      <c r="A2295" t="s">
        <v>31</v>
      </c>
      <c r="B2295">
        <f>AVERAGEIF(Sheet1!B:B, A2295, Sheet1!J:J)</f>
        <v>111.49520766773163</v>
      </c>
    </row>
    <row r="2296" spans="1:2" x14ac:dyDescent="0.3">
      <c r="A2296" t="s">
        <v>31</v>
      </c>
      <c r="B2296">
        <f>AVERAGEIF(Sheet1!B:B, A2296, Sheet1!J:J)</f>
        <v>111.49520766773163</v>
      </c>
    </row>
    <row r="2297" spans="1:2" x14ac:dyDescent="0.3">
      <c r="A2297" t="s">
        <v>31</v>
      </c>
      <c r="B2297">
        <f>AVERAGEIF(Sheet1!B:B, A2297, Sheet1!J:J)</f>
        <v>111.49520766773163</v>
      </c>
    </row>
    <row r="2298" spans="1:2" x14ac:dyDescent="0.3">
      <c r="A2298" t="s">
        <v>31</v>
      </c>
      <c r="B2298">
        <f>AVERAGEIF(Sheet1!B:B, A2298, Sheet1!J:J)</f>
        <v>111.49520766773163</v>
      </c>
    </row>
    <row r="2299" spans="1:2" x14ac:dyDescent="0.3">
      <c r="A2299" t="s">
        <v>31</v>
      </c>
      <c r="B2299">
        <f>AVERAGEIF(Sheet1!B:B, A2299, Sheet1!J:J)</f>
        <v>111.49520766773163</v>
      </c>
    </row>
    <row r="2300" spans="1:2" x14ac:dyDescent="0.3">
      <c r="A2300" t="s">
        <v>31</v>
      </c>
      <c r="B2300">
        <f>AVERAGEIF(Sheet1!B:B, A2300, Sheet1!J:J)</f>
        <v>111.49520766773163</v>
      </c>
    </row>
    <row r="2301" spans="1:2" x14ac:dyDescent="0.3">
      <c r="A2301" t="s">
        <v>31</v>
      </c>
      <c r="B2301">
        <f>AVERAGEIF(Sheet1!B:B, A2301, Sheet1!J:J)</f>
        <v>111.49520766773163</v>
      </c>
    </row>
    <row r="2302" spans="1:2" x14ac:dyDescent="0.3">
      <c r="A2302" t="s">
        <v>31</v>
      </c>
      <c r="B2302">
        <f>AVERAGEIF(Sheet1!B:B, A2302, Sheet1!J:J)</f>
        <v>111.49520766773163</v>
      </c>
    </row>
    <row r="2303" spans="1:2" x14ac:dyDescent="0.3">
      <c r="A2303" t="s">
        <v>31</v>
      </c>
      <c r="B2303">
        <f>AVERAGEIF(Sheet1!B:B, A2303, Sheet1!J:J)</f>
        <v>111.49520766773163</v>
      </c>
    </row>
    <row r="2304" spans="1:2" x14ac:dyDescent="0.3">
      <c r="A2304" t="s">
        <v>31</v>
      </c>
      <c r="B2304">
        <f>AVERAGEIF(Sheet1!B:B, A2304, Sheet1!J:J)</f>
        <v>111.49520766773163</v>
      </c>
    </row>
    <row r="2305" spans="1:2" x14ac:dyDescent="0.3">
      <c r="A2305" t="s">
        <v>31</v>
      </c>
      <c r="B2305">
        <f>AVERAGEIF(Sheet1!B:B, A2305, Sheet1!J:J)</f>
        <v>111.49520766773163</v>
      </c>
    </row>
    <row r="2306" spans="1:2" x14ac:dyDescent="0.3">
      <c r="A2306" t="s">
        <v>31</v>
      </c>
      <c r="B2306">
        <f>AVERAGEIF(Sheet1!B:B, A2306, Sheet1!J:J)</f>
        <v>111.49520766773163</v>
      </c>
    </row>
    <row r="2307" spans="1:2" x14ac:dyDescent="0.3">
      <c r="A2307" t="s">
        <v>31</v>
      </c>
      <c r="B2307">
        <f>AVERAGEIF(Sheet1!B:B, A2307, Sheet1!J:J)</f>
        <v>111.49520766773163</v>
      </c>
    </row>
    <row r="2308" spans="1:2" x14ac:dyDescent="0.3">
      <c r="A2308" t="s">
        <v>31</v>
      </c>
      <c r="B2308">
        <f>AVERAGEIF(Sheet1!B:B, A2308, Sheet1!J:J)</f>
        <v>111.49520766773163</v>
      </c>
    </row>
    <row r="2309" spans="1:2" x14ac:dyDescent="0.3">
      <c r="A2309" t="s">
        <v>31</v>
      </c>
      <c r="B2309">
        <f>AVERAGEIF(Sheet1!B:B, A2309, Sheet1!J:J)</f>
        <v>111.49520766773163</v>
      </c>
    </row>
    <row r="2310" spans="1:2" x14ac:dyDescent="0.3">
      <c r="A2310" t="s">
        <v>31</v>
      </c>
      <c r="B2310">
        <f>AVERAGEIF(Sheet1!B:B, A2310, Sheet1!J:J)</f>
        <v>111.49520766773163</v>
      </c>
    </row>
    <row r="2311" spans="1:2" x14ac:dyDescent="0.3">
      <c r="A2311" t="s">
        <v>31</v>
      </c>
      <c r="B2311">
        <f>AVERAGEIF(Sheet1!B:B, A2311, Sheet1!J:J)</f>
        <v>111.49520766773163</v>
      </c>
    </row>
    <row r="2312" spans="1:2" x14ac:dyDescent="0.3">
      <c r="A2312" t="s">
        <v>31</v>
      </c>
      <c r="B2312">
        <f>AVERAGEIF(Sheet1!B:B, A2312, Sheet1!J:J)</f>
        <v>111.49520766773163</v>
      </c>
    </row>
    <row r="2313" spans="1:2" x14ac:dyDescent="0.3">
      <c r="A2313" t="s">
        <v>31</v>
      </c>
      <c r="B2313">
        <f>AVERAGEIF(Sheet1!B:B, A2313, Sheet1!J:J)</f>
        <v>111.49520766773163</v>
      </c>
    </row>
    <row r="2314" spans="1:2" x14ac:dyDescent="0.3">
      <c r="A2314" t="s">
        <v>31</v>
      </c>
      <c r="B2314">
        <f>AVERAGEIF(Sheet1!B:B, A2314, Sheet1!J:J)</f>
        <v>111.49520766773163</v>
      </c>
    </row>
    <row r="2315" spans="1:2" x14ac:dyDescent="0.3">
      <c r="A2315" t="s">
        <v>31</v>
      </c>
      <c r="B2315">
        <f>AVERAGEIF(Sheet1!B:B, A2315, Sheet1!J:J)</f>
        <v>111.49520766773163</v>
      </c>
    </row>
    <row r="2316" spans="1:2" x14ac:dyDescent="0.3">
      <c r="A2316" t="s">
        <v>31</v>
      </c>
      <c r="B2316">
        <f>AVERAGEIF(Sheet1!B:B, A2316, Sheet1!J:J)</f>
        <v>111.49520766773163</v>
      </c>
    </row>
    <row r="2317" spans="1:2" x14ac:dyDescent="0.3">
      <c r="A2317" t="s">
        <v>34</v>
      </c>
      <c r="B2317">
        <f>AVERAGEIF(Sheet1!B:B, A2317, Sheet1!J:J)</f>
        <v>85.5</v>
      </c>
    </row>
    <row r="2318" spans="1:2" x14ac:dyDescent="0.3">
      <c r="A2318" t="s">
        <v>34</v>
      </c>
      <c r="B2318">
        <f>AVERAGEIF(Sheet1!B:B, A2318, Sheet1!J:J)</f>
        <v>85.5</v>
      </c>
    </row>
    <row r="2319" spans="1:2" x14ac:dyDescent="0.3">
      <c r="A2319" t="s">
        <v>33</v>
      </c>
      <c r="B2319">
        <f>AVERAGEIF(Sheet1!B:B, A2319, Sheet1!J:J)</f>
        <v>34.873096446700508</v>
      </c>
    </row>
    <row r="2320" spans="1:2" x14ac:dyDescent="0.3">
      <c r="A2320" t="s">
        <v>33</v>
      </c>
      <c r="B2320">
        <f>AVERAGEIF(Sheet1!B:B, A2320, Sheet1!J:J)</f>
        <v>34.873096446700508</v>
      </c>
    </row>
    <row r="2321" spans="1:2" x14ac:dyDescent="0.3">
      <c r="A2321" t="s">
        <v>33</v>
      </c>
      <c r="B2321">
        <f>AVERAGEIF(Sheet1!B:B, A2321, Sheet1!J:J)</f>
        <v>34.873096446700508</v>
      </c>
    </row>
    <row r="2322" spans="1:2" x14ac:dyDescent="0.3">
      <c r="A2322" t="s">
        <v>33</v>
      </c>
      <c r="B2322">
        <f>AVERAGEIF(Sheet1!B:B, A2322, Sheet1!J:J)</f>
        <v>34.873096446700508</v>
      </c>
    </row>
    <row r="2323" spans="1:2" x14ac:dyDescent="0.3">
      <c r="A2323" t="s">
        <v>33</v>
      </c>
      <c r="B2323">
        <f>AVERAGEIF(Sheet1!B:B, A2323, Sheet1!J:J)</f>
        <v>34.873096446700508</v>
      </c>
    </row>
    <row r="2324" spans="1:2" x14ac:dyDescent="0.3">
      <c r="A2324" t="s">
        <v>33</v>
      </c>
      <c r="B2324">
        <f>AVERAGEIF(Sheet1!B:B, A2324, Sheet1!J:J)</f>
        <v>34.873096446700508</v>
      </c>
    </row>
    <row r="2325" spans="1:2" x14ac:dyDescent="0.3">
      <c r="A2325" t="s">
        <v>33</v>
      </c>
      <c r="B2325">
        <f>AVERAGEIF(Sheet1!B:B, A2325, Sheet1!J:J)</f>
        <v>34.873096446700508</v>
      </c>
    </row>
    <row r="2326" spans="1:2" x14ac:dyDescent="0.3">
      <c r="A2326" t="s">
        <v>33</v>
      </c>
      <c r="B2326">
        <f>AVERAGEIF(Sheet1!B:B, A2326, Sheet1!J:J)</f>
        <v>34.873096446700508</v>
      </c>
    </row>
    <row r="2327" spans="1:2" x14ac:dyDescent="0.3">
      <c r="A2327" t="s">
        <v>33</v>
      </c>
      <c r="B2327">
        <f>AVERAGEIF(Sheet1!B:B, A2327, Sheet1!J:J)</f>
        <v>34.873096446700508</v>
      </c>
    </row>
    <row r="2328" spans="1:2" x14ac:dyDescent="0.3">
      <c r="A2328" t="s">
        <v>33</v>
      </c>
      <c r="B2328">
        <f>AVERAGEIF(Sheet1!B:B, A2328, Sheet1!J:J)</f>
        <v>34.873096446700508</v>
      </c>
    </row>
    <row r="2329" spans="1:2" x14ac:dyDescent="0.3">
      <c r="A2329" t="s">
        <v>33</v>
      </c>
      <c r="B2329">
        <f>AVERAGEIF(Sheet1!B:B, A2329, Sheet1!J:J)</f>
        <v>34.873096446700508</v>
      </c>
    </row>
    <row r="2330" spans="1:2" x14ac:dyDescent="0.3">
      <c r="A2330" t="s">
        <v>33</v>
      </c>
      <c r="B2330">
        <f>AVERAGEIF(Sheet1!B:B, A2330, Sheet1!J:J)</f>
        <v>34.873096446700508</v>
      </c>
    </row>
    <row r="2331" spans="1:2" x14ac:dyDescent="0.3">
      <c r="A2331" t="s">
        <v>33</v>
      </c>
      <c r="B2331">
        <f>AVERAGEIF(Sheet1!B:B, A2331, Sheet1!J:J)</f>
        <v>34.873096446700508</v>
      </c>
    </row>
    <row r="2332" spans="1:2" x14ac:dyDescent="0.3">
      <c r="A2332" t="s">
        <v>33</v>
      </c>
      <c r="B2332">
        <f>AVERAGEIF(Sheet1!B:B, A2332, Sheet1!J:J)</f>
        <v>34.873096446700508</v>
      </c>
    </row>
    <row r="2333" spans="1:2" x14ac:dyDescent="0.3">
      <c r="A2333" t="s">
        <v>33</v>
      </c>
      <c r="B2333">
        <f>AVERAGEIF(Sheet1!B:B, A2333, Sheet1!J:J)</f>
        <v>34.873096446700508</v>
      </c>
    </row>
    <row r="2334" spans="1:2" x14ac:dyDescent="0.3">
      <c r="A2334" t="s">
        <v>33</v>
      </c>
      <c r="B2334">
        <f>AVERAGEIF(Sheet1!B:B, A2334, Sheet1!J:J)</f>
        <v>34.873096446700508</v>
      </c>
    </row>
    <row r="2335" spans="1:2" x14ac:dyDescent="0.3">
      <c r="A2335" t="s">
        <v>33</v>
      </c>
      <c r="B2335">
        <f>AVERAGEIF(Sheet1!B:B, A2335, Sheet1!J:J)</f>
        <v>34.873096446700508</v>
      </c>
    </row>
    <row r="2336" spans="1:2" x14ac:dyDescent="0.3">
      <c r="A2336" t="s">
        <v>33</v>
      </c>
      <c r="B2336">
        <f>AVERAGEIF(Sheet1!B:B, A2336, Sheet1!J:J)</f>
        <v>34.873096446700508</v>
      </c>
    </row>
    <row r="2337" spans="1:2" x14ac:dyDescent="0.3">
      <c r="A2337" t="s">
        <v>33</v>
      </c>
      <c r="B2337">
        <f>AVERAGEIF(Sheet1!B:B, A2337, Sheet1!J:J)</f>
        <v>34.873096446700508</v>
      </c>
    </row>
    <row r="2338" spans="1:2" x14ac:dyDescent="0.3">
      <c r="A2338" t="s">
        <v>33</v>
      </c>
      <c r="B2338">
        <f>AVERAGEIF(Sheet1!B:B, A2338, Sheet1!J:J)</f>
        <v>34.873096446700508</v>
      </c>
    </row>
    <row r="2339" spans="1:2" x14ac:dyDescent="0.3">
      <c r="A2339" t="s">
        <v>33</v>
      </c>
      <c r="B2339">
        <f>AVERAGEIF(Sheet1!B:B, A2339, Sheet1!J:J)</f>
        <v>34.873096446700508</v>
      </c>
    </row>
    <row r="2340" spans="1:2" x14ac:dyDescent="0.3">
      <c r="A2340" t="s">
        <v>33</v>
      </c>
      <c r="B2340">
        <f>AVERAGEIF(Sheet1!B:B, A2340, Sheet1!J:J)</f>
        <v>34.873096446700508</v>
      </c>
    </row>
    <row r="2341" spans="1:2" x14ac:dyDescent="0.3">
      <c r="A2341" t="s">
        <v>33</v>
      </c>
      <c r="B2341">
        <f>AVERAGEIF(Sheet1!B:B, A2341, Sheet1!J:J)</f>
        <v>34.873096446700508</v>
      </c>
    </row>
    <row r="2342" spans="1:2" x14ac:dyDescent="0.3">
      <c r="A2342" t="s">
        <v>33</v>
      </c>
      <c r="B2342">
        <f>AVERAGEIF(Sheet1!B:B, A2342, Sheet1!J:J)</f>
        <v>34.873096446700508</v>
      </c>
    </row>
    <row r="2343" spans="1:2" x14ac:dyDescent="0.3">
      <c r="A2343" t="s">
        <v>33</v>
      </c>
      <c r="B2343">
        <f>AVERAGEIF(Sheet1!B:B, A2343, Sheet1!J:J)</f>
        <v>34.873096446700508</v>
      </c>
    </row>
    <row r="2344" spans="1:2" x14ac:dyDescent="0.3">
      <c r="A2344" t="s">
        <v>33</v>
      </c>
      <c r="B2344">
        <f>AVERAGEIF(Sheet1!B:B, A2344, Sheet1!J:J)</f>
        <v>34.873096446700508</v>
      </c>
    </row>
    <row r="2345" spans="1:2" x14ac:dyDescent="0.3">
      <c r="A2345" t="s">
        <v>33</v>
      </c>
      <c r="B2345">
        <f>AVERAGEIF(Sheet1!B:B, A2345, Sheet1!J:J)</f>
        <v>34.873096446700508</v>
      </c>
    </row>
    <row r="2346" spans="1:2" x14ac:dyDescent="0.3">
      <c r="A2346" t="s">
        <v>33</v>
      </c>
      <c r="B2346">
        <f>AVERAGEIF(Sheet1!B:B, A2346, Sheet1!J:J)</f>
        <v>34.873096446700508</v>
      </c>
    </row>
    <row r="2347" spans="1:2" x14ac:dyDescent="0.3">
      <c r="A2347" t="s">
        <v>33</v>
      </c>
      <c r="B2347">
        <f>AVERAGEIF(Sheet1!B:B, A2347, Sheet1!J:J)</f>
        <v>34.873096446700508</v>
      </c>
    </row>
    <row r="2348" spans="1:2" x14ac:dyDescent="0.3">
      <c r="A2348" t="s">
        <v>33</v>
      </c>
      <c r="B2348">
        <f>AVERAGEIF(Sheet1!B:B, A2348, Sheet1!J:J)</f>
        <v>34.873096446700508</v>
      </c>
    </row>
    <row r="2349" spans="1:2" x14ac:dyDescent="0.3">
      <c r="A2349" t="s">
        <v>33</v>
      </c>
      <c r="B2349">
        <f>AVERAGEIF(Sheet1!B:B, A2349, Sheet1!J:J)</f>
        <v>34.873096446700508</v>
      </c>
    </row>
    <row r="2350" spans="1:2" x14ac:dyDescent="0.3">
      <c r="A2350" t="s">
        <v>33</v>
      </c>
      <c r="B2350">
        <f>AVERAGEIF(Sheet1!B:B, A2350, Sheet1!J:J)</f>
        <v>34.873096446700508</v>
      </c>
    </row>
    <row r="2351" spans="1:2" x14ac:dyDescent="0.3">
      <c r="A2351" t="s">
        <v>33</v>
      </c>
      <c r="B2351">
        <f>AVERAGEIF(Sheet1!B:B, A2351, Sheet1!J:J)</f>
        <v>34.873096446700508</v>
      </c>
    </row>
    <row r="2352" spans="1:2" x14ac:dyDescent="0.3">
      <c r="A2352" t="s">
        <v>33</v>
      </c>
      <c r="B2352">
        <f>AVERAGEIF(Sheet1!B:B, A2352, Sheet1!J:J)</f>
        <v>34.873096446700508</v>
      </c>
    </row>
    <row r="2353" spans="1:2" x14ac:dyDescent="0.3">
      <c r="A2353" t="s">
        <v>33</v>
      </c>
      <c r="B2353">
        <f>AVERAGEIF(Sheet1!B:B, A2353, Sheet1!J:J)</f>
        <v>34.873096446700508</v>
      </c>
    </row>
    <row r="2354" spans="1:2" x14ac:dyDescent="0.3">
      <c r="A2354" t="s">
        <v>33</v>
      </c>
      <c r="B2354">
        <f>AVERAGEIF(Sheet1!B:B, A2354, Sheet1!J:J)</f>
        <v>34.873096446700508</v>
      </c>
    </row>
    <row r="2355" spans="1:2" x14ac:dyDescent="0.3">
      <c r="A2355" t="s">
        <v>33</v>
      </c>
      <c r="B2355">
        <f>AVERAGEIF(Sheet1!B:B, A2355, Sheet1!J:J)</f>
        <v>34.873096446700508</v>
      </c>
    </row>
    <row r="2356" spans="1:2" x14ac:dyDescent="0.3">
      <c r="A2356" t="s">
        <v>33</v>
      </c>
      <c r="B2356">
        <f>AVERAGEIF(Sheet1!B:B, A2356, Sheet1!J:J)</f>
        <v>34.873096446700508</v>
      </c>
    </row>
    <row r="2357" spans="1:2" x14ac:dyDescent="0.3">
      <c r="A2357" t="s">
        <v>33</v>
      </c>
      <c r="B2357">
        <f>AVERAGEIF(Sheet1!B:B, A2357, Sheet1!J:J)</f>
        <v>34.873096446700508</v>
      </c>
    </row>
    <row r="2358" spans="1:2" x14ac:dyDescent="0.3">
      <c r="A2358" t="s">
        <v>33</v>
      </c>
      <c r="B2358">
        <f>AVERAGEIF(Sheet1!B:B, A2358, Sheet1!J:J)</f>
        <v>34.873096446700508</v>
      </c>
    </row>
    <row r="2359" spans="1:2" x14ac:dyDescent="0.3">
      <c r="A2359" t="s">
        <v>33</v>
      </c>
      <c r="B2359">
        <f>AVERAGEIF(Sheet1!B:B, A2359, Sheet1!J:J)</f>
        <v>34.873096446700508</v>
      </c>
    </row>
    <row r="2360" spans="1:2" x14ac:dyDescent="0.3">
      <c r="A2360" t="s">
        <v>33</v>
      </c>
      <c r="B2360">
        <f>AVERAGEIF(Sheet1!B:B, A2360, Sheet1!J:J)</f>
        <v>34.873096446700508</v>
      </c>
    </row>
    <row r="2361" spans="1:2" x14ac:dyDescent="0.3">
      <c r="A2361" t="s">
        <v>33</v>
      </c>
      <c r="B2361">
        <f>AVERAGEIF(Sheet1!B:B, A2361, Sheet1!J:J)</f>
        <v>34.873096446700508</v>
      </c>
    </row>
    <row r="2362" spans="1:2" x14ac:dyDescent="0.3">
      <c r="A2362" t="s">
        <v>33</v>
      </c>
      <c r="B2362">
        <f>AVERAGEIF(Sheet1!B:B, A2362, Sheet1!J:J)</f>
        <v>34.873096446700508</v>
      </c>
    </row>
    <row r="2363" spans="1:2" x14ac:dyDescent="0.3">
      <c r="A2363" t="s">
        <v>33</v>
      </c>
      <c r="B2363">
        <f>AVERAGEIF(Sheet1!B:B, A2363, Sheet1!J:J)</f>
        <v>34.873096446700508</v>
      </c>
    </row>
    <row r="2364" spans="1:2" x14ac:dyDescent="0.3">
      <c r="A2364" t="s">
        <v>33</v>
      </c>
      <c r="B2364">
        <f>AVERAGEIF(Sheet1!B:B, A2364, Sheet1!J:J)</f>
        <v>34.873096446700508</v>
      </c>
    </row>
    <row r="2365" spans="1:2" x14ac:dyDescent="0.3">
      <c r="A2365" t="s">
        <v>35</v>
      </c>
      <c r="B2365">
        <f>AVERAGEIF(Sheet1!B:B, A2365, Sheet1!J:J)</f>
        <v>51.028169014084504</v>
      </c>
    </row>
    <row r="2366" spans="1:2" x14ac:dyDescent="0.3">
      <c r="A2366" t="s">
        <v>35</v>
      </c>
      <c r="B2366">
        <f>AVERAGEIF(Sheet1!B:B, A2366, Sheet1!J:J)</f>
        <v>51.028169014084504</v>
      </c>
    </row>
    <row r="2367" spans="1:2" x14ac:dyDescent="0.3">
      <c r="A2367" t="s">
        <v>35</v>
      </c>
      <c r="B2367">
        <f>AVERAGEIF(Sheet1!B:B, A2367, Sheet1!J:J)</f>
        <v>51.028169014084504</v>
      </c>
    </row>
    <row r="2368" spans="1:2" x14ac:dyDescent="0.3">
      <c r="A2368" t="s">
        <v>35</v>
      </c>
      <c r="B2368">
        <f>AVERAGEIF(Sheet1!B:B, A2368, Sheet1!J:J)</f>
        <v>51.028169014084504</v>
      </c>
    </row>
    <row r="2369" spans="1:2" x14ac:dyDescent="0.3">
      <c r="A2369" t="s">
        <v>35</v>
      </c>
      <c r="B2369">
        <f>AVERAGEIF(Sheet1!B:B, A2369, Sheet1!J:J)</f>
        <v>51.028169014084504</v>
      </c>
    </row>
    <row r="2370" spans="1:2" x14ac:dyDescent="0.3">
      <c r="A2370" t="s">
        <v>35</v>
      </c>
      <c r="B2370">
        <f>AVERAGEIF(Sheet1!B:B, A2370, Sheet1!J:J)</f>
        <v>51.028169014084504</v>
      </c>
    </row>
    <row r="2371" spans="1:2" x14ac:dyDescent="0.3">
      <c r="A2371" t="s">
        <v>35</v>
      </c>
      <c r="B2371">
        <f>AVERAGEIF(Sheet1!B:B, A2371, Sheet1!J:J)</f>
        <v>51.028169014084504</v>
      </c>
    </row>
    <row r="2372" spans="1:2" x14ac:dyDescent="0.3">
      <c r="A2372" t="s">
        <v>35</v>
      </c>
      <c r="B2372">
        <f>AVERAGEIF(Sheet1!B:B, A2372, Sheet1!J:J)</f>
        <v>51.028169014084504</v>
      </c>
    </row>
    <row r="2373" spans="1:2" x14ac:dyDescent="0.3">
      <c r="A2373" t="s">
        <v>35</v>
      </c>
      <c r="B2373">
        <f>AVERAGEIF(Sheet1!B:B, A2373, Sheet1!J:J)</f>
        <v>51.028169014084504</v>
      </c>
    </row>
    <row r="2374" spans="1:2" x14ac:dyDescent="0.3">
      <c r="A2374" t="s">
        <v>35</v>
      </c>
      <c r="B2374">
        <f>AVERAGEIF(Sheet1!B:B, A2374, Sheet1!J:J)</f>
        <v>51.028169014084504</v>
      </c>
    </row>
    <row r="2375" spans="1:2" x14ac:dyDescent="0.3">
      <c r="A2375" t="s">
        <v>36</v>
      </c>
      <c r="B2375">
        <f>AVERAGEIF(Sheet1!B:B, A2375, Sheet1!J:J)</f>
        <v>109.23547400611621</v>
      </c>
    </row>
    <row r="2376" spans="1:2" x14ac:dyDescent="0.3">
      <c r="A2376" t="s">
        <v>36</v>
      </c>
      <c r="B2376">
        <f>AVERAGEIF(Sheet1!B:B, A2376, Sheet1!J:J)</f>
        <v>109.23547400611621</v>
      </c>
    </row>
    <row r="2377" spans="1:2" x14ac:dyDescent="0.3">
      <c r="A2377" t="s">
        <v>36</v>
      </c>
      <c r="B2377">
        <f>AVERAGEIF(Sheet1!B:B, A2377, Sheet1!J:J)</f>
        <v>109.23547400611621</v>
      </c>
    </row>
    <row r="2378" spans="1:2" x14ac:dyDescent="0.3">
      <c r="A2378" t="s">
        <v>36</v>
      </c>
      <c r="B2378">
        <f>AVERAGEIF(Sheet1!B:B, A2378, Sheet1!J:J)</f>
        <v>109.23547400611621</v>
      </c>
    </row>
    <row r="2379" spans="1:2" x14ac:dyDescent="0.3">
      <c r="A2379" t="s">
        <v>36</v>
      </c>
      <c r="B2379">
        <f>AVERAGEIF(Sheet1!B:B, A2379, Sheet1!J:J)</f>
        <v>109.23547400611621</v>
      </c>
    </row>
    <row r="2380" spans="1:2" x14ac:dyDescent="0.3">
      <c r="A2380" t="s">
        <v>36</v>
      </c>
      <c r="B2380">
        <f>AVERAGEIF(Sheet1!B:B, A2380, Sheet1!J:J)</f>
        <v>109.23547400611621</v>
      </c>
    </row>
    <row r="2381" spans="1:2" x14ac:dyDescent="0.3">
      <c r="A2381" t="s">
        <v>36</v>
      </c>
      <c r="B2381">
        <f>AVERAGEIF(Sheet1!B:B, A2381, Sheet1!J:J)</f>
        <v>109.23547400611621</v>
      </c>
    </row>
    <row r="2382" spans="1:2" x14ac:dyDescent="0.3">
      <c r="A2382" t="s">
        <v>36</v>
      </c>
      <c r="B2382">
        <f>AVERAGEIF(Sheet1!B:B, A2382, Sheet1!J:J)</f>
        <v>109.23547400611621</v>
      </c>
    </row>
    <row r="2383" spans="1:2" x14ac:dyDescent="0.3">
      <c r="A2383" t="s">
        <v>36</v>
      </c>
      <c r="B2383">
        <f>AVERAGEIF(Sheet1!B:B, A2383, Sheet1!J:J)</f>
        <v>109.23547400611621</v>
      </c>
    </row>
    <row r="2384" spans="1:2" x14ac:dyDescent="0.3">
      <c r="A2384" t="s">
        <v>36</v>
      </c>
      <c r="B2384">
        <f>AVERAGEIF(Sheet1!B:B, A2384, Sheet1!J:J)</f>
        <v>109.23547400611621</v>
      </c>
    </row>
    <row r="2385" spans="1:2" x14ac:dyDescent="0.3">
      <c r="A2385" t="s">
        <v>36</v>
      </c>
      <c r="B2385">
        <f>AVERAGEIF(Sheet1!B:B, A2385, Sheet1!J:J)</f>
        <v>109.23547400611621</v>
      </c>
    </row>
    <row r="2386" spans="1:2" x14ac:dyDescent="0.3">
      <c r="A2386" t="s">
        <v>36</v>
      </c>
      <c r="B2386">
        <f>AVERAGEIF(Sheet1!B:B, A2386, Sheet1!J:J)</f>
        <v>109.23547400611621</v>
      </c>
    </row>
    <row r="2387" spans="1:2" x14ac:dyDescent="0.3">
      <c r="A2387" t="s">
        <v>36</v>
      </c>
      <c r="B2387">
        <f>AVERAGEIF(Sheet1!B:B, A2387, Sheet1!J:J)</f>
        <v>109.23547400611621</v>
      </c>
    </row>
    <row r="2388" spans="1:2" x14ac:dyDescent="0.3">
      <c r="A2388" t="s">
        <v>35</v>
      </c>
      <c r="B2388">
        <f>AVERAGEIF(Sheet1!B:B, A2388, Sheet1!J:J)</f>
        <v>51.028169014084504</v>
      </c>
    </row>
    <row r="2389" spans="1:2" x14ac:dyDescent="0.3">
      <c r="A2389" t="s">
        <v>35</v>
      </c>
      <c r="B2389">
        <f>AVERAGEIF(Sheet1!B:B, A2389, Sheet1!J:J)</f>
        <v>51.028169014084504</v>
      </c>
    </row>
    <row r="2390" spans="1:2" x14ac:dyDescent="0.3">
      <c r="A2390" t="s">
        <v>35</v>
      </c>
      <c r="B2390">
        <f>AVERAGEIF(Sheet1!B:B, A2390, Sheet1!J:J)</f>
        <v>51.028169014084504</v>
      </c>
    </row>
    <row r="2391" spans="1:2" x14ac:dyDescent="0.3">
      <c r="A2391" t="s">
        <v>35</v>
      </c>
      <c r="B2391">
        <f>AVERAGEIF(Sheet1!B:B, A2391, Sheet1!J:J)</f>
        <v>51.028169014084504</v>
      </c>
    </row>
    <row r="2392" spans="1:2" x14ac:dyDescent="0.3">
      <c r="A2392" t="s">
        <v>35</v>
      </c>
      <c r="B2392">
        <f>AVERAGEIF(Sheet1!B:B, A2392, Sheet1!J:J)</f>
        <v>51.028169014084504</v>
      </c>
    </row>
    <row r="2393" spans="1:2" x14ac:dyDescent="0.3">
      <c r="A2393" t="s">
        <v>35</v>
      </c>
      <c r="B2393">
        <f>AVERAGEIF(Sheet1!B:B, A2393, Sheet1!J:J)</f>
        <v>51.028169014084504</v>
      </c>
    </row>
    <row r="2394" spans="1:2" x14ac:dyDescent="0.3">
      <c r="A2394" t="s">
        <v>35</v>
      </c>
      <c r="B2394">
        <f>AVERAGEIF(Sheet1!B:B, A2394, Sheet1!J:J)</f>
        <v>51.028169014084504</v>
      </c>
    </row>
    <row r="2395" spans="1:2" x14ac:dyDescent="0.3">
      <c r="A2395" t="s">
        <v>35</v>
      </c>
      <c r="B2395">
        <f>AVERAGEIF(Sheet1!B:B, A2395, Sheet1!J:J)</f>
        <v>51.028169014084504</v>
      </c>
    </row>
    <row r="2396" spans="1:2" x14ac:dyDescent="0.3">
      <c r="A2396" t="s">
        <v>35</v>
      </c>
      <c r="B2396">
        <f>AVERAGEIF(Sheet1!B:B, A2396, Sheet1!J:J)</f>
        <v>51.028169014084504</v>
      </c>
    </row>
    <row r="2397" spans="1:2" x14ac:dyDescent="0.3">
      <c r="A2397" t="s">
        <v>42</v>
      </c>
      <c r="B2397">
        <f>AVERAGEIF(Sheet1!B:B, A2397, Sheet1!J:J)</f>
        <v>53.857142857142854</v>
      </c>
    </row>
    <row r="2398" spans="1:2" x14ac:dyDescent="0.3">
      <c r="A2398" t="s">
        <v>36</v>
      </c>
      <c r="B2398">
        <f>AVERAGEIF(Sheet1!B:B, A2398, Sheet1!J:J)</f>
        <v>109.23547400611621</v>
      </c>
    </row>
    <row r="2399" spans="1:2" x14ac:dyDescent="0.3">
      <c r="A2399" t="s">
        <v>36</v>
      </c>
      <c r="B2399">
        <f>AVERAGEIF(Sheet1!B:B, A2399, Sheet1!J:J)</f>
        <v>109.23547400611621</v>
      </c>
    </row>
    <row r="2400" spans="1:2" x14ac:dyDescent="0.3">
      <c r="A2400" t="s">
        <v>36</v>
      </c>
      <c r="B2400">
        <f>AVERAGEIF(Sheet1!B:B, A2400, Sheet1!J:J)</f>
        <v>109.23547400611621</v>
      </c>
    </row>
    <row r="2401" spans="1:2" x14ac:dyDescent="0.3">
      <c r="A2401" t="s">
        <v>36</v>
      </c>
      <c r="B2401">
        <f>AVERAGEIF(Sheet1!B:B, A2401, Sheet1!J:J)</f>
        <v>109.23547400611621</v>
      </c>
    </row>
    <row r="2402" spans="1:2" x14ac:dyDescent="0.3">
      <c r="A2402" t="s">
        <v>36</v>
      </c>
      <c r="B2402">
        <f>AVERAGEIF(Sheet1!B:B, A2402, Sheet1!J:J)</f>
        <v>109.23547400611621</v>
      </c>
    </row>
    <row r="2403" spans="1:2" x14ac:dyDescent="0.3">
      <c r="A2403" t="s">
        <v>36</v>
      </c>
      <c r="B2403">
        <f>AVERAGEIF(Sheet1!B:B, A2403, Sheet1!J:J)</f>
        <v>109.23547400611621</v>
      </c>
    </row>
    <row r="2404" spans="1:2" x14ac:dyDescent="0.3">
      <c r="A2404" t="s">
        <v>36</v>
      </c>
      <c r="B2404">
        <f>AVERAGEIF(Sheet1!B:B, A2404, Sheet1!J:J)</f>
        <v>109.23547400611621</v>
      </c>
    </row>
    <row r="2405" spans="1:2" x14ac:dyDescent="0.3">
      <c r="A2405" t="s">
        <v>36</v>
      </c>
      <c r="B2405">
        <f>AVERAGEIF(Sheet1!B:B, A2405, Sheet1!J:J)</f>
        <v>109.23547400611621</v>
      </c>
    </row>
    <row r="2406" spans="1:2" x14ac:dyDescent="0.3">
      <c r="A2406" t="s">
        <v>36</v>
      </c>
      <c r="B2406">
        <f>AVERAGEIF(Sheet1!B:B, A2406, Sheet1!J:J)</f>
        <v>109.23547400611621</v>
      </c>
    </row>
    <row r="2407" spans="1:2" x14ac:dyDescent="0.3">
      <c r="A2407" t="s">
        <v>36</v>
      </c>
      <c r="B2407">
        <f>AVERAGEIF(Sheet1!B:B, A2407, Sheet1!J:J)</f>
        <v>109.23547400611621</v>
      </c>
    </row>
    <row r="2408" spans="1:2" x14ac:dyDescent="0.3">
      <c r="A2408" t="s">
        <v>36</v>
      </c>
      <c r="B2408">
        <f>AVERAGEIF(Sheet1!B:B, A2408, Sheet1!J:J)</f>
        <v>109.23547400611621</v>
      </c>
    </row>
    <row r="2409" spans="1:2" x14ac:dyDescent="0.3">
      <c r="A2409" t="s">
        <v>36</v>
      </c>
      <c r="B2409">
        <f>AVERAGEIF(Sheet1!B:B, A2409, Sheet1!J:J)</f>
        <v>109.23547400611621</v>
      </c>
    </row>
    <row r="2410" spans="1:2" x14ac:dyDescent="0.3">
      <c r="A2410" t="s">
        <v>36</v>
      </c>
      <c r="B2410">
        <f>AVERAGEIF(Sheet1!B:B, A2410, Sheet1!J:J)</f>
        <v>109.23547400611621</v>
      </c>
    </row>
    <row r="2411" spans="1:2" x14ac:dyDescent="0.3">
      <c r="A2411" t="s">
        <v>36</v>
      </c>
      <c r="B2411">
        <f>AVERAGEIF(Sheet1!B:B, A2411, Sheet1!J:J)</f>
        <v>109.23547400611621</v>
      </c>
    </row>
    <row r="2412" spans="1:2" x14ac:dyDescent="0.3">
      <c r="A2412" t="s">
        <v>36</v>
      </c>
      <c r="B2412">
        <f>AVERAGEIF(Sheet1!B:B, A2412, Sheet1!J:J)</f>
        <v>109.23547400611621</v>
      </c>
    </row>
    <row r="2413" spans="1:2" x14ac:dyDescent="0.3">
      <c r="A2413" t="s">
        <v>36</v>
      </c>
      <c r="B2413">
        <f>AVERAGEIF(Sheet1!B:B, A2413, Sheet1!J:J)</f>
        <v>109.23547400611621</v>
      </c>
    </row>
    <row r="2414" spans="1:2" x14ac:dyDescent="0.3">
      <c r="A2414" t="s">
        <v>36</v>
      </c>
      <c r="B2414">
        <f>AVERAGEIF(Sheet1!B:B, A2414, Sheet1!J:J)</f>
        <v>109.23547400611621</v>
      </c>
    </row>
    <row r="2415" spans="1:2" x14ac:dyDescent="0.3">
      <c r="A2415" t="s">
        <v>36</v>
      </c>
      <c r="B2415">
        <f>AVERAGEIF(Sheet1!B:B, A2415, Sheet1!J:J)</f>
        <v>109.23547400611621</v>
      </c>
    </row>
    <row r="2416" spans="1:2" x14ac:dyDescent="0.3">
      <c r="A2416" t="s">
        <v>36</v>
      </c>
      <c r="B2416">
        <f>AVERAGEIF(Sheet1!B:B, A2416, Sheet1!J:J)</f>
        <v>109.23547400611621</v>
      </c>
    </row>
    <row r="2417" spans="1:2" x14ac:dyDescent="0.3">
      <c r="A2417" t="s">
        <v>36</v>
      </c>
      <c r="B2417">
        <f>AVERAGEIF(Sheet1!B:B, A2417, Sheet1!J:J)</f>
        <v>109.23547400611621</v>
      </c>
    </row>
    <row r="2418" spans="1:2" x14ac:dyDescent="0.3">
      <c r="A2418" t="s">
        <v>36</v>
      </c>
      <c r="B2418">
        <f>AVERAGEIF(Sheet1!B:B, A2418, Sheet1!J:J)</f>
        <v>109.23547400611621</v>
      </c>
    </row>
    <row r="2419" spans="1:2" x14ac:dyDescent="0.3">
      <c r="A2419" t="s">
        <v>36</v>
      </c>
      <c r="B2419">
        <f>AVERAGEIF(Sheet1!B:B, A2419, Sheet1!J:J)</f>
        <v>109.23547400611621</v>
      </c>
    </row>
    <row r="2420" spans="1:2" x14ac:dyDescent="0.3">
      <c r="A2420" t="s">
        <v>36</v>
      </c>
      <c r="B2420">
        <f>AVERAGEIF(Sheet1!B:B, A2420, Sheet1!J:J)</f>
        <v>109.23547400611621</v>
      </c>
    </row>
    <row r="2421" spans="1:2" x14ac:dyDescent="0.3">
      <c r="A2421" t="s">
        <v>36</v>
      </c>
      <c r="B2421">
        <f>AVERAGEIF(Sheet1!B:B, A2421, Sheet1!J:J)</f>
        <v>109.23547400611621</v>
      </c>
    </row>
    <row r="2422" spans="1:2" x14ac:dyDescent="0.3">
      <c r="A2422" t="s">
        <v>36</v>
      </c>
      <c r="B2422">
        <f>AVERAGEIF(Sheet1!B:B, A2422, Sheet1!J:J)</f>
        <v>109.23547400611621</v>
      </c>
    </row>
    <row r="2423" spans="1:2" x14ac:dyDescent="0.3">
      <c r="A2423" t="s">
        <v>36</v>
      </c>
      <c r="B2423">
        <f>AVERAGEIF(Sheet1!B:B, A2423, Sheet1!J:J)</f>
        <v>109.23547400611621</v>
      </c>
    </row>
    <row r="2424" spans="1:2" x14ac:dyDescent="0.3">
      <c r="A2424" t="s">
        <v>36</v>
      </c>
      <c r="B2424">
        <f>AVERAGEIF(Sheet1!B:B, A2424, Sheet1!J:J)</f>
        <v>109.23547400611621</v>
      </c>
    </row>
    <row r="2425" spans="1:2" x14ac:dyDescent="0.3">
      <c r="A2425" t="s">
        <v>36</v>
      </c>
      <c r="B2425">
        <f>AVERAGEIF(Sheet1!B:B, A2425, Sheet1!J:J)</f>
        <v>109.23547400611621</v>
      </c>
    </row>
    <row r="2426" spans="1:2" x14ac:dyDescent="0.3">
      <c r="A2426" t="s">
        <v>36</v>
      </c>
      <c r="B2426">
        <f>AVERAGEIF(Sheet1!B:B, A2426, Sheet1!J:J)</f>
        <v>109.23547400611621</v>
      </c>
    </row>
    <row r="2427" spans="1:2" x14ac:dyDescent="0.3">
      <c r="A2427" t="s">
        <v>36</v>
      </c>
      <c r="B2427">
        <f>AVERAGEIF(Sheet1!B:B, A2427, Sheet1!J:J)</f>
        <v>109.23547400611621</v>
      </c>
    </row>
    <row r="2428" spans="1:2" x14ac:dyDescent="0.3">
      <c r="A2428" t="s">
        <v>36</v>
      </c>
      <c r="B2428">
        <f>AVERAGEIF(Sheet1!B:B, A2428, Sheet1!J:J)</f>
        <v>109.23547400611621</v>
      </c>
    </row>
    <row r="2429" spans="1:2" x14ac:dyDescent="0.3">
      <c r="A2429" t="s">
        <v>36</v>
      </c>
      <c r="B2429">
        <f>AVERAGEIF(Sheet1!B:B, A2429, Sheet1!J:J)</f>
        <v>109.23547400611621</v>
      </c>
    </row>
    <row r="2430" spans="1:2" x14ac:dyDescent="0.3">
      <c r="A2430" t="s">
        <v>36</v>
      </c>
      <c r="B2430">
        <f>AVERAGEIF(Sheet1!B:B, A2430, Sheet1!J:J)</f>
        <v>109.23547400611621</v>
      </c>
    </row>
    <row r="2431" spans="1:2" x14ac:dyDescent="0.3">
      <c r="A2431" t="s">
        <v>36</v>
      </c>
      <c r="B2431">
        <f>AVERAGEIF(Sheet1!B:B, A2431, Sheet1!J:J)</f>
        <v>109.23547400611621</v>
      </c>
    </row>
    <row r="2432" spans="1:2" x14ac:dyDescent="0.3">
      <c r="A2432" t="s">
        <v>36</v>
      </c>
      <c r="B2432">
        <f>AVERAGEIF(Sheet1!B:B, A2432, Sheet1!J:J)</f>
        <v>109.23547400611621</v>
      </c>
    </row>
    <row r="2433" spans="1:2" x14ac:dyDescent="0.3">
      <c r="A2433" t="s">
        <v>36</v>
      </c>
      <c r="B2433">
        <f>AVERAGEIF(Sheet1!B:B, A2433, Sheet1!J:J)</f>
        <v>109.23547400611621</v>
      </c>
    </row>
    <row r="2434" spans="1:2" x14ac:dyDescent="0.3">
      <c r="A2434" t="s">
        <v>36</v>
      </c>
      <c r="B2434">
        <f>AVERAGEIF(Sheet1!B:B, A2434, Sheet1!J:J)</f>
        <v>109.23547400611621</v>
      </c>
    </row>
    <row r="2435" spans="1:2" x14ac:dyDescent="0.3">
      <c r="A2435" t="s">
        <v>36</v>
      </c>
      <c r="B2435">
        <f>AVERAGEIF(Sheet1!B:B, A2435, Sheet1!J:J)</f>
        <v>109.23547400611621</v>
      </c>
    </row>
    <row r="2436" spans="1:2" x14ac:dyDescent="0.3">
      <c r="A2436" t="s">
        <v>36</v>
      </c>
      <c r="B2436">
        <f>AVERAGEIF(Sheet1!B:B, A2436, Sheet1!J:J)</f>
        <v>109.23547400611621</v>
      </c>
    </row>
    <row r="2437" spans="1:2" x14ac:dyDescent="0.3">
      <c r="A2437" t="s">
        <v>37</v>
      </c>
      <c r="B2437">
        <f>AVERAGEIF(Sheet1!B:B, A2437, Sheet1!J:J)</f>
        <v>82.95</v>
      </c>
    </row>
    <row r="2438" spans="1:2" x14ac:dyDescent="0.3">
      <c r="A2438" t="s">
        <v>36</v>
      </c>
      <c r="B2438">
        <f>AVERAGEIF(Sheet1!B:B, A2438, Sheet1!J:J)</f>
        <v>109.23547400611621</v>
      </c>
    </row>
    <row r="2439" spans="1:2" x14ac:dyDescent="0.3">
      <c r="A2439" t="s">
        <v>36</v>
      </c>
      <c r="B2439">
        <f>AVERAGEIF(Sheet1!B:B, A2439, Sheet1!J:J)</f>
        <v>109.23547400611621</v>
      </c>
    </row>
    <row r="2440" spans="1:2" x14ac:dyDescent="0.3">
      <c r="A2440" t="s">
        <v>36</v>
      </c>
      <c r="B2440">
        <f>AVERAGEIF(Sheet1!B:B, A2440, Sheet1!J:J)</f>
        <v>109.23547400611621</v>
      </c>
    </row>
    <row r="2441" spans="1:2" x14ac:dyDescent="0.3">
      <c r="A2441" t="s">
        <v>36</v>
      </c>
      <c r="B2441">
        <f>AVERAGEIF(Sheet1!B:B, A2441, Sheet1!J:J)</f>
        <v>109.23547400611621</v>
      </c>
    </row>
    <row r="2442" spans="1:2" x14ac:dyDescent="0.3">
      <c r="A2442" t="s">
        <v>36</v>
      </c>
      <c r="B2442">
        <f>AVERAGEIF(Sheet1!B:B, A2442, Sheet1!J:J)</f>
        <v>109.23547400611621</v>
      </c>
    </row>
    <row r="2443" spans="1:2" x14ac:dyDescent="0.3">
      <c r="A2443" t="s">
        <v>36</v>
      </c>
      <c r="B2443">
        <f>AVERAGEIF(Sheet1!B:B, A2443, Sheet1!J:J)</f>
        <v>109.23547400611621</v>
      </c>
    </row>
    <row r="2444" spans="1:2" x14ac:dyDescent="0.3">
      <c r="A2444" t="s">
        <v>36</v>
      </c>
      <c r="B2444">
        <f>AVERAGEIF(Sheet1!B:B, A2444, Sheet1!J:J)</f>
        <v>109.23547400611621</v>
      </c>
    </row>
    <row r="2445" spans="1:2" x14ac:dyDescent="0.3">
      <c r="A2445" t="s">
        <v>36</v>
      </c>
      <c r="B2445">
        <f>AVERAGEIF(Sheet1!B:B, A2445, Sheet1!J:J)</f>
        <v>109.23547400611621</v>
      </c>
    </row>
    <row r="2446" spans="1:2" x14ac:dyDescent="0.3">
      <c r="A2446" t="s">
        <v>36</v>
      </c>
      <c r="B2446">
        <f>AVERAGEIF(Sheet1!B:B, A2446, Sheet1!J:J)</f>
        <v>109.23547400611621</v>
      </c>
    </row>
    <row r="2447" spans="1:2" x14ac:dyDescent="0.3">
      <c r="A2447" t="s">
        <v>36</v>
      </c>
      <c r="B2447">
        <f>AVERAGEIF(Sheet1!B:B, A2447, Sheet1!J:J)</f>
        <v>109.23547400611621</v>
      </c>
    </row>
    <row r="2448" spans="1:2" x14ac:dyDescent="0.3">
      <c r="A2448" t="s">
        <v>36</v>
      </c>
      <c r="B2448">
        <f>AVERAGEIF(Sheet1!B:B, A2448, Sheet1!J:J)</f>
        <v>109.23547400611621</v>
      </c>
    </row>
    <row r="2449" spans="1:2" x14ac:dyDescent="0.3">
      <c r="A2449" t="s">
        <v>36</v>
      </c>
      <c r="B2449">
        <f>AVERAGEIF(Sheet1!B:B, A2449, Sheet1!J:J)</f>
        <v>109.23547400611621</v>
      </c>
    </row>
    <row r="2450" spans="1:2" x14ac:dyDescent="0.3">
      <c r="A2450" t="s">
        <v>36</v>
      </c>
      <c r="B2450">
        <f>AVERAGEIF(Sheet1!B:B, A2450, Sheet1!J:J)</f>
        <v>109.23547400611621</v>
      </c>
    </row>
    <row r="2451" spans="1:2" x14ac:dyDescent="0.3">
      <c r="A2451" t="s">
        <v>36</v>
      </c>
      <c r="B2451">
        <f>AVERAGEIF(Sheet1!B:B, A2451, Sheet1!J:J)</f>
        <v>109.23547400611621</v>
      </c>
    </row>
    <row r="2452" spans="1:2" x14ac:dyDescent="0.3">
      <c r="A2452" t="s">
        <v>36</v>
      </c>
      <c r="B2452">
        <f>AVERAGEIF(Sheet1!B:B, A2452, Sheet1!J:J)</f>
        <v>109.23547400611621</v>
      </c>
    </row>
    <row r="2453" spans="1:2" x14ac:dyDescent="0.3">
      <c r="A2453" t="s">
        <v>36</v>
      </c>
      <c r="B2453">
        <f>AVERAGEIF(Sheet1!B:B, A2453, Sheet1!J:J)</f>
        <v>109.23547400611621</v>
      </c>
    </row>
    <row r="2454" spans="1:2" x14ac:dyDescent="0.3">
      <c r="A2454" t="s">
        <v>36</v>
      </c>
      <c r="B2454">
        <f>AVERAGEIF(Sheet1!B:B, A2454, Sheet1!J:J)</f>
        <v>109.23547400611621</v>
      </c>
    </row>
    <row r="2455" spans="1:2" x14ac:dyDescent="0.3">
      <c r="A2455" t="s">
        <v>36</v>
      </c>
      <c r="B2455">
        <f>AVERAGEIF(Sheet1!B:B, A2455, Sheet1!J:J)</f>
        <v>109.23547400611621</v>
      </c>
    </row>
    <row r="2456" spans="1:2" x14ac:dyDescent="0.3">
      <c r="A2456" t="s">
        <v>36</v>
      </c>
      <c r="B2456">
        <f>AVERAGEIF(Sheet1!B:B, A2456, Sheet1!J:J)</f>
        <v>109.23547400611621</v>
      </c>
    </row>
    <row r="2457" spans="1:2" x14ac:dyDescent="0.3">
      <c r="A2457" t="s">
        <v>36</v>
      </c>
      <c r="B2457">
        <f>AVERAGEIF(Sheet1!B:B, A2457, Sheet1!J:J)</f>
        <v>109.23547400611621</v>
      </c>
    </row>
    <row r="2458" spans="1:2" x14ac:dyDescent="0.3">
      <c r="A2458" t="s">
        <v>36</v>
      </c>
      <c r="B2458">
        <f>AVERAGEIF(Sheet1!B:B, A2458, Sheet1!J:J)</f>
        <v>109.23547400611621</v>
      </c>
    </row>
    <row r="2459" spans="1:2" x14ac:dyDescent="0.3">
      <c r="A2459" t="s">
        <v>36</v>
      </c>
      <c r="B2459">
        <f>AVERAGEIF(Sheet1!B:B, A2459, Sheet1!J:J)</f>
        <v>109.23547400611621</v>
      </c>
    </row>
    <row r="2460" spans="1:2" x14ac:dyDescent="0.3">
      <c r="A2460" t="s">
        <v>36</v>
      </c>
      <c r="B2460">
        <f>AVERAGEIF(Sheet1!B:B, A2460, Sheet1!J:J)</f>
        <v>109.23547400611621</v>
      </c>
    </row>
    <row r="2461" spans="1:2" x14ac:dyDescent="0.3">
      <c r="A2461" t="s">
        <v>36</v>
      </c>
      <c r="B2461">
        <f>AVERAGEIF(Sheet1!B:B, A2461, Sheet1!J:J)</f>
        <v>109.23547400611621</v>
      </c>
    </row>
    <row r="2462" spans="1:2" x14ac:dyDescent="0.3">
      <c r="A2462" t="s">
        <v>36</v>
      </c>
      <c r="B2462">
        <f>AVERAGEIF(Sheet1!B:B, A2462, Sheet1!J:J)</f>
        <v>109.23547400611621</v>
      </c>
    </row>
    <row r="2463" spans="1:2" x14ac:dyDescent="0.3">
      <c r="A2463" t="s">
        <v>36</v>
      </c>
      <c r="B2463">
        <f>AVERAGEIF(Sheet1!B:B, A2463, Sheet1!J:J)</f>
        <v>109.23547400611621</v>
      </c>
    </row>
    <row r="2464" spans="1:2" x14ac:dyDescent="0.3">
      <c r="A2464" t="s">
        <v>36</v>
      </c>
      <c r="B2464">
        <f>AVERAGEIF(Sheet1!B:B, A2464, Sheet1!J:J)</f>
        <v>109.23547400611621</v>
      </c>
    </row>
    <row r="2465" spans="1:2" x14ac:dyDescent="0.3">
      <c r="A2465" t="s">
        <v>38</v>
      </c>
      <c r="B2465">
        <f>AVERAGEIF(Sheet1!B:B, A2465, Sheet1!J:J)</f>
        <v>67.710144927536234</v>
      </c>
    </row>
    <row r="2466" spans="1:2" x14ac:dyDescent="0.3">
      <c r="A2466" t="s">
        <v>38</v>
      </c>
      <c r="B2466">
        <f>AVERAGEIF(Sheet1!B:B, A2466, Sheet1!J:J)</f>
        <v>67.710144927536234</v>
      </c>
    </row>
    <row r="2467" spans="1:2" x14ac:dyDescent="0.3">
      <c r="A2467" t="s">
        <v>38</v>
      </c>
      <c r="B2467">
        <f>AVERAGEIF(Sheet1!B:B, A2467, Sheet1!J:J)</f>
        <v>67.710144927536234</v>
      </c>
    </row>
    <row r="2468" spans="1:2" x14ac:dyDescent="0.3">
      <c r="A2468" t="s">
        <v>38</v>
      </c>
      <c r="B2468">
        <f>AVERAGEIF(Sheet1!B:B, A2468, Sheet1!J:J)</f>
        <v>67.710144927536234</v>
      </c>
    </row>
    <row r="2469" spans="1:2" x14ac:dyDescent="0.3">
      <c r="A2469" t="s">
        <v>38</v>
      </c>
      <c r="B2469">
        <f>AVERAGEIF(Sheet1!B:B, A2469, Sheet1!J:J)</f>
        <v>67.710144927536234</v>
      </c>
    </row>
    <row r="2470" spans="1:2" x14ac:dyDescent="0.3">
      <c r="A2470" t="s">
        <v>38</v>
      </c>
      <c r="B2470">
        <f>AVERAGEIF(Sheet1!B:B, A2470, Sheet1!J:J)</f>
        <v>67.710144927536234</v>
      </c>
    </row>
    <row r="2471" spans="1:2" x14ac:dyDescent="0.3">
      <c r="A2471" t="s">
        <v>37</v>
      </c>
      <c r="B2471">
        <f>AVERAGEIF(Sheet1!B:B, A2471, Sheet1!J:J)</f>
        <v>82.95</v>
      </c>
    </row>
    <row r="2472" spans="1:2" x14ac:dyDescent="0.3">
      <c r="A2472" t="s">
        <v>37</v>
      </c>
      <c r="B2472">
        <f>AVERAGEIF(Sheet1!B:B, A2472, Sheet1!J:J)</f>
        <v>82.95</v>
      </c>
    </row>
    <row r="2473" spans="1:2" x14ac:dyDescent="0.3">
      <c r="A2473" t="s">
        <v>37</v>
      </c>
      <c r="B2473">
        <f>AVERAGEIF(Sheet1!B:B, A2473, Sheet1!J:J)</f>
        <v>82.95</v>
      </c>
    </row>
    <row r="2474" spans="1:2" x14ac:dyDescent="0.3">
      <c r="A2474" t="s">
        <v>37</v>
      </c>
      <c r="B2474">
        <f>AVERAGEIF(Sheet1!B:B, A2474, Sheet1!J:J)</f>
        <v>82.95</v>
      </c>
    </row>
    <row r="2475" spans="1:2" x14ac:dyDescent="0.3">
      <c r="A2475" t="s">
        <v>38</v>
      </c>
      <c r="B2475">
        <f>AVERAGEIF(Sheet1!B:B, A2475, Sheet1!J:J)</f>
        <v>67.710144927536234</v>
      </c>
    </row>
    <row r="2476" spans="1:2" x14ac:dyDescent="0.3">
      <c r="A2476" t="s">
        <v>38</v>
      </c>
      <c r="B2476">
        <f>AVERAGEIF(Sheet1!B:B, A2476, Sheet1!J:J)</f>
        <v>67.710144927536234</v>
      </c>
    </row>
    <row r="2477" spans="1:2" x14ac:dyDescent="0.3">
      <c r="A2477" t="s">
        <v>38</v>
      </c>
      <c r="B2477">
        <f>AVERAGEIF(Sheet1!B:B, A2477, Sheet1!J:J)</f>
        <v>67.710144927536234</v>
      </c>
    </row>
    <row r="2478" spans="1:2" x14ac:dyDescent="0.3">
      <c r="A2478" t="s">
        <v>38</v>
      </c>
      <c r="B2478">
        <f>AVERAGEIF(Sheet1!B:B, A2478, Sheet1!J:J)</f>
        <v>67.710144927536234</v>
      </c>
    </row>
    <row r="2479" spans="1:2" x14ac:dyDescent="0.3">
      <c r="A2479" t="s">
        <v>38</v>
      </c>
      <c r="B2479">
        <f>AVERAGEIF(Sheet1!B:B, A2479, Sheet1!J:J)</f>
        <v>67.710144927536234</v>
      </c>
    </row>
    <row r="2480" spans="1:2" x14ac:dyDescent="0.3">
      <c r="A2480" t="s">
        <v>38</v>
      </c>
      <c r="B2480">
        <f>AVERAGEIF(Sheet1!B:B, A2480, Sheet1!J:J)</f>
        <v>67.710144927536234</v>
      </c>
    </row>
    <row r="2481" spans="1:2" x14ac:dyDescent="0.3">
      <c r="A2481" t="s">
        <v>38</v>
      </c>
      <c r="B2481">
        <f>AVERAGEIF(Sheet1!B:B, A2481, Sheet1!J:J)</f>
        <v>67.710144927536234</v>
      </c>
    </row>
    <row r="2482" spans="1:2" x14ac:dyDescent="0.3">
      <c r="A2482" t="s">
        <v>38</v>
      </c>
      <c r="B2482">
        <f>AVERAGEIF(Sheet1!B:B, A2482, Sheet1!J:J)</f>
        <v>67.710144927536234</v>
      </c>
    </row>
    <row r="2483" spans="1:2" x14ac:dyDescent="0.3">
      <c r="A2483" t="s">
        <v>38</v>
      </c>
      <c r="B2483">
        <f>AVERAGEIF(Sheet1!B:B, A2483, Sheet1!J:J)</f>
        <v>67.710144927536234</v>
      </c>
    </row>
    <row r="2484" spans="1:2" x14ac:dyDescent="0.3">
      <c r="A2484" t="s">
        <v>38</v>
      </c>
      <c r="B2484">
        <f>AVERAGEIF(Sheet1!B:B, A2484, Sheet1!J:J)</f>
        <v>67.710144927536234</v>
      </c>
    </row>
    <row r="2485" spans="1:2" x14ac:dyDescent="0.3">
      <c r="A2485" t="s">
        <v>38</v>
      </c>
      <c r="B2485">
        <f>AVERAGEIF(Sheet1!B:B, A2485, Sheet1!J:J)</f>
        <v>67.710144927536234</v>
      </c>
    </row>
    <row r="2486" spans="1:2" x14ac:dyDescent="0.3">
      <c r="A2486" t="s">
        <v>38</v>
      </c>
      <c r="B2486">
        <f>AVERAGEIF(Sheet1!B:B, A2486, Sheet1!J:J)</f>
        <v>67.710144927536234</v>
      </c>
    </row>
    <row r="2487" spans="1:2" x14ac:dyDescent="0.3">
      <c r="A2487" t="s">
        <v>38</v>
      </c>
      <c r="B2487">
        <f>AVERAGEIF(Sheet1!B:B, A2487, Sheet1!J:J)</f>
        <v>67.710144927536234</v>
      </c>
    </row>
    <row r="2488" spans="1:2" x14ac:dyDescent="0.3">
      <c r="A2488" t="s">
        <v>38</v>
      </c>
      <c r="B2488">
        <f>AVERAGEIF(Sheet1!B:B, A2488, Sheet1!J:J)</f>
        <v>67.710144927536234</v>
      </c>
    </row>
    <row r="2489" spans="1:2" x14ac:dyDescent="0.3">
      <c r="A2489" t="s">
        <v>38</v>
      </c>
      <c r="B2489">
        <f>AVERAGEIF(Sheet1!B:B, A2489, Sheet1!J:J)</f>
        <v>67.710144927536234</v>
      </c>
    </row>
    <row r="2490" spans="1:2" x14ac:dyDescent="0.3">
      <c r="A2490" t="s">
        <v>38</v>
      </c>
      <c r="B2490">
        <f>AVERAGEIF(Sheet1!B:B, A2490, Sheet1!J:J)</f>
        <v>67.710144927536234</v>
      </c>
    </row>
    <row r="2491" spans="1:2" x14ac:dyDescent="0.3">
      <c r="A2491" t="s">
        <v>14</v>
      </c>
      <c r="B2491">
        <f>AVERAGEIF(Sheet1!B:B, A2491, Sheet1!J:J)</f>
        <v>49.578313253012048</v>
      </c>
    </row>
    <row r="2492" spans="1:2" x14ac:dyDescent="0.3">
      <c r="A2492" t="s">
        <v>14</v>
      </c>
      <c r="B2492">
        <f>AVERAGEIF(Sheet1!B:B, A2492, Sheet1!J:J)</f>
        <v>49.578313253012048</v>
      </c>
    </row>
    <row r="2493" spans="1:2" x14ac:dyDescent="0.3">
      <c r="A2493" t="s">
        <v>14</v>
      </c>
      <c r="B2493">
        <f>AVERAGEIF(Sheet1!B:B, A2493, Sheet1!J:J)</f>
        <v>49.578313253012048</v>
      </c>
    </row>
    <row r="2494" spans="1:2" x14ac:dyDescent="0.3">
      <c r="A2494" t="s">
        <v>14</v>
      </c>
      <c r="B2494">
        <f>AVERAGEIF(Sheet1!B:B, A2494, Sheet1!J:J)</f>
        <v>49.578313253012048</v>
      </c>
    </row>
    <row r="2495" spans="1:2" x14ac:dyDescent="0.3">
      <c r="A2495" t="s">
        <v>14</v>
      </c>
      <c r="B2495">
        <f>AVERAGEIF(Sheet1!B:B, A2495, Sheet1!J:J)</f>
        <v>49.578313253012048</v>
      </c>
    </row>
    <row r="2496" spans="1:2" x14ac:dyDescent="0.3">
      <c r="A2496" t="s">
        <v>14</v>
      </c>
      <c r="B2496">
        <f>AVERAGEIF(Sheet1!B:B, A2496, Sheet1!J:J)</f>
        <v>49.578313253012048</v>
      </c>
    </row>
    <row r="2497" spans="1:2" x14ac:dyDescent="0.3">
      <c r="A2497" t="s">
        <v>14</v>
      </c>
      <c r="B2497">
        <f>AVERAGEIF(Sheet1!B:B, A2497, Sheet1!J:J)</f>
        <v>49.578313253012048</v>
      </c>
    </row>
    <row r="2498" spans="1:2" x14ac:dyDescent="0.3">
      <c r="A2498" t="s">
        <v>14</v>
      </c>
      <c r="B2498">
        <f>AVERAGEIF(Sheet1!B:B, A2498, Sheet1!J:J)</f>
        <v>49.578313253012048</v>
      </c>
    </row>
    <row r="2499" spans="1:2" x14ac:dyDescent="0.3">
      <c r="A2499" t="s">
        <v>13</v>
      </c>
      <c r="B2499">
        <f>AVERAGEIF(Sheet1!B:B, A2499, Sheet1!J:J)</f>
        <v>89.015706806282722</v>
      </c>
    </row>
    <row r="2500" spans="1:2" x14ac:dyDescent="0.3">
      <c r="A2500" t="s">
        <v>13</v>
      </c>
      <c r="B2500">
        <f>AVERAGEIF(Sheet1!B:B, A2500, Sheet1!J:J)</f>
        <v>89.015706806282722</v>
      </c>
    </row>
    <row r="2501" spans="1:2" x14ac:dyDescent="0.3">
      <c r="A2501" t="s">
        <v>13</v>
      </c>
      <c r="B2501">
        <f>AVERAGEIF(Sheet1!B:B, A2501, Sheet1!J:J)</f>
        <v>89.015706806282722</v>
      </c>
    </row>
    <row r="2502" spans="1:2" x14ac:dyDescent="0.3">
      <c r="A2502" t="s">
        <v>13</v>
      </c>
      <c r="B2502">
        <f>AVERAGEIF(Sheet1!B:B, A2502, Sheet1!J:J)</f>
        <v>89.015706806282722</v>
      </c>
    </row>
    <row r="2503" spans="1:2" x14ac:dyDescent="0.3">
      <c r="A2503" t="s">
        <v>13</v>
      </c>
      <c r="B2503">
        <f>AVERAGEIF(Sheet1!B:B, A2503, Sheet1!J:J)</f>
        <v>89.015706806282722</v>
      </c>
    </row>
    <row r="2504" spans="1:2" x14ac:dyDescent="0.3">
      <c r="A2504" t="s">
        <v>13</v>
      </c>
      <c r="B2504">
        <f>AVERAGEIF(Sheet1!B:B, A2504, Sheet1!J:J)</f>
        <v>89.015706806282722</v>
      </c>
    </row>
    <row r="2505" spans="1:2" x14ac:dyDescent="0.3">
      <c r="A2505" t="s">
        <v>13</v>
      </c>
      <c r="B2505">
        <f>AVERAGEIF(Sheet1!B:B, A2505, Sheet1!J:J)</f>
        <v>89.015706806282722</v>
      </c>
    </row>
    <row r="2506" spans="1:2" x14ac:dyDescent="0.3">
      <c r="A2506" t="s">
        <v>14</v>
      </c>
      <c r="B2506">
        <f>AVERAGEIF(Sheet1!B:B, A2506, Sheet1!J:J)</f>
        <v>49.578313253012048</v>
      </c>
    </row>
    <row r="2507" spans="1:2" x14ac:dyDescent="0.3">
      <c r="A2507" t="s">
        <v>14</v>
      </c>
      <c r="B2507">
        <f>AVERAGEIF(Sheet1!B:B, A2507, Sheet1!J:J)</f>
        <v>49.578313253012048</v>
      </c>
    </row>
    <row r="2508" spans="1:2" x14ac:dyDescent="0.3">
      <c r="A2508" t="s">
        <v>14</v>
      </c>
      <c r="B2508">
        <f>AVERAGEIF(Sheet1!B:B, A2508, Sheet1!J:J)</f>
        <v>49.578313253012048</v>
      </c>
    </row>
    <row r="2509" spans="1:2" x14ac:dyDescent="0.3">
      <c r="A2509" t="s">
        <v>14</v>
      </c>
      <c r="B2509">
        <f>AVERAGEIF(Sheet1!B:B, A2509, Sheet1!J:J)</f>
        <v>49.578313253012048</v>
      </c>
    </row>
    <row r="2510" spans="1:2" x14ac:dyDescent="0.3">
      <c r="A2510" t="s">
        <v>14</v>
      </c>
      <c r="B2510">
        <f>AVERAGEIF(Sheet1!B:B, A2510, Sheet1!J:J)</f>
        <v>49.578313253012048</v>
      </c>
    </row>
    <row r="2511" spans="1:2" x14ac:dyDescent="0.3">
      <c r="A2511" t="s">
        <v>12</v>
      </c>
      <c r="B2511">
        <f>AVERAGEIF(Sheet1!B:B, A2511, Sheet1!J:J)</f>
        <v>74.65384615384616</v>
      </c>
    </row>
    <row r="2512" spans="1:2" x14ac:dyDescent="0.3">
      <c r="A2512" t="s">
        <v>12</v>
      </c>
      <c r="B2512">
        <f>AVERAGEIF(Sheet1!B:B, A2512, Sheet1!J:J)</f>
        <v>74.65384615384616</v>
      </c>
    </row>
    <row r="2513" spans="1:2" x14ac:dyDescent="0.3">
      <c r="A2513" t="s">
        <v>12</v>
      </c>
      <c r="B2513">
        <f>AVERAGEIF(Sheet1!B:B, A2513, Sheet1!J:J)</f>
        <v>74.65384615384616</v>
      </c>
    </row>
    <row r="2514" spans="1:2" x14ac:dyDescent="0.3">
      <c r="A2514" t="s">
        <v>12</v>
      </c>
      <c r="B2514">
        <f>AVERAGEIF(Sheet1!B:B, A2514, Sheet1!J:J)</f>
        <v>74.65384615384616</v>
      </c>
    </row>
    <row r="2515" spans="1:2" x14ac:dyDescent="0.3">
      <c r="A2515" t="s">
        <v>12</v>
      </c>
      <c r="B2515">
        <f>AVERAGEIF(Sheet1!B:B, A2515, Sheet1!J:J)</f>
        <v>74.65384615384616</v>
      </c>
    </row>
    <row r="2516" spans="1:2" x14ac:dyDescent="0.3">
      <c r="A2516" t="s">
        <v>12</v>
      </c>
      <c r="B2516">
        <f>AVERAGEIF(Sheet1!B:B, A2516, Sheet1!J:J)</f>
        <v>74.65384615384616</v>
      </c>
    </row>
    <row r="2517" spans="1:2" x14ac:dyDescent="0.3">
      <c r="A2517" t="s">
        <v>14</v>
      </c>
      <c r="B2517">
        <f>AVERAGEIF(Sheet1!B:B, A2517, Sheet1!J:J)</f>
        <v>49.578313253012048</v>
      </c>
    </row>
    <row r="2518" spans="1:2" x14ac:dyDescent="0.3">
      <c r="A2518" t="s">
        <v>12</v>
      </c>
      <c r="B2518">
        <f>AVERAGEIF(Sheet1!B:B, A2518, Sheet1!J:J)</f>
        <v>74.65384615384616</v>
      </c>
    </row>
    <row r="2519" spans="1:2" x14ac:dyDescent="0.3">
      <c r="A2519" t="s">
        <v>12</v>
      </c>
      <c r="B2519">
        <f>AVERAGEIF(Sheet1!B:B, A2519, Sheet1!J:J)</f>
        <v>74.65384615384616</v>
      </c>
    </row>
    <row r="2520" spans="1:2" x14ac:dyDescent="0.3">
      <c r="A2520" t="s">
        <v>12</v>
      </c>
      <c r="B2520">
        <f>AVERAGEIF(Sheet1!B:B, A2520, Sheet1!J:J)</f>
        <v>74.65384615384616</v>
      </c>
    </row>
    <row r="2521" spans="1:2" x14ac:dyDescent="0.3">
      <c r="A2521" t="s">
        <v>12</v>
      </c>
      <c r="B2521">
        <f>AVERAGEIF(Sheet1!B:B, A2521, Sheet1!J:J)</f>
        <v>74.65384615384616</v>
      </c>
    </row>
    <row r="2522" spans="1:2" x14ac:dyDescent="0.3">
      <c r="A2522" t="s">
        <v>12</v>
      </c>
      <c r="B2522">
        <f>AVERAGEIF(Sheet1!B:B, A2522, Sheet1!J:J)</f>
        <v>74.65384615384616</v>
      </c>
    </row>
    <row r="2523" spans="1:2" x14ac:dyDescent="0.3">
      <c r="A2523" t="s">
        <v>12</v>
      </c>
      <c r="B2523">
        <f>AVERAGEIF(Sheet1!B:B, A2523, Sheet1!J:J)</f>
        <v>74.65384615384616</v>
      </c>
    </row>
    <row r="2524" spans="1:2" x14ac:dyDescent="0.3">
      <c r="A2524" t="s">
        <v>13</v>
      </c>
      <c r="B2524">
        <f>AVERAGEIF(Sheet1!B:B, A2524, Sheet1!J:J)</f>
        <v>89.015706806282722</v>
      </c>
    </row>
    <row r="2525" spans="1:2" x14ac:dyDescent="0.3">
      <c r="A2525" t="s">
        <v>13</v>
      </c>
      <c r="B2525">
        <f>AVERAGEIF(Sheet1!B:B, A2525, Sheet1!J:J)</f>
        <v>89.015706806282722</v>
      </c>
    </row>
    <row r="2526" spans="1:2" x14ac:dyDescent="0.3">
      <c r="A2526" t="s">
        <v>12</v>
      </c>
      <c r="B2526">
        <f>AVERAGEIF(Sheet1!B:B, A2526, Sheet1!J:J)</f>
        <v>74.65384615384616</v>
      </c>
    </row>
    <row r="2527" spans="1:2" x14ac:dyDescent="0.3">
      <c r="A2527" t="s">
        <v>12</v>
      </c>
      <c r="B2527">
        <f>AVERAGEIF(Sheet1!B:B, A2527, Sheet1!J:J)</f>
        <v>74.65384615384616</v>
      </c>
    </row>
    <row r="2528" spans="1:2" x14ac:dyDescent="0.3">
      <c r="A2528" t="s">
        <v>12</v>
      </c>
      <c r="B2528">
        <f>AVERAGEIF(Sheet1!B:B, A2528, Sheet1!J:J)</f>
        <v>74.65384615384616</v>
      </c>
    </row>
    <row r="2529" spans="1:2" x14ac:dyDescent="0.3">
      <c r="A2529" t="s">
        <v>12</v>
      </c>
      <c r="B2529">
        <f>AVERAGEIF(Sheet1!B:B, A2529, Sheet1!J:J)</f>
        <v>74.65384615384616</v>
      </c>
    </row>
    <row r="2530" spans="1:2" x14ac:dyDescent="0.3">
      <c r="A2530" t="s">
        <v>13</v>
      </c>
      <c r="B2530">
        <f>AVERAGEIF(Sheet1!B:B, A2530, Sheet1!J:J)</f>
        <v>89.015706806282722</v>
      </c>
    </row>
    <row r="2531" spans="1:2" x14ac:dyDescent="0.3">
      <c r="A2531" t="s">
        <v>13</v>
      </c>
      <c r="B2531">
        <f>AVERAGEIF(Sheet1!B:B, A2531, Sheet1!J:J)</f>
        <v>89.015706806282722</v>
      </c>
    </row>
    <row r="2532" spans="1:2" x14ac:dyDescent="0.3">
      <c r="A2532" t="s">
        <v>13</v>
      </c>
      <c r="B2532">
        <f>AVERAGEIF(Sheet1!B:B, A2532, Sheet1!J:J)</f>
        <v>89.015706806282722</v>
      </c>
    </row>
    <row r="2533" spans="1:2" x14ac:dyDescent="0.3">
      <c r="A2533" t="s">
        <v>13</v>
      </c>
      <c r="B2533">
        <f>AVERAGEIF(Sheet1!B:B, A2533, Sheet1!J:J)</f>
        <v>89.015706806282722</v>
      </c>
    </row>
    <row r="2534" spans="1:2" x14ac:dyDescent="0.3">
      <c r="A2534" t="s">
        <v>14</v>
      </c>
      <c r="B2534">
        <f>AVERAGEIF(Sheet1!B:B, A2534, Sheet1!J:J)</f>
        <v>49.578313253012048</v>
      </c>
    </row>
    <row r="2535" spans="1:2" x14ac:dyDescent="0.3">
      <c r="A2535" t="s">
        <v>12</v>
      </c>
      <c r="B2535">
        <f>AVERAGEIF(Sheet1!B:B, A2535, Sheet1!J:J)</f>
        <v>74.65384615384616</v>
      </c>
    </row>
    <row r="2536" spans="1:2" x14ac:dyDescent="0.3">
      <c r="A2536" t="s">
        <v>13</v>
      </c>
      <c r="B2536">
        <f>AVERAGEIF(Sheet1!B:B, A2536, Sheet1!J:J)</f>
        <v>89.015706806282722</v>
      </c>
    </row>
    <row r="2537" spans="1:2" x14ac:dyDescent="0.3">
      <c r="A2537" t="s">
        <v>13</v>
      </c>
      <c r="B2537">
        <f>AVERAGEIF(Sheet1!B:B, A2537, Sheet1!J:J)</f>
        <v>89.015706806282722</v>
      </c>
    </row>
    <row r="2538" spans="1:2" x14ac:dyDescent="0.3">
      <c r="A2538" t="s">
        <v>13</v>
      </c>
      <c r="B2538">
        <f>AVERAGEIF(Sheet1!B:B, A2538, Sheet1!J:J)</f>
        <v>89.015706806282722</v>
      </c>
    </row>
    <row r="2539" spans="1:2" x14ac:dyDescent="0.3">
      <c r="A2539" t="s">
        <v>13</v>
      </c>
      <c r="B2539">
        <f>AVERAGEIF(Sheet1!B:B, A2539, Sheet1!J:J)</f>
        <v>89.015706806282722</v>
      </c>
    </row>
    <row r="2540" spans="1:2" x14ac:dyDescent="0.3">
      <c r="A2540" t="s">
        <v>13</v>
      </c>
      <c r="B2540">
        <f>AVERAGEIF(Sheet1!B:B, A2540, Sheet1!J:J)</f>
        <v>89.015706806282722</v>
      </c>
    </row>
    <row r="2541" spans="1:2" x14ac:dyDescent="0.3">
      <c r="A2541" t="s">
        <v>13</v>
      </c>
      <c r="B2541">
        <f>AVERAGEIF(Sheet1!B:B, A2541, Sheet1!J:J)</f>
        <v>89.015706806282722</v>
      </c>
    </row>
    <row r="2542" spans="1:2" x14ac:dyDescent="0.3">
      <c r="A2542" t="s">
        <v>13</v>
      </c>
      <c r="B2542">
        <f>AVERAGEIF(Sheet1!B:B, A2542, Sheet1!J:J)</f>
        <v>89.015706806282722</v>
      </c>
    </row>
    <row r="2543" spans="1:2" x14ac:dyDescent="0.3">
      <c r="A2543" t="s">
        <v>13</v>
      </c>
      <c r="B2543">
        <f>AVERAGEIF(Sheet1!B:B, A2543, Sheet1!J:J)</f>
        <v>89.015706806282722</v>
      </c>
    </row>
    <row r="2544" spans="1:2" x14ac:dyDescent="0.3">
      <c r="A2544" t="s">
        <v>13</v>
      </c>
      <c r="B2544">
        <f>AVERAGEIF(Sheet1!B:B, A2544, Sheet1!J:J)</f>
        <v>89.015706806282722</v>
      </c>
    </row>
    <row r="2545" spans="1:2" x14ac:dyDescent="0.3">
      <c r="A2545" t="s">
        <v>13</v>
      </c>
      <c r="B2545">
        <f>AVERAGEIF(Sheet1!B:B, A2545, Sheet1!J:J)</f>
        <v>89.015706806282722</v>
      </c>
    </row>
    <row r="2546" spans="1:2" x14ac:dyDescent="0.3">
      <c r="A2546" t="s">
        <v>13</v>
      </c>
      <c r="B2546">
        <f>AVERAGEIF(Sheet1!B:B, A2546, Sheet1!J:J)</f>
        <v>89.015706806282722</v>
      </c>
    </row>
    <row r="2547" spans="1:2" x14ac:dyDescent="0.3">
      <c r="A2547" t="s">
        <v>13</v>
      </c>
      <c r="B2547">
        <f>AVERAGEIF(Sheet1!B:B, A2547, Sheet1!J:J)</f>
        <v>89.015706806282722</v>
      </c>
    </row>
    <row r="2548" spans="1:2" x14ac:dyDescent="0.3">
      <c r="A2548" t="s">
        <v>13</v>
      </c>
      <c r="B2548">
        <f>AVERAGEIF(Sheet1!B:B, A2548, Sheet1!J:J)</f>
        <v>89.015706806282722</v>
      </c>
    </row>
    <row r="2549" spans="1:2" x14ac:dyDescent="0.3">
      <c r="A2549" t="s">
        <v>13</v>
      </c>
      <c r="B2549">
        <f>AVERAGEIF(Sheet1!B:B, A2549, Sheet1!J:J)</f>
        <v>89.015706806282722</v>
      </c>
    </row>
    <row r="2550" spans="1:2" x14ac:dyDescent="0.3">
      <c r="A2550" t="s">
        <v>13</v>
      </c>
      <c r="B2550">
        <f>AVERAGEIF(Sheet1!B:B, A2550, Sheet1!J:J)</f>
        <v>89.015706806282722</v>
      </c>
    </row>
    <row r="2551" spans="1:2" x14ac:dyDescent="0.3">
      <c r="A2551" t="s">
        <v>13</v>
      </c>
      <c r="B2551">
        <f>AVERAGEIF(Sheet1!B:B, A2551, Sheet1!J:J)</f>
        <v>89.015706806282722</v>
      </c>
    </row>
    <row r="2552" spans="1:2" x14ac:dyDescent="0.3">
      <c r="A2552" t="s">
        <v>13</v>
      </c>
      <c r="B2552">
        <f>AVERAGEIF(Sheet1!B:B, A2552, Sheet1!J:J)</f>
        <v>89.015706806282722</v>
      </c>
    </row>
    <row r="2553" spans="1:2" x14ac:dyDescent="0.3">
      <c r="A2553" t="s">
        <v>13</v>
      </c>
      <c r="B2553">
        <f>AVERAGEIF(Sheet1!B:B, A2553, Sheet1!J:J)</f>
        <v>89.015706806282722</v>
      </c>
    </row>
    <row r="2554" spans="1:2" x14ac:dyDescent="0.3">
      <c r="A2554" t="s">
        <v>13</v>
      </c>
      <c r="B2554">
        <f>AVERAGEIF(Sheet1!B:B, A2554, Sheet1!J:J)</f>
        <v>89.015706806282722</v>
      </c>
    </row>
    <row r="2555" spans="1:2" x14ac:dyDescent="0.3">
      <c r="A2555" t="s">
        <v>13</v>
      </c>
      <c r="B2555">
        <f>AVERAGEIF(Sheet1!B:B, A2555, Sheet1!J:J)</f>
        <v>89.015706806282722</v>
      </c>
    </row>
    <row r="2556" spans="1:2" x14ac:dyDescent="0.3">
      <c r="A2556" t="s">
        <v>13</v>
      </c>
      <c r="B2556">
        <f>AVERAGEIF(Sheet1!B:B, A2556, Sheet1!J:J)</f>
        <v>89.015706806282722</v>
      </c>
    </row>
    <row r="2557" spans="1:2" x14ac:dyDescent="0.3">
      <c r="A2557" t="s">
        <v>13</v>
      </c>
      <c r="B2557">
        <f>AVERAGEIF(Sheet1!B:B, A2557, Sheet1!J:J)</f>
        <v>89.015706806282722</v>
      </c>
    </row>
    <row r="2558" spans="1:2" x14ac:dyDescent="0.3">
      <c r="A2558" t="s">
        <v>18</v>
      </c>
      <c r="B2558">
        <f>AVERAGEIF(Sheet1!B:B, A2558, Sheet1!J:J)</f>
        <v>172.40416666666667</v>
      </c>
    </row>
    <row r="2559" spans="1:2" x14ac:dyDescent="0.3">
      <c r="A2559" t="s">
        <v>18</v>
      </c>
      <c r="B2559">
        <f>AVERAGEIF(Sheet1!B:B, A2559, Sheet1!J:J)</f>
        <v>172.40416666666667</v>
      </c>
    </row>
    <row r="2560" spans="1:2" x14ac:dyDescent="0.3">
      <c r="A2560" t="s">
        <v>18</v>
      </c>
      <c r="B2560">
        <f>AVERAGEIF(Sheet1!B:B, A2560, Sheet1!J:J)</f>
        <v>172.40416666666667</v>
      </c>
    </row>
    <row r="2561" spans="1:2" x14ac:dyDescent="0.3">
      <c r="A2561" t="s">
        <v>18</v>
      </c>
      <c r="B2561">
        <f>AVERAGEIF(Sheet1!B:B, A2561, Sheet1!J:J)</f>
        <v>172.40416666666667</v>
      </c>
    </row>
    <row r="2562" spans="1:2" x14ac:dyDescent="0.3">
      <c r="A2562" t="s">
        <v>18</v>
      </c>
      <c r="B2562">
        <f>AVERAGEIF(Sheet1!B:B, A2562, Sheet1!J:J)</f>
        <v>172.40416666666667</v>
      </c>
    </row>
    <row r="2563" spans="1:2" x14ac:dyDescent="0.3">
      <c r="A2563" t="s">
        <v>18</v>
      </c>
      <c r="B2563">
        <f>AVERAGEIF(Sheet1!B:B, A2563, Sheet1!J:J)</f>
        <v>172.40416666666667</v>
      </c>
    </row>
    <row r="2564" spans="1:2" x14ac:dyDescent="0.3">
      <c r="A2564" t="s">
        <v>18</v>
      </c>
      <c r="B2564">
        <f>AVERAGEIF(Sheet1!B:B, A2564, Sheet1!J:J)</f>
        <v>172.40416666666667</v>
      </c>
    </row>
    <row r="2565" spans="1:2" x14ac:dyDescent="0.3">
      <c r="A2565" t="s">
        <v>18</v>
      </c>
      <c r="B2565">
        <f>AVERAGEIF(Sheet1!B:B, A2565, Sheet1!J:J)</f>
        <v>172.40416666666667</v>
      </c>
    </row>
    <row r="2566" spans="1:2" x14ac:dyDescent="0.3">
      <c r="A2566" t="s">
        <v>18</v>
      </c>
      <c r="B2566">
        <f>AVERAGEIF(Sheet1!B:B, A2566, Sheet1!J:J)</f>
        <v>172.40416666666667</v>
      </c>
    </row>
    <row r="2567" spans="1:2" x14ac:dyDescent="0.3">
      <c r="A2567" t="s">
        <v>18</v>
      </c>
      <c r="B2567">
        <f>AVERAGEIF(Sheet1!B:B, A2567, Sheet1!J:J)</f>
        <v>172.40416666666667</v>
      </c>
    </row>
    <row r="2568" spans="1:2" x14ac:dyDescent="0.3">
      <c r="A2568" t="s">
        <v>17</v>
      </c>
      <c r="B2568">
        <f>AVERAGEIF(Sheet1!B:B, A2568, Sheet1!J:J)</f>
        <v>98.8125</v>
      </c>
    </row>
    <row r="2569" spans="1:2" x14ac:dyDescent="0.3">
      <c r="A2569" t="s">
        <v>17</v>
      </c>
      <c r="B2569">
        <f>AVERAGEIF(Sheet1!B:B, A2569, Sheet1!J:J)</f>
        <v>98.8125</v>
      </c>
    </row>
    <row r="2570" spans="1:2" x14ac:dyDescent="0.3">
      <c r="A2570" t="s">
        <v>17</v>
      </c>
      <c r="B2570">
        <f>AVERAGEIF(Sheet1!B:B, A2570, Sheet1!J:J)</f>
        <v>98.8125</v>
      </c>
    </row>
    <row r="2571" spans="1:2" x14ac:dyDescent="0.3">
      <c r="A2571" t="s">
        <v>17</v>
      </c>
      <c r="B2571">
        <f>AVERAGEIF(Sheet1!B:B, A2571, Sheet1!J:J)</f>
        <v>98.8125</v>
      </c>
    </row>
    <row r="2572" spans="1:2" x14ac:dyDescent="0.3">
      <c r="A2572" t="s">
        <v>17</v>
      </c>
      <c r="B2572">
        <f>AVERAGEIF(Sheet1!B:B, A2572, Sheet1!J:J)</f>
        <v>98.8125</v>
      </c>
    </row>
    <row r="2573" spans="1:2" x14ac:dyDescent="0.3">
      <c r="A2573" t="s">
        <v>17</v>
      </c>
      <c r="B2573">
        <f>AVERAGEIF(Sheet1!B:B, A2573, Sheet1!J:J)</f>
        <v>98.8125</v>
      </c>
    </row>
    <row r="2574" spans="1:2" x14ac:dyDescent="0.3">
      <c r="A2574" t="s">
        <v>17</v>
      </c>
      <c r="B2574">
        <f>AVERAGEIF(Sheet1!B:B, A2574, Sheet1!J:J)</f>
        <v>98.8125</v>
      </c>
    </row>
    <row r="2575" spans="1:2" x14ac:dyDescent="0.3">
      <c r="A2575" t="s">
        <v>16</v>
      </c>
      <c r="B2575">
        <f>AVERAGEIF(Sheet1!B:B, A2575, Sheet1!J:J)</f>
        <v>79.902439024390247</v>
      </c>
    </row>
    <row r="2576" spans="1:2" x14ac:dyDescent="0.3">
      <c r="A2576" t="s">
        <v>16</v>
      </c>
      <c r="B2576">
        <f>AVERAGEIF(Sheet1!B:B, A2576, Sheet1!J:J)</f>
        <v>79.902439024390247</v>
      </c>
    </row>
    <row r="2577" spans="1:2" x14ac:dyDescent="0.3">
      <c r="A2577" t="s">
        <v>16</v>
      </c>
      <c r="B2577">
        <f>AVERAGEIF(Sheet1!B:B, A2577, Sheet1!J:J)</f>
        <v>79.902439024390247</v>
      </c>
    </row>
    <row r="2578" spans="1:2" x14ac:dyDescent="0.3">
      <c r="A2578" t="s">
        <v>16</v>
      </c>
      <c r="B2578">
        <f>AVERAGEIF(Sheet1!B:B, A2578, Sheet1!J:J)</f>
        <v>79.902439024390247</v>
      </c>
    </row>
    <row r="2579" spans="1:2" x14ac:dyDescent="0.3">
      <c r="A2579" t="s">
        <v>18</v>
      </c>
      <c r="B2579">
        <f>AVERAGEIF(Sheet1!B:B, A2579, Sheet1!J:J)</f>
        <v>172.40416666666667</v>
      </c>
    </row>
    <row r="2580" spans="1:2" x14ac:dyDescent="0.3">
      <c r="A2580" t="s">
        <v>18</v>
      </c>
      <c r="B2580">
        <f>AVERAGEIF(Sheet1!B:B, A2580, Sheet1!J:J)</f>
        <v>172.40416666666667</v>
      </c>
    </row>
    <row r="2581" spans="1:2" x14ac:dyDescent="0.3">
      <c r="A2581" t="s">
        <v>18</v>
      </c>
      <c r="B2581">
        <f>AVERAGEIF(Sheet1!B:B, A2581, Sheet1!J:J)</f>
        <v>172.40416666666667</v>
      </c>
    </row>
    <row r="2582" spans="1:2" x14ac:dyDescent="0.3">
      <c r="A2582" t="s">
        <v>18</v>
      </c>
      <c r="B2582">
        <f>AVERAGEIF(Sheet1!B:B, A2582, Sheet1!J:J)</f>
        <v>172.40416666666667</v>
      </c>
    </row>
    <row r="2583" spans="1:2" x14ac:dyDescent="0.3">
      <c r="A2583" t="s">
        <v>18</v>
      </c>
      <c r="B2583">
        <f>AVERAGEIF(Sheet1!B:B, A2583, Sheet1!J:J)</f>
        <v>172.40416666666667</v>
      </c>
    </row>
    <row r="2584" spans="1:2" x14ac:dyDescent="0.3">
      <c r="A2584" t="s">
        <v>18</v>
      </c>
      <c r="B2584">
        <f>AVERAGEIF(Sheet1!B:B, A2584, Sheet1!J:J)</f>
        <v>172.40416666666667</v>
      </c>
    </row>
    <row r="2585" spans="1:2" x14ac:dyDescent="0.3">
      <c r="A2585" t="s">
        <v>18</v>
      </c>
      <c r="B2585">
        <f>AVERAGEIF(Sheet1!B:B, A2585, Sheet1!J:J)</f>
        <v>172.40416666666667</v>
      </c>
    </row>
    <row r="2586" spans="1:2" x14ac:dyDescent="0.3">
      <c r="A2586" t="s">
        <v>16</v>
      </c>
      <c r="B2586">
        <f>AVERAGEIF(Sheet1!B:B, A2586, Sheet1!J:J)</f>
        <v>79.902439024390247</v>
      </c>
    </row>
    <row r="2587" spans="1:2" x14ac:dyDescent="0.3">
      <c r="A2587" t="s">
        <v>16</v>
      </c>
      <c r="B2587">
        <f>AVERAGEIF(Sheet1!B:B, A2587, Sheet1!J:J)</f>
        <v>79.902439024390247</v>
      </c>
    </row>
    <row r="2588" spans="1:2" x14ac:dyDescent="0.3">
      <c r="A2588" t="s">
        <v>16</v>
      </c>
      <c r="B2588">
        <f>AVERAGEIF(Sheet1!B:B, A2588, Sheet1!J:J)</f>
        <v>79.902439024390247</v>
      </c>
    </row>
    <row r="2589" spans="1:2" x14ac:dyDescent="0.3">
      <c r="A2589" t="s">
        <v>16</v>
      </c>
      <c r="B2589">
        <f>AVERAGEIF(Sheet1!B:B, A2589, Sheet1!J:J)</f>
        <v>79.902439024390247</v>
      </c>
    </row>
    <row r="2590" spans="1:2" x14ac:dyDescent="0.3">
      <c r="A2590" t="s">
        <v>16</v>
      </c>
      <c r="B2590">
        <f>AVERAGEIF(Sheet1!B:B, A2590, Sheet1!J:J)</f>
        <v>79.902439024390247</v>
      </c>
    </row>
    <row r="2591" spans="1:2" x14ac:dyDescent="0.3">
      <c r="A2591" t="s">
        <v>13</v>
      </c>
      <c r="B2591">
        <f>AVERAGEIF(Sheet1!B:B, A2591, Sheet1!J:J)</f>
        <v>89.015706806282722</v>
      </c>
    </row>
    <row r="2592" spans="1:2" x14ac:dyDescent="0.3">
      <c r="A2592" t="s">
        <v>13</v>
      </c>
      <c r="B2592">
        <f>AVERAGEIF(Sheet1!B:B, A2592, Sheet1!J:J)</f>
        <v>89.015706806282722</v>
      </c>
    </row>
    <row r="2593" spans="1:2" x14ac:dyDescent="0.3">
      <c r="A2593" t="s">
        <v>17</v>
      </c>
      <c r="B2593">
        <f>AVERAGEIF(Sheet1!B:B, A2593, Sheet1!J:J)</f>
        <v>98.8125</v>
      </c>
    </row>
    <row r="2594" spans="1:2" x14ac:dyDescent="0.3">
      <c r="A2594" t="s">
        <v>17</v>
      </c>
      <c r="B2594">
        <f>AVERAGEIF(Sheet1!B:B, A2594, Sheet1!J:J)</f>
        <v>98.8125</v>
      </c>
    </row>
    <row r="2595" spans="1:2" x14ac:dyDescent="0.3">
      <c r="A2595" t="s">
        <v>17</v>
      </c>
      <c r="B2595">
        <f>AVERAGEIF(Sheet1!B:B, A2595, Sheet1!J:J)</f>
        <v>98.8125</v>
      </c>
    </row>
    <row r="2596" spans="1:2" x14ac:dyDescent="0.3">
      <c r="A2596" t="s">
        <v>16</v>
      </c>
      <c r="B2596">
        <f>AVERAGEIF(Sheet1!B:B, A2596, Sheet1!J:J)</f>
        <v>79.902439024390247</v>
      </c>
    </row>
    <row r="2597" spans="1:2" x14ac:dyDescent="0.3">
      <c r="A2597" t="s">
        <v>16</v>
      </c>
      <c r="B2597">
        <f>AVERAGEIF(Sheet1!B:B, A2597, Sheet1!J:J)</f>
        <v>79.902439024390247</v>
      </c>
    </row>
    <row r="2598" spans="1:2" x14ac:dyDescent="0.3">
      <c r="A2598" t="s">
        <v>16</v>
      </c>
      <c r="B2598">
        <f>AVERAGEIF(Sheet1!B:B, A2598, Sheet1!J:J)</f>
        <v>79.902439024390247</v>
      </c>
    </row>
    <row r="2599" spans="1:2" x14ac:dyDescent="0.3">
      <c r="A2599" t="s">
        <v>16</v>
      </c>
      <c r="B2599">
        <f>AVERAGEIF(Sheet1!B:B, A2599, Sheet1!J:J)</f>
        <v>79.902439024390247</v>
      </c>
    </row>
    <row r="2600" spans="1:2" x14ac:dyDescent="0.3">
      <c r="A2600" t="s">
        <v>16</v>
      </c>
      <c r="B2600">
        <f>AVERAGEIF(Sheet1!B:B, A2600, Sheet1!J:J)</f>
        <v>79.902439024390247</v>
      </c>
    </row>
    <row r="2601" spans="1:2" x14ac:dyDescent="0.3">
      <c r="A2601" t="s">
        <v>16</v>
      </c>
      <c r="B2601">
        <f>AVERAGEIF(Sheet1!B:B, A2601, Sheet1!J:J)</f>
        <v>79.902439024390247</v>
      </c>
    </row>
    <row r="2602" spans="1:2" x14ac:dyDescent="0.3">
      <c r="A2602" t="s">
        <v>16</v>
      </c>
      <c r="B2602">
        <f>AVERAGEIF(Sheet1!B:B, A2602, Sheet1!J:J)</f>
        <v>79.902439024390247</v>
      </c>
    </row>
    <row r="2603" spans="1:2" x14ac:dyDescent="0.3">
      <c r="A2603" t="s">
        <v>16</v>
      </c>
      <c r="B2603">
        <f>AVERAGEIF(Sheet1!B:B, A2603, Sheet1!J:J)</f>
        <v>79.902439024390247</v>
      </c>
    </row>
    <row r="2604" spans="1:2" x14ac:dyDescent="0.3">
      <c r="A2604" t="s">
        <v>16</v>
      </c>
      <c r="B2604">
        <f>AVERAGEIF(Sheet1!B:B, A2604, Sheet1!J:J)</f>
        <v>79.902439024390247</v>
      </c>
    </row>
    <row r="2605" spans="1:2" x14ac:dyDescent="0.3">
      <c r="A2605" t="s">
        <v>16</v>
      </c>
      <c r="B2605">
        <f>AVERAGEIF(Sheet1!B:B, A2605, Sheet1!J:J)</f>
        <v>79.902439024390247</v>
      </c>
    </row>
    <row r="2606" spans="1:2" x14ac:dyDescent="0.3">
      <c r="A2606" t="s">
        <v>18</v>
      </c>
      <c r="B2606">
        <f>AVERAGEIF(Sheet1!B:B, A2606, Sheet1!J:J)</f>
        <v>172.40416666666667</v>
      </c>
    </row>
    <row r="2607" spans="1:2" x14ac:dyDescent="0.3">
      <c r="A2607" t="s">
        <v>18</v>
      </c>
      <c r="B2607">
        <f>AVERAGEIF(Sheet1!B:B, A2607, Sheet1!J:J)</f>
        <v>172.40416666666667</v>
      </c>
    </row>
    <row r="2608" spans="1:2" x14ac:dyDescent="0.3">
      <c r="A2608" t="s">
        <v>18</v>
      </c>
      <c r="B2608">
        <f>AVERAGEIF(Sheet1!B:B, A2608, Sheet1!J:J)</f>
        <v>172.40416666666667</v>
      </c>
    </row>
    <row r="2609" spans="1:2" x14ac:dyDescent="0.3">
      <c r="A2609" t="s">
        <v>18</v>
      </c>
      <c r="B2609">
        <f>AVERAGEIF(Sheet1!B:B, A2609, Sheet1!J:J)</f>
        <v>172.40416666666667</v>
      </c>
    </row>
    <row r="2610" spans="1:2" x14ac:dyDescent="0.3">
      <c r="A2610" t="s">
        <v>18</v>
      </c>
      <c r="B2610">
        <f>AVERAGEIF(Sheet1!B:B, A2610, Sheet1!J:J)</f>
        <v>172.40416666666667</v>
      </c>
    </row>
    <row r="2611" spans="1:2" x14ac:dyDescent="0.3">
      <c r="A2611" t="s">
        <v>18</v>
      </c>
      <c r="B2611">
        <f>AVERAGEIF(Sheet1!B:B, A2611, Sheet1!J:J)</f>
        <v>172.40416666666667</v>
      </c>
    </row>
    <row r="2612" spans="1:2" x14ac:dyDescent="0.3">
      <c r="A2612" t="s">
        <v>18</v>
      </c>
      <c r="B2612">
        <f>AVERAGEIF(Sheet1!B:B, A2612, Sheet1!J:J)</f>
        <v>172.40416666666667</v>
      </c>
    </row>
    <row r="2613" spans="1:2" x14ac:dyDescent="0.3">
      <c r="A2613" t="s">
        <v>18</v>
      </c>
      <c r="B2613">
        <f>AVERAGEIF(Sheet1!B:B, A2613, Sheet1!J:J)</f>
        <v>172.40416666666667</v>
      </c>
    </row>
    <row r="2614" spans="1:2" x14ac:dyDescent="0.3">
      <c r="A2614" t="s">
        <v>18</v>
      </c>
      <c r="B2614">
        <f>AVERAGEIF(Sheet1!B:B, A2614, Sheet1!J:J)</f>
        <v>172.40416666666667</v>
      </c>
    </row>
    <row r="2615" spans="1:2" x14ac:dyDescent="0.3">
      <c r="A2615" t="s">
        <v>18</v>
      </c>
      <c r="B2615">
        <f>AVERAGEIF(Sheet1!B:B, A2615, Sheet1!J:J)</f>
        <v>172.40416666666667</v>
      </c>
    </row>
    <row r="2616" spans="1:2" x14ac:dyDescent="0.3">
      <c r="A2616" t="s">
        <v>18</v>
      </c>
      <c r="B2616">
        <f>AVERAGEIF(Sheet1!B:B, A2616, Sheet1!J:J)</f>
        <v>172.40416666666667</v>
      </c>
    </row>
    <row r="2617" spans="1:2" x14ac:dyDescent="0.3">
      <c r="A2617" t="s">
        <v>18</v>
      </c>
      <c r="B2617">
        <f>AVERAGEIF(Sheet1!B:B, A2617, Sheet1!J:J)</f>
        <v>172.40416666666667</v>
      </c>
    </row>
    <row r="2618" spans="1:2" x14ac:dyDescent="0.3">
      <c r="A2618" t="s">
        <v>18</v>
      </c>
      <c r="B2618">
        <f>AVERAGEIF(Sheet1!B:B, A2618, Sheet1!J:J)</f>
        <v>172.40416666666667</v>
      </c>
    </row>
    <row r="2619" spans="1:2" x14ac:dyDescent="0.3">
      <c r="A2619" t="s">
        <v>18</v>
      </c>
      <c r="B2619">
        <f>AVERAGEIF(Sheet1!B:B, A2619, Sheet1!J:J)</f>
        <v>172.40416666666667</v>
      </c>
    </row>
    <row r="2620" spans="1:2" x14ac:dyDescent="0.3">
      <c r="A2620" t="s">
        <v>18</v>
      </c>
      <c r="B2620">
        <f>AVERAGEIF(Sheet1!B:B, A2620, Sheet1!J:J)</f>
        <v>172.40416666666667</v>
      </c>
    </row>
    <row r="2621" spans="1:2" x14ac:dyDescent="0.3">
      <c r="A2621" t="s">
        <v>18</v>
      </c>
      <c r="B2621">
        <f>AVERAGEIF(Sheet1!B:B, A2621, Sheet1!J:J)</f>
        <v>172.40416666666667</v>
      </c>
    </row>
    <row r="2622" spans="1:2" x14ac:dyDescent="0.3">
      <c r="A2622" t="s">
        <v>18</v>
      </c>
      <c r="B2622">
        <f>AVERAGEIF(Sheet1!B:B, A2622, Sheet1!J:J)</f>
        <v>172.40416666666667</v>
      </c>
    </row>
    <row r="2623" spans="1:2" x14ac:dyDescent="0.3">
      <c r="A2623" t="s">
        <v>18</v>
      </c>
      <c r="B2623">
        <f>AVERAGEIF(Sheet1!B:B, A2623, Sheet1!J:J)</f>
        <v>172.40416666666667</v>
      </c>
    </row>
    <row r="2624" spans="1:2" x14ac:dyDescent="0.3">
      <c r="A2624" t="s">
        <v>18</v>
      </c>
      <c r="B2624">
        <f>AVERAGEIF(Sheet1!B:B, A2624, Sheet1!J:J)</f>
        <v>172.40416666666667</v>
      </c>
    </row>
    <row r="2625" spans="1:2" x14ac:dyDescent="0.3">
      <c r="A2625" t="s">
        <v>18</v>
      </c>
      <c r="B2625">
        <f>AVERAGEIF(Sheet1!B:B, A2625, Sheet1!J:J)</f>
        <v>172.40416666666667</v>
      </c>
    </row>
    <row r="2626" spans="1:2" x14ac:dyDescent="0.3">
      <c r="A2626" t="s">
        <v>18</v>
      </c>
      <c r="B2626">
        <f>AVERAGEIF(Sheet1!B:B, A2626, Sheet1!J:J)</f>
        <v>172.40416666666667</v>
      </c>
    </row>
    <row r="2627" spans="1:2" x14ac:dyDescent="0.3">
      <c r="A2627" t="s">
        <v>18</v>
      </c>
      <c r="B2627">
        <f>AVERAGEIF(Sheet1!B:B, A2627, Sheet1!J:J)</f>
        <v>172.40416666666667</v>
      </c>
    </row>
    <row r="2628" spans="1:2" x14ac:dyDescent="0.3">
      <c r="A2628" t="s">
        <v>18</v>
      </c>
      <c r="B2628">
        <f>AVERAGEIF(Sheet1!B:B, A2628, Sheet1!J:J)</f>
        <v>172.40416666666667</v>
      </c>
    </row>
    <row r="2629" spans="1:2" x14ac:dyDescent="0.3">
      <c r="A2629" t="s">
        <v>18</v>
      </c>
      <c r="B2629">
        <f>AVERAGEIF(Sheet1!B:B, A2629, Sheet1!J:J)</f>
        <v>172.40416666666667</v>
      </c>
    </row>
    <row r="2630" spans="1:2" x14ac:dyDescent="0.3">
      <c r="A2630" t="s">
        <v>18</v>
      </c>
      <c r="B2630">
        <f>AVERAGEIF(Sheet1!B:B, A2630, Sheet1!J:J)</f>
        <v>172.40416666666667</v>
      </c>
    </row>
    <row r="2631" spans="1:2" x14ac:dyDescent="0.3">
      <c r="A2631" t="s">
        <v>18</v>
      </c>
      <c r="B2631">
        <f>AVERAGEIF(Sheet1!B:B, A2631, Sheet1!J:J)</f>
        <v>172.40416666666667</v>
      </c>
    </row>
    <row r="2632" spans="1:2" x14ac:dyDescent="0.3">
      <c r="A2632" t="s">
        <v>18</v>
      </c>
      <c r="B2632">
        <f>AVERAGEIF(Sheet1!B:B, A2632, Sheet1!J:J)</f>
        <v>172.40416666666667</v>
      </c>
    </row>
    <row r="2633" spans="1:2" x14ac:dyDescent="0.3">
      <c r="A2633" t="s">
        <v>18</v>
      </c>
      <c r="B2633">
        <f>AVERAGEIF(Sheet1!B:B, A2633, Sheet1!J:J)</f>
        <v>172.40416666666667</v>
      </c>
    </row>
    <row r="2634" spans="1:2" x14ac:dyDescent="0.3">
      <c r="A2634" t="s">
        <v>18</v>
      </c>
      <c r="B2634">
        <f>AVERAGEIF(Sheet1!B:B, A2634, Sheet1!J:J)</f>
        <v>172.40416666666667</v>
      </c>
    </row>
    <row r="2635" spans="1:2" x14ac:dyDescent="0.3">
      <c r="A2635" t="s">
        <v>18</v>
      </c>
      <c r="B2635">
        <f>AVERAGEIF(Sheet1!B:B, A2635, Sheet1!J:J)</f>
        <v>172.40416666666667</v>
      </c>
    </row>
    <row r="2636" spans="1:2" x14ac:dyDescent="0.3">
      <c r="A2636" t="s">
        <v>18</v>
      </c>
      <c r="B2636">
        <f>AVERAGEIF(Sheet1!B:B, A2636, Sheet1!J:J)</f>
        <v>172.40416666666667</v>
      </c>
    </row>
    <row r="2637" spans="1:2" x14ac:dyDescent="0.3">
      <c r="A2637" t="s">
        <v>18</v>
      </c>
      <c r="B2637">
        <f>AVERAGEIF(Sheet1!B:B, A2637, Sheet1!J:J)</f>
        <v>172.40416666666667</v>
      </c>
    </row>
    <row r="2638" spans="1:2" x14ac:dyDescent="0.3">
      <c r="A2638" t="s">
        <v>18</v>
      </c>
      <c r="B2638">
        <f>AVERAGEIF(Sheet1!B:B, A2638, Sheet1!J:J)</f>
        <v>172.40416666666667</v>
      </c>
    </row>
    <row r="2639" spans="1:2" x14ac:dyDescent="0.3">
      <c r="A2639" t="s">
        <v>18</v>
      </c>
      <c r="B2639">
        <f>AVERAGEIF(Sheet1!B:B, A2639, Sheet1!J:J)</f>
        <v>172.40416666666667</v>
      </c>
    </row>
    <row r="2640" spans="1:2" x14ac:dyDescent="0.3">
      <c r="A2640" t="s">
        <v>18</v>
      </c>
      <c r="B2640">
        <f>AVERAGEIF(Sheet1!B:B, A2640, Sheet1!J:J)</f>
        <v>172.40416666666667</v>
      </c>
    </row>
    <row r="2641" spans="1:2" x14ac:dyDescent="0.3">
      <c r="A2641" t="s">
        <v>18</v>
      </c>
      <c r="B2641">
        <f>AVERAGEIF(Sheet1!B:B, A2641, Sheet1!J:J)</f>
        <v>172.40416666666667</v>
      </c>
    </row>
    <row r="2642" spans="1:2" x14ac:dyDescent="0.3">
      <c r="A2642" t="s">
        <v>18</v>
      </c>
      <c r="B2642">
        <f>AVERAGEIF(Sheet1!B:B, A2642, Sheet1!J:J)</f>
        <v>172.40416666666667</v>
      </c>
    </row>
    <row r="2643" spans="1:2" x14ac:dyDescent="0.3">
      <c r="A2643" t="s">
        <v>18</v>
      </c>
      <c r="B2643">
        <f>AVERAGEIF(Sheet1!B:B, A2643, Sheet1!J:J)</f>
        <v>172.40416666666667</v>
      </c>
    </row>
    <row r="2644" spans="1:2" x14ac:dyDescent="0.3">
      <c r="A2644" t="s">
        <v>18</v>
      </c>
      <c r="B2644">
        <f>AVERAGEIF(Sheet1!B:B, A2644, Sheet1!J:J)</f>
        <v>172.40416666666667</v>
      </c>
    </row>
    <row r="2645" spans="1:2" x14ac:dyDescent="0.3">
      <c r="A2645" t="s">
        <v>18</v>
      </c>
      <c r="B2645">
        <f>AVERAGEIF(Sheet1!B:B, A2645, Sheet1!J:J)</f>
        <v>172.40416666666667</v>
      </c>
    </row>
    <row r="2646" spans="1:2" x14ac:dyDescent="0.3">
      <c r="A2646" t="s">
        <v>19</v>
      </c>
      <c r="B2646">
        <f>AVERAGEIF(Sheet1!B:B, A2646, Sheet1!J:J)</f>
        <v>103.86734693877551</v>
      </c>
    </row>
    <row r="2647" spans="1:2" x14ac:dyDescent="0.3">
      <c r="A2647" t="s">
        <v>18</v>
      </c>
      <c r="B2647">
        <f>AVERAGEIF(Sheet1!B:B, A2647, Sheet1!J:J)</f>
        <v>172.40416666666667</v>
      </c>
    </row>
    <row r="2648" spans="1:2" x14ac:dyDescent="0.3">
      <c r="A2648" t="s">
        <v>22</v>
      </c>
      <c r="B2648">
        <f>AVERAGEIF(Sheet1!B:B, A2648, Sheet1!J:J)</f>
        <v>40.497326203208559</v>
      </c>
    </row>
    <row r="2649" spans="1:2" x14ac:dyDescent="0.3">
      <c r="A2649" t="s">
        <v>22</v>
      </c>
      <c r="B2649">
        <f>AVERAGEIF(Sheet1!B:B, A2649, Sheet1!J:J)</f>
        <v>40.497326203208559</v>
      </c>
    </row>
    <row r="2650" spans="1:2" x14ac:dyDescent="0.3">
      <c r="A2650" t="s">
        <v>22</v>
      </c>
      <c r="B2650">
        <f>AVERAGEIF(Sheet1!B:B, A2650, Sheet1!J:J)</f>
        <v>40.497326203208559</v>
      </c>
    </row>
    <row r="2651" spans="1:2" x14ac:dyDescent="0.3">
      <c r="A2651" t="s">
        <v>22</v>
      </c>
      <c r="B2651">
        <f>AVERAGEIF(Sheet1!B:B, A2651, Sheet1!J:J)</f>
        <v>40.497326203208559</v>
      </c>
    </row>
    <row r="2652" spans="1:2" x14ac:dyDescent="0.3">
      <c r="A2652" t="s">
        <v>22</v>
      </c>
      <c r="B2652">
        <f>AVERAGEIF(Sheet1!B:B, A2652, Sheet1!J:J)</f>
        <v>40.497326203208559</v>
      </c>
    </row>
    <row r="2653" spans="1:2" x14ac:dyDescent="0.3">
      <c r="A2653" t="s">
        <v>22</v>
      </c>
      <c r="B2653">
        <f>AVERAGEIF(Sheet1!B:B, A2653, Sheet1!J:J)</f>
        <v>40.497326203208559</v>
      </c>
    </row>
    <row r="2654" spans="1:2" x14ac:dyDescent="0.3">
      <c r="A2654" t="s">
        <v>22</v>
      </c>
      <c r="B2654">
        <f>AVERAGEIF(Sheet1!B:B, A2654, Sheet1!J:J)</f>
        <v>40.497326203208559</v>
      </c>
    </row>
    <row r="2655" spans="1:2" x14ac:dyDescent="0.3">
      <c r="A2655" t="s">
        <v>22</v>
      </c>
      <c r="B2655">
        <f>AVERAGEIF(Sheet1!B:B, A2655, Sheet1!J:J)</f>
        <v>40.497326203208559</v>
      </c>
    </row>
    <row r="2656" spans="1:2" x14ac:dyDescent="0.3">
      <c r="A2656" t="s">
        <v>22</v>
      </c>
      <c r="B2656">
        <f>AVERAGEIF(Sheet1!B:B, A2656, Sheet1!J:J)</f>
        <v>40.497326203208559</v>
      </c>
    </row>
    <row r="2657" spans="1:2" x14ac:dyDescent="0.3">
      <c r="A2657" t="s">
        <v>22</v>
      </c>
      <c r="B2657">
        <f>AVERAGEIF(Sheet1!B:B, A2657, Sheet1!J:J)</f>
        <v>40.497326203208559</v>
      </c>
    </row>
    <row r="2658" spans="1:2" x14ac:dyDescent="0.3">
      <c r="A2658" t="s">
        <v>22</v>
      </c>
      <c r="B2658">
        <f>AVERAGEIF(Sheet1!B:B, A2658, Sheet1!J:J)</f>
        <v>40.497326203208559</v>
      </c>
    </row>
    <row r="2659" spans="1:2" x14ac:dyDescent="0.3">
      <c r="A2659" t="s">
        <v>22</v>
      </c>
      <c r="B2659">
        <f>AVERAGEIF(Sheet1!B:B, A2659, Sheet1!J:J)</f>
        <v>40.497326203208559</v>
      </c>
    </row>
    <row r="2660" spans="1:2" x14ac:dyDescent="0.3">
      <c r="A2660" t="s">
        <v>22</v>
      </c>
      <c r="B2660">
        <f>AVERAGEIF(Sheet1!B:B, A2660, Sheet1!J:J)</f>
        <v>40.497326203208559</v>
      </c>
    </row>
    <row r="2661" spans="1:2" x14ac:dyDescent="0.3">
      <c r="A2661" t="s">
        <v>22</v>
      </c>
      <c r="B2661">
        <f>AVERAGEIF(Sheet1!B:B, A2661, Sheet1!J:J)</f>
        <v>40.497326203208559</v>
      </c>
    </row>
    <row r="2662" spans="1:2" x14ac:dyDescent="0.3">
      <c r="A2662" t="s">
        <v>19</v>
      </c>
      <c r="B2662">
        <f>AVERAGEIF(Sheet1!B:B, A2662, Sheet1!J:J)</f>
        <v>103.86734693877551</v>
      </c>
    </row>
    <row r="2663" spans="1:2" x14ac:dyDescent="0.3">
      <c r="A2663" t="s">
        <v>19</v>
      </c>
      <c r="B2663">
        <f>AVERAGEIF(Sheet1!B:B, A2663, Sheet1!J:J)</f>
        <v>103.86734693877551</v>
      </c>
    </row>
    <row r="2664" spans="1:2" x14ac:dyDescent="0.3">
      <c r="A2664" t="s">
        <v>19</v>
      </c>
      <c r="B2664">
        <f>AVERAGEIF(Sheet1!B:B, A2664, Sheet1!J:J)</f>
        <v>103.86734693877551</v>
      </c>
    </row>
    <row r="2665" spans="1:2" x14ac:dyDescent="0.3">
      <c r="A2665" t="s">
        <v>19</v>
      </c>
      <c r="B2665">
        <f>AVERAGEIF(Sheet1!B:B, A2665, Sheet1!J:J)</f>
        <v>103.86734693877551</v>
      </c>
    </row>
    <row r="2666" spans="1:2" x14ac:dyDescent="0.3">
      <c r="A2666" t="s">
        <v>23</v>
      </c>
      <c r="B2666">
        <f>AVERAGEIF(Sheet1!B:B, A2666, Sheet1!J:J)</f>
        <v>100.58333333333333</v>
      </c>
    </row>
    <row r="2667" spans="1:2" x14ac:dyDescent="0.3">
      <c r="A2667" t="s">
        <v>23</v>
      </c>
      <c r="B2667">
        <f>AVERAGEIF(Sheet1!B:B, A2667, Sheet1!J:J)</f>
        <v>100.58333333333333</v>
      </c>
    </row>
    <row r="2668" spans="1:2" x14ac:dyDescent="0.3">
      <c r="A2668" t="s">
        <v>19</v>
      </c>
      <c r="B2668">
        <f>AVERAGEIF(Sheet1!B:B, A2668, Sheet1!J:J)</f>
        <v>103.86734693877551</v>
      </c>
    </row>
    <row r="2669" spans="1:2" x14ac:dyDescent="0.3">
      <c r="A2669" t="s">
        <v>19</v>
      </c>
      <c r="B2669">
        <f>AVERAGEIF(Sheet1!B:B, A2669, Sheet1!J:J)</f>
        <v>103.86734693877551</v>
      </c>
    </row>
    <row r="2670" spans="1:2" x14ac:dyDescent="0.3">
      <c r="A2670" t="s">
        <v>19</v>
      </c>
      <c r="B2670">
        <f>AVERAGEIF(Sheet1!B:B, A2670, Sheet1!J:J)</f>
        <v>103.86734693877551</v>
      </c>
    </row>
    <row r="2671" spans="1:2" x14ac:dyDescent="0.3">
      <c r="A2671" t="s">
        <v>19</v>
      </c>
      <c r="B2671">
        <f>AVERAGEIF(Sheet1!B:B, A2671, Sheet1!J:J)</f>
        <v>103.86734693877551</v>
      </c>
    </row>
    <row r="2672" spans="1:2" x14ac:dyDescent="0.3">
      <c r="A2672" t="s">
        <v>19</v>
      </c>
      <c r="B2672">
        <f>AVERAGEIF(Sheet1!B:B, A2672, Sheet1!J:J)</f>
        <v>103.86734693877551</v>
      </c>
    </row>
    <row r="2673" spans="1:2" x14ac:dyDescent="0.3">
      <c r="A2673" t="s">
        <v>19</v>
      </c>
      <c r="B2673">
        <f>AVERAGEIF(Sheet1!B:B, A2673, Sheet1!J:J)</f>
        <v>103.86734693877551</v>
      </c>
    </row>
    <row r="2674" spans="1:2" x14ac:dyDescent="0.3">
      <c r="A2674" t="s">
        <v>19</v>
      </c>
      <c r="B2674">
        <f>AVERAGEIF(Sheet1!B:B, A2674, Sheet1!J:J)</f>
        <v>103.86734693877551</v>
      </c>
    </row>
    <row r="2675" spans="1:2" x14ac:dyDescent="0.3">
      <c r="A2675" t="s">
        <v>19</v>
      </c>
      <c r="B2675">
        <f>AVERAGEIF(Sheet1!B:B, A2675, Sheet1!J:J)</f>
        <v>103.86734693877551</v>
      </c>
    </row>
    <row r="2676" spans="1:2" x14ac:dyDescent="0.3">
      <c r="A2676" t="s">
        <v>19</v>
      </c>
      <c r="B2676">
        <f>AVERAGEIF(Sheet1!B:B, A2676, Sheet1!J:J)</f>
        <v>103.86734693877551</v>
      </c>
    </row>
    <row r="2677" spans="1:2" x14ac:dyDescent="0.3">
      <c r="A2677" t="s">
        <v>19</v>
      </c>
      <c r="B2677">
        <f>AVERAGEIF(Sheet1!B:B, A2677, Sheet1!J:J)</f>
        <v>103.86734693877551</v>
      </c>
    </row>
    <row r="2678" spans="1:2" x14ac:dyDescent="0.3">
      <c r="A2678" t="s">
        <v>22</v>
      </c>
      <c r="B2678">
        <f>AVERAGEIF(Sheet1!B:B, A2678, Sheet1!J:J)</f>
        <v>40.497326203208559</v>
      </c>
    </row>
    <row r="2679" spans="1:2" x14ac:dyDescent="0.3">
      <c r="A2679" t="s">
        <v>22</v>
      </c>
      <c r="B2679">
        <f>AVERAGEIF(Sheet1!B:B, A2679, Sheet1!J:J)</f>
        <v>40.497326203208559</v>
      </c>
    </row>
    <row r="2680" spans="1:2" x14ac:dyDescent="0.3">
      <c r="A2680" t="s">
        <v>22</v>
      </c>
      <c r="B2680">
        <f>AVERAGEIF(Sheet1!B:B, A2680, Sheet1!J:J)</f>
        <v>40.497326203208559</v>
      </c>
    </row>
    <row r="2681" spans="1:2" x14ac:dyDescent="0.3">
      <c r="A2681" t="s">
        <v>22</v>
      </c>
      <c r="B2681">
        <f>AVERAGEIF(Sheet1!B:B, A2681, Sheet1!J:J)</f>
        <v>40.497326203208559</v>
      </c>
    </row>
    <row r="2682" spans="1:2" x14ac:dyDescent="0.3">
      <c r="A2682" t="s">
        <v>22</v>
      </c>
      <c r="B2682">
        <f>AVERAGEIF(Sheet1!B:B, A2682, Sheet1!J:J)</f>
        <v>40.497326203208559</v>
      </c>
    </row>
    <row r="2683" spans="1:2" x14ac:dyDescent="0.3">
      <c r="A2683" t="s">
        <v>19</v>
      </c>
      <c r="B2683">
        <f>AVERAGEIF(Sheet1!B:B, A2683, Sheet1!J:J)</f>
        <v>103.86734693877551</v>
      </c>
    </row>
    <row r="2684" spans="1:2" x14ac:dyDescent="0.3">
      <c r="A2684" t="s">
        <v>19</v>
      </c>
      <c r="B2684">
        <f>AVERAGEIF(Sheet1!B:B, A2684, Sheet1!J:J)</f>
        <v>103.86734693877551</v>
      </c>
    </row>
    <row r="2685" spans="1:2" x14ac:dyDescent="0.3">
      <c r="A2685" t="s">
        <v>19</v>
      </c>
      <c r="B2685">
        <f>AVERAGEIF(Sheet1!B:B, A2685, Sheet1!J:J)</f>
        <v>103.86734693877551</v>
      </c>
    </row>
    <row r="2686" spans="1:2" x14ac:dyDescent="0.3">
      <c r="A2686" t="s">
        <v>19</v>
      </c>
      <c r="B2686">
        <f>AVERAGEIF(Sheet1!B:B, A2686, Sheet1!J:J)</f>
        <v>103.86734693877551</v>
      </c>
    </row>
    <row r="2687" spans="1:2" x14ac:dyDescent="0.3">
      <c r="A2687" t="s">
        <v>22</v>
      </c>
      <c r="B2687">
        <f>AVERAGEIF(Sheet1!B:B, A2687, Sheet1!J:J)</f>
        <v>40.497326203208559</v>
      </c>
    </row>
    <row r="2688" spans="1:2" x14ac:dyDescent="0.3">
      <c r="A2688" t="s">
        <v>22</v>
      </c>
      <c r="B2688">
        <f>AVERAGEIF(Sheet1!B:B, A2688, Sheet1!J:J)</f>
        <v>40.497326203208559</v>
      </c>
    </row>
    <row r="2689" spans="1:2" x14ac:dyDescent="0.3">
      <c r="A2689" t="s">
        <v>22</v>
      </c>
      <c r="B2689">
        <f>AVERAGEIF(Sheet1!B:B, A2689, Sheet1!J:J)</f>
        <v>40.497326203208559</v>
      </c>
    </row>
    <row r="2690" spans="1:2" x14ac:dyDescent="0.3">
      <c r="A2690" t="s">
        <v>25</v>
      </c>
      <c r="B2690">
        <f>AVERAGEIF(Sheet1!B:B, A2690, Sheet1!J:J)</f>
        <v>107.49685534591195</v>
      </c>
    </row>
    <row r="2691" spans="1:2" x14ac:dyDescent="0.3">
      <c r="A2691" t="s">
        <v>25</v>
      </c>
      <c r="B2691">
        <f>AVERAGEIF(Sheet1!B:B, A2691, Sheet1!J:J)</f>
        <v>107.49685534591195</v>
      </c>
    </row>
    <row r="2692" spans="1:2" x14ac:dyDescent="0.3">
      <c r="A2692" t="s">
        <v>25</v>
      </c>
      <c r="B2692">
        <f>AVERAGEIF(Sheet1!B:B, A2692, Sheet1!J:J)</f>
        <v>107.49685534591195</v>
      </c>
    </row>
    <row r="2693" spans="1:2" x14ac:dyDescent="0.3">
      <c r="A2693" t="s">
        <v>25</v>
      </c>
      <c r="B2693">
        <f>AVERAGEIF(Sheet1!B:B, A2693, Sheet1!J:J)</f>
        <v>107.49685534591195</v>
      </c>
    </row>
    <row r="2694" spans="1:2" x14ac:dyDescent="0.3">
      <c r="A2694" t="s">
        <v>25</v>
      </c>
      <c r="B2694">
        <f>AVERAGEIF(Sheet1!B:B, A2694, Sheet1!J:J)</f>
        <v>107.49685534591195</v>
      </c>
    </row>
    <row r="2695" spans="1:2" x14ac:dyDescent="0.3">
      <c r="A2695" t="s">
        <v>25</v>
      </c>
      <c r="B2695">
        <f>AVERAGEIF(Sheet1!B:B, A2695, Sheet1!J:J)</f>
        <v>107.49685534591195</v>
      </c>
    </row>
    <row r="2696" spans="1:2" x14ac:dyDescent="0.3">
      <c r="A2696" t="s">
        <v>25</v>
      </c>
      <c r="B2696">
        <f>AVERAGEIF(Sheet1!B:B, A2696, Sheet1!J:J)</f>
        <v>107.49685534591195</v>
      </c>
    </row>
    <row r="2697" spans="1:2" x14ac:dyDescent="0.3">
      <c r="A2697" t="s">
        <v>25</v>
      </c>
      <c r="B2697">
        <f>AVERAGEIF(Sheet1!B:B, A2697, Sheet1!J:J)</f>
        <v>107.49685534591195</v>
      </c>
    </row>
    <row r="2698" spans="1:2" x14ac:dyDescent="0.3">
      <c r="A2698" t="s">
        <v>24</v>
      </c>
      <c r="B2698">
        <f>AVERAGEIF(Sheet1!B:B, A2698, Sheet1!J:J)</f>
        <v>29.818181818181817</v>
      </c>
    </row>
    <row r="2699" spans="1:2" x14ac:dyDescent="0.3">
      <c r="A2699" t="s">
        <v>24</v>
      </c>
      <c r="B2699">
        <f>AVERAGEIF(Sheet1!B:B, A2699, Sheet1!J:J)</f>
        <v>29.818181818181817</v>
      </c>
    </row>
    <row r="2700" spans="1:2" x14ac:dyDescent="0.3">
      <c r="A2700" t="s">
        <v>25</v>
      </c>
      <c r="B2700">
        <f>AVERAGEIF(Sheet1!B:B, A2700, Sheet1!J:J)</f>
        <v>107.49685534591195</v>
      </c>
    </row>
    <row r="2701" spans="1:2" x14ac:dyDescent="0.3">
      <c r="A2701" t="s">
        <v>25</v>
      </c>
      <c r="B2701">
        <f>AVERAGEIF(Sheet1!B:B, A2701, Sheet1!J:J)</f>
        <v>107.49685534591195</v>
      </c>
    </row>
    <row r="2702" spans="1:2" x14ac:dyDescent="0.3">
      <c r="A2702" t="s">
        <v>25</v>
      </c>
      <c r="B2702">
        <f>AVERAGEIF(Sheet1!B:B, A2702, Sheet1!J:J)</f>
        <v>107.49685534591195</v>
      </c>
    </row>
    <row r="2703" spans="1:2" x14ac:dyDescent="0.3">
      <c r="A2703" t="s">
        <v>25</v>
      </c>
      <c r="B2703">
        <f>AVERAGEIF(Sheet1!B:B, A2703, Sheet1!J:J)</f>
        <v>107.49685534591195</v>
      </c>
    </row>
    <row r="2704" spans="1:2" x14ac:dyDescent="0.3">
      <c r="A2704" t="s">
        <v>25</v>
      </c>
      <c r="B2704">
        <f>AVERAGEIF(Sheet1!B:B, A2704, Sheet1!J:J)</f>
        <v>107.49685534591195</v>
      </c>
    </row>
    <row r="2705" spans="1:2" x14ac:dyDescent="0.3">
      <c r="A2705" t="s">
        <v>22</v>
      </c>
      <c r="B2705">
        <f>AVERAGEIF(Sheet1!B:B, A2705, Sheet1!J:J)</f>
        <v>40.497326203208559</v>
      </c>
    </row>
    <row r="2706" spans="1:2" x14ac:dyDescent="0.3">
      <c r="A2706" t="s">
        <v>22</v>
      </c>
      <c r="B2706">
        <f>AVERAGEIF(Sheet1!B:B, A2706, Sheet1!J:J)</f>
        <v>40.497326203208559</v>
      </c>
    </row>
    <row r="2707" spans="1:2" x14ac:dyDescent="0.3">
      <c r="A2707" t="s">
        <v>22</v>
      </c>
      <c r="B2707">
        <f>AVERAGEIF(Sheet1!B:B, A2707, Sheet1!J:J)</f>
        <v>40.497326203208559</v>
      </c>
    </row>
    <row r="2708" spans="1:2" x14ac:dyDescent="0.3">
      <c r="A2708" t="s">
        <v>22</v>
      </c>
      <c r="B2708">
        <f>AVERAGEIF(Sheet1!B:B, A2708, Sheet1!J:J)</f>
        <v>40.497326203208559</v>
      </c>
    </row>
    <row r="2709" spans="1:2" x14ac:dyDescent="0.3">
      <c r="A2709" t="s">
        <v>22</v>
      </c>
      <c r="B2709">
        <f>AVERAGEIF(Sheet1!B:B, A2709, Sheet1!J:J)</f>
        <v>40.497326203208559</v>
      </c>
    </row>
    <row r="2710" spans="1:2" x14ac:dyDescent="0.3">
      <c r="A2710" t="s">
        <v>22</v>
      </c>
      <c r="B2710">
        <f>AVERAGEIF(Sheet1!B:B, A2710, Sheet1!J:J)</f>
        <v>40.497326203208559</v>
      </c>
    </row>
    <row r="2711" spans="1:2" x14ac:dyDescent="0.3">
      <c r="A2711" t="s">
        <v>22</v>
      </c>
      <c r="B2711">
        <f>AVERAGEIF(Sheet1!B:B, A2711, Sheet1!J:J)</f>
        <v>40.497326203208559</v>
      </c>
    </row>
    <row r="2712" spans="1:2" x14ac:dyDescent="0.3">
      <c r="A2712" t="s">
        <v>22</v>
      </c>
      <c r="B2712">
        <f>AVERAGEIF(Sheet1!B:B, A2712, Sheet1!J:J)</f>
        <v>40.497326203208559</v>
      </c>
    </row>
    <row r="2713" spans="1:2" x14ac:dyDescent="0.3">
      <c r="A2713" t="s">
        <v>22</v>
      </c>
      <c r="B2713">
        <f>AVERAGEIF(Sheet1!B:B, A2713, Sheet1!J:J)</f>
        <v>40.497326203208559</v>
      </c>
    </row>
    <row r="2714" spans="1:2" x14ac:dyDescent="0.3">
      <c r="A2714" t="s">
        <v>22</v>
      </c>
      <c r="B2714">
        <f>AVERAGEIF(Sheet1!B:B, A2714, Sheet1!J:J)</f>
        <v>40.497326203208559</v>
      </c>
    </row>
    <row r="2715" spans="1:2" x14ac:dyDescent="0.3">
      <c r="A2715" t="s">
        <v>22</v>
      </c>
      <c r="B2715">
        <f>AVERAGEIF(Sheet1!B:B, A2715, Sheet1!J:J)</f>
        <v>40.497326203208559</v>
      </c>
    </row>
    <row r="2716" spans="1:2" x14ac:dyDescent="0.3">
      <c r="A2716" t="s">
        <v>22</v>
      </c>
      <c r="B2716">
        <f>AVERAGEIF(Sheet1!B:B, A2716, Sheet1!J:J)</f>
        <v>40.497326203208559</v>
      </c>
    </row>
    <row r="2717" spans="1:2" x14ac:dyDescent="0.3">
      <c r="A2717" t="s">
        <v>22</v>
      </c>
      <c r="B2717">
        <f>AVERAGEIF(Sheet1!B:B, A2717, Sheet1!J:J)</f>
        <v>40.497326203208559</v>
      </c>
    </row>
    <row r="2718" spans="1:2" x14ac:dyDescent="0.3">
      <c r="A2718" t="s">
        <v>22</v>
      </c>
      <c r="B2718">
        <f>AVERAGEIF(Sheet1!B:B, A2718, Sheet1!J:J)</f>
        <v>40.497326203208559</v>
      </c>
    </row>
    <row r="2719" spans="1:2" x14ac:dyDescent="0.3">
      <c r="A2719" t="s">
        <v>22</v>
      </c>
      <c r="B2719">
        <f>AVERAGEIF(Sheet1!B:B, A2719, Sheet1!J:J)</f>
        <v>40.497326203208559</v>
      </c>
    </row>
    <row r="2720" spans="1:2" x14ac:dyDescent="0.3">
      <c r="A2720" t="s">
        <v>22</v>
      </c>
      <c r="B2720">
        <f>AVERAGEIF(Sheet1!B:B, A2720, Sheet1!J:J)</f>
        <v>40.497326203208559</v>
      </c>
    </row>
    <row r="2721" spans="1:2" x14ac:dyDescent="0.3">
      <c r="A2721" t="s">
        <v>24</v>
      </c>
      <c r="B2721">
        <f>AVERAGEIF(Sheet1!B:B, A2721, Sheet1!J:J)</f>
        <v>29.818181818181817</v>
      </c>
    </row>
    <row r="2722" spans="1:2" x14ac:dyDescent="0.3">
      <c r="A2722" t="s">
        <v>24</v>
      </c>
      <c r="B2722">
        <f>AVERAGEIF(Sheet1!B:B, A2722, Sheet1!J:J)</f>
        <v>29.818181818181817</v>
      </c>
    </row>
    <row r="2723" spans="1:2" x14ac:dyDescent="0.3">
      <c r="A2723" t="s">
        <v>24</v>
      </c>
      <c r="B2723">
        <f>AVERAGEIF(Sheet1!B:B, A2723, Sheet1!J:J)</f>
        <v>29.818181818181817</v>
      </c>
    </row>
    <row r="2724" spans="1:2" x14ac:dyDescent="0.3">
      <c r="A2724" t="s">
        <v>24</v>
      </c>
      <c r="B2724">
        <f>AVERAGEIF(Sheet1!B:B, A2724, Sheet1!J:J)</f>
        <v>29.818181818181817</v>
      </c>
    </row>
    <row r="2725" spans="1:2" x14ac:dyDescent="0.3">
      <c r="A2725" t="s">
        <v>24</v>
      </c>
      <c r="B2725">
        <f>AVERAGEIF(Sheet1!B:B, A2725, Sheet1!J:J)</f>
        <v>29.818181818181817</v>
      </c>
    </row>
    <row r="2726" spans="1:2" x14ac:dyDescent="0.3">
      <c r="A2726" t="s">
        <v>24</v>
      </c>
      <c r="B2726">
        <f>AVERAGEIF(Sheet1!B:B, A2726, Sheet1!J:J)</f>
        <v>29.818181818181817</v>
      </c>
    </row>
    <row r="2727" spans="1:2" x14ac:dyDescent="0.3">
      <c r="A2727" t="s">
        <v>24</v>
      </c>
      <c r="B2727">
        <f>AVERAGEIF(Sheet1!B:B, A2727, Sheet1!J:J)</f>
        <v>29.818181818181817</v>
      </c>
    </row>
    <row r="2728" spans="1:2" x14ac:dyDescent="0.3">
      <c r="A2728" t="s">
        <v>22</v>
      </c>
      <c r="B2728">
        <f>AVERAGEIF(Sheet1!B:B, A2728, Sheet1!J:J)</f>
        <v>40.497326203208559</v>
      </c>
    </row>
    <row r="2729" spans="1:2" x14ac:dyDescent="0.3">
      <c r="A2729" t="s">
        <v>22</v>
      </c>
      <c r="B2729">
        <f>AVERAGEIF(Sheet1!B:B, A2729, Sheet1!J:J)</f>
        <v>40.497326203208559</v>
      </c>
    </row>
    <row r="2730" spans="1:2" x14ac:dyDescent="0.3">
      <c r="A2730" t="s">
        <v>22</v>
      </c>
      <c r="B2730">
        <f>AVERAGEIF(Sheet1!B:B, A2730, Sheet1!J:J)</f>
        <v>40.497326203208559</v>
      </c>
    </row>
    <row r="2731" spans="1:2" x14ac:dyDescent="0.3">
      <c r="A2731" t="s">
        <v>22</v>
      </c>
      <c r="B2731">
        <f>AVERAGEIF(Sheet1!B:B, A2731, Sheet1!J:J)</f>
        <v>40.497326203208559</v>
      </c>
    </row>
    <row r="2732" spans="1:2" x14ac:dyDescent="0.3">
      <c r="A2732" t="s">
        <v>22</v>
      </c>
      <c r="B2732">
        <f>AVERAGEIF(Sheet1!B:B, A2732, Sheet1!J:J)</f>
        <v>40.497326203208559</v>
      </c>
    </row>
    <row r="2733" spans="1:2" x14ac:dyDescent="0.3">
      <c r="A2733" t="s">
        <v>22</v>
      </c>
      <c r="B2733">
        <f>AVERAGEIF(Sheet1!B:B, A2733, Sheet1!J:J)</f>
        <v>40.497326203208559</v>
      </c>
    </row>
    <row r="2734" spans="1:2" x14ac:dyDescent="0.3">
      <c r="A2734" t="s">
        <v>22</v>
      </c>
      <c r="B2734">
        <f>AVERAGEIF(Sheet1!B:B, A2734, Sheet1!J:J)</f>
        <v>40.497326203208559</v>
      </c>
    </row>
    <row r="2735" spans="1:2" x14ac:dyDescent="0.3">
      <c r="A2735" t="s">
        <v>22</v>
      </c>
      <c r="B2735">
        <f>AVERAGEIF(Sheet1!B:B, A2735, Sheet1!J:J)</f>
        <v>40.497326203208559</v>
      </c>
    </row>
    <row r="2736" spans="1:2" x14ac:dyDescent="0.3">
      <c r="A2736" t="s">
        <v>24</v>
      </c>
      <c r="B2736">
        <f>AVERAGEIF(Sheet1!B:B, A2736, Sheet1!J:J)</f>
        <v>29.818181818181817</v>
      </c>
    </row>
    <row r="2737" spans="1:2" x14ac:dyDescent="0.3">
      <c r="A2737" t="s">
        <v>24</v>
      </c>
      <c r="B2737">
        <f>AVERAGEIF(Sheet1!B:B, A2737, Sheet1!J:J)</f>
        <v>29.818181818181817</v>
      </c>
    </row>
    <row r="2738" spans="1:2" x14ac:dyDescent="0.3">
      <c r="A2738" t="s">
        <v>22</v>
      </c>
      <c r="B2738">
        <f>AVERAGEIF(Sheet1!B:B, A2738, Sheet1!J:J)</f>
        <v>40.497326203208559</v>
      </c>
    </row>
    <row r="2739" spans="1:2" x14ac:dyDescent="0.3">
      <c r="A2739" t="s">
        <v>25</v>
      </c>
      <c r="B2739">
        <f>AVERAGEIF(Sheet1!B:B, A2739, Sheet1!J:J)</f>
        <v>107.49685534591195</v>
      </c>
    </row>
    <row r="2740" spans="1:2" x14ac:dyDescent="0.3">
      <c r="A2740" t="s">
        <v>25</v>
      </c>
      <c r="B2740">
        <f>AVERAGEIF(Sheet1!B:B, A2740, Sheet1!J:J)</f>
        <v>107.49685534591195</v>
      </c>
    </row>
    <row r="2741" spans="1:2" x14ac:dyDescent="0.3">
      <c r="A2741" t="s">
        <v>25</v>
      </c>
      <c r="B2741">
        <f>AVERAGEIF(Sheet1!B:B, A2741, Sheet1!J:J)</f>
        <v>107.49685534591195</v>
      </c>
    </row>
    <row r="2742" spans="1:2" x14ac:dyDescent="0.3">
      <c r="A2742" t="s">
        <v>25</v>
      </c>
      <c r="B2742">
        <f>AVERAGEIF(Sheet1!B:B, A2742, Sheet1!J:J)</f>
        <v>107.49685534591195</v>
      </c>
    </row>
    <row r="2743" spans="1:2" x14ac:dyDescent="0.3">
      <c r="A2743" t="s">
        <v>25</v>
      </c>
      <c r="B2743">
        <f>AVERAGEIF(Sheet1!B:B, A2743, Sheet1!J:J)</f>
        <v>107.49685534591195</v>
      </c>
    </row>
    <row r="2744" spans="1:2" x14ac:dyDescent="0.3">
      <c r="A2744" t="s">
        <v>25</v>
      </c>
      <c r="B2744">
        <f>AVERAGEIF(Sheet1!B:B, A2744, Sheet1!J:J)</f>
        <v>107.49685534591195</v>
      </c>
    </row>
    <row r="2745" spans="1:2" x14ac:dyDescent="0.3">
      <c r="A2745" t="s">
        <v>25</v>
      </c>
      <c r="B2745">
        <f>AVERAGEIF(Sheet1!B:B, A2745, Sheet1!J:J)</f>
        <v>107.49685534591195</v>
      </c>
    </row>
    <row r="2746" spans="1:2" x14ac:dyDescent="0.3">
      <c r="A2746" t="s">
        <v>25</v>
      </c>
      <c r="B2746">
        <f>AVERAGEIF(Sheet1!B:B, A2746, Sheet1!J:J)</f>
        <v>107.49685534591195</v>
      </c>
    </row>
    <row r="2747" spans="1:2" x14ac:dyDescent="0.3">
      <c r="A2747" t="s">
        <v>25</v>
      </c>
      <c r="B2747">
        <f>AVERAGEIF(Sheet1!B:B, A2747, Sheet1!J:J)</f>
        <v>107.49685534591195</v>
      </c>
    </row>
    <row r="2748" spans="1:2" x14ac:dyDescent="0.3">
      <c r="A2748" t="s">
        <v>25</v>
      </c>
      <c r="B2748">
        <f>AVERAGEIF(Sheet1!B:B, A2748, Sheet1!J:J)</f>
        <v>107.49685534591195</v>
      </c>
    </row>
    <row r="2749" spans="1:2" x14ac:dyDescent="0.3">
      <c r="A2749" t="s">
        <v>25</v>
      </c>
      <c r="B2749">
        <f>AVERAGEIF(Sheet1!B:B, A2749, Sheet1!J:J)</f>
        <v>107.49685534591195</v>
      </c>
    </row>
    <row r="2750" spans="1:2" x14ac:dyDescent="0.3">
      <c r="A2750" t="s">
        <v>25</v>
      </c>
      <c r="B2750">
        <f>AVERAGEIF(Sheet1!B:B, A2750, Sheet1!J:J)</f>
        <v>107.49685534591195</v>
      </c>
    </row>
    <row r="2751" spans="1:2" x14ac:dyDescent="0.3">
      <c r="A2751" t="s">
        <v>25</v>
      </c>
      <c r="B2751">
        <f>AVERAGEIF(Sheet1!B:B, A2751, Sheet1!J:J)</f>
        <v>107.49685534591195</v>
      </c>
    </row>
    <row r="2752" spans="1:2" x14ac:dyDescent="0.3">
      <c r="A2752" t="s">
        <v>25</v>
      </c>
      <c r="B2752">
        <f>AVERAGEIF(Sheet1!B:B, A2752, Sheet1!J:J)</f>
        <v>107.49685534591195</v>
      </c>
    </row>
    <row r="2753" spans="1:2" x14ac:dyDescent="0.3">
      <c r="A2753" t="s">
        <v>25</v>
      </c>
      <c r="B2753">
        <f>AVERAGEIF(Sheet1!B:B, A2753, Sheet1!J:J)</f>
        <v>107.49685534591195</v>
      </c>
    </row>
    <row r="2754" spans="1:2" x14ac:dyDescent="0.3">
      <c r="A2754" t="s">
        <v>25</v>
      </c>
      <c r="B2754">
        <f>AVERAGEIF(Sheet1!B:B, A2754, Sheet1!J:J)</f>
        <v>107.49685534591195</v>
      </c>
    </row>
    <row r="2755" spans="1:2" x14ac:dyDescent="0.3">
      <c r="A2755" t="s">
        <v>25</v>
      </c>
      <c r="B2755">
        <f>AVERAGEIF(Sheet1!B:B, A2755, Sheet1!J:J)</f>
        <v>107.49685534591195</v>
      </c>
    </row>
    <row r="2756" spans="1:2" x14ac:dyDescent="0.3">
      <c r="A2756" t="s">
        <v>26</v>
      </c>
      <c r="B2756">
        <f>AVERAGEIF(Sheet1!B:B, A2756, Sheet1!J:J)</f>
        <v>81.180582524271841</v>
      </c>
    </row>
    <row r="2757" spans="1:2" x14ac:dyDescent="0.3">
      <c r="A2757" t="s">
        <v>26</v>
      </c>
      <c r="B2757">
        <f>AVERAGEIF(Sheet1!B:B, A2757, Sheet1!J:J)</f>
        <v>81.180582524271841</v>
      </c>
    </row>
    <row r="2758" spans="1:2" x14ac:dyDescent="0.3">
      <c r="A2758" t="s">
        <v>26</v>
      </c>
      <c r="B2758">
        <f>AVERAGEIF(Sheet1!B:B, A2758, Sheet1!J:J)</f>
        <v>81.180582524271841</v>
      </c>
    </row>
    <row r="2759" spans="1:2" x14ac:dyDescent="0.3">
      <c r="A2759" t="s">
        <v>26</v>
      </c>
      <c r="B2759">
        <f>AVERAGEIF(Sheet1!B:B, A2759, Sheet1!J:J)</f>
        <v>81.180582524271841</v>
      </c>
    </row>
    <row r="2760" spans="1:2" x14ac:dyDescent="0.3">
      <c r="A2760" t="s">
        <v>26</v>
      </c>
      <c r="B2760">
        <f>AVERAGEIF(Sheet1!B:B, A2760, Sheet1!J:J)</f>
        <v>81.180582524271841</v>
      </c>
    </row>
    <row r="2761" spans="1:2" x14ac:dyDescent="0.3">
      <c r="A2761" t="s">
        <v>25</v>
      </c>
      <c r="B2761">
        <f>AVERAGEIF(Sheet1!B:B, A2761, Sheet1!J:J)</f>
        <v>107.49685534591195</v>
      </c>
    </row>
    <row r="2762" spans="1:2" x14ac:dyDescent="0.3">
      <c r="A2762" t="s">
        <v>25</v>
      </c>
      <c r="B2762">
        <f>AVERAGEIF(Sheet1!B:B, A2762, Sheet1!J:J)</f>
        <v>107.49685534591195</v>
      </c>
    </row>
    <row r="2763" spans="1:2" x14ac:dyDescent="0.3">
      <c r="A2763" t="s">
        <v>25</v>
      </c>
      <c r="B2763">
        <f>AVERAGEIF(Sheet1!B:B, A2763, Sheet1!J:J)</f>
        <v>107.49685534591195</v>
      </c>
    </row>
    <row r="2764" spans="1:2" x14ac:dyDescent="0.3">
      <c r="A2764" t="s">
        <v>25</v>
      </c>
      <c r="B2764">
        <f>AVERAGEIF(Sheet1!B:B, A2764, Sheet1!J:J)</f>
        <v>107.49685534591195</v>
      </c>
    </row>
    <row r="2765" spans="1:2" x14ac:dyDescent="0.3">
      <c r="A2765" t="s">
        <v>25</v>
      </c>
      <c r="B2765">
        <f>AVERAGEIF(Sheet1!B:B, A2765, Sheet1!J:J)</f>
        <v>107.49685534591195</v>
      </c>
    </row>
    <row r="2766" spans="1:2" x14ac:dyDescent="0.3">
      <c r="A2766" t="s">
        <v>26</v>
      </c>
      <c r="B2766">
        <f>AVERAGEIF(Sheet1!B:B, A2766, Sheet1!J:J)</f>
        <v>81.180582524271841</v>
      </c>
    </row>
    <row r="2767" spans="1:2" x14ac:dyDescent="0.3">
      <c r="A2767" t="s">
        <v>26</v>
      </c>
      <c r="B2767">
        <f>AVERAGEIF(Sheet1!B:B, A2767, Sheet1!J:J)</f>
        <v>81.180582524271841</v>
      </c>
    </row>
    <row r="2768" spans="1:2" x14ac:dyDescent="0.3">
      <c r="A2768" t="s">
        <v>26</v>
      </c>
      <c r="B2768">
        <f>AVERAGEIF(Sheet1!B:B, A2768, Sheet1!J:J)</f>
        <v>81.180582524271841</v>
      </c>
    </row>
    <row r="2769" spans="1:2" x14ac:dyDescent="0.3">
      <c r="A2769" t="s">
        <v>26</v>
      </c>
      <c r="B2769">
        <f>AVERAGEIF(Sheet1!B:B, A2769, Sheet1!J:J)</f>
        <v>81.180582524271841</v>
      </c>
    </row>
    <row r="2770" spans="1:2" x14ac:dyDescent="0.3">
      <c r="A2770" t="s">
        <v>25</v>
      </c>
      <c r="B2770">
        <f>AVERAGEIF(Sheet1!B:B, A2770, Sheet1!J:J)</f>
        <v>107.49685534591195</v>
      </c>
    </row>
    <row r="2771" spans="1:2" x14ac:dyDescent="0.3">
      <c r="A2771" t="s">
        <v>25</v>
      </c>
      <c r="B2771">
        <f>AVERAGEIF(Sheet1!B:B, A2771, Sheet1!J:J)</f>
        <v>107.49685534591195</v>
      </c>
    </row>
    <row r="2772" spans="1:2" x14ac:dyDescent="0.3">
      <c r="A2772" t="s">
        <v>25</v>
      </c>
      <c r="B2772">
        <f>AVERAGEIF(Sheet1!B:B, A2772, Sheet1!J:J)</f>
        <v>107.49685534591195</v>
      </c>
    </row>
    <row r="2773" spans="1:2" x14ac:dyDescent="0.3">
      <c r="A2773" t="s">
        <v>26</v>
      </c>
      <c r="B2773">
        <f>AVERAGEIF(Sheet1!B:B, A2773, Sheet1!J:J)</f>
        <v>81.180582524271841</v>
      </c>
    </row>
    <row r="2774" spans="1:2" x14ac:dyDescent="0.3">
      <c r="A2774" t="s">
        <v>26</v>
      </c>
      <c r="B2774">
        <f>AVERAGEIF(Sheet1!B:B, A2774, Sheet1!J:J)</f>
        <v>81.180582524271841</v>
      </c>
    </row>
    <row r="2775" spans="1:2" x14ac:dyDescent="0.3">
      <c r="A2775" t="s">
        <v>26</v>
      </c>
      <c r="B2775">
        <f>AVERAGEIF(Sheet1!B:B, A2775, Sheet1!J:J)</f>
        <v>81.180582524271841</v>
      </c>
    </row>
    <row r="2776" spans="1:2" x14ac:dyDescent="0.3">
      <c r="A2776" t="s">
        <v>25</v>
      </c>
      <c r="B2776">
        <f>AVERAGEIF(Sheet1!B:B, A2776, Sheet1!J:J)</f>
        <v>107.49685534591195</v>
      </c>
    </row>
    <row r="2777" spans="1:2" x14ac:dyDescent="0.3">
      <c r="A2777" t="s">
        <v>25</v>
      </c>
      <c r="B2777">
        <f>AVERAGEIF(Sheet1!B:B, A2777, Sheet1!J:J)</f>
        <v>107.49685534591195</v>
      </c>
    </row>
    <row r="2778" spans="1:2" x14ac:dyDescent="0.3">
      <c r="A2778" t="s">
        <v>25</v>
      </c>
      <c r="B2778">
        <f>AVERAGEIF(Sheet1!B:B, A2778, Sheet1!J:J)</f>
        <v>107.49685534591195</v>
      </c>
    </row>
    <row r="2779" spans="1:2" x14ac:dyDescent="0.3">
      <c r="A2779" t="s">
        <v>26</v>
      </c>
      <c r="B2779">
        <f>AVERAGEIF(Sheet1!B:B, A2779, Sheet1!J:J)</f>
        <v>81.180582524271841</v>
      </c>
    </row>
    <row r="2780" spans="1:2" x14ac:dyDescent="0.3">
      <c r="A2780" t="s">
        <v>26</v>
      </c>
      <c r="B2780">
        <f>AVERAGEIF(Sheet1!B:B, A2780, Sheet1!J:J)</f>
        <v>81.180582524271841</v>
      </c>
    </row>
    <row r="2781" spans="1:2" x14ac:dyDescent="0.3">
      <c r="A2781" t="s">
        <v>26</v>
      </c>
      <c r="B2781">
        <f>AVERAGEIF(Sheet1!B:B, A2781, Sheet1!J:J)</f>
        <v>81.180582524271841</v>
      </c>
    </row>
    <row r="2782" spans="1:2" x14ac:dyDescent="0.3">
      <c r="A2782" t="s">
        <v>26</v>
      </c>
      <c r="B2782">
        <f>AVERAGEIF(Sheet1!B:B, A2782, Sheet1!J:J)</f>
        <v>81.180582524271841</v>
      </c>
    </row>
    <row r="2783" spans="1:2" x14ac:dyDescent="0.3">
      <c r="A2783" t="s">
        <v>26</v>
      </c>
      <c r="B2783">
        <f>AVERAGEIF(Sheet1!B:B, A2783, Sheet1!J:J)</f>
        <v>81.180582524271841</v>
      </c>
    </row>
    <row r="2784" spans="1:2" x14ac:dyDescent="0.3">
      <c r="A2784" t="s">
        <v>26</v>
      </c>
      <c r="B2784">
        <f>AVERAGEIF(Sheet1!B:B, A2784, Sheet1!J:J)</f>
        <v>81.180582524271841</v>
      </c>
    </row>
    <row r="2785" spans="1:2" x14ac:dyDescent="0.3">
      <c r="A2785" t="s">
        <v>26</v>
      </c>
      <c r="B2785">
        <f>AVERAGEIF(Sheet1!B:B, A2785, Sheet1!J:J)</f>
        <v>81.180582524271841</v>
      </c>
    </row>
    <row r="2786" spans="1:2" x14ac:dyDescent="0.3">
      <c r="A2786" t="s">
        <v>26</v>
      </c>
      <c r="B2786">
        <f>AVERAGEIF(Sheet1!B:B, A2786, Sheet1!J:J)</f>
        <v>81.180582524271841</v>
      </c>
    </row>
    <row r="2787" spans="1:2" x14ac:dyDescent="0.3">
      <c r="A2787" t="s">
        <v>26</v>
      </c>
      <c r="B2787">
        <f>AVERAGEIF(Sheet1!B:B, A2787, Sheet1!J:J)</f>
        <v>81.180582524271841</v>
      </c>
    </row>
    <row r="2788" spans="1:2" x14ac:dyDescent="0.3">
      <c r="A2788" t="s">
        <v>26</v>
      </c>
      <c r="B2788">
        <f>AVERAGEIF(Sheet1!B:B, A2788, Sheet1!J:J)</f>
        <v>81.180582524271841</v>
      </c>
    </row>
    <row r="2789" spans="1:2" x14ac:dyDescent="0.3">
      <c r="A2789" t="s">
        <v>26</v>
      </c>
      <c r="B2789">
        <f>AVERAGEIF(Sheet1!B:B, A2789, Sheet1!J:J)</f>
        <v>81.180582524271841</v>
      </c>
    </row>
    <row r="2790" spans="1:2" x14ac:dyDescent="0.3">
      <c r="A2790" t="s">
        <v>26</v>
      </c>
      <c r="B2790">
        <f>AVERAGEIF(Sheet1!B:B, A2790, Sheet1!J:J)</f>
        <v>81.180582524271841</v>
      </c>
    </row>
    <row r="2791" spans="1:2" x14ac:dyDescent="0.3">
      <c r="A2791" t="s">
        <v>26</v>
      </c>
      <c r="B2791">
        <f>AVERAGEIF(Sheet1!B:B, A2791, Sheet1!J:J)</f>
        <v>81.180582524271841</v>
      </c>
    </row>
    <row r="2792" spans="1:2" x14ac:dyDescent="0.3">
      <c r="A2792" t="s">
        <v>26</v>
      </c>
      <c r="B2792">
        <f>AVERAGEIF(Sheet1!B:B, A2792, Sheet1!J:J)</f>
        <v>81.180582524271841</v>
      </c>
    </row>
    <row r="2793" spans="1:2" x14ac:dyDescent="0.3">
      <c r="A2793" t="s">
        <v>26</v>
      </c>
      <c r="B2793">
        <f>AVERAGEIF(Sheet1!B:B, A2793, Sheet1!J:J)</f>
        <v>81.180582524271841</v>
      </c>
    </row>
    <row r="2794" spans="1:2" x14ac:dyDescent="0.3">
      <c r="A2794" t="s">
        <v>26</v>
      </c>
      <c r="B2794">
        <f>AVERAGEIF(Sheet1!B:B, A2794, Sheet1!J:J)</f>
        <v>81.180582524271841</v>
      </c>
    </row>
    <row r="2795" spans="1:2" x14ac:dyDescent="0.3">
      <c r="A2795" t="s">
        <v>26</v>
      </c>
      <c r="B2795">
        <f>AVERAGEIF(Sheet1!B:B, A2795, Sheet1!J:J)</f>
        <v>81.180582524271841</v>
      </c>
    </row>
    <row r="2796" spans="1:2" x14ac:dyDescent="0.3">
      <c r="A2796" t="s">
        <v>26</v>
      </c>
      <c r="B2796">
        <f>AVERAGEIF(Sheet1!B:B, A2796, Sheet1!J:J)</f>
        <v>81.180582524271841</v>
      </c>
    </row>
    <row r="2797" spans="1:2" x14ac:dyDescent="0.3">
      <c r="A2797" t="s">
        <v>26</v>
      </c>
      <c r="B2797">
        <f>AVERAGEIF(Sheet1!B:B, A2797, Sheet1!J:J)</f>
        <v>81.180582524271841</v>
      </c>
    </row>
    <row r="2798" spans="1:2" x14ac:dyDescent="0.3">
      <c r="A2798" t="s">
        <v>26</v>
      </c>
      <c r="B2798">
        <f>AVERAGEIF(Sheet1!B:B, A2798, Sheet1!J:J)</f>
        <v>81.180582524271841</v>
      </c>
    </row>
    <row r="2799" spans="1:2" x14ac:dyDescent="0.3">
      <c r="A2799" t="s">
        <v>26</v>
      </c>
      <c r="B2799">
        <f>AVERAGEIF(Sheet1!B:B, A2799, Sheet1!J:J)</f>
        <v>81.180582524271841</v>
      </c>
    </row>
    <row r="2800" spans="1:2" x14ac:dyDescent="0.3">
      <c r="A2800" t="s">
        <v>26</v>
      </c>
      <c r="B2800">
        <f>AVERAGEIF(Sheet1!B:B, A2800, Sheet1!J:J)</f>
        <v>81.180582524271841</v>
      </c>
    </row>
    <row r="2801" spans="1:2" x14ac:dyDescent="0.3">
      <c r="A2801" t="s">
        <v>26</v>
      </c>
      <c r="B2801">
        <f>AVERAGEIF(Sheet1!B:B, A2801, Sheet1!J:J)</f>
        <v>81.180582524271841</v>
      </c>
    </row>
    <row r="2802" spans="1:2" x14ac:dyDescent="0.3">
      <c r="A2802" t="s">
        <v>26</v>
      </c>
      <c r="B2802">
        <f>AVERAGEIF(Sheet1!B:B, A2802, Sheet1!J:J)</f>
        <v>81.180582524271841</v>
      </c>
    </row>
    <row r="2803" spans="1:2" x14ac:dyDescent="0.3">
      <c r="A2803" t="s">
        <v>26</v>
      </c>
      <c r="B2803">
        <f>AVERAGEIF(Sheet1!B:B, A2803, Sheet1!J:J)</f>
        <v>81.180582524271841</v>
      </c>
    </row>
    <row r="2804" spans="1:2" x14ac:dyDescent="0.3">
      <c r="A2804" t="s">
        <v>26</v>
      </c>
      <c r="B2804">
        <f>AVERAGEIF(Sheet1!B:B, A2804, Sheet1!J:J)</f>
        <v>81.180582524271841</v>
      </c>
    </row>
    <row r="2805" spans="1:2" x14ac:dyDescent="0.3">
      <c r="A2805" t="s">
        <v>26</v>
      </c>
      <c r="B2805">
        <f>AVERAGEIF(Sheet1!B:B, A2805, Sheet1!J:J)</f>
        <v>81.180582524271841</v>
      </c>
    </row>
    <row r="2806" spans="1:2" x14ac:dyDescent="0.3">
      <c r="A2806" t="s">
        <v>26</v>
      </c>
      <c r="B2806">
        <f>AVERAGEIF(Sheet1!B:B, A2806, Sheet1!J:J)</f>
        <v>81.180582524271841</v>
      </c>
    </row>
    <row r="2807" spans="1:2" x14ac:dyDescent="0.3">
      <c r="A2807" t="s">
        <v>26</v>
      </c>
      <c r="B2807">
        <f>AVERAGEIF(Sheet1!B:B, A2807, Sheet1!J:J)</f>
        <v>81.180582524271841</v>
      </c>
    </row>
    <row r="2808" spans="1:2" x14ac:dyDescent="0.3">
      <c r="A2808" t="s">
        <v>26</v>
      </c>
      <c r="B2808">
        <f>AVERAGEIF(Sheet1!B:B, A2808, Sheet1!J:J)</f>
        <v>81.180582524271841</v>
      </c>
    </row>
    <row r="2809" spans="1:2" x14ac:dyDescent="0.3">
      <c r="A2809" t="s">
        <v>26</v>
      </c>
      <c r="B2809">
        <f>AVERAGEIF(Sheet1!B:B, A2809, Sheet1!J:J)</f>
        <v>81.180582524271841</v>
      </c>
    </row>
    <row r="2810" spans="1:2" x14ac:dyDescent="0.3">
      <c r="A2810" t="s">
        <v>26</v>
      </c>
      <c r="B2810">
        <f>AVERAGEIF(Sheet1!B:B, A2810, Sheet1!J:J)</f>
        <v>81.180582524271841</v>
      </c>
    </row>
    <row r="2811" spans="1:2" x14ac:dyDescent="0.3">
      <c r="A2811" t="s">
        <v>26</v>
      </c>
      <c r="B2811">
        <f>AVERAGEIF(Sheet1!B:B, A2811, Sheet1!J:J)</f>
        <v>81.180582524271841</v>
      </c>
    </row>
    <row r="2812" spans="1:2" x14ac:dyDescent="0.3">
      <c r="A2812" t="s">
        <v>26</v>
      </c>
      <c r="B2812">
        <f>AVERAGEIF(Sheet1!B:B, A2812, Sheet1!J:J)</f>
        <v>81.180582524271841</v>
      </c>
    </row>
    <row r="2813" spans="1:2" x14ac:dyDescent="0.3">
      <c r="A2813" t="s">
        <v>26</v>
      </c>
      <c r="B2813">
        <f>AVERAGEIF(Sheet1!B:B, A2813, Sheet1!J:J)</f>
        <v>81.180582524271841</v>
      </c>
    </row>
    <row r="2814" spans="1:2" x14ac:dyDescent="0.3">
      <c r="A2814" t="s">
        <v>26</v>
      </c>
      <c r="B2814">
        <f>AVERAGEIF(Sheet1!B:B, A2814, Sheet1!J:J)</f>
        <v>81.180582524271841</v>
      </c>
    </row>
    <row r="2815" spans="1:2" x14ac:dyDescent="0.3">
      <c r="A2815" t="s">
        <v>26</v>
      </c>
      <c r="B2815">
        <f>AVERAGEIF(Sheet1!B:B, A2815, Sheet1!J:J)</f>
        <v>81.180582524271841</v>
      </c>
    </row>
    <row r="2816" spans="1:2" x14ac:dyDescent="0.3">
      <c r="A2816" t="s">
        <v>26</v>
      </c>
      <c r="B2816">
        <f>AVERAGEIF(Sheet1!B:B, A2816, Sheet1!J:J)</f>
        <v>81.180582524271841</v>
      </c>
    </row>
    <row r="2817" spans="1:2" x14ac:dyDescent="0.3">
      <c r="A2817" t="s">
        <v>26</v>
      </c>
      <c r="B2817">
        <f>AVERAGEIF(Sheet1!B:B, A2817, Sheet1!J:J)</f>
        <v>81.180582524271841</v>
      </c>
    </row>
    <row r="2818" spans="1:2" x14ac:dyDescent="0.3">
      <c r="A2818" t="s">
        <v>26</v>
      </c>
      <c r="B2818">
        <f>AVERAGEIF(Sheet1!B:B, A2818, Sheet1!J:J)</f>
        <v>81.180582524271841</v>
      </c>
    </row>
    <row r="2819" spans="1:2" x14ac:dyDescent="0.3">
      <c r="A2819" t="s">
        <v>26</v>
      </c>
      <c r="B2819">
        <f>AVERAGEIF(Sheet1!B:B, A2819, Sheet1!J:J)</f>
        <v>81.180582524271841</v>
      </c>
    </row>
    <row r="2820" spans="1:2" x14ac:dyDescent="0.3">
      <c r="A2820" t="s">
        <v>26</v>
      </c>
      <c r="B2820">
        <f>AVERAGEIF(Sheet1!B:B, A2820, Sheet1!J:J)</f>
        <v>81.180582524271841</v>
      </c>
    </row>
    <row r="2821" spans="1:2" x14ac:dyDescent="0.3">
      <c r="A2821" t="s">
        <v>26</v>
      </c>
      <c r="B2821">
        <f>AVERAGEIF(Sheet1!B:B, A2821, Sheet1!J:J)</f>
        <v>81.180582524271841</v>
      </c>
    </row>
    <row r="2822" spans="1:2" x14ac:dyDescent="0.3">
      <c r="A2822" t="s">
        <v>26</v>
      </c>
      <c r="B2822">
        <f>AVERAGEIF(Sheet1!B:B, A2822, Sheet1!J:J)</f>
        <v>81.180582524271841</v>
      </c>
    </row>
    <row r="2823" spans="1:2" x14ac:dyDescent="0.3">
      <c r="A2823" t="s">
        <v>26</v>
      </c>
      <c r="B2823">
        <f>AVERAGEIF(Sheet1!B:B, A2823, Sheet1!J:J)</f>
        <v>81.180582524271841</v>
      </c>
    </row>
    <row r="2824" spans="1:2" x14ac:dyDescent="0.3">
      <c r="A2824" t="s">
        <v>26</v>
      </c>
      <c r="B2824">
        <f>AVERAGEIF(Sheet1!B:B, A2824, Sheet1!J:J)</f>
        <v>81.180582524271841</v>
      </c>
    </row>
    <row r="2825" spans="1:2" x14ac:dyDescent="0.3">
      <c r="A2825" t="s">
        <v>26</v>
      </c>
      <c r="B2825">
        <f>AVERAGEIF(Sheet1!B:B, A2825, Sheet1!J:J)</f>
        <v>81.180582524271841</v>
      </c>
    </row>
    <row r="2826" spans="1:2" x14ac:dyDescent="0.3">
      <c r="A2826" t="s">
        <v>26</v>
      </c>
      <c r="B2826">
        <f>AVERAGEIF(Sheet1!B:B, A2826, Sheet1!J:J)</f>
        <v>81.180582524271841</v>
      </c>
    </row>
    <row r="2827" spans="1:2" x14ac:dyDescent="0.3">
      <c r="A2827" t="s">
        <v>26</v>
      </c>
      <c r="B2827">
        <f>AVERAGEIF(Sheet1!B:B, A2827, Sheet1!J:J)</f>
        <v>81.180582524271841</v>
      </c>
    </row>
    <row r="2828" spans="1:2" x14ac:dyDescent="0.3">
      <c r="A2828" t="s">
        <v>26</v>
      </c>
      <c r="B2828">
        <f>AVERAGEIF(Sheet1!B:B, A2828, Sheet1!J:J)</f>
        <v>81.180582524271841</v>
      </c>
    </row>
    <row r="2829" spans="1:2" x14ac:dyDescent="0.3">
      <c r="A2829" t="s">
        <v>26</v>
      </c>
      <c r="B2829">
        <f>AVERAGEIF(Sheet1!B:B, A2829, Sheet1!J:J)</f>
        <v>81.180582524271841</v>
      </c>
    </row>
    <row r="2830" spans="1:2" x14ac:dyDescent="0.3">
      <c r="A2830" t="s">
        <v>26</v>
      </c>
      <c r="B2830">
        <f>AVERAGEIF(Sheet1!B:B, A2830, Sheet1!J:J)</f>
        <v>81.180582524271841</v>
      </c>
    </row>
    <row r="2831" spans="1:2" x14ac:dyDescent="0.3">
      <c r="A2831" t="s">
        <v>26</v>
      </c>
      <c r="B2831">
        <f>AVERAGEIF(Sheet1!B:B, A2831, Sheet1!J:J)</f>
        <v>81.180582524271841</v>
      </c>
    </row>
    <row r="2832" spans="1:2" x14ac:dyDescent="0.3">
      <c r="A2832" t="s">
        <v>26</v>
      </c>
      <c r="B2832">
        <f>AVERAGEIF(Sheet1!B:B, A2832, Sheet1!J:J)</f>
        <v>81.180582524271841</v>
      </c>
    </row>
    <row r="2833" spans="1:2" x14ac:dyDescent="0.3">
      <c r="A2833" t="s">
        <v>26</v>
      </c>
      <c r="B2833">
        <f>AVERAGEIF(Sheet1!B:B, A2833, Sheet1!J:J)</f>
        <v>81.180582524271841</v>
      </c>
    </row>
    <row r="2834" spans="1:2" x14ac:dyDescent="0.3">
      <c r="A2834" t="s">
        <v>26</v>
      </c>
      <c r="B2834">
        <f>AVERAGEIF(Sheet1!B:B, A2834, Sheet1!J:J)</f>
        <v>81.180582524271841</v>
      </c>
    </row>
    <row r="2835" spans="1:2" x14ac:dyDescent="0.3">
      <c r="A2835" t="s">
        <v>26</v>
      </c>
      <c r="B2835">
        <f>AVERAGEIF(Sheet1!B:B, A2835, Sheet1!J:J)</f>
        <v>81.180582524271841</v>
      </c>
    </row>
    <row r="2836" spans="1:2" x14ac:dyDescent="0.3">
      <c r="A2836" t="s">
        <v>26</v>
      </c>
      <c r="B2836">
        <f>AVERAGEIF(Sheet1!B:B, A2836, Sheet1!J:J)</f>
        <v>81.180582524271841</v>
      </c>
    </row>
    <row r="2837" spans="1:2" x14ac:dyDescent="0.3">
      <c r="A2837" t="s">
        <v>26</v>
      </c>
      <c r="B2837">
        <f>AVERAGEIF(Sheet1!B:B, A2837, Sheet1!J:J)</f>
        <v>81.180582524271841</v>
      </c>
    </row>
    <row r="2838" spans="1:2" x14ac:dyDescent="0.3">
      <c r="A2838" t="s">
        <v>26</v>
      </c>
      <c r="B2838">
        <f>AVERAGEIF(Sheet1!B:B, A2838, Sheet1!J:J)</f>
        <v>81.180582524271841</v>
      </c>
    </row>
    <row r="2839" spans="1:2" x14ac:dyDescent="0.3">
      <c r="A2839" t="s">
        <v>26</v>
      </c>
      <c r="B2839">
        <f>AVERAGEIF(Sheet1!B:B, A2839, Sheet1!J:J)</f>
        <v>81.180582524271841</v>
      </c>
    </row>
    <row r="2840" spans="1:2" x14ac:dyDescent="0.3">
      <c r="A2840" t="s">
        <v>26</v>
      </c>
      <c r="B2840">
        <f>AVERAGEIF(Sheet1!B:B, A2840, Sheet1!J:J)</f>
        <v>81.180582524271841</v>
      </c>
    </row>
    <row r="2841" spans="1:2" x14ac:dyDescent="0.3">
      <c r="A2841" t="s">
        <v>26</v>
      </c>
      <c r="B2841">
        <f>AVERAGEIF(Sheet1!B:B, A2841, Sheet1!J:J)</f>
        <v>81.180582524271841</v>
      </c>
    </row>
    <row r="2842" spans="1:2" x14ac:dyDescent="0.3">
      <c r="A2842" t="s">
        <v>26</v>
      </c>
      <c r="B2842">
        <f>AVERAGEIF(Sheet1!B:B, A2842, Sheet1!J:J)</f>
        <v>81.180582524271841</v>
      </c>
    </row>
    <row r="2843" spans="1:2" x14ac:dyDescent="0.3">
      <c r="A2843" t="s">
        <v>26</v>
      </c>
      <c r="B2843">
        <f>AVERAGEIF(Sheet1!B:B, A2843, Sheet1!J:J)</f>
        <v>81.180582524271841</v>
      </c>
    </row>
    <row r="2844" spans="1:2" x14ac:dyDescent="0.3">
      <c r="A2844" t="s">
        <v>26</v>
      </c>
      <c r="B2844">
        <f>AVERAGEIF(Sheet1!B:B, A2844, Sheet1!J:J)</f>
        <v>81.180582524271841</v>
      </c>
    </row>
    <row r="2845" spans="1:2" x14ac:dyDescent="0.3">
      <c r="A2845" t="s">
        <v>26</v>
      </c>
      <c r="B2845">
        <f>AVERAGEIF(Sheet1!B:B, A2845, Sheet1!J:J)</f>
        <v>81.180582524271841</v>
      </c>
    </row>
    <row r="2846" spans="1:2" x14ac:dyDescent="0.3">
      <c r="A2846" t="s">
        <v>26</v>
      </c>
      <c r="B2846">
        <f>AVERAGEIF(Sheet1!B:B, A2846, Sheet1!J:J)</f>
        <v>81.180582524271841</v>
      </c>
    </row>
    <row r="2847" spans="1:2" x14ac:dyDescent="0.3">
      <c r="A2847" t="s">
        <v>26</v>
      </c>
      <c r="B2847">
        <f>AVERAGEIF(Sheet1!B:B, A2847, Sheet1!J:J)</f>
        <v>81.180582524271841</v>
      </c>
    </row>
    <row r="2848" spans="1:2" x14ac:dyDescent="0.3">
      <c r="A2848" t="s">
        <v>40</v>
      </c>
      <c r="B2848">
        <f>AVERAGEIF(Sheet1!B:B, A2848, Sheet1!J:J)</f>
        <v>83.857142857142861</v>
      </c>
    </row>
    <row r="2849" spans="1:2" x14ac:dyDescent="0.3">
      <c r="A2849" t="s">
        <v>40</v>
      </c>
      <c r="B2849">
        <f>AVERAGEIF(Sheet1!B:B, A2849, Sheet1!J:J)</f>
        <v>83.857142857142861</v>
      </c>
    </row>
    <row r="2850" spans="1:2" x14ac:dyDescent="0.3">
      <c r="A2850" t="s">
        <v>27</v>
      </c>
      <c r="B2850">
        <f>AVERAGEIF(Sheet1!B:B, A2850, Sheet1!J:J)</f>
        <v>82.383177570093451</v>
      </c>
    </row>
    <row r="2851" spans="1:2" x14ac:dyDescent="0.3">
      <c r="A2851" t="s">
        <v>27</v>
      </c>
      <c r="B2851">
        <f>AVERAGEIF(Sheet1!B:B, A2851, Sheet1!J:J)</f>
        <v>82.383177570093451</v>
      </c>
    </row>
    <row r="2852" spans="1:2" x14ac:dyDescent="0.3">
      <c r="A2852" t="s">
        <v>27</v>
      </c>
      <c r="B2852">
        <f>AVERAGEIF(Sheet1!B:B, A2852, Sheet1!J:J)</f>
        <v>82.383177570093451</v>
      </c>
    </row>
    <row r="2853" spans="1:2" x14ac:dyDescent="0.3">
      <c r="A2853" t="s">
        <v>27</v>
      </c>
      <c r="B2853">
        <f>AVERAGEIF(Sheet1!B:B, A2853, Sheet1!J:J)</f>
        <v>82.383177570093451</v>
      </c>
    </row>
    <row r="2854" spans="1:2" x14ac:dyDescent="0.3">
      <c r="A2854" t="s">
        <v>27</v>
      </c>
      <c r="B2854">
        <f>AVERAGEIF(Sheet1!B:B, A2854, Sheet1!J:J)</f>
        <v>82.383177570093451</v>
      </c>
    </row>
    <row r="2855" spans="1:2" x14ac:dyDescent="0.3">
      <c r="A2855" t="s">
        <v>27</v>
      </c>
      <c r="B2855">
        <f>AVERAGEIF(Sheet1!B:B, A2855, Sheet1!J:J)</f>
        <v>82.383177570093451</v>
      </c>
    </row>
    <row r="2856" spans="1:2" x14ac:dyDescent="0.3">
      <c r="A2856" t="s">
        <v>27</v>
      </c>
      <c r="B2856">
        <f>AVERAGEIF(Sheet1!B:B, A2856, Sheet1!J:J)</f>
        <v>82.383177570093451</v>
      </c>
    </row>
    <row r="2857" spans="1:2" x14ac:dyDescent="0.3">
      <c r="A2857" t="s">
        <v>27</v>
      </c>
      <c r="B2857">
        <f>AVERAGEIF(Sheet1!B:B, A2857, Sheet1!J:J)</f>
        <v>82.383177570093451</v>
      </c>
    </row>
    <row r="2858" spans="1:2" x14ac:dyDescent="0.3">
      <c r="A2858" t="s">
        <v>27</v>
      </c>
      <c r="B2858">
        <f>AVERAGEIF(Sheet1!B:B, A2858, Sheet1!J:J)</f>
        <v>82.383177570093451</v>
      </c>
    </row>
    <row r="2859" spans="1:2" x14ac:dyDescent="0.3">
      <c r="A2859" t="s">
        <v>26</v>
      </c>
      <c r="B2859">
        <f>AVERAGEIF(Sheet1!B:B, A2859, Sheet1!J:J)</f>
        <v>81.180582524271841</v>
      </c>
    </row>
    <row r="2860" spans="1:2" x14ac:dyDescent="0.3">
      <c r="A2860" t="s">
        <v>26</v>
      </c>
      <c r="B2860">
        <f>AVERAGEIF(Sheet1!B:B, A2860, Sheet1!J:J)</f>
        <v>81.180582524271841</v>
      </c>
    </row>
    <row r="2861" spans="1:2" x14ac:dyDescent="0.3">
      <c r="A2861" t="s">
        <v>26</v>
      </c>
      <c r="B2861">
        <f>AVERAGEIF(Sheet1!B:B, A2861, Sheet1!J:J)</f>
        <v>81.180582524271841</v>
      </c>
    </row>
    <row r="2862" spans="1:2" x14ac:dyDescent="0.3">
      <c r="A2862" t="s">
        <v>26</v>
      </c>
      <c r="B2862">
        <f>AVERAGEIF(Sheet1!B:B, A2862, Sheet1!J:J)</f>
        <v>81.180582524271841</v>
      </c>
    </row>
    <row r="2863" spans="1:2" x14ac:dyDescent="0.3">
      <c r="A2863" t="s">
        <v>26</v>
      </c>
      <c r="B2863">
        <f>AVERAGEIF(Sheet1!B:B, A2863, Sheet1!J:J)</f>
        <v>81.180582524271841</v>
      </c>
    </row>
    <row r="2864" spans="1:2" x14ac:dyDescent="0.3">
      <c r="A2864" t="s">
        <v>26</v>
      </c>
      <c r="B2864">
        <f>AVERAGEIF(Sheet1!B:B, A2864, Sheet1!J:J)</f>
        <v>81.180582524271841</v>
      </c>
    </row>
    <row r="2865" spans="1:2" x14ac:dyDescent="0.3">
      <c r="A2865" t="s">
        <v>26</v>
      </c>
      <c r="B2865">
        <f>AVERAGEIF(Sheet1!B:B, A2865, Sheet1!J:J)</f>
        <v>81.180582524271841</v>
      </c>
    </row>
    <row r="2866" spans="1:2" x14ac:dyDescent="0.3">
      <c r="A2866" t="s">
        <v>26</v>
      </c>
      <c r="B2866">
        <f>AVERAGEIF(Sheet1!B:B, A2866, Sheet1!J:J)</f>
        <v>81.180582524271841</v>
      </c>
    </row>
    <row r="2867" spans="1:2" x14ac:dyDescent="0.3">
      <c r="A2867" t="s">
        <v>26</v>
      </c>
      <c r="B2867">
        <f>AVERAGEIF(Sheet1!B:B, A2867, Sheet1!J:J)</f>
        <v>81.180582524271841</v>
      </c>
    </row>
    <row r="2868" spans="1:2" x14ac:dyDescent="0.3">
      <c r="A2868" t="s">
        <v>26</v>
      </c>
      <c r="B2868">
        <f>AVERAGEIF(Sheet1!B:B, A2868, Sheet1!J:J)</f>
        <v>81.180582524271841</v>
      </c>
    </row>
    <row r="2869" spans="1:2" x14ac:dyDescent="0.3">
      <c r="A2869" t="s">
        <v>26</v>
      </c>
      <c r="B2869">
        <f>AVERAGEIF(Sheet1!B:B, A2869, Sheet1!J:J)</f>
        <v>81.180582524271841</v>
      </c>
    </row>
    <row r="2870" spans="1:2" x14ac:dyDescent="0.3">
      <c r="A2870" t="s">
        <v>26</v>
      </c>
      <c r="B2870">
        <f>AVERAGEIF(Sheet1!B:B, A2870, Sheet1!J:J)</f>
        <v>81.180582524271841</v>
      </c>
    </row>
    <row r="2871" spans="1:2" x14ac:dyDescent="0.3">
      <c r="A2871" t="s">
        <v>26</v>
      </c>
      <c r="B2871">
        <f>AVERAGEIF(Sheet1!B:B, A2871, Sheet1!J:J)</f>
        <v>81.180582524271841</v>
      </c>
    </row>
    <row r="2872" spans="1:2" x14ac:dyDescent="0.3">
      <c r="A2872" t="s">
        <v>26</v>
      </c>
      <c r="B2872">
        <f>AVERAGEIF(Sheet1!B:B, A2872, Sheet1!J:J)</f>
        <v>81.180582524271841</v>
      </c>
    </row>
    <row r="2873" spans="1:2" x14ac:dyDescent="0.3">
      <c r="A2873" t="s">
        <v>26</v>
      </c>
      <c r="B2873">
        <f>AVERAGEIF(Sheet1!B:B, A2873, Sheet1!J:J)</f>
        <v>81.180582524271841</v>
      </c>
    </row>
    <row r="2874" spans="1:2" x14ac:dyDescent="0.3">
      <c r="A2874" t="s">
        <v>26</v>
      </c>
      <c r="B2874">
        <f>AVERAGEIF(Sheet1!B:B, A2874, Sheet1!J:J)</f>
        <v>81.180582524271841</v>
      </c>
    </row>
    <row r="2875" spans="1:2" x14ac:dyDescent="0.3">
      <c r="A2875" t="s">
        <v>26</v>
      </c>
      <c r="B2875">
        <f>AVERAGEIF(Sheet1!B:B, A2875, Sheet1!J:J)</f>
        <v>81.180582524271841</v>
      </c>
    </row>
    <row r="2876" spans="1:2" x14ac:dyDescent="0.3">
      <c r="A2876" t="s">
        <v>26</v>
      </c>
      <c r="B2876">
        <f>AVERAGEIF(Sheet1!B:B, A2876, Sheet1!J:J)</f>
        <v>81.180582524271841</v>
      </c>
    </row>
    <row r="2877" spans="1:2" x14ac:dyDescent="0.3">
      <c r="A2877" t="s">
        <v>26</v>
      </c>
      <c r="B2877">
        <f>AVERAGEIF(Sheet1!B:B, A2877, Sheet1!J:J)</f>
        <v>81.180582524271841</v>
      </c>
    </row>
    <row r="2878" spans="1:2" x14ac:dyDescent="0.3">
      <c r="A2878" t="s">
        <v>26</v>
      </c>
      <c r="B2878">
        <f>AVERAGEIF(Sheet1!B:B, A2878, Sheet1!J:J)</f>
        <v>81.180582524271841</v>
      </c>
    </row>
    <row r="2879" spans="1:2" x14ac:dyDescent="0.3">
      <c r="A2879" t="s">
        <v>26</v>
      </c>
      <c r="B2879">
        <f>AVERAGEIF(Sheet1!B:B, A2879, Sheet1!J:J)</f>
        <v>81.180582524271841</v>
      </c>
    </row>
    <row r="2880" spans="1:2" x14ac:dyDescent="0.3">
      <c r="A2880" t="s">
        <v>26</v>
      </c>
      <c r="B2880">
        <f>AVERAGEIF(Sheet1!B:B, A2880, Sheet1!J:J)</f>
        <v>81.180582524271841</v>
      </c>
    </row>
    <row r="2881" spans="1:2" x14ac:dyDescent="0.3">
      <c r="A2881" t="s">
        <v>41</v>
      </c>
      <c r="B2881">
        <f>AVERAGEIF(Sheet1!B:B, A2881, Sheet1!J:J)</f>
        <v>87.222222222222229</v>
      </c>
    </row>
    <row r="2882" spans="1:2" x14ac:dyDescent="0.3">
      <c r="A2882" t="s">
        <v>40</v>
      </c>
      <c r="B2882">
        <f>AVERAGEIF(Sheet1!B:B, A2882, Sheet1!J:J)</f>
        <v>83.857142857142861</v>
      </c>
    </row>
    <row r="2883" spans="1:2" x14ac:dyDescent="0.3">
      <c r="A2883" t="s">
        <v>26</v>
      </c>
      <c r="B2883">
        <f>AVERAGEIF(Sheet1!B:B, A2883, Sheet1!J:J)</f>
        <v>81.180582524271841</v>
      </c>
    </row>
    <row r="2884" spans="1:2" x14ac:dyDescent="0.3">
      <c r="A2884" t="s">
        <v>26</v>
      </c>
      <c r="B2884">
        <f>AVERAGEIF(Sheet1!B:B, A2884, Sheet1!J:J)</f>
        <v>81.180582524271841</v>
      </c>
    </row>
    <row r="2885" spans="1:2" x14ac:dyDescent="0.3">
      <c r="A2885" t="s">
        <v>27</v>
      </c>
      <c r="B2885">
        <f>AVERAGEIF(Sheet1!B:B, A2885, Sheet1!J:J)</f>
        <v>82.383177570093451</v>
      </c>
    </row>
    <row r="2886" spans="1:2" x14ac:dyDescent="0.3">
      <c r="A2886" t="s">
        <v>27</v>
      </c>
      <c r="B2886">
        <f>AVERAGEIF(Sheet1!B:B, A2886, Sheet1!J:J)</f>
        <v>82.383177570093451</v>
      </c>
    </row>
    <row r="2887" spans="1:2" x14ac:dyDescent="0.3">
      <c r="A2887" t="s">
        <v>32</v>
      </c>
      <c r="B2887">
        <f>AVERAGEIF(Sheet1!B:B, A2887, Sheet1!J:J)</f>
        <v>43.571428571428569</v>
      </c>
    </row>
    <row r="2888" spans="1:2" x14ac:dyDescent="0.3">
      <c r="A2888" t="s">
        <v>32</v>
      </c>
      <c r="B2888">
        <f>AVERAGEIF(Sheet1!B:B, A2888, Sheet1!J:J)</f>
        <v>43.571428571428569</v>
      </c>
    </row>
    <row r="2889" spans="1:2" x14ac:dyDescent="0.3">
      <c r="A2889" t="s">
        <v>30</v>
      </c>
      <c r="B2889">
        <f>AVERAGEIF(Sheet1!B:B, A2889, Sheet1!J:J)</f>
        <v>83.958333333333329</v>
      </c>
    </row>
    <row r="2890" spans="1:2" x14ac:dyDescent="0.3">
      <c r="A2890" t="s">
        <v>30</v>
      </c>
      <c r="B2890">
        <f>AVERAGEIF(Sheet1!B:B, A2890, Sheet1!J:J)</f>
        <v>83.958333333333329</v>
      </c>
    </row>
    <row r="2891" spans="1:2" x14ac:dyDescent="0.3">
      <c r="A2891" t="s">
        <v>30</v>
      </c>
      <c r="B2891">
        <f>AVERAGEIF(Sheet1!B:B, A2891, Sheet1!J:J)</f>
        <v>83.958333333333329</v>
      </c>
    </row>
    <row r="2892" spans="1:2" x14ac:dyDescent="0.3">
      <c r="A2892" t="s">
        <v>30</v>
      </c>
      <c r="B2892">
        <f>AVERAGEIF(Sheet1!B:B, A2892, Sheet1!J:J)</f>
        <v>83.958333333333329</v>
      </c>
    </row>
    <row r="2893" spans="1:2" x14ac:dyDescent="0.3">
      <c r="A2893" t="s">
        <v>30</v>
      </c>
      <c r="B2893">
        <f>AVERAGEIF(Sheet1!B:B, A2893, Sheet1!J:J)</f>
        <v>83.958333333333329</v>
      </c>
    </row>
    <row r="2894" spans="1:2" x14ac:dyDescent="0.3">
      <c r="A2894" t="s">
        <v>30</v>
      </c>
      <c r="B2894">
        <f>AVERAGEIF(Sheet1!B:B, A2894, Sheet1!J:J)</f>
        <v>83.958333333333329</v>
      </c>
    </row>
    <row r="2895" spans="1:2" x14ac:dyDescent="0.3">
      <c r="A2895" t="s">
        <v>30</v>
      </c>
      <c r="B2895">
        <f>AVERAGEIF(Sheet1!B:B, A2895, Sheet1!J:J)</f>
        <v>83.958333333333329</v>
      </c>
    </row>
    <row r="2896" spans="1:2" x14ac:dyDescent="0.3">
      <c r="A2896" t="s">
        <v>30</v>
      </c>
      <c r="B2896">
        <f>AVERAGEIF(Sheet1!B:B, A2896, Sheet1!J:J)</f>
        <v>83.958333333333329</v>
      </c>
    </row>
    <row r="2897" spans="1:2" x14ac:dyDescent="0.3">
      <c r="A2897" t="s">
        <v>27</v>
      </c>
      <c r="B2897">
        <f>AVERAGEIF(Sheet1!B:B, A2897, Sheet1!J:J)</f>
        <v>82.383177570093451</v>
      </c>
    </row>
    <row r="2898" spans="1:2" x14ac:dyDescent="0.3">
      <c r="A2898" t="s">
        <v>27</v>
      </c>
      <c r="B2898">
        <f>AVERAGEIF(Sheet1!B:B, A2898, Sheet1!J:J)</f>
        <v>82.383177570093451</v>
      </c>
    </row>
    <row r="2899" spans="1:2" x14ac:dyDescent="0.3">
      <c r="A2899" t="s">
        <v>27</v>
      </c>
      <c r="B2899">
        <f>AVERAGEIF(Sheet1!B:B, A2899, Sheet1!J:J)</f>
        <v>82.383177570093451</v>
      </c>
    </row>
    <row r="2900" spans="1:2" x14ac:dyDescent="0.3">
      <c r="A2900" t="s">
        <v>27</v>
      </c>
      <c r="B2900">
        <f>AVERAGEIF(Sheet1!B:B, A2900, Sheet1!J:J)</f>
        <v>82.383177570093451</v>
      </c>
    </row>
    <row r="2901" spans="1:2" x14ac:dyDescent="0.3">
      <c r="A2901" t="s">
        <v>27</v>
      </c>
      <c r="B2901">
        <f>AVERAGEIF(Sheet1!B:B, A2901, Sheet1!J:J)</f>
        <v>82.383177570093451</v>
      </c>
    </row>
    <row r="2902" spans="1:2" x14ac:dyDescent="0.3">
      <c r="A2902" t="s">
        <v>27</v>
      </c>
      <c r="B2902">
        <f>AVERAGEIF(Sheet1!B:B, A2902, Sheet1!J:J)</f>
        <v>82.383177570093451</v>
      </c>
    </row>
    <row r="2903" spans="1:2" x14ac:dyDescent="0.3">
      <c r="A2903" t="s">
        <v>27</v>
      </c>
      <c r="B2903">
        <f>AVERAGEIF(Sheet1!B:B, A2903, Sheet1!J:J)</f>
        <v>82.383177570093451</v>
      </c>
    </row>
    <row r="2904" spans="1:2" x14ac:dyDescent="0.3">
      <c r="A2904" t="s">
        <v>27</v>
      </c>
      <c r="B2904">
        <f>AVERAGEIF(Sheet1!B:B, A2904, Sheet1!J:J)</f>
        <v>82.383177570093451</v>
      </c>
    </row>
    <row r="2905" spans="1:2" x14ac:dyDescent="0.3">
      <c r="A2905" t="s">
        <v>27</v>
      </c>
      <c r="B2905">
        <f>AVERAGEIF(Sheet1!B:B, A2905, Sheet1!J:J)</f>
        <v>82.383177570093451</v>
      </c>
    </row>
    <row r="2906" spans="1:2" x14ac:dyDescent="0.3">
      <c r="A2906" t="s">
        <v>27</v>
      </c>
      <c r="B2906">
        <f>AVERAGEIF(Sheet1!B:B, A2906, Sheet1!J:J)</f>
        <v>82.383177570093451</v>
      </c>
    </row>
    <row r="2907" spans="1:2" x14ac:dyDescent="0.3">
      <c r="A2907" t="s">
        <v>27</v>
      </c>
      <c r="B2907">
        <f>AVERAGEIF(Sheet1!B:B, A2907, Sheet1!J:J)</f>
        <v>82.383177570093451</v>
      </c>
    </row>
    <row r="2908" spans="1:2" x14ac:dyDescent="0.3">
      <c r="A2908" t="s">
        <v>27</v>
      </c>
      <c r="B2908">
        <f>AVERAGEIF(Sheet1!B:B, A2908, Sheet1!J:J)</f>
        <v>82.383177570093451</v>
      </c>
    </row>
    <row r="2909" spans="1:2" x14ac:dyDescent="0.3">
      <c r="A2909" t="s">
        <v>27</v>
      </c>
      <c r="B2909">
        <f>AVERAGEIF(Sheet1!B:B, A2909, Sheet1!J:J)</f>
        <v>82.383177570093451</v>
      </c>
    </row>
    <row r="2910" spans="1:2" x14ac:dyDescent="0.3">
      <c r="A2910" t="s">
        <v>27</v>
      </c>
      <c r="B2910">
        <f>AVERAGEIF(Sheet1!B:B, A2910, Sheet1!J:J)</f>
        <v>82.383177570093451</v>
      </c>
    </row>
    <row r="2911" spans="1:2" x14ac:dyDescent="0.3">
      <c r="A2911" t="s">
        <v>30</v>
      </c>
      <c r="B2911">
        <f>AVERAGEIF(Sheet1!B:B, A2911, Sheet1!J:J)</f>
        <v>83.958333333333329</v>
      </c>
    </row>
    <row r="2912" spans="1:2" x14ac:dyDescent="0.3">
      <c r="A2912" t="s">
        <v>31</v>
      </c>
      <c r="B2912">
        <f>AVERAGEIF(Sheet1!B:B, A2912, Sheet1!J:J)</f>
        <v>111.49520766773163</v>
      </c>
    </row>
    <row r="2913" spans="1:2" x14ac:dyDescent="0.3">
      <c r="A2913" t="s">
        <v>31</v>
      </c>
      <c r="B2913">
        <f>AVERAGEIF(Sheet1!B:B, A2913, Sheet1!J:J)</f>
        <v>111.49520766773163</v>
      </c>
    </row>
    <row r="2914" spans="1:2" x14ac:dyDescent="0.3">
      <c r="A2914" t="s">
        <v>31</v>
      </c>
      <c r="B2914">
        <f>AVERAGEIF(Sheet1!B:B, A2914, Sheet1!J:J)</f>
        <v>111.49520766773163</v>
      </c>
    </row>
    <row r="2915" spans="1:2" x14ac:dyDescent="0.3">
      <c r="A2915" t="s">
        <v>31</v>
      </c>
      <c r="B2915">
        <f>AVERAGEIF(Sheet1!B:B, A2915, Sheet1!J:J)</f>
        <v>111.49520766773163</v>
      </c>
    </row>
    <row r="2916" spans="1:2" x14ac:dyDescent="0.3">
      <c r="A2916" t="s">
        <v>27</v>
      </c>
      <c r="B2916">
        <f>AVERAGEIF(Sheet1!B:B, A2916, Sheet1!J:J)</f>
        <v>82.383177570093451</v>
      </c>
    </row>
    <row r="2917" spans="1:2" x14ac:dyDescent="0.3">
      <c r="A2917" t="s">
        <v>27</v>
      </c>
      <c r="B2917">
        <f>AVERAGEIF(Sheet1!B:B, A2917, Sheet1!J:J)</f>
        <v>82.383177570093451</v>
      </c>
    </row>
    <row r="2918" spans="1:2" x14ac:dyDescent="0.3">
      <c r="A2918" t="s">
        <v>31</v>
      </c>
      <c r="B2918">
        <f>AVERAGEIF(Sheet1!B:B, A2918, Sheet1!J:J)</f>
        <v>111.49520766773163</v>
      </c>
    </row>
    <row r="2919" spans="1:2" x14ac:dyDescent="0.3">
      <c r="A2919" t="s">
        <v>31</v>
      </c>
      <c r="B2919">
        <f>AVERAGEIF(Sheet1!B:B, A2919, Sheet1!J:J)</f>
        <v>111.49520766773163</v>
      </c>
    </row>
    <row r="2920" spans="1:2" x14ac:dyDescent="0.3">
      <c r="A2920" t="s">
        <v>31</v>
      </c>
      <c r="B2920">
        <f>AVERAGEIF(Sheet1!B:B, A2920, Sheet1!J:J)</f>
        <v>111.49520766773163</v>
      </c>
    </row>
    <row r="2921" spans="1:2" x14ac:dyDescent="0.3">
      <c r="A2921" t="s">
        <v>31</v>
      </c>
      <c r="B2921">
        <f>AVERAGEIF(Sheet1!B:B, A2921, Sheet1!J:J)</f>
        <v>111.49520766773163</v>
      </c>
    </row>
    <row r="2922" spans="1:2" x14ac:dyDescent="0.3">
      <c r="A2922" t="s">
        <v>30</v>
      </c>
      <c r="B2922">
        <f>AVERAGEIF(Sheet1!B:B, A2922, Sheet1!J:J)</f>
        <v>83.958333333333329</v>
      </c>
    </row>
    <row r="2923" spans="1:2" x14ac:dyDescent="0.3">
      <c r="A2923" t="s">
        <v>30</v>
      </c>
      <c r="B2923">
        <f>AVERAGEIF(Sheet1!B:B, A2923, Sheet1!J:J)</f>
        <v>83.958333333333329</v>
      </c>
    </row>
    <row r="2924" spans="1:2" x14ac:dyDescent="0.3">
      <c r="A2924" t="s">
        <v>31</v>
      </c>
      <c r="B2924">
        <f>AVERAGEIF(Sheet1!B:B, A2924, Sheet1!J:J)</f>
        <v>111.49520766773163</v>
      </c>
    </row>
    <row r="2925" spans="1:2" x14ac:dyDescent="0.3">
      <c r="A2925" t="s">
        <v>31</v>
      </c>
      <c r="B2925">
        <f>AVERAGEIF(Sheet1!B:B, A2925, Sheet1!J:J)</f>
        <v>111.49520766773163</v>
      </c>
    </row>
    <row r="2926" spans="1:2" x14ac:dyDescent="0.3">
      <c r="A2926" t="s">
        <v>31</v>
      </c>
      <c r="B2926">
        <f>AVERAGEIF(Sheet1!B:B, A2926, Sheet1!J:J)</f>
        <v>111.49520766773163</v>
      </c>
    </row>
    <row r="2927" spans="1:2" x14ac:dyDescent="0.3">
      <c r="A2927" t="s">
        <v>31</v>
      </c>
      <c r="B2927">
        <f>AVERAGEIF(Sheet1!B:B, A2927, Sheet1!J:J)</f>
        <v>111.49520766773163</v>
      </c>
    </row>
    <row r="2928" spans="1:2" x14ac:dyDescent="0.3">
      <c r="A2928" t="s">
        <v>31</v>
      </c>
      <c r="B2928">
        <f>AVERAGEIF(Sheet1!B:B, A2928, Sheet1!J:J)</f>
        <v>111.49520766773163</v>
      </c>
    </row>
    <row r="2929" spans="1:2" x14ac:dyDescent="0.3">
      <c r="A2929" t="s">
        <v>31</v>
      </c>
      <c r="B2929">
        <f>AVERAGEIF(Sheet1!B:B, A2929, Sheet1!J:J)</f>
        <v>111.49520766773163</v>
      </c>
    </row>
    <row r="2930" spans="1:2" x14ac:dyDescent="0.3">
      <c r="A2930" t="s">
        <v>31</v>
      </c>
      <c r="B2930">
        <f>AVERAGEIF(Sheet1!B:B, A2930, Sheet1!J:J)</f>
        <v>111.49520766773163</v>
      </c>
    </row>
    <row r="2931" spans="1:2" x14ac:dyDescent="0.3">
      <c r="A2931" t="s">
        <v>31</v>
      </c>
      <c r="B2931">
        <f>AVERAGEIF(Sheet1!B:B, A2931, Sheet1!J:J)</f>
        <v>111.49520766773163</v>
      </c>
    </row>
    <row r="2932" spans="1:2" x14ac:dyDescent="0.3">
      <c r="A2932" t="s">
        <v>31</v>
      </c>
      <c r="B2932">
        <f>AVERAGEIF(Sheet1!B:B, A2932, Sheet1!J:J)</f>
        <v>111.49520766773163</v>
      </c>
    </row>
    <row r="2933" spans="1:2" x14ac:dyDescent="0.3">
      <c r="A2933" t="s">
        <v>31</v>
      </c>
      <c r="B2933">
        <f>AVERAGEIF(Sheet1!B:B, A2933, Sheet1!J:J)</f>
        <v>111.49520766773163</v>
      </c>
    </row>
    <row r="2934" spans="1:2" x14ac:dyDescent="0.3">
      <c r="A2934" t="s">
        <v>31</v>
      </c>
      <c r="B2934">
        <f>AVERAGEIF(Sheet1!B:B, A2934, Sheet1!J:J)</f>
        <v>111.49520766773163</v>
      </c>
    </row>
    <row r="2935" spans="1:2" x14ac:dyDescent="0.3">
      <c r="A2935" t="s">
        <v>31</v>
      </c>
      <c r="B2935">
        <f>AVERAGEIF(Sheet1!B:B, A2935, Sheet1!J:J)</f>
        <v>111.49520766773163</v>
      </c>
    </row>
    <row r="2936" spans="1:2" x14ac:dyDescent="0.3">
      <c r="A2936" t="s">
        <v>31</v>
      </c>
      <c r="B2936">
        <f>AVERAGEIF(Sheet1!B:B, A2936, Sheet1!J:J)</f>
        <v>111.49520766773163</v>
      </c>
    </row>
    <row r="2937" spans="1:2" x14ac:dyDescent="0.3">
      <c r="A2937" t="s">
        <v>31</v>
      </c>
      <c r="B2937">
        <f>AVERAGEIF(Sheet1!B:B, A2937, Sheet1!J:J)</f>
        <v>111.49520766773163</v>
      </c>
    </row>
    <row r="2938" spans="1:2" x14ac:dyDescent="0.3">
      <c r="A2938" t="s">
        <v>31</v>
      </c>
      <c r="B2938">
        <f>AVERAGEIF(Sheet1!B:B, A2938, Sheet1!J:J)</f>
        <v>111.49520766773163</v>
      </c>
    </row>
    <row r="2939" spans="1:2" x14ac:dyDescent="0.3">
      <c r="A2939" t="s">
        <v>31</v>
      </c>
      <c r="B2939">
        <f>AVERAGEIF(Sheet1!B:B, A2939, Sheet1!J:J)</f>
        <v>111.49520766773163</v>
      </c>
    </row>
    <row r="2940" spans="1:2" x14ac:dyDescent="0.3">
      <c r="A2940" t="s">
        <v>31</v>
      </c>
      <c r="B2940">
        <f>AVERAGEIF(Sheet1!B:B, A2940, Sheet1!J:J)</f>
        <v>111.49520766773163</v>
      </c>
    </row>
    <row r="2941" spans="1:2" x14ac:dyDescent="0.3">
      <c r="A2941" t="s">
        <v>31</v>
      </c>
      <c r="B2941">
        <f>AVERAGEIF(Sheet1!B:B, A2941, Sheet1!J:J)</f>
        <v>111.49520766773163</v>
      </c>
    </row>
    <row r="2942" spans="1:2" x14ac:dyDescent="0.3">
      <c r="A2942" t="s">
        <v>31</v>
      </c>
      <c r="B2942">
        <f>AVERAGEIF(Sheet1!B:B, A2942, Sheet1!J:J)</f>
        <v>111.49520766773163</v>
      </c>
    </row>
    <row r="2943" spans="1:2" x14ac:dyDescent="0.3">
      <c r="A2943" t="s">
        <v>31</v>
      </c>
      <c r="B2943">
        <f>AVERAGEIF(Sheet1!B:B, A2943, Sheet1!J:J)</f>
        <v>111.49520766773163</v>
      </c>
    </row>
    <row r="2944" spans="1:2" x14ac:dyDescent="0.3">
      <c r="A2944" t="s">
        <v>31</v>
      </c>
      <c r="B2944">
        <f>AVERAGEIF(Sheet1!B:B, A2944, Sheet1!J:J)</f>
        <v>111.49520766773163</v>
      </c>
    </row>
    <row r="2945" spans="1:2" x14ac:dyDescent="0.3">
      <c r="A2945" t="s">
        <v>31</v>
      </c>
      <c r="B2945">
        <f>AVERAGEIF(Sheet1!B:B, A2945, Sheet1!J:J)</f>
        <v>111.49520766773163</v>
      </c>
    </row>
    <row r="2946" spans="1:2" x14ac:dyDescent="0.3">
      <c r="A2946" t="s">
        <v>31</v>
      </c>
      <c r="B2946">
        <f>AVERAGEIF(Sheet1!B:B, A2946, Sheet1!J:J)</f>
        <v>111.49520766773163</v>
      </c>
    </row>
    <row r="2947" spans="1:2" x14ac:dyDescent="0.3">
      <c r="A2947" t="s">
        <v>31</v>
      </c>
      <c r="B2947">
        <f>AVERAGEIF(Sheet1!B:B, A2947, Sheet1!J:J)</f>
        <v>111.49520766773163</v>
      </c>
    </row>
    <row r="2948" spans="1:2" x14ac:dyDescent="0.3">
      <c r="A2948" t="s">
        <v>31</v>
      </c>
      <c r="B2948">
        <f>AVERAGEIF(Sheet1!B:B, A2948, Sheet1!J:J)</f>
        <v>111.49520766773163</v>
      </c>
    </row>
    <row r="2949" spans="1:2" x14ac:dyDescent="0.3">
      <c r="A2949" t="s">
        <v>31</v>
      </c>
      <c r="B2949">
        <f>AVERAGEIF(Sheet1!B:B, A2949, Sheet1!J:J)</f>
        <v>111.49520766773163</v>
      </c>
    </row>
    <row r="2950" spans="1:2" x14ac:dyDescent="0.3">
      <c r="A2950" t="s">
        <v>31</v>
      </c>
      <c r="B2950">
        <f>AVERAGEIF(Sheet1!B:B, A2950, Sheet1!J:J)</f>
        <v>111.49520766773163</v>
      </c>
    </row>
    <row r="2951" spans="1:2" x14ac:dyDescent="0.3">
      <c r="A2951" t="s">
        <v>31</v>
      </c>
      <c r="B2951">
        <f>AVERAGEIF(Sheet1!B:B, A2951, Sheet1!J:J)</f>
        <v>111.49520766773163</v>
      </c>
    </row>
    <row r="2952" spans="1:2" x14ac:dyDescent="0.3">
      <c r="A2952" t="s">
        <v>31</v>
      </c>
      <c r="B2952">
        <f>AVERAGEIF(Sheet1!B:B, A2952, Sheet1!J:J)</f>
        <v>111.49520766773163</v>
      </c>
    </row>
    <row r="2953" spans="1:2" x14ac:dyDescent="0.3">
      <c r="A2953" t="s">
        <v>31</v>
      </c>
      <c r="B2953">
        <f>AVERAGEIF(Sheet1!B:B, A2953, Sheet1!J:J)</f>
        <v>111.49520766773163</v>
      </c>
    </row>
    <row r="2954" spans="1:2" x14ac:dyDescent="0.3">
      <c r="A2954" t="s">
        <v>31</v>
      </c>
      <c r="B2954">
        <f>AVERAGEIF(Sheet1!B:B, A2954, Sheet1!J:J)</f>
        <v>111.49520766773163</v>
      </c>
    </row>
    <row r="2955" spans="1:2" x14ac:dyDescent="0.3">
      <c r="A2955" t="s">
        <v>31</v>
      </c>
      <c r="B2955">
        <f>AVERAGEIF(Sheet1!B:B, A2955, Sheet1!J:J)</f>
        <v>111.49520766773163</v>
      </c>
    </row>
    <row r="2956" spans="1:2" x14ac:dyDescent="0.3">
      <c r="A2956" t="s">
        <v>31</v>
      </c>
      <c r="B2956">
        <f>AVERAGEIF(Sheet1!B:B, A2956, Sheet1!J:J)</f>
        <v>111.49520766773163</v>
      </c>
    </row>
    <row r="2957" spans="1:2" x14ac:dyDescent="0.3">
      <c r="A2957" t="s">
        <v>31</v>
      </c>
      <c r="B2957">
        <f>AVERAGEIF(Sheet1!B:B, A2957, Sheet1!J:J)</f>
        <v>111.49520766773163</v>
      </c>
    </row>
    <row r="2958" spans="1:2" x14ac:dyDescent="0.3">
      <c r="A2958" t="s">
        <v>31</v>
      </c>
      <c r="B2958">
        <f>AVERAGEIF(Sheet1!B:B, A2958, Sheet1!J:J)</f>
        <v>111.49520766773163</v>
      </c>
    </row>
    <row r="2959" spans="1:2" x14ac:dyDescent="0.3">
      <c r="A2959" t="s">
        <v>31</v>
      </c>
      <c r="B2959">
        <f>AVERAGEIF(Sheet1!B:B, A2959, Sheet1!J:J)</f>
        <v>111.49520766773163</v>
      </c>
    </row>
    <row r="2960" spans="1:2" x14ac:dyDescent="0.3">
      <c r="A2960" t="s">
        <v>31</v>
      </c>
      <c r="B2960">
        <f>AVERAGEIF(Sheet1!B:B, A2960, Sheet1!J:J)</f>
        <v>111.49520766773163</v>
      </c>
    </row>
    <row r="2961" spans="1:2" x14ac:dyDescent="0.3">
      <c r="A2961" t="s">
        <v>31</v>
      </c>
      <c r="B2961">
        <f>AVERAGEIF(Sheet1!B:B, A2961, Sheet1!J:J)</f>
        <v>111.49520766773163</v>
      </c>
    </row>
    <row r="2962" spans="1:2" x14ac:dyDescent="0.3">
      <c r="A2962" t="s">
        <v>31</v>
      </c>
      <c r="B2962">
        <f>AVERAGEIF(Sheet1!B:B, A2962, Sheet1!J:J)</f>
        <v>111.49520766773163</v>
      </c>
    </row>
    <row r="2963" spans="1:2" x14ac:dyDescent="0.3">
      <c r="A2963" t="s">
        <v>31</v>
      </c>
      <c r="B2963">
        <f>AVERAGEIF(Sheet1!B:B, A2963, Sheet1!J:J)</f>
        <v>111.49520766773163</v>
      </c>
    </row>
    <row r="2964" spans="1:2" x14ac:dyDescent="0.3">
      <c r="A2964" t="s">
        <v>31</v>
      </c>
      <c r="B2964">
        <f>AVERAGEIF(Sheet1!B:B, A2964, Sheet1!J:J)</f>
        <v>111.49520766773163</v>
      </c>
    </row>
    <row r="2965" spans="1:2" x14ac:dyDescent="0.3">
      <c r="A2965" t="s">
        <v>31</v>
      </c>
      <c r="B2965">
        <f>AVERAGEIF(Sheet1!B:B, A2965, Sheet1!J:J)</f>
        <v>111.49520766773163</v>
      </c>
    </row>
    <row r="2966" spans="1:2" x14ac:dyDescent="0.3">
      <c r="A2966" t="s">
        <v>31</v>
      </c>
      <c r="B2966">
        <f>AVERAGEIF(Sheet1!B:B, A2966, Sheet1!J:J)</f>
        <v>111.49520766773163</v>
      </c>
    </row>
    <row r="2967" spans="1:2" x14ac:dyDescent="0.3">
      <c r="A2967" t="s">
        <v>31</v>
      </c>
      <c r="B2967">
        <f>AVERAGEIF(Sheet1!B:B, A2967, Sheet1!J:J)</f>
        <v>111.49520766773163</v>
      </c>
    </row>
    <row r="2968" spans="1:2" x14ac:dyDescent="0.3">
      <c r="A2968" t="s">
        <v>31</v>
      </c>
      <c r="B2968">
        <f>AVERAGEIF(Sheet1!B:B, A2968, Sheet1!J:J)</f>
        <v>111.49520766773163</v>
      </c>
    </row>
    <row r="2969" spans="1:2" x14ac:dyDescent="0.3">
      <c r="A2969" t="s">
        <v>31</v>
      </c>
      <c r="B2969">
        <f>AVERAGEIF(Sheet1!B:B, A2969, Sheet1!J:J)</f>
        <v>111.49520766773163</v>
      </c>
    </row>
    <row r="2970" spans="1:2" x14ac:dyDescent="0.3">
      <c r="A2970" t="s">
        <v>31</v>
      </c>
      <c r="B2970">
        <f>AVERAGEIF(Sheet1!B:B, A2970, Sheet1!J:J)</f>
        <v>111.49520766773163</v>
      </c>
    </row>
    <row r="2971" spans="1:2" x14ac:dyDescent="0.3">
      <c r="A2971" t="s">
        <v>31</v>
      </c>
      <c r="B2971">
        <f>AVERAGEIF(Sheet1!B:B, A2971, Sheet1!J:J)</f>
        <v>111.49520766773163</v>
      </c>
    </row>
    <row r="2972" spans="1:2" x14ac:dyDescent="0.3">
      <c r="A2972" t="s">
        <v>31</v>
      </c>
      <c r="B2972">
        <f>AVERAGEIF(Sheet1!B:B, A2972, Sheet1!J:J)</f>
        <v>111.49520766773163</v>
      </c>
    </row>
    <row r="2973" spans="1:2" x14ac:dyDescent="0.3">
      <c r="A2973" t="s">
        <v>31</v>
      </c>
      <c r="B2973">
        <f>AVERAGEIF(Sheet1!B:B, A2973, Sheet1!J:J)</f>
        <v>111.49520766773163</v>
      </c>
    </row>
    <row r="2974" spans="1:2" x14ac:dyDescent="0.3">
      <c r="A2974" t="s">
        <v>31</v>
      </c>
      <c r="B2974">
        <f>AVERAGEIF(Sheet1!B:B, A2974, Sheet1!J:J)</f>
        <v>111.49520766773163</v>
      </c>
    </row>
    <row r="2975" spans="1:2" x14ac:dyDescent="0.3">
      <c r="A2975" t="s">
        <v>31</v>
      </c>
      <c r="B2975">
        <f>AVERAGEIF(Sheet1!B:B, A2975, Sheet1!J:J)</f>
        <v>111.49520766773163</v>
      </c>
    </row>
    <row r="2976" spans="1:2" x14ac:dyDescent="0.3">
      <c r="A2976" t="s">
        <v>31</v>
      </c>
      <c r="B2976">
        <f>AVERAGEIF(Sheet1!B:B, A2976, Sheet1!J:J)</f>
        <v>111.49520766773163</v>
      </c>
    </row>
    <row r="2977" spans="1:2" x14ac:dyDescent="0.3">
      <c r="A2977" t="s">
        <v>31</v>
      </c>
      <c r="B2977">
        <f>AVERAGEIF(Sheet1!B:B, A2977, Sheet1!J:J)</f>
        <v>111.49520766773163</v>
      </c>
    </row>
    <row r="2978" spans="1:2" x14ac:dyDescent="0.3">
      <c r="A2978" t="s">
        <v>33</v>
      </c>
      <c r="B2978">
        <f>AVERAGEIF(Sheet1!B:B, A2978, Sheet1!J:J)</f>
        <v>34.873096446700508</v>
      </c>
    </row>
    <row r="2979" spans="1:2" x14ac:dyDescent="0.3">
      <c r="A2979" t="s">
        <v>33</v>
      </c>
      <c r="B2979">
        <f>AVERAGEIF(Sheet1!B:B, A2979, Sheet1!J:J)</f>
        <v>34.873096446700508</v>
      </c>
    </row>
    <row r="2980" spans="1:2" x14ac:dyDescent="0.3">
      <c r="A2980" t="s">
        <v>33</v>
      </c>
      <c r="B2980">
        <f>AVERAGEIF(Sheet1!B:B, A2980, Sheet1!J:J)</f>
        <v>34.873096446700508</v>
      </c>
    </row>
    <row r="2981" spans="1:2" x14ac:dyDescent="0.3">
      <c r="A2981" t="s">
        <v>33</v>
      </c>
      <c r="B2981">
        <f>AVERAGEIF(Sheet1!B:B, A2981, Sheet1!J:J)</f>
        <v>34.873096446700508</v>
      </c>
    </row>
    <row r="2982" spans="1:2" x14ac:dyDescent="0.3">
      <c r="A2982" t="s">
        <v>33</v>
      </c>
      <c r="B2982">
        <f>AVERAGEIF(Sheet1!B:B, A2982, Sheet1!J:J)</f>
        <v>34.873096446700508</v>
      </c>
    </row>
    <row r="2983" spans="1:2" x14ac:dyDescent="0.3">
      <c r="A2983" t="s">
        <v>33</v>
      </c>
      <c r="B2983">
        <f>AVERAGEIF(Sheet1!B:B, A2983, Sheet1!J:J)</f>
        <v>34.873096446700508</v>
      </c>
    </row>
    <row r="2984" spans="1:2" x14ac:dyDescent="0.3">
      <c r="A2984" t="s">
        <v>33</v>
      </c>
      <c r="B2984">
        <f>AVERAGEIF(Sheet1!B:B, A2984, Sheet1!J:J)</f>
        <v>34.873096446700508</v>
      </c>
    </row>
    <row r="2985" spans="1:2" x14ac:dyDescent="0.3">
      <c r="A2985" t="s">
        <v>33</v>
      </c>
      <c r="B2985">
        <f>AVERAGEIF(Sheet1!B:B, A2985, Sheet1!J:J)</f>
        <v>34.873096446700508</v>
      </c>
    </row>
    <row r="2986" spans="1:2" x14ac:dyDescent="0.3">
      <c r="A2986" t="s">
        <v>33</v>
      </c>
      <c r="B2986">
        <f>AVERAGEIF(Sheet1!B:B, A2986, Sheet1!J:J)</f>
        <v>34.873096446700508</v>
      </c>
    </row>
    <row r="2987" spans="1:2" x14ac:dyDescent="0.3">
      <c r="A2987" t="s">
        <v>33</v>
      </c>
      <c r="B2987">
        <f>AVERAGEIF(Sheet1!B:B, A2987, Sheet1!J:J)</f>
        <v>34.873096446700508</v>
      </c>
    </row>
    <row r="2988" spans="1:2" x14ac:dyDescent="0.3">
      <c r="A2988" t="s">
        <v>33</v>
      </c>
      <c r="B2988">
        <f>AVERAGEIF(Sheet1!B:B, A2988, Sheet1!J:J)</f>
        <v>34.873096446700508</v>
      </c>
    </row>
    <row r="2989" spans="1:2" x14ac:dyDescent="0.3">
      <c r="A2989" t="s">
        <v>33</v>
      </c>
      <c r="B2989">
        <f>AVERAGEIF(Sheet1!B:B, A2989, Sheet1!J:J)</f>
        <v>34.873096446700508</v>
      </c>
    </row>
    <row r="2990" spans="1:2" x14ac:dyDescent="0.3">
      <c r="A2990" t="s">
        <v>33</v>
      </c>
      <c r="B2990">
        <f>AVERAGEIF(Sheet1!B:B, A2990, Sheet1!J:J)</f>
        <v>34.873096446700508</v>
      </c>
    </row>
    <row r="2991" spans="1:2" x14ac:dyDescent="0.3">
      <c r="A2991" t="s">
        <v>31</v>
      </c>
      <c r="B2991">
        <f>AVERAGEIF(Sheet1!B:B, A2991, Sheet1!J:J)</f>
        <v>111.49520766773163</v>
      </c>
    </row>
    <row r="2992" spans="1:2" x14ac:dyDescent="0.3">
      <c r="A2992" t="s">
        <v>34</v>
      </c>
      <c r="B2992">
        <f>AVERAGEIF(Sheet1!B:B, A2992, Sheet1!J:J)</f>
        <v>85.5</v>
      </c>
    </row>
    <row r="2993" spans="1:2" x14ac:dyDescent="0.3">
      <c r="A2993" t="s">
        <v>34</v>
      </c>
      <c r="B2993">
        <f>AVERAGEIF(Sheet1!B:B, A2993, Sheet1!J:J)</f>
        <v>85.5</v>
      </c>
    </row>
    <row r="2994" spans="1:2" x14ac:dyDescent="0.3">
      <c r="A2994" t="s">
        <v>33</v>
      </c>
      <c r="B2994">
        <f>AVERAGEIF(Sheet1!B:B, A2994, Sheet1!J:J)</f>
        <v>34.873096446700508</v>
      </c>
    </row>
    <row r="2995" spans="1:2" x14ac:dyDescent="0.3">
      <c r="A2995" t="s">
        <v>31</v>
      </c>
      <c r="B2995">
        <f>AVERAGEIF(Sheet1!B:B, A2995, Sheet1!J:J)</f>
        <v>111.49520766773163</v>
      </c>
    </row>
    <row r="2996" spans="1:2" x14ac:dyDescent="0.3">
      <c r="A2996" t="s">
        <v>31</v>
      </c>
      <c r="B2996">
        <f>AVERAGEIF(Sheet1!B:B, A2996, Sheet1!J:J)</f>
        <v>111.49520766773163</v>
      </c>
    </row>
    <row r="2997" spans="1:2" x14ac:dyDescent="0.3">
      <c r="A2997" t="s">
        <v>31</v>
      </c>
      <c r="B2997">
        <f>AVERAGEIF(Sheet1!B:B, A2997, Sheet1!J:J)</f>
        <v>111.49520766773163</v>
      </c>
    </row>
    <row r="2998" spans="1:2" x14ac:dyDescent="0.3">
      <c r="A2998" t="s">
        <v>31</v>
      </c>
      <c r="B2998">
        <f>AVERAGEIF(Sheet1!B:B, A2998, Sheet1!J:J)</f>
        <v>111.49520766773163</v>
      </c>
    </row>
    <row r="2999" spans="1:2" x14ac:dyDescent="0.3">
      <c r="A2999" t="s">
        <v>31</v>
      </c>
      <c r="B2999">
        <f>AVERAGEIF(Sheet1!B:B, A2999, Sheet1!J:J)</f>
        <v>111.49520766773163</v>
      </c>
    </row>
    <row r="3000" spans="1:2" x14ac:dyDescent="0.3">
      <c r="A3000" t="s">
        <v>31</v>
      </c>
      <c r="B3000">
        <f>AVERAGEIF(Sheet1!B:B, A3000, Sheet1!J:J)</f>
        <v>111.49520766773163</v>
      </c>
    </row>
    <row r="3001" spans="1:2" x14ac:dyDescent="0.3">
      <c r="A3001" t="s">
        <v>31</v>
      </c>
      <c r="B3001">
        <f>AVERAGEIF(Sheet1!B:B, A3001, Sheet1!J:J)</f>
        <v>111.49520766773163</v>
      </c>
    </row>
    <row r="3002" spans="1:2" x14ac:dyDescent="0.3">
      <c r="A3002" t="s">
        <v>31</v>
      </c>
      <c r="B3002">
        <f>AVERAGEIF(Sheet1!B:B, A3002, Sheet1!J:J)</f>
        <v>111.49520766773163</v>
      </c>
    </row>
    <row r="3003" spans="1:2" x14ac:dyDescent="0.3">
      <c r="A3003" t="s">
        <v>31</v>
      </c>
      <c r="B3003">
        <f>AVERAGEIF(Sheet1!B:B, A3003, Sheet1!J:J)</f>
        <v>111.49520766773163</v>
      </c>
    </row>
    <row r="3004" spans="1:2" x14ac:dyDescent="0.3">
      <c r="A3004" t="s">
        <v>33</v>
      </c>
      <c r="B3004">
        <f>AVERAGEIF(Sheet1!B:B, A3004, Sheet1!J:J)</f>
        <v>34.873096446700508</v>
      </c>
    </row>
    <row r="3005" spans="1:2" x14ac:dyDescent="0.3">
      <c r="A3005" t="s">
        <v>33</v>
      </c>
      <c r="B3005">
        <f>AVERAGEIF(Sheet1!B:B, A3005, Sheet1!J:J)</f>
        <v>34.873096446700508</v>
      </c>
    </row>
    <row r="3006" spans="1:2" x14ac:dyDescent="0.3">
      <c r="A3006" t="s">
        <v>33</v>
      </c>
      <c r="B3006">
        <f>AVERAGEIF(Sheet1!B:B, A3006, Sheet1!J:J)</f>
        <v>34.873096446700508</v>
      </c>
    </row>
    <row r="3007" spans="1:2" x14ac:dyDescent="0.3">
      <c r="A3007" t="s">
        <v>33</v>
      </c>
      <c r="B3007">
        <f>AVERAGEIF(Sheet1!B:B, A3007, Sheet1!J:J)</f>
        <v>34.873096446700508</v>
      </c>
    </row>
    <row r="3008" spans="1:2" x14ac:dyDescent="0.3">
      <c r="A3008" t="s">
        <v>33</v>
      </c>
      <c r="B3008">
        <f>AVERAGEIF(Sheet1!B:B, A3008, Sheet1!J:J)</f>
        <v>34.873096446700508</v>
      </c>
    </row>
    <row r="3009" spans="1:2" x14ac:dyDescent="0.3">
      <c r="A3009" t="s">
        <v>33</v>
      </c>
      <c r="B3009">
        <f>AVERAGEIF(Sheet1!B:B, A3009, Sheet1!J:J)</f>
        <v>34.873096446700508</v>
      </c>
    </row>
    <row r="3010" spans="1:2" x14ac:dyDescent="0.3">
      <c r="A3010" t="s">
        <v>33</v>
      </c>
      <c r="B3010">
        <f>AVERAGEIF(Sheet1!B:B, A3010, Sheet1!J:J)</f>
        <v>34.873096446700508</v>
      </c>
    </row>
    <row r="3011" spans="1:2" x14ac:dyDescent="0.3">
      <c r="A3011" t="s">
        <v>31</v>
      </c>
      <c r="B3011">
        <f>AVERAGEIF(Sheet1!B:B, A3011, Sheet1!J:J)</f>
        <v>111.49520766773163</v>
      </c>
    </row>
    <row r="3012" spans="1:2" x14ac:dyDescent="0.3">
      <c r="A3012" t="s">
        <v>31</v>
      </c>
      <c r="B3012">
        <f>AVERAGEIF(Sheet1!B:B, A3012, Sheet1!J:J)</f>
        <v>111.49520766773163</v>
      </c>
    </row>
    <row r="3013" spans="1:2" x14ac:dyDescent="0.3">
      <c r="A3013" t="s">
        <v>33</v>
      </c>
      <c r="B3013">
        <f>AVERAGEIF(Sheet1!B:B, A3013, Sheet1!J:J)</f>
        <v>34.873096446700508</v>
      </c>
    </row>
    <row r="3014" spans="1:2" x14ac:dyDescent="0.3">
      <c r="A3014" t="s">
        <v>33</v>
      </c>
      <c r="B3014">
        <f>AVERAGEIF(Sheet1!B:B, A3014, Sheet1!J:J)</f>
        <v>34.873096446700508</v>
      </c>
    </row>
    <row r="3015" spans="1:2" x14ac:dyDescent="0.3">
      <c r="A3015" t="s">
        <v>33</v>
      </c>
      <c r="B3015">
        <f>AVERAGEIF(Sheet1!B:B, A3015, Sheet1!J:J)</f>
        <v>34.873096446700508</v>
      </c>
    </row>
    <row r="3016" spans="1:2" x14ac:dyDescent="0.3">
      <c r="A3016" t="s">
        <v>33</v>
      </c>
      <c r="B3016">
        <f>AVERAGEIF(Sheet1!B:B, A3016, Sheet1!J:J)</f>
        <v>34.873096446700508</v>
      </c>
    </row>
    <row r="3017" spans="1:2" x14ac:dyDescent="0.3">
      <c r="A3017" t="s">
        <v>33</v>
      </c>
      <c r="B3017">
        <f>AVERAGEIF(Sheet1!B:B, A3017, Sheet1!J:J)</f>
        <v>34.873096446700508</v>
      </c>
    </row>
    <row r="3018" spans="1:2" x14ac:dyDescent="0.3">
      <c r="A3018" t="s">
        <v>33</v>
      </c>
      <c r="B3018">
        <f>AVERAGEIF(Sheet1!B:B, A3018, Sheet1!J:J)</f>
        <v>34.873096446700508</v>
      </c>
    </row>
    <row r="3019" spans="1:2" x14ac:dyDescent="0.3">
      <c r="A3019" t="s">
        <v>33</v>
      </c>
      <c r="B3019">
        <f>AVERAGEIF(Sheet1!B:B, A3019, Sheet1!J:J)</f>
        <v>34.873096446700508</v>
      </c>
    </row>
    <row r="3020" spans="1:2" x14ac:dyDescent="0.3">
      <c r="A3020" t="s">
        <v>33</v>
      </c>
      <c r="B3020">
        <f>AVERAGEIF(Sheet1!B:B, A3020, Sheet1!J:J)</f>
        <v>34.873096446700508</v>
      </c>
    </row>
    <row r="3021" spans="1:2" x14ac:dyDescent="0.3">
      <c r="A3021" t="s">
        <v>33</v>
      </c>
      <c r="B3021">
        <f>AVERAGEIF(Sheet1!B:B, A3021, Sheet1!J:J)</f>
        <v>34.873096446700508</v>
      </c>
    </row>
    <row r="3022" spans="1:2" x14ac:dyDescent="0.3">
      <c r="A3022" t="s">
        <v>33</v>
      </c>
      <c r="B3022">
        <f>AVERAGEIF(Sheet1!B:B, A3022, Sheet1!J:J)</f>
        <v>34.873096446700508</v>
      </c>
    </row>
    <row r="3023" spans="1:2" x14ac:dyDescent="0.3">
      <c r="A3023" t="s">
        <v>35</v>
      </c>
      <c r="B3023">
        <f>AVERAGEIF(Sheet1!B:B, A3023, Sheet1!J:J)</f>
        <v>51.028169014084504</v>
      </c>
    </row>
    <row r="3024" spans="1:2" x14ac:dyDescent="0.3">
      <c r="A3024" t="s">
        <v>35</v>
      </c>
      <c r="B3024">
        <f>AVERAGEIF(Sheet1!B:B, A3024, Sheet1!J:J)</f>
        <v>51.028169014084504</v>
      </c>
    </row>
    <row r="3025" spans="1:2" x14ac:dyDescent="0.3">
      <c r="A3025" t="s">
        <v>35</v>
      </c>
      <c r="B3025">
        <f>AVERAGEIF(Sheet1!B:B, A3025, Sheet1!J:J)</f>
        <v>51.028169014084504</v>
      </c>
    </row>
    <row r="3026" spans="1:2" x14ac:dyDescent="0.3">
      <c r="A3026" t="s">
        <v>35</v>
      </c>
      <c r="B3026">
        <f>AVERAGEIF(Sheet1!B:B, A3026, Sheet1!J:J)</f>
        <v>51.028169014084504</v>
      </c>
    </row>
    <row r="3027" spans="1:2" x14ac:dyDescent="0.3">
      <c r="A3027" t="s">
        <v>35</v>
      </c>
      <c r="B3027">
        <f>AVERAGEIF(Sheet1!B:B, A3027, Sheet1!J:J)</f>
        <v>51.028169014084504</v>
      </c>
    </row>
    <row r="3028" spans="1:2" x14ac:dyDescent="0.3">
      <c r="A3028" t="s">
        <v>35</v>
      </c>
      <c r="B3028">
        <f>AVERAGEIF(Sheet1!B:B, A3028, Sheet1!J:J)</f>
        <v>51.028169014084504</v>
      </c>
    </row>
    <row r="3029" spans="1:2" x14ac:dyDescent="0.3">
      <c r="A3029" t="s">
        <v>35</v>
      </c>
      <c r="B3029">
        <f>AVERAGEIF(Sheet1!B:B, A3029, Sheet1!J:J)</f>
        <v>51.028169014084504</v>
      </c>
    </row>
    <row r="3030" spans="1:2" x14ac:dyDescent="0.3">
      <c r="A3030" t="s">
        <v>35</v>
      </c>
      <c r="B3030">
        <f>AVERAGEIF(Sheet1!B:B, A3030, Sheet1!J:J)</f>
        <v>51.028169014084504</v>
      </c>
    </row>
    <row r="3031" spans="1:2" x14ac:dyDescent="0.3">
      <c r="A3031" t="s">
        <v>35</v>
      </c>
      <c r="B3031">
        <f>AVERAGEIF(Sheet1!B:B, A3031, Sheet1!J:J)</f>
        <v>51.028169014084504</v>
      </c>
    </row>
    <row r="3032" spans="1:2" x14ac:dyDescent="0.3">
      <c r="A3032" t="s">
        <v>35</v>
      </c>
      <c r="B3032">
        <f>AVERAGEIF(Sheet1!B:B, A3032, Sheet1!J:J)</f>
        <v>51.028169014084504</v>
      </c>
    </row>
    <row r="3033" spans="1:2" x14ac:dyDescent="0.3">
      <c r="A3033" t="s">
        <v>35</v>
      </c>
      <c r="B3033">
        <f>AVERAGEIF(Sheet1!B:B, A3033, Sheet1!J:J)</f>
        <v>51.028169014084504</v>
      </c>
    </row>
    <row r="3034" spans="1:2" x14ac:dyDescent="0.3">
      <c r="A3034" t="s">
        <v>35</v>
      </c>
      <c r="B3034">
        <f>AVERAGEIF(Sheet1!B:B, A3034, Sheet1!J:J)</f>
        <v>51.028169014084504</v>
      </c>
    </row>
    <row r="3035" spans="1:2" x14ac:dyDescent="0.3">
      <c r="A3035" t="s">
        <v>35</v>
      </c>
      <c r="B3035">
        <f>AVERAGEIF(Sheet1!B:B, A3035, Sheet1!J:J)</f>
        <v>51.028169014084504</v>
      </c>
    </row>
    <row r="3036" spans="1:2" x14ac:dyDescent="0.3">
      <c r="A3036" t="s">
        <v>35</v>
      </c>
      <c r="B3036">
        <f>AVERAGEIF(Sheet1!B:B, A3036, Sheet1!J:J)</f>
        <v>51.028169014084504</v>
      </c>
    </row>
    <row r="3037" spans="1:2" x14ac:dyDescent="0.3">
      <c r="A3037" t="s">
        <v>35</v>
      </c>
      <c r="B3037">
        <f>AVERAGEIF(Sheet1!B:B, A3037, Sheet1!J:J)</f>
        <v>51.028169014084504</v>
      </c>
    </row>
    <row r="3038" spans="1:2" x14ac:dyDescent="0.3">
      <c r="A3038" t="s">
        <v>33</v>
      </c>
      <c r="B3038">
        <f>AVERAGEIF(Sheet1!B:B, A3038, Sheet1!J:J)</f>
        <v>34.873096446700508</v>
      </c>
    </row>
    <row r="3039" spans="1:2" x14ac:dyDescent="0.3">
      <c r="A3039" t="s">
        <v>33</v>
      </c>
      <c r="B3039">
        <f>AVERAGEIF(Sheet1!B:B, A3039, Sheet1!J:J)</f>
        <v>34.873096446700508</v>
      </c>
    </row>
    <row r="3040" spans="1:2" x14ac:dyDescent="0.3">
      <c r="A3040" t="s">
        <v>33</v>
      </c>
      <c r="B3040">
        <f>AVERAGEIF(Sheet1!B:B, A3040, Sheet1!J:J)</f>
        <v>34.873096446700508</v>
      </c>
    </row>
    <row r="3041" spans="1:2" x14ac:dyDescent="0.3">
      <c r="A3041" t="s">
        <v>33</v>
      </c>
      <c r="B3041">
        <f>AVERAGEIF(Sheet1!B:B, A3041, Sheet1!J:J)</f>
        <v>34.873096446700508</v>
      </c>
    </row>
    <row r="3042" spans="1:2" x14ac:dyDescent="0.3">
      <c r="A3042" t="s">
        <v>33</v>
      </c>
      <c r="B3042">
        <f>AVERAGEIF(Sheet1!B:B, A3042, Sheet1!J:J)</f>
        <v>34.873096446700508</v>
      </c>
    </row>
    <row r="3043" spans="1:2" x14ac:dyDescent="0.3">
      <c r="A3043" t="s">
        <v>33</v>
      </c>
      <c r="B3043">
        <f>AVERAGEIF(Sheet1!B:B, A3043, Sheet1!J:J)</f>
        <v>34.873096446700508</v>
      </c>
    </row>
    <row r="3044" spans="1:2" x14ac:dyDescent="0.3">
      <c r="A3044" t="s">
        <v>33</v>
      </c>
      <c r="B3044">
        <f>AVERAGEIF(Sheet1!B:B, A3044, Sheet1!J:J)</f>
        <v>34.873096446700508</v>
      </c>
    </row>
    <row r="3045" spans="1:2" x14ac:dyDescent="0.3">
      <c r="A3045" t="s">
        <v>33</v>
      </c>
      <c r="B3045">
        <f>AVERAGEIF(Sheet1!B:B, A3045, Sheet1!J:J)</f>
        <v>34.873096446700508</v>
      </c>
    </row>
    <row r="3046" spans="1:2" x14ac:dyDescent="0.3">
      <c r="A3046" t="s">
        <v>33</v>
      </c>
      <c r="B3046">
        <f>AVERAGEIF(Sheet1!B:B, A3046, Sheet1!J:J)</f>
        <v>34.873096446700508</v>
      </c>
    </row>
    <row r="3047" spans="1:2" x14ac:dyDescent="0.3">
      <c r="A3047" t="s">
        <v>33</v>
      </c>
      <c r="B3047">
        <f>AVERAGEIF(Sheet1!B:B, A3047, Sheet1!J:J)</f>
        <v>34.873096446700508</v>
      </c>
    </row>
    <row r="3048" spans="1:2" x14ac:dyDescent="0.3">
      <c r="A3048" t="s">
        <v>33</v>
      </c>
      <c r="B3048">
        <f>AVERAGEIF(Sheet1!B:B, A3048, Sheet1!J:J)</f>
        <v>34.873096446700508</v>
      </c>
    </row>
    <row r="3049" spans="1:2" x14ac:dyDescent="0.3">
      <c r="A3049" t="s">
        <v>33</v>
      </c>
      <c r="B3049">
        <f>AVERAGEIF(Sheet1!B:B, A3049, Sheet1!J:J)</f>
        <v>34.873096446700508</v>
      </c>
    </row>
    <row r="3050" spans="1:2" x14ac:dyDescent="0.3">
      <c r="A3050" t="s">
        <v>33</v>
      </c>
      <c r="B3050">
        <f>AVERAGEIF(Sheet1!B:B, A3050, Sheet1!J:J)</f>
        <v>34.873096446700508</v>
      </c>
    </row>
    <row r="3051" spans="1:2" x14ac:dyDescent="0.3">
      <c r="A3051" t="s">
        <v>33</v>
      </c>
      <c r="B3051">
        <f>AVERAGEIF(Sheet1!B:B, A3051, Sheet1!J:J)</f>
        <v>34.873096446700508</v>
      </c>
    </row>
    <row r="3052" spans="1:2" x14ac:dyDescent="0.3">
      <c r="A3052" t="s">
        <v>33</v>
      </c>
      <c r="B3052">
        <f>AVERAGEIF(Sheet1!B:B, A3052, Sheet1!J:J)</f>
        <v>34.873096446700508</v>
      </c>
    </row>
    <row r="3053" spans="1:2" x14ac:dyDescent="0.3">
      <c r="A3053" t="s">
        <v>33</v>
      </c>
      <c r="B3053">
        <f>AVERAGEIF(Sheet1!B:B, A3053, Sheet1!J:J)</f>
        <v>34.873096446700508</v>
      </c>
    </row>
    <row r="3054" spans="1:2" x14ac:dyDescent="0.3">
      <c r="A3054" t="s">
        <v>33</v>
      </c>
      <c r="B3054">
        <f>AVERAGEIF(Sheet1!B:B, A3054, Sheet1!J:J)</f>
        <v>34.873096446700508</v>
      </c>
    </row>
    <row r="3055" spans="1:2" x14ac:dyDescent="0.3">
      <c r="A3055" t="s">
        <v>35</v>
      </c>
      <c r="B3055">
        <f>AVERAGEIF(Sheet1!B:B, A3055, Sheet1!J:J)</f>
        <v>51.028169014084504</v>
      </c>
    </row>
    <row r="3056" spans="1:2" x14ac:dyDescent="0.3">
      <c r="A3056" t="s">
        <v>36</v>
      </c>
      <c r="B3056">
        <f>AVERAGEIF(Sheet1!B:B, A3056, Sheet1!J:J)</f>
        <v>109.23547400611621</v>
      </c>
    </row>
    <row r="3057" spans="1:2" x14ac:dyDescent="0.3">
      <c r="A3057" t="s">
        <v>36</v>
      </c>
      <c r="B3057">
        <f>AVERAGEIF(Sheet1!B:B, A3057, Sheet1!J:J)</f>
        <v>109.23547400611621</v>
      </c>
    </row>
    <row r="3058" spans="1:2" x14ac:dyDescent="0.3">
      <c r="A3058" t="s">
        <v>36</v>
      </c>
      <c r="B3058">
        <f>AVERAGEIF(Sheet1!B:B, A3058, Sheet1!J:J)</f>
        <v>109.23547400611621</v>
      </c>
    </row>
    <row r="3059" spans="1:2" x14ac:dyDescent="0.3">
      <c r="A3059" t="s">
        <v>36</v>
      </c>
      <c r="B3059">
        <f>AVERAGEIF(Sheet1!B:B, A3059, Sheet1!J:J)</f>
        <v>109.23547400611621</v>
      </c>
    </row>
    <row r="3060" spans="1:2" x14ac:dyDescent="0.3">
      <c r="A3060" t="s">
        <v>36</v>
      </c>
      <c r="B3060">
        <f>AVERAGEIF(Sheet1!B:B, A3060, Sheet1!J:J)</f>
        <v>109.23547400611621</v>
      </c>
    </row>
    <row r="3061" spans="1:2" x14ac:dyDescent="0.3">
      <c r="A3061" t="s">
        <v>36</v>
      </c>
      <c r="B3061">
        <f>AVERAGEIF(Sheet1!B:B, A3061, Sheet1!J:J)</f>
        <v>109.23547400611621</v>
      </c>
    </row>
    <row r="3062" spans="1:2" x14ac:dyDescent="0.3">
      <c r="A3062" t="s">
        <v>36</v>
      </c>
      <c r="B3062">
        <f>AVERAGEIF(Sheet1!B:B, A3062, Sheet1!J:J)</f>
        <v>109.23547400611621</v>
      </c>
    </row>
    <row r="3063" spans="1:2" x14ac:dyDescent="0.3">
      <c r="A3063" t="s">
        <v>36</v>
      </c>
      <c r="B3063">
        <f>AVERAGEIF(Sheet1!B:B, A3063, Sheet1!J:J)</f>
        <v>109.23547400611621</v>
      </c>
    </row>
    <row r="3064" spans="1:2" x14ac:dyDescent="0.3">
      <c r="A3064" t="s">
        <v>36</v>
      </c>
      <c r="B3064">
        <f>AVERAGEIF(Sheet1!B:B, A3064, Sheet1!J:J)</f>
        <v>109.23547400611621</v>
      </c>
    </row>
    <row r="3065" spans="1:2" x14ac:dyDescent="0.3">
      <c r="A3065" t="s">
        <v>36</v>
      </c>
      <c r="B3065">
        <f>AVERAGEIF(Sheet1!B:B, A3065, Sheet1!J:J)</f>
        <v>109.23547400611621</v>
      </c>
    </row>
    <row r="3066" spans="1:2" x14ac:dyDescent="0.3">
      <c r="A3066" t="s">
        <v>36</v>
      </c>
      <c r="B3066">
        <f>AVERAGEIF(Sheet1!B:B, A3066, Sheet1!J:J)</f>
        <v>109.23547400611621</v>
      </c>
    </row>
    <row r="3067" spans="1:2" x14ac:dyDescent="0.3">
      <c r="A3067" t="s">
        <v>36</v>
      </c>
      <c r="B3067">
        <f>AVERAGEIF(Sheet1!B:B, A3067, Sheet1!J:J)</f>
        <v>109.23547400611621</v>
      </c>
    </row>
    <row r="3068" spans="1:2" x14ac:dyDescent="0.3">
      <c r="A3068" t="s">
        <v>36</v>
      </c>
      <c r="B3068">
        <f>AVERAGEIF(Sheet1!B:B, A3068, Sheet1!J:J)</f>
        <v>109.23547400611621</v>
      </c>
    </row>
    <row r="3069" spans="1:2" x14ac:dyDescent="0.3">
      <c r="A3069" t="s">
        <v>36</v>
      </c>
      <c r="B3069">
        <f>AVERAGEIF(Sheet1!B:B, A3069, Sheet1!J:J)</f>
        <v>109.23547400611621</v>
      </c>
    </row>
    <row r="3070" spans="1:2" x14ac:dyDescent="0.3">
      <c r="A3070" t="s">
        <v>36</v>
      </c>
      <c r="B3070">
        <f>AVERAGEIF(Sheet1!B:B, A3070, Sheet1!J:J)</f>
        <v>109.23547400611621</v>
      </c>
    </row>
    <row r="3071" spans="1:2" x14ac:dyDescent="0.3">
      <c r="A3071" t="s">
        <v>36</v>
      </c>
      <c r="B3071">
        <f>AVERAGEIF(Sheet1!B:B, A3071, Sheet1!J:J)</f>
        <v>109.23547400611621</v>
      </c>
    </row>
    <row r="3072" spans="1:2" x14ac:dyDescent="0.3">
      <c r="A3072" t="s">
        <v>36</v>
      </c>
      <c r="B3072">
        <f>AVERAGEIF(Sheet1!B:B, A3072, Sheet1!J:J)</f>
        <v>109.23547400611621</v>
      </c>
    </row>
    <row r="3073" spans="1:2" x14ac:dyDescent="0.3">
      <c r="A3073" t="s">
        <v>36</v>
      </c>
      <c r="B3073">
        <f>AVERAGEIF(Sheet1!B:B, A3073, Sheet1!J:J)</f>
        <v>109.23547400611621</v>
      </c>
    </row>
    <row r="3074" spans="1:2" x14ac:dyDescent="0.3">
      <c r="A3074" t="s">
        <v>36</v>
      </c>
      <c r="B3074">
        <f>AVERAGEIF(Sheet1!B:B, A3074, Sheet1!J:J)</f>
        <v>109.23547400611621</v>
      </c>
    </row>
    <row r="3075" spans="1:2" x14ac:dyDescent="0.3">
      <c r="A3075" t="s">
        <v>36</v>
      </c>
      <c r="B3075">
        <f>AVERAGEIF(Sheet1!B:B, A3075, Sheet1!J:J)</f>
        <v>109.23547400611621</v>
      </c>
    </row>
    <row r="3076" spans="1:2" x14ac:dyDescent="0.3">
      <c r="A3076" t="s">
        <v>36</v>
      </c>
      <c r="B3076">
        <f>AVERAGEIF(Sheet1!B:B, A3076, Sheet1!J:J)</f>
        <v>109.23547400611621</v>
      </c>
    </row>
    <row r="3077" spans="1:2" x14ac:dyDescent="0.3">
      <c r="A3077" t="s">
        <v>36</v>
      </c>
      <c r="B3077">
        <f>AVERAGEIF(Sheet1!B:B, A3077, Sheet1!J:J)</f>
        <v>109.23547400611621</v>
      </c>
    </row>
    <row r="3078" spans="1:2" x14ac:dyDescent="0.3">
      <c r="A3078" t="s">
        <v>36</v>
      </c>
      <c r="B3078">
        <f>AVERAGEIF(Sheet1!B:B, A3078, Sheet1!J:J)</f>
        <v>109.23547400611621</v>
      </c>
    </row>
    <row r="3079" spans="1:2" x14ac:dyDescent="0.3">
      <c r="A3079" t="s">
        <v>36</v>
      </c>
      <c r="B3079">
        <f>AVERAGEIF(Sheet1!B:B, A3079, Sheet1!J:J)</f>
        <v>109.23547400611621</v>
      </c>
    </row>
    <row r="3080" spans="1:2" x14ac:dyDescent="0.3">
      <c r="A3080" t="s">
        <v>36</v>
      </c>
      <c r="B3080">
        <f>AVERAGEIF(Sheet1!B:B, A3080, Sheet1!J:J)</f>
        <v>109.23547400611621</v>
      </c>
    </row>
    <row r="3081" spans="1:2" x14ac:dyDescent="0.3">
      <c r="A3081" t="s">
        <v>36</v>
      </c>
      <c r="B3081">
        <f>AVERAGEIF(Sheet1!B:B, A3081, Sheet1!J:J)</f>
        <v>109.23547400611621</v>
      </c>
    </row>
    <row r="3082" spans="1:2" x14ac:dyDescent="0.3">
      <c r="A3082" t="s">
        <v>36</v>
      </c>
      <c r="B3082">
        <f>AVERAGEIF(Sheet1!B:B, A3082, Sheet1!J:J)</f>
        <v>109.23547400611621</v>
      </c>
    </row>
    <row r="3083" spans="1:2" x14ac:dyDescent="0.3">
      <c r="A3083" t="s">
        <v>42</v>
      </c>
      <c r="B3083">
        <f>AVERAGEIF(Sheet1!B:B, A3083, Sheet1!J:J)</f>
        <v>53.857142857142854</v>
      </c>
    </row>
    <row r="3084" spans="1:2" x14ac:dyDescent="0.3">
      <c r="A3084" t="s">
        <v>36</v>
      </c>
      <c r="B3084">
        <f>AVERAGEIF(Sheet1!B:B, A3084, Sheet1!J:J)</f>
        <v>109.23547400611621</v>
      </c>
    </row>
    <row r="3085" spans="1:2" x14ac:dyDescent="0.3">
      <c r="A3085" t="s">
        <v>36</v>
      </c>
      <c r="B3085">
        <f>AVERAGEIF(Sheet1!B:B, A3085, Sheet1!J:J)</f>
        <v>109.23547400611621</v>
      </c>
    </row>
    <row r="3086" spans="1:2" x14ac:dyDescent="0.3">
      <c r="A3086" t="s">
        <v>35</v>
      </c>
      <c r="B3086">
        <f>AVERAGEIF(Sheet1!B:B, A3086, Sheet1!J:J)</f>
        <v>51.028169014084504</v>
      </c>
    </row>
    <row r="3087" spans="1:2" x14ac:dyDescent="0.3">
      <c r="A3087" t="s">
        <v>42</v>
      </c>
      <c r="B3087">
        <f>AVERAGEIF(Sheet1!B:B, A3087, Sheet1!J:J)</f>
        <v>53.857142857142854</v>
      </c>
    </row>
    <row r="3088" spans="1:2" x14ac:dyDescent="0.3">
      <c r="A3088" t="s">
        <v>42</v>
      </c>
      <c r="B3088">
        <f>AVERAGEIF(Sheet1!B:B, A3088, Sheet1!J:J)</f>
        <v>53.857142857142854</v>
      </c>
    </row>
    <row r="3089" spans="1:2" x14ac:dyDescent="0.3">
      <c r="A3089" t="s">
        <v>42</v>
      </c>
      <c r="B3089">
        <f>AVERAGEIF(Sheet1!B:B, A3089, Sheet1!J:J)</f>
        <v>53.857142857142854</v>
      </c>
    </row>
    <row r="3090" spans="1:2" x14ac:dyDescent="0.3">
      <c r="A3090" t="s">
        <v>36</v>
      </c>
      <c r="B3090">
        <f>AVERAGEIF(Sheet1!B:B, A3090, Sheet1!J:J)</f>
        <v>109.23547400611621</v>
      </c>
    </row>
    <row r="3091" spans="1:2" x14ac:dyDescent="0.3">
      <c r="A3091" t="s">
        <v>36</v>
      </c>
      <c r="B3091">
        <f>AVERAGEIF(Sheet1!B:B, A3091, Sheet1!J:J)</f>
        <v>109.23547400611621</v>
      </c>
    </row>
    <row r="3092" spans="1:2" x14ac:dyDescent="0.3">
      <c r="A3092" t="s">
        <v>36</v>
      </c>
      <c r="B3092">
        <f>AVERAGEIF(Sheet1!B:B, A3092, Sheet1!J:J)</f>
        <v>109.23547400611621</v>
      </c>
    </row>
    <row r="3093" spans="1:2" x14ac:dyDescent="0.3">
      <c r="A3093" t="s">
        <v>36</v>
      </c>
      <c r="B3093">
        <f>AVERAGEIF(Sheet1!B:B, A3093, Sheet1!J:J)</f>
        <v>109.23547400611621</v>
      </c>
    </row>
    <row r="3094" spans="1:2" x14ac:dyDescent="0.3">
      <c r="A3094" t="s">
        <v>36</v>
      </c>
      <c r="B3094">
        <f>AVERAGEIF(Sheet1!B:B, A3094, Sheet1!J:J)</f>
        <v>109.23547400611621</v>
      </c>
    </row>
    <row r="3095" spans="1:2" x14ac:dyDescent="0.3">
      <c r="A3095" t="s">
        <v>36</v>
      </c>
      <c r="B3095">
        <f>AVERAGEIF(Sheet1!B:B, A3095, Sheet1!J:J)</f>
        <v>109.23547400611621</v>
      </c>
    </row>
    <row r="3096" spans="1:2" x14ac:dyDescent="0.3">
      <c r="A3096" t="s">
        <v>36</v>
      </c>
      <c r="B3096">
        <f>AVERAGEIF(Sheet1!B:B, A3096, Sheet1!J:J)</f>
        <v>109.23547400611621</v>
      </c>
    </row>
    <row r="3097" spans="1:2" x14ac:dyDescent="0.3">
      <c r="A3097" t="s">
        <v>36</v>
      </c>
      <c r="B3097">
        <f>AVERAGEIF(Sheet1!B:B, A3097, Sheet1!J:J)</f>
        <v>109.23547400611621</v>
      </c>
    </row>
    <row r="3098" spans="1:2" x14ac:dyDescent="0.3">
      <c r="A3098" t="s">
        <v>36</v>
      </c>
      <c r="B3098">
        <f>AVERAGEIF(Sheet1!B:B, A3098, Sheet1!J:J)</f>
        <v>109.23547400611621</v>
      </c>
    </row>
    <row r="3099" spans="1:2" x14ac:dyDescent="0.3">
      <c r="A3099" t="s">
        <v>36</v>
      </c>
      <c r="B3099">
        <f>AVERAGEIF(Sheet1!B:B, A3099, Sheet1!J:J)</f>
        <v>109.23547400611621</v>
      </c>
    </row>
    <row r="3100" spans="1:2" x14ac:dyDescent="0.3">
      <c r="A3100" t="s">
        <v>36</v>
      </c>
      <c r="B3100">
        <f>AVERAGEIF(Sheet1!B:B, A3100, Sheet1!J:J)</f>
        <v>109.23547400611621</v>
      </c>
    </row>
    <row r="3101" spans="1:2" x14ac:dyDescent="0.3">
      <c r="A3101" t="s">
        <v>36</v>
      </c>
      <c r="B3101">
        <f>AVERAGEIF(Sheet1!B:B, A3101, Sheet1!J:J)</f>
        <v>109.23547400611621</v>
      </c>
    </row>
    <row r="3102" spans="1:2" x14ac:dyDescent="0.3">
      <c r="A3102" t="s">
        <v>36</v>
      </c>
      <c r="B3102">
        <f>AVERAGEIF(Sheet1!B:B, A3102, Sheet1!J:J)</f>
        <v>109.23547400611621</v>
      </c>
    </row>
    <row r="3103" spans="1:2" x14ac:dyDescent="0.3">
      <c r="A3103" t="s">
        <v>36</v>
      </c>
      <c r="B3103">
        <f>AVERAGEIF(Sheet1!B:B, A3103, Sheet1!J:J)</f>
        <v>109.23547400611621</v>
      </c>
    </row>
    <row r="3104" spans="1:2" x14ac:dyDescent="0.3">
      <c r="A3104" t="s">
        <v>36</v>
      </c>
      <c r="B3104">
        <f>AVERAGEIF(Sheet1!B:B, A3104, Sheet1!J:J)</f>
        <v>109.23547400611621</v>
      </c>
    </row>
    <row r="3105" spans="1:2" x14ac:dyDescent="0.3">
      <c r="A3105" t="s">
        <v>36</v>
      </c>
      <c r="B3105">
        <f>AVERAGEIF(Sheet1!B:B, A3105, Sheet1!J:J)</f>
        <v>109.23547400611621</v>
      </c>
    </row>
    <row r="3106" spans="1:2" x14ac:dyDescent="0.3">
      <c r="A3106" t="s">
        <v>36</v>
      </c>
      <c r="B3106">
        <f>AVERAGEIF(Sheet1!B:B, A3106, Sheet1!J:J)</f>
        <v>109.23547400611621</v>
      </c>
    </row>
    <row r="3107" spans="1:2" x14ac:dyDescent="0.3">
      <c r="A3107" t="s">
        <v>36</v>
      </c>
      <c r="B3107">
        <f>AVERAGEIF(Sheet1!B:B, A3107, Sheet1!J:J)</f>
        <v>109.23547400611621</v>
      </c>
    </row>
    <row r="3108" spans="1:2" x14ac:dyDescent="0.3">
      <c r="A3108" t="s">
        <v>36</v>
      </c>
      <c r="B3108">
        <f>AVERAGEIF(Sheet1!B:B, A3108, Sheet1!J:J)</f>
        <v>109.23547400611621</v>
      </c>
    </row>
    <row r="3109" spans="1:2" x14ac:dyDescent="0.3">
      <c r="A3109" t="s">
        <v>36</v>
      </c>
      <c r="B3109">
        <f>AVERAGEIF(Sheet1!B:B, A3109, Sheet1!J:J)</f>
        <v>109.23547400611621</v>
      </c>
    </row>
    <row r="3110" spans="1:2" x14ac:dyDescent="0.3">
      <c r="A3110" t="s">
        <v>36</v>
      </c>
      <c r="B3110">
        <f>AVERAGEIF(Sheet1!B:B, A3110, Sheet1!J:J)</f>
        <v>109.23547400611621</v>
      </c>
    </row>
    <row r="3111" spans="1:2" x14ac:dyDescent="0.3">
      <c r="A3111" t="s">
        <v>36</v>
      </c>
      <c r="B3111">
        <f>AVERAGEIF(Sheet1!B:B, A3111, Sheet1!J:J)</f>
        <v>109.23547400611621</v>
      </c>
    </row>
    <row r="3112" spans="1:2" x14ac:dyDescent="0.3">
      <c r="A3112" t="s">
        <v>36</v>
      </c>
      <c r="B3112">
        <f>AVERAGEIF(Sheet1!B:B, A3112, Sheet1!J:J)</f>
        <v>109.23547400611621</v>
      </c>
    </row>
    <row r="3113" spans="1:2" x14ac:dyDescent="0.3">
      <c r="A3113" t="s">
        <v>36</v>
      </c>
      <c r="B3113">
        <f>AVERAGEIF(Sheet1!B:B, A3113, Sheet1!J:J)</f>
        <v>109.23547400611621</v>
      </c>
    </row>
    <row r="3114" spans="1:2" x14ac:dyDescent="0.3">
      <c r="A3114" t="s">
        <v>36</v>
      </c>
      <c r="B3114">
        <f>AVERAGEIF(Sheet1!B:B, A3114, Sheet1!J:J)</f>
        <v>109.23547400611621</v>
      </c>
    </row>
    <row r="3115" spans="1:2" x14ac:dyDescent="0.3">
      <c r="A3115" t="s">
        <v>36</v>
      </c>
      <c r="B3115">
        <f>AVERAGEIF(Sheet1!B:B, A3115, Sheet1!J:J)</f>
        <v>109.23547400611621</v>
      </c>
    </row>
    <row r="3116" spans="1:2" x14ac:dyDescent="0.3">
      <c r="A3116" t="s">
        <v>36</v>
      </c>
      <c r="B3116">
        <f>AVERAGEIF(Sheet1!B:B, A3116, Sheet1!J:J)</f>
        <v>109.23547400611621</v>
      </c>
    </row>
    <row r="3117" spans="1:2" x14ac:dyDescent="0.3">
      <c r="A3117" t="s">
        <v>36</v>
      </c>
      <c r="B3117">
        <f>AVERAGEIF(Sheet1!B:B, A3117, Sheet1!J:J)</f>
        <v>109.23547400611621</v>
      </c>
    </row>
    <row r="3118" spans="1:2" x14ac:dyDescent="0.3">
      <c r="A3118" t="s">
        <v>36</v>
      </c>
      <c r="B3118">
        <f>AVERAGEIF(Sheet1!B:B, A3118, Sheet1!J:J)</f>
        <v>109.23547400611621</v>
      </c>
    </row>
    <row r="3119" spans="1:2" x14ac:dyDescent="0.3">
      <c r="A3119" t="s">
        <v>36</v>
      </c>
      <c r="B3119">
        <f>AVERAGEIF(Sheet1!B:B, A3119, Sheet1!J:J)</f>
        <v>109.23547400611621</v>
      </c>
    </row>
    <row r="3120" spans="1:2" x14ac:dyDescent="0.3">
      <c r="A3120" t="s">
        <v>36</v>
      </c>
      <c r="B3120">
        <f>AVERAGEIF(Sheet1!B:B, A3120, Sheet1!J:J)</f>
        <v>109.23547400611621</v>
      </c>
    </row>
    <row r="3121" spans="1:2" x14ac:dyDescent="0.3">
      <c r="A3121" t="s">
        <v>36</v>
      </c>
      <c r="B3121">
        <f>AVERAGEIF(Sheet1!B:B, A3121, Sheet1!J:J)</f>
        <v>109.23547400611621</v>
      </c>
    </row>
    <row r="3122" spans="1:2" x14ac:dyDescent="0.3">
      <c r="A3122" t="s">
        <v>36</v>
      </c>
      <c r="B3122">
        <f>AVERAGEIF(Sheet1!B:B, A3122, Sheet1!J:J)</f>
        <v>109.23547400611621</v>
      </c>
    </row>
    <row r="3123" spans="1:2" x14ac:dyDescent="0.3">
      <c r="A3123" t="s">
        <v>36</v>
      </c>
      <c r="B3123">
        <f>AVERAGEIF(Sheet1!B:B, A3123, Sheet1!J:J)</f>
        <v>109.23547400611621</v>
      </c>
    </row>
    <row r="3124" spans="1:2" x14ac:dyDescent="0.3">
      <c r="A3124" t="s">
        <v>36</v>
      </c>
      <c r="B3124">
        <f>AVERAGEIF(Sheet1!B:B, A3124, Sheet1!J:J)</f>
        <v>109.23547400611621</v>
      </c>
    </row>
    <row r="3125" spans="1:2" x14ac:dyDescent="0.3">
      <c r="A3125" t="s">
        <v>36</v>
      </c>
      <c r="B3125">
        <f>AVERAGEIF(Sheet1!B:B, A3125, Sheet1!J:J)</f>
        <v>109.23547400611621</v>
      </c>
    </row>
    <row r="3126" spans="1:2" x14ac:dyDescent="0.3">
      <c r="A3126" t="s">
        <v>36</v>
      </c>
      <c r="B3126">
        <f>AVERAGEIF(Sheet1!B:B, A3126, Sheet1!J:J)</f>
        <v>109.23547400611621</v>
      </c>
    </row>
    <row r="3127" spans="1:2" x14ac:dyDescent="0.3">
      <c r="A3127" t="s">
        <v>36</v>
      </c>
      <c r="B3127">
        <f>AVERAGEIF(Sheet1!B:B, A3127, Sheet1!J:J)</f>
        <v>109.23547400611621</v>
      </c>
    </row>
    <row r="3128" spans="1:2" x14ac:dyDescent="0.3">
      <c r="A3128" t="s">
        <v>36</v>
      </c>
      <c r="B3128">
        <f>AVERAGEIF(Sheet1!B:B, A3128, Sheet1!J:J)</f>
        <v>109.23547400611621</v>
      </c>
    </row>
    <row r="3129" spans="1:2" x14ac:dyDescent="0.3">
      <c r="A3129" t="s">
        <v>36</v>
      </c>
      <c r="B3129">
        <f>AVERAGEIF(Sheet1!B:B, A3129, Sheet1!J:J)</f>
        <v>109.23547400611621</v>
      </c>
    </row>
    <row r="3130" spans="1:2" x14ac:dyDescent="0.3">
      <c r="A3130" t="s">
        <v>38</v>
      </c>
      <c r="B3130">
        <f>AVERAGEIF(Sheet1!B:B, A3130, Sheet1!J:J)</f>
        <v>67.710144927536234</v>
      </c>
    </row>
    <row r="3131" spans="1:2" x14ac:dyDescent="0.3">
      <c r="A3131" t="s">
        <v>38</v>
      </c>
      <c r="B3131">
        <f>AVERAGEIF(Sheet1!B:B, A3131, Sheet1!J:J)</f>
        <v>67.710144927536234</v>
      </c>
    </row>
    <row r="3132" spans="1:2" x14ac:dyDescent="0.3">
      <c r="A3132" t="s">
        <v>38</v>
      </c>
      <c r="B3132">
        <f>AVERAGEIF(Sheet1!B:B, A3132, Sheet1!J:J)</f>
        <v>67.710144927536234</v>
      </c>
    </row>
    <row r="3133" spans="1:2" x14ac:dyDescent="0.3">
      <c r="A3133" t="s">
        <v>38</v>
      </c>
      <c r="B3133">
        <f>AVERAGEIF(Sheet1!B:B, A3133, Sheet1!J:J)</f>
        <v>67.710144927536234</v>
      </c>
    </row>
    <row r="3134" spans="1:2" x14ac:dyDescent="0.3">
      <c r="A3134" t="s">
        <v>38</v>
      </c>
      <c r="B3134">
        <f>AVERAGEIF(Sheet1!B:B, A3134, Sheet1!J:J)</f>
        <v>67.710144927536234</v>
      </c>
    </row>
    <row r="3135" spans="1:2" x14ac:dyDescent="0.3">
      <c r="A3135" t="s">
        <v>38</v>
      </c>
      <c r="B3135">
        <f>AVERAGEIF(Sheet1!B:B, A3135, Sheet1!J:J)</f>
        <v>67.710144927536234</v>
      </c>
    </row>
    <row r="3136" spans="1:2" x14ac:dyDescent="0.3">
      <c r="A3136" t="s">
        <v>38</v>
      </c>
      <c r="B3136">
        <f>AVERAGEIF(Sheet1!B:B, A3136, Sheet1!J:J)</f>
        <v>67.710144927536234</v>
      </c>
    </row>
    <row r="3137" spans="1:2" x14ac:dyDescent="0.3">
      <c r="A3137" t="s">
        <v>38</v>
      </c>
      <c r="B3137">
        <f>AVERAGEIF(Sheet1!B:B, A3137, Sheet1!J:J)</f>
        <v>67.710144927536234</v>
      </c>
    </row>
    <row r="3138" spans="1:2" x14ac:dyDescent="0.3">
      <c r="A3138" t="s">
        <v>38</v>
      </c>
      <c r="B3138">
        <f>AVERAGEIF(Sheet1!B:B, A3138, Sheet1!J:J)</f>
        <v>67.710144927536234</v>
      </c>
    </row>
    <row r="3139" spans="1:2" x14ac:dyDescent="0.3">
      <c r="A3139" t="s">
        <v>36</v>
      </c>
      <c r="B3139">
        <f>AVERAGEIF(Sheet1!B:B, A3139, Sheet1!J:J)</f>
        <v>109.23547400611621</v>
      </c>
    </row>
    <row r="3140" spans="1:2" x14ac:dyDescent="0.3">
      <c r="A3140" t="s">
        <v>36</v>
      </c>
      <c r="B3140">
        <f>AVERAGEIF(Sheet1!B:B, A3140, Sheet1!J:J)</f>
        <v>109.23547400611621</v>
      </c>
    </row>
    <row r="3141" spans="1:2" x14ac:dyDescent="0.3">
      <c r="A3141" t="s">
        <v>36</v>
      </c>
      <c r="B3141">
        <f>AVERAGEIF(Sheet1!B:B, A3141, Sheet1!J:J)</f>
        <v>109.23547400611621</v>
      </c>
    </row>
    <row r="3142" spans="1:2" x14ac:dyDescent="0.3">
      <c r="A3142" t="s">
        <v>36</v>
      </c>
      <c r="B3142">
        <f>AVERAGEIF(Sheet1!B:B, A3142, Sheet1!J:J)</f>
        <v>109.23547400611621</v>
      </c>
    </row>
    <row r="3143" spans="1:2" x14ac:dyDescent="0.3">
      <c r="A3143" t="s">
        <v>37</v>
      </c>
      <c r="B3143">
        <f>AVERAGEIF(Sheet1!B:B, A3143, Sheet1!J:J)</f>
        <v>82.95</v>
      </c>
    </row>
    <row r="3144" spans="1:2" x14ac:dyDescent="0.3">
      <c r="A3144" t="s">
        <v>37</v>
      </c>
      <c r="B3144">
        <f>AVERAGEIF(Sheet1!B:B, A3144, Sheet1!J:J)</f>
        <v>82.95</v>
      </c>
    </row>
    <row r="3145" spans="1:2" x14ac:dyDescent="0.3">
      <c r="A3145" t="s">
        <v>36</v>
      </c>
      <c r="B3145">
        <f>AVERAGEIF(Sheet1!B:B, A3145, Sheet1!J:J)</f>
        <v>109.23547400611621</v>
      </c>
    </row>
    <row r="3146" spans="1:2" x14ac:dyDescent="0.3">
      <c r="A3146" t="s">
        <v>36</v>
      </c>
      <c r="B3146">
        <f>AVERAGEIF(Sheet1!B:B, A3146, Sheet1!J:J)</f>
        <v>109.23547400611621</v>
      </c>
    </row>
    <row r="3147" spans="1:2" x14ac:dyDescent="0.3">
      <c r="A3147" t="s">
        <v>36</v>
      </c>
      <c r="B3147">
        <f>AVERAGEIF(Sheet1!B:B, A3147, Sheet1!J:J)</f>
        <v>109.23547400611621</v>
      </c>
    </row>
    <row r="3148" spans="1:2" x14ac:dyDescent="0.3">
      <c r="A3148" t="s">
        <v>36</v>
      </c>
      <c r="B3148">
        <f>AVERAGEIF(Sheet1!B:B, A3148, Sheet1!J:J)</f>
        <v>109.23547400611621</v>
      </c>
    </row>
    <row r="3149" spans="1:2" x14ac:dyDescent="0.3">
      <c r="A3149" t="s">
        <v>36</v>
      </c>
      <c r="B3149">
        <f>AVERAGEIF(Sheet1!B:B, A3149, Sheet1!J:J)</f>
        <v>109.23547400611621</v>
      </c>
    </row>
    <row r="3150" spans="1:2" x14ac:dyDescent="0.3">
      <c r="A3150" t="s">
        <v>36</v>
      </c>
      <c r="B3150">
        <f>AVERAGEIF(Sheet1!B:B, A3150, Sheet1!J:J)</f>
        <v>109.23547400611621</v>
      </c>
    </row>
    <row r="3151" spans="1:2" x14ac:dyDescent="0.3">
      <c r="A3151" t="s">
        <v>37</v>
      </c>
      <c r="B3151">
        <f>AVERAGEIF(Sheet1!B:B, A3151, Sheet1!J:J)</f>
        <v>82.95</v>
      </c>
    </row>
    <row r="3152" spans="1:2" x14ac:dyDescent="0.3">
      <c r="A3152" t="s">
        <v>37</v>
      </c>
      <c r="B3152">
        <f>AVERAGEIF(Sheet1!B:B, A3152, Sheet1!J:J)</f>
        <v>82.95</v>
      </c>
    </row>
    <row r="3153" spans="1:2" x14ac:dyDescent="0.3">
      <c r="A3153" t="s">
        <v>37</v>
      </c>
      <c r="B3153">
        <f>AVERAGEIF(Sheet1!B:B, A3153, Sheet1!J:J)</f>
        <v>82.95</v>
      </c>
    </row>
    <row r="3154" spans="1:2" x14ac:dyDescent="0.3">
      <c r="A3154" t="s">
        <v>37</v>
      </c>
      <c r="B3154">
        <f>AVERAGEIF(Sheet1!B:B, A3154, Sheet1!J:J)</f>
        <v>82.95</v>
      </c>
    </row>
    <row r="3155" spans="1:2" x14ac:dyDescent="0.3">
      <c r="A3155" t="s">
        <v>36</v>
      </c>
      <c r="B3155">
        <f>AVERAGEIF(Sheet1!B:B, A3155, Sheet1!J:J)</f>
        <v>109.23547400611621</v>
      </c>
    </row>
    <row r="3156" spans="1:2" x14ac:dyDescent="0.3">
      <c r="A3156" t="s">
        <v>36</v>
      </c>
      <c r="B3156">
        <f>AVERAGEIF(Sheet1!B:B, A3156, Sheet1!J:J)</f>
        <v>109.23547400611621</v>
      </c>
    </row>
    <row r="3157" spans="1:2" x14ac:dyDescent="0.3">
      <c r="A3157" t="s">
        <v>36</v>
      </c>
      <c r="B3157">
        <f>AVERAGEIF(Sheet1!B:B, A3157, Sheet1!J:J)</f>
        <v>109.23547400611621</v>
      </c>
    </row>
    <row r="3158" spans="1:2" x14ac:dyDescent="0.3">
      <c r="A3158" t="s">
        <v>36</v>
      </c>
      <c r="B3158">
        <f>AVERAGEIF(Sheet1!B:B, A3158, Sheet1!J:J)</f>
        <v>109.23547400611621</v>
      </c>
    </row>
    <row r="3159" spans="1:2" x14ac:dyDescent="0.3">
      <c r="A3159" t="s">
        <v>36</v>
      </c>
      <c r="B3159">
        <f>AVERAGEIF(Sheet1!B:B, A3159, Sheet1!J:J)</f>
        <v>109.23547400611621</v>
      </c>
    </row>
    <row r="3160" spans="1:2" x14ac:dyDescent="0.3">
      <c r="A3160" t="s">
        <v>38</v>
      </c>
      <c r="B3160">
        <f>AVERAGEIF(Sheet1!B:B, A3160, Sheet1!J:J)</f>
        <v>67.710144927536234</v>
      </c>
    </row>
    <row r="3161" spans="1:2" x14ac:dyDescent="0.3">
      <c r="A3161" t="s">
        <v>36</v>
      </c>
      <c r="B3161">
        <f>AVERAGEIF(Sheet1!B:B, A3161, Sheet1!J:J)</f>
        <v>109.23547400611621</v>
      </c>
    </row>
    <row r="3162" spans="1:2" x14ac:dyDescent="0.3">
      <c r="A3162" t="s">
        <v>36</v>
      </c>
      <c r="B3162">
        <f>AVERAGEIF(Sheet1!B:B, A3162, Sheet1!J:J)</f>
        <v>109.23547400611621</v>
      </c>
    </row>
    <row r="3163" spans="1:2" x14ac:dyDescent="0.3">
      <c r="A3163" t="s">
        <v>38</v>
      </c>
      <c r="B3163">
        <f>AVERAGEIF(Sheet1!B:B, A3163, Sheet1!J:J)</f>
        <v>67.710144927536234</v>
      </c>
    </row>
    <row r="3164" spans="1:2" x14ac:dyDescent="0.3">
      <c r="A3164" t="s">
        <v>38</v>
      </c>
      <c r="B3164">
        <f>AVERAGEIF(Sheet1!B:B, A3164, Sheet1!J:J)</f>
        <v>67.710144927536234</v>
      </c>
    </row>
    <row r="3165" spans="1:2" x14ac:dyDescent="0.3">
      <c r="A3165" t="s">
        <v>38</v>
      </c>
      <c r="B3165">
        <f>AVERAGEIF(Sheet1!B:B, A3165, Sheet1!J:J)</f>
        <v>67.710144927536234</v>
      </c>
    </row>
    <row r="3166" spans="1:2" x14ac:dyDescent="0.3">
      <c r="A3166" t="s">
        <v>38</v>
      </c>
      <c r="B3166">
        <f>AVERAGEIF(Sheet1!B:B, A3166, Sheet1!J:J)</f>
        <v>67.710144927536234</v>
      </c>
    </row>
    <row r="3167" spans="1:2" x14ac:dyDescent="0.3">
      <c r="A3167" t="s">
        <v>38</v>
      </c>
      <c r="B3167">
        <f>AVERAGEIF(Sheet1!B:B, A3167, Sheet1!J:J)</f>
        <v>67.710144927536234</v>
      </c>
    </row>
    <row r="3168" spans="1:2" x14ac:dyDescent="0.3">
      <c r="A3168" t="s">
        <v>38</v>
      </c>
      <c r="B3168">
        <f>AVERAGEIF(Sheet1!B:B, A3168, Sheet1!J:J)</f>
        <v>67.710144927536234</v>
      </c>
    </row>
    <row r="3169" spans="1:2" x14ac:dyDescent="0.3">
      <c r="A3169" t="s">
        <v>38</v>
      </c>
      <c r="B3169">
        <f>AVERAGEIF(Sheet1!B:B, A3169, Sheet1!J:J)</f>
        <v>67.710144927536234</v>
      </c>
    </row>
    <row r="3170" spans="1:2" x14ac:dyDescent="0.3">
      <c r="A3170" t="s">
        <v>38</v>
      </c>
      <c r="B3170">
        <f>AVERAGEIF(Sheet1!B:B, A3170, Sheet1!J:J)</f>
        <v>67.710144927536234</v>
      </c>
    </row>
    <row r="3171" spans="1:2" x14ac:dyDescent="0.3">
      <c r="A3171" t="s">
        <v>38</v>
      </c>
      <c r="B3171">
        <f>AVERAGEIF(Sheet1!B:B, A3171, Sheet1!J:J)</f>
        <v>67.710144927536234</v>
      </c>
    </row>
    <row r="3172" spans="1:2" x14ac:dyDescent="0.3">
      <c r="A3172" t="s">
        <v>38</v>
      </c>
      <c r="B3172">
        <f>AVERAGEIF(Sheet1!B:B, A3172, Sheet1!J:J)</f>
        <v>67.710144927536234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D0E4F-478D-4210-8275-149790FE97DC}">
  <dimension ref="A1"/>
  <sheetViews>
    <sheetView workbookViewId="0">
      <selection activeCell="M7" sqref="M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B436-E360-426A-8DF2-1C8B58283E6A}">
  <dimension ref="A1:B11"/>
  <sheetViews>
    <sheetView workbookViewId="0">
      <selection activeCell="L23" sqref="L23"/>
    </sheetView>
  </sheetViews>
  <sheetFormatPr defaultRowHeight="14.4" x14ac:dyDescent="0.3"/>
  <cols>
    <col min="1" max="1" width="12.5546875" bestFit="1" customWidth="1"/>
    <col min="2" max="2" width="22.5546875" bestFit="1" customWidth="1"/>
  </cols>
  <sheetData>
    <row r="1" spans="1:2" x14ac:dyDescent="0.3">
      <c r="A1" s="2" t="s">
        <v>4</v>
      </c>
      <c r="B1" t="s">
        <v>780</v>
      </c>
    </row>
    <row r="3" spans="1:2" x14ac:dyDescent="0.3">
      <c r="A3" s="2" t="s">
        <v>777</v>
      </c>
      <c r="B3" t="s">
        <v>779</v>
      </c>
    </row>
    <row r="4" spans="1:2" x14ac:dyDescent="0.3">
      <c r="A4" s="3" t="s">
        <v>776</v>
      </c>
      <c r="B4" s="11">
        <v>38.118993135011443</v>
      </c>
    </row>
    <row r="5" spans="1:2" x14ac:dyDescent="0.3">
      <c r="A5" s="3" t="s">
        <v>773</v>
      </c>
      <c r="B5" s="11">
        <v>6.0773195876288657</v>
      </c>
    </row>
    <row r="6" spans="1:2" x14ac:dyDescent="0.3">
      <c r="A6" s="3" t="s">
        <v>772</v>
      </c>
      <c r="B6" s="11">
        <v>33.718604651162792</v>
      </c>
    </row>
    <row r="7" spans="1:2" x14ac:dyDescent="0.3">
      <c r="A7" s="3" t="s">
        <v>770</v>
      </c>
      <c r="B7" s="11">
        <v>48.439534883720931</v>
      </c>
    </row>
    <row r="8" spans="1:2" x14ac:dyDescent="0.3">
      <c r="A8" s="3" t="s">
        <v>771</v>
      </c>
      <c r="B8" s="11">
        <v>103.56603773584905</v>
      </c>
    </row>
    <row r="9" spans="1:2" x14ac:dyDescent="0.3">
      <c r="A9" s="3" t="s">
        <v>775</v>
      </c>
      <c r="B9" s="11">
        <v>86.803240740740748</v>
      </c>
    </row>
    <row r="10" spans="1:2" x14ac:dyDescent="0.3">
      <c r="A10" s="3" t="s">
        <v>774</v>
      </c>
      <c r="B10" s="11">
        <v>18.2</v>
      </c>
    </row>
    <row r="11" spans="1:2" x14ac:dyDescent="0.3">
      <c r="A11" s="3" t="s">
        <v>778</v>
      </c>
      <c r="B11" s="11">
        <v>48.480378890392423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58BF-4FD0-497A-99A1-BB5FA870F558}">
  <dimension ref="A1"/>
  <sheetViews>
    <sheetView showGridLines="0" topLeftCell="K1" workbookViewId="0">
      <selection activeCell="Q28" sqref="Q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A27E0-A424-47EA-83AB-532E3238D9B4}">
  <dimension ref="A1:Z30"/>
  <sheetViews>
    <sheetView showGridLines="0" tabSelected="1" zoomScale="90" zoomScaleNormal="90" workbookViewId="0">
      <selection activeCell="Y27" sqref="Y27"/>
    </sheetView>
  </sheetViews>
  <sheetFormatPr defaultRowHeight="14.4" x14ac:dyDescent="0.3"/>
  <cols>
    <col min="1" max="23" width="8.88671875" style="6"/>
    <col min="24" max="24" width="8.88671875" style="6" customWidth="1"/>
    <col min="25" max="25" width="14.33203125" style="6" customWidth="1"/>
    <col min="26" max="16384" width="8.88671875" style="6"/>
  </cols>
  <sheetData>
    <row r="1" spans="1:26" s="7" customFormat="1" ht="30.6" x14ac:dyDescent="0.55000000000000004">
      <c r="A1" s="10" t="s">
        <v>783</v>
      </c>
      <c r="B1" s="10"/>
      <c r="C1" s="10"/>
      <c r="D1" s="10"/>
      <c r="E1" s="10"/>
      <c r="F1" s="10"/>
      <c r="G1" s="10"/>
      <c r="H1" s="10"/>
      <c r="I1" s="10"/>
      <c r="J1" s="10"/>
      <c r="K1" s="10"/>
      <c r="L1" s="10"/>
      <c r="M1" s="10"/>
      <c r="N1" s="10"/>
      <c r="O1" s="10"/>
      <c r="P1" s="10"/>
      <c r="Q1" s="10"/>
      <c r="R1" s="10"/>
      <c r="S1" s="10"/>
      <c r="T1" s="10"/>
      <c r="U1" s="10"/>
      <c r="V1" s="10"/>
      <c r="W1" s="10"/>
      <c r="X1" s="10"/>
    </row>
    <row r="3" spans="1:26" x14ac:dyDescent="0.3">
      <c r="Y3" s="8"/>
    </row>
    <row r="4" spans="1:26" ht="18" x14ac:dyDescent="0.35">
      <c r="Y4" s="9"/>
    </row>
    <row r="6" spans="1:26" x14ac:dyDescent="0.3">
      <c r="Y6" s="8"/>
    </row>
    <row r="7" spans="1:26" ht="18" x14ac:dyDescent="0.35">
      <c r="Y7" s="9"/>
    </row>
    <row r="8" spans="1:26" x14ac:dyDescent="0.3">
      <c r="Y8" s="8"/>
    </row>
    <row r="9" spans="1:26" x14ac:dyDescent="0.3">
      <c r="Y9" s="6">
        <f>Sheet1!M6</f>
        <v>3172</v>
      </c>
    </row>
    <row r="10" spans="1:26" x14ac:dyDescent="0.3">
      <c r="Y10" s="8"/>
    </row>
    <row r="13" spans="1:26" x14ac:dyDescent="0.3">
      <c r="Y13" s="8"/>
      <c r="Z13" s="8"/>
    </row>
    <row r="24" spans="13:26" x14ac:dyDescent="0.3">
      <c r="Z24" s="6" t="s">
        <v>786</v>
      </c>
    </row>
    <row r="30" spans="13:26" x14ac:dyDescent="0.3">
      <c r="M30" s="6" t="s">
        <v>785</v>
      </c>
    </row>
  </sheetData>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Sheet10</vt:lpstr>
      <vt:lpstr>chart</vt:lpstr>
      <vt:lpstr>Sheet1</vt:lpstr>
      <vt:lpstr>state_summary</vt:lpstr>
      <vt:lpstr>Sheet3</vt:lpstr>
      <vt:lpstr>Sheet6</vt:lpstr>
      <vt:lpstr>Sheet12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 THOMAS</dc:creator>
  <cp:lastModifiedBy>ABHIN THOMAS</cp:lastModifiedBy>
  <dcterms:created xsi:type="dcterms:W3CDTF">2025-04-13T09:42:24Z</dcterms:created>
  <dcterms:modified xsi:type="dcterms:W3CDTF">2025-04-28T12:55:09Z</dcterms:modified>
</cp:coreProperties>
</file>